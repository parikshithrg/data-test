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4BB140F2-4E4F-4CEF-BD37-82BA8912AC44}" xr6:coauthVersionLast="47" xr6:coauthVersionMax="47" xr10:uidLastSave="{00000000-0000-0000-0000-000000000000}"/>
  <bookViews>
    <workbookView xWindow="-120" yWindow="-120" windowWidth="29040" windowHeight="15525" xr2:uid="{EA6E6D5D-7592-4418-9A34-63E114065935}"/>
  </bookViews>
  <sheets>
    <sheet name="AXISFLO" sheetId="1" r:id="rId1"/>
  </sheets>
  <definedNames>
    <definedName name="JR_PAGE_ANCHOR_0_27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 s="1"/>
  <c r="F12" i="1"/>
  <c r="F13" i="1" s="1"/>
</calcChain>
</file>

<file path=xl/sharedStrings.xml><?xml version="1.0" encoding="utf-8"?>
<sst xmlns="http://schemas.openxmlformats.org/spreadsheetml/2006/main" count="121" uniqueCount="95">
  <si>
    <t>AXISFLO</t>
  </si>
  <si>
    <t>Axis Floater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</si>
  <si>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</si>
  <si>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</si>
  <si>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</si>
  <si>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</si>
  <si>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</si>
  <si>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</si>
  <si>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</si>
  <si>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</si>
  <si>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</si>
  <si>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</si>
  <si>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</si>
  <si>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</si>
  <si>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</si>
  <si>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IRS1011053</t>
  </si>
  <si>
    <t>Interest Rate Swaps Pay Fix Receive Floating -ICICI BANK (14/06/2023) (FV 2500 Lacs)</t>
  </si>
  <si>
    <t>$0.00%</t>
  </si>
  <si>
    <t>IRS1011051</t>
  </si>
  <si>
    <t>Interest Rate Swaps Pay Fix Receive Floating -HSBC BANK (14/06/2023) (FV 2500 Lacs)</t>
  </si>
  <si>
    <t>IRS1051260</t>
  </si>
  <si>
    <t>Interest Rate Swaps Pay Fix Receive Floating -NOMURA (12/08/2023) (FV 2500 Lacs)</t>
  </si>
  <si>
    <t>IRS1051264</t>
  </si>
  <si>
    <t>Interest Rate Swaps Pay Fix Receive Floating -IDFC BANK (12/08/2023) (FV 2500 Lacs)</t>
  </si>
  <si>
    <t>IRS1051262</t>
  </si>
  <si>
    <t>Interest Rate Swaps Pay Fix Receive Floating -ICISECPD (12/08/2023) (FV 2500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</si>
  <si>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</si>
  <si>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</si>
  <si>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</si>
  <si>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</si>
  <si>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</si>
  <si>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</si>
  <si>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</si>
  <si>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</si>
  <si>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GOI3607</t>
  </si>
  <si>
    <t>4.04% Government of India (04/10/2028)</t>
  </si>
  <si>
    <t>IN0020210160</t>
  </si>
  <si>
    <t>POWF496</t>
  </si>
  <si>
    <t>7.59% Power Finance Corporation Limited (17/01/2028)</t>
  </si>
  <si>
    <t>INE134E08LX5</t>
  </si>
  <si>
    <t>CRISIL AAA</t>
  </si>
  <si>
    <t>SIDB493</t>
  </si>
  <si>
    <t>7.59% Small Industries Dev Bank of India (10/02/2026)</t>
  </si>
  <si>
    <t>INE556F08KG3</t>
  </si>
  <si>
    <t>NBAR701</t>
  </si>
  <si>
    <t>7.58% National Bank For Agriculture and Rural Development (31/07/2026) **</t>
  </si>
  <si>
    <t>INE261F08DX0</t>
  </si>
  <si>
    <t>HDFC1231</t>
  </si>
  <si>
    <t>7.80% Housing Development Finance Corporation Limited (03/05/2033)</t>
  </si>
  <si>
    <t>INE001A08395</t>
  </si>
  <si>
    <t>GOI4485</t>
  </si>
  <si>
    <t>7.38% Government of India (20/06/2027)</t>
  </si>
  <si>
    <t>IN0020220037</t>
  </si>
  <si>
    <t>GOI4584</t>
  </si>
  <si>
    <t>7.26% Government of India (22/08/2032)</t>
  </si>
  <si>
    <t>IN0020220060</t>
  </si>
  <si>
    <t>KMIL465</t>
  </si>
  <si>
    <t>8.1059% Kotak Mahindra Investments Limited (18/07/2025) **</t>
  </si>
  <si>
    <t>INE975F07II7</t>
  </si>
  <si>
    <t>BHFL96</t>
  </si>
  <si>
    <t>7.9237% Bajaj Housing Finance Limited (16/03/2026) **</t>
  </si>
  <si>
    <t>INE377Y07375</t>
  </si>
  <si>
    <t>TCHF351</t>
  </si>
  <si>
    <t>6.50% Tata Capital Housing Finance Limited (15/06/2026)</t>
  </si>
  <si>
    <t>INE033L07HF1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</si>
  <si>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</si>
  <si>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</si>
  <si>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</si>
  <si>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</si>
  <si>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</si>
  <si>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</si>
  <si>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</si>
  <si>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Money Market Instruments</t>
  </si>
  <si>
    <t>Certificate of Deposit</t>
  </si>
  <si>
    <t>PUBA987</t>
  </si>
  <si>
    <t>Punjab National Bank (07/03/2024)</t>
  </si>
  <si>
    <t>INE160A16NH0</t>
  </si>
  <si>
    <t>ICRA A1+</t>
  </si>
  <si>
    <t>Treasury Bill</t>
  </si>
  <si>
    <t>TBIL2171</t>
  </si>
  <si>
    <t>182 Days Tbill (MD 31/08/2023)</t>
  </si>
  <si>
    <t>IN002022Y492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</si>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</sst>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9F8A9B-2D03-4C8F-9384-0214DBC442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1A572BA-3AB8-4E3B-A9C8-4EC566C6360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962025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F414-07A4-4E2F-BE66-9CDB7AFE18D6}">
  <sheetPr codeName="Sheet27">
    <outlinePr summaryBelow="0"/>
  </sheetPr>
  <dimension ref="A1:J58"/>
  <sheetViews>
    <sheetView tabSelected="1" topLeftCell="A10" workbookViewId="0">
      <selection activeCell="J34" sqref="J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-0.14499999999999999</v>
      </c>
      <c r="G7" s="20" t="s">
        <v>17</v>
      </c>
      <c r="H7" s="20"/>
      <c r="I7" s="21"/>
      <c r="J7" s="3"/>
    </row>
    <row r="8" spans="1:10" ht="13.15" customHeight="1">
      <c r="A8" s="16" t="s">
        <v>18</v>
      </c>
      <c r="B8" s="17" t="s">
        <v>19</v>
      </c>
      <c r="C8" s="13"/>
      <c r="D8" s="13"/>
      <c r="E8" s="18"/>
      <c r="F8" s="19">
        <v>-0.16750000000000001</v>
      </c>
      <c r="G8" s="20" t="s">
        <v>17</v>
      </c>
      <c r="H8" s="20"/>
      <c r="I8" s="21"/>
      <c r="J8" s="3"/>
    </row>
    <row r="9" spans="1:10" ht="13.15" customHeight="1">
      <c r="A9" s="16" t="s">
        <v>20</v>
      </c>
      <c r="B9" s="17" t="s">
        <v>21</v>
      </c>
      <c r="C9" s="13"/>
      <c r="D9" s="13"/>
      <c r="E9" s="18"/>
      <c r="F9" s="19">
        <v>-0.57250000000000001</v>
      </c>
      <c r="G9" s="20" t="s">
        <v>17</v>
      </c>
      <c r="H9" s="20"/>
      <c r="I9" s="21"/>
      <c r="J9" s="3"/>
    </row>
    <row r="10" spans="1:10" ht="13.15" customHeight="1">
      <c r="A10" s="16" t="s">
        <v>22</v>
      </c>
      <c r="B10" s="17" t="s">
        <v>23</v>
      </c>
      <c r="C10" s="13"/>
      <c r="D10" s="13"/>
      <c r="E10" s="18"/>
      <c r="F10" s="19">
        <v>-0.59750000000000003</v>
      </c>
      <c r="G10" s="20" t="s">
        <v>17</v>
      </c>
      <c r="H10" s="20"/>
      <c r="I10" s="21"/>
      <c r="J10" s="3"/>
    </row>
    <row r="11" spans="1:10" ht="13.15" customHeight="1">
      <c r="A11" s="16" t="s">
        <v>24</v>
      </c>
      <c r="B11" s="17" t="s">
        <v>25</v>
      </c>
      <c r="C11" s="13"/>
      <c r="D11" s="13"/>
      <c r="E11" s="18"/>
      <c r="F11" s="19">
        <v>-0.59750000000000003</v>
      </c>
      <c r="G11" s="20" t="s">
        <v>17</v>
      </c>
      <c r="H11" s="20"/>
      <c r="I11" s="21"/>
      <c r="J11" s="3"/>
    </row>
    <row r="12" spans="1:10" ht="13.15" customHeight="1">
      <c r="A12" s="3"/>
      <c r="B12" s="12" t="s">
        <v>26</v>
      </c>
      <c r="C12" s="13"/>
      <c r="D12" s="13"/>
      <c r="E12" s="13"/>
      <c r="F12" s="22">
        <f>SUM(F7:F11)</f>
        <v>-2.08</v>
      </c>
      <c r="G12" s="23">
        <f>ROUND(F12/F47,6)</f>
        <v>-6.2000000000000003E-5</v>
      </c>
      <c r="H12" s="24"/>
      <c r="I12" s="25"/>
      <c r="J12" s="3"/>
    </row>
    <row r="13" spans="1:10" ht="13.15" customHeight="1">
      <c r="A13" s="3"/>
      <c r="B13" s="26" t="s">
        <v>27</v>
      </c>
      <c r="C13" s="27"/>
      <c r="D13" s="28"/>
      <c r="E13" s="27"/>
      <c r="F13" s="22">
        <f>F12</f>
        <v>-2.08</v>
      </c>
      <c r="G13" s="23">
        <f>G12</f>
        <v>-6.2000000000000003E-5</v>
      </c>
      <c r="H13" s="24"/>
      <c r="I13" s="25"/>
      <c r="J13" s="3"/>
    </row>
    <row r="14" spans="1:10" ht="13.1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3.1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3.1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29">
        <v>3500000</v>
      </c>
      <c r="F16" s="19">
        <v>3496.5</v>
      </c>
      <c r="G16" s="30">
        <v>0.10440000000000001</v>
      </c>
      <c r="H16" s="20"/>
      <c r="I16" s="21"/>
      <c r="J16" s="3"/>
    </row>
    <row r="17" spans="1:10" ht="13.1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29">
        <v>3000000</v>
      </c>
      <c r="F17" s="19">
        <v>2964.9</v>
      </c>
      <c r="G17" s="30">
        <v>8.8499999999999995E-2</v>
      </c>
      <c r="H17" s="20"/>
      <c r="I17" s="21"/>
      <c r="J17" s="3"/>
    </row>
    <row r="18" spans="1:10" ht="13.15" customHeight="1">
      <c r="A18" s="16" t="s">
        <v>37</v>
      </c>
      <c r="B18" s="17" t="s">
        <v>38</v>
      </c>
      <c r="C18" s="13" t="s">
        <v>39</v>
      </c>
      <c r="D18" s="13" t="s">
        <v>40</v>
      </c>
      <c r="E18" s="29">
        <v>250</v>
      </c>
      <c r="F18" s="19">
        <v>2518.8724999999999</v>
      </c>
      <c r="G18" s="30">
        <v>7.5200000000000003E-2</v>
      </c>
      <c r="H18" s="31">
        <v>7.3774999999999993E-2</v>
      </c>
      <c r="I18" s="21"/>
      <c r="J18" s="3"/>
    </row>
    <row r="19" spans="1:10" ht="13.15" customHeight="1">
      <c r="A19" s="16" t="s">
        <v>41</v>
      </c>
      <c r="B19" s="17" t="s">
        <v>42</v>
      </c>
      <c r="C19" s="13" t="s">
        <v>43</v>
      </c>
      <c r="D19" s="13" t="s">
        <v>40</v>
      </c>
      <c r="E19" s="29">
        <v>2500</v>
      </c>
      <c r="F19" s="19">
        <v>2508.1224999999999</v>
      </c>
      <c r="G19" s="30">
        <v>7.4899999999999994E-2</v>
      </c>
      <c r="H19" s="31">
        <v>7.4315000000000006E-2</v>
      </c>
      <c r="I19" s="21"/>
      <c r="J19" s="3"/>
    </row>
    <row r="20" spans="1:10" ht="13.15" customHeight="1">
      <c r="A20" s="16" t="s">
        <v>44</v>
      </c>
      <c r="B20" s="17" t="s">
        <v>45</v>
      </c>
      <c r="C20" s="13" t="s">
        <v>46</v>
      </c>
      <c r="D20" s="13" t="s">
        <v>40</v>
      </c>
      <c r="E20" s="29">
        <v>2500</v>
      </c>
      <c r="F20" s="19">
        <v>2507.7024999999999</v>
      </c>
      <c r="G20" s="30">
        <v>7.4899999999999994E-2</v>
      </c>
      <c r="H20" s="31">
        <v>7.4700000000000003E-2</v>
      </c>
      <c r="I20" s="21"/>
      <c r="J20" s="3"/>
    </row>
    <row r="21" spans="1:10" ht="13.15" customHeight="1">
      <c r="A21" s="16" t="s">
        <v>47</v>
      </c>
      <c r="B21" s="17" t="s">
        <v>48</v>
      </c>
      <c r="C21" s="13" t="s">
        <v>49</v>
      </c>
      <c r="D21" s="13" t="s">
        <v>40</v>
      </c>
      <c r="E21" s="29">
        <v>2400</v>
      </c>
      <c r="F21" s="19">
        <v>2413.4520000000002</v>
      </c>
      <c r="G21" s="30">
        <v>7.2099999999999997E-2</v>
      </c>
      <c r="H21" s="31">
        <v>7.714E-2</v>
      </c>
      <c r="I21" s="21"/>
      <c r="J21" s="3"/>
    </row>
    <row r="22" spans="1:10" ht="13.15" customHeight="1">
      <c r="A22" s="16" t="s">
        <v>50</v>
      </c>
      <c r="B22" s="17" t="s">
        <v>51</v>
      </c>
      <c r="C22" s="13" t="s">
        <v>52</v>
      </c>
      <c r="D22" s="13" t="s">
        <v>33</v>
      </c>
      <c r="E22" s="29">
        <v>2000000</v>
      </c>
      <c r="F22" s="19">
        <v>2031.9380000000001</v>
      </c>
      <c r="G22" s="30">
        <v>6.0699999999999997E-2</v>
      </c>
      <c r="H22" s="31">
        <v>7.0397000000000001E-2</v>
      </c>
      <c r="I22" s="21"/>
      <c r="J22" s="3"/>
    </row>
    <row r="23" spans="1:10" ht="13.15" customHeight="1">
      <c r="A23" s="16" t="s">
        <v>53</v>
      </c>
      <c r="B23" s="17" t="s">
        <v>54</v>
      </c>
      <c r="C23" s="13" t="s">
        <v>55</v>
      </c>
      <c r="D23" s="13" t="s">
        <v>33</v>
      </c>
      <c r="E23" s="29">
        <v>2000000</v>
      </c>
      <c r="F23" s="19">
        <v>2030.5440000000001</v>
      </c>
      <c r="G23" s="30">
        <v>6.0600000000000001E-2</v>
      </c>
      <c r="H23" s="31">
        <v>7.1516999999999997E-2</v>
      </c>
      <c r="I23" s="21"/>
      <c r="J23" s="3"/>
    </row>
    <row r="24" spans="1:10" ht="13.15" customHeight="1">
      <c r="A24" s="16" t="s">
        <v>56</v>
      </c>
      <c r="B24" s="17" t="s">
        <v>57</v>
      </c>
      <c r="C24" s="13" t="s">
        <v>58</v>
      </c>
      <c r="D24" s="13" t="s">
        <v>40</v>
      </c>
      <c r="E24" s="29">
        <v>2000</v>
      </c>
      <c r="F24" s="19">
        <v>2009.6379999999999</v>
      </c>
      <c r="G24" s="30">
        <v>0.06</v>
      </c>
      <c r="H24" s="31">
        <v>7.8600000000000003E-2</v>
      </c>
      <c r="I24" s="21"/>
      <c r="J24" s="3"/>
    </row>
    <row r="25" spans="1:10" ht="13.15" customHeight="1">
      <c r="A25" s="16" t="s">
        <v>59</v>
      </c>
      <c r="B25" s="17" t="s">
        <v>60</v>
      </c>
      <c r="C25" s="13" t="s">
        <v>61</v>
      </c>
      <c r="D25" s="13" t="s">
        <v>40</v>
      </c>
      <c r="E25" s="29">
        <v>200</v>
      </c>
      <c r="F25" s="19">
        <v>2004.7719999999999</v>
      </c>
      <c r="G25" s="30">
        <v>5.9900000000000002E-2</v>
      </c>
      <c r="H25" s="31">
        <v>7.8049999999999994E-2</v>
      </c>
      <c r="I25" s="21"/>
      <c r="J25" s="3"/>
    </row>
    <row r="26" spans="1:10" ht="13.15" customHeight="1">
      <c r="A26" s="16" t="s">
        <v>62</v>
      </c>
      <c r="B26" s="17" t="s">
        <v>63</v>
      </c>
      <c r="C26" s="13" t="s">
        <v>64</v>
      </c>
      <c r="D26" s="13" t="s">
        <v>40</v>
      </c>
      <c r="E26" s="29">
        <v>200</v>
      </c>
      <c r="F26" s="19">
        <v>1928.2339999999999</v>
      </c>
      <c r="G26" s="30">
        <v>5.7599999999999998E-2</v>
      </c>
      <c r="H26" s="31">
        <v>7.8700000000000006E-2</v>
      </c>
      <c r="I26" s="21"/>
      <c r="J26" s="3"/>
    </row>
    <row r="27" spans="1:10" ht="13.15" customHeight="1">
      <c r="A27" s="3"/>
      <c r="B27" s="12" t="s">
        <v>26</v>
      </c>
      <c r="C27" s="13"/>
      <c r="D27" s="13"/>
      <c r="E27" s="13"/>
      <c r="F27" s="22">
        <v>26414.675500000001</v>
      </c>
      <c r="G27" s="23">
        <v>0.78869999999999996</v>
      </c>
      <c r="H27" s="24"/>
      <c r="I27" s="25"/>
      <c r="J27" s="3"/>
    </row>
    <row r="28" spans="1:10" ht="13.15" customHeight="1">
      <c r="A28" s="3"/>
      <c r="B28" s="26" t="s">
        <v>65</v>
      </c>
      <c r="C28" s="28"/>
      <c r="D28" s="28"/>
      <c r="E28" s="28"/>
      <c r="F28" s="24" t="s">
        <v>66</v>
      </c>
      <c r="G28" s="24" t="s">
        <v>66</v>
      </c>
      <c r="H28" s="24"/>
      <c r="I28" s="25"/>
      <c r="J28" s="3"/>
    </row>
    <row r="29" spans="1:10" ht="13.15" customHeight="1">
      <c r="A29" s="3"/>
      <c r="B29" s="26" t="s">
        <v>26</v>
      </c>
      <c r="C29" s="28"/>
      <c r="D29" s="28"/>
      <c r="E29" s="28"/>
      <c r="F29" s="24" t="s">
        <v>66</v>
      </c>
      <c r="G29" s="24" t="s">
        <v>66</v>
      </c>
      <c r="H29" s="24"/>
      <c r="I29" s="25"/>
      <c r="J29" s="3"/>
    </row>
    <row r="30" spans="1:10" ht="13.15" customHeight="1">
      <c r="A30" s="3"/>
      <c r="B30" s="12" t="s">
        <v>67</v>
      </c>
      <c r="C30" s="13"/>
      <c r="D30" s="13"/>
      <c r="E30" s="13"/>
      <c r="F30" s="3"/>
      <c r="G30" s="14"/>
      <c r="H30" s="14"/>
      <c r="I30" s="15"/>
      <c r="J30" s="3"/>
    </row>
    <row r="31" spans="1:10" ht="13.15" customHeight="1">
      <c r="A31" s="16" t="s">
        <v>68</v>
      </c>
      <c r="B31" s="17" t="s">
        <v>69</v>
      </c>
      <c r="C31" s="13" t="s">
        <v>70</v>
      </c>
      <c r="D31" s="13" t="s">
        <v>71</v>
      </c>
      <c r="E31" s="29">
        <v>6</v>
      </c>
      <c r="F31" s="19">
        <v>533.22889999999995</v>
      </c>
      <c r="G31" s="30">
        <v>1.5900000000000001E-2</v>
      </c>
      <c r="H31" s="31">
        <v>7.7209E-2</v>
      </c>
      <c r="I31" s="21"/>
      <c r="J31" s="3"/>
    </row>
    <row r="32" spans="1:10" ht="13.15" customHeight="1">
      <c r="A32" s="3"/>
      <c r="B32" s="12" t="s">
        <v>26</v>
      </c>
      <c r="C32" s="13"/>
      <c r="D32" s="13"/>
      <c r="E32" s="13"/>
      <c r="F32" s="22">
        <v>533.22889999999995</v>
      </c>
      <c r="G32" s="23">
        <v>1.5900000000000001E-2</v>
      </c>
      <c r="H32" s="24"/>
      <c r="I32" s="25"/>
      <c r="J32" s="3"/>
    </row>
    <row r="33" spans="1:10" ht="13.15" customHeight="1">
      <c r="A33" s="3"/>
      <c r="B33" s="26" t="s">
        <v>27</v>
      </c>
      <c r="C33" s="27"/>
      <c r="D33" s="28"/>
      <c r="E33" s="27"/>
      <c r="F33" s="22">
        <v>26947.904399999999</v>
      </c>
      <c r="G33" s="23">
        <v>0.80459999999999998</v>
      </c>
      <c r="H33" s="24"/>
      <c r="I33" s="25"/>
      <c r="J33" s="3"/>
    </row>
    <row r="34" spans="1:10" ht="13.15" customHeight="1">
      <c r="A34" s="3"/>
      <c r="B34" s="12" t="s">
        <v>72</v>
      </c>
      <c r="C34" s="13"/>
      <c r="D34" s="13"/>
      <c r="E34" s="13"/>
      <c r="F34" s="13"/>
      <c r="G34" s="13"/>
      <c r="H34" s="14"/>
      <c r="I34" s="15"/>
      <c r="J34" s="3"/>
    </row>
    <row r="35" spans="1:10" ht="13.15" customHeight="1">
      <c r="A35" s="3"/>
      <c r="B35" s="12" t="s">
        <v>73</v>
      </c>
      <c r="C35" s="13"/>
      <c r="D35" s="13"/>
      <c r="E35" s="13"/>
      <c r="F35" s="3"/>
      <c r="G35" s="14"/>
      <c r="H35" s="14"/>
      <c r="I35" s="15"/>
      <c r="J35" s="3"/>
    </row>
    <row r="36" spans="1:10" ht="13.15" customHeight="1">
      <c r="A36" s="16" t="s">
        <v>74</v>
      </c>
      <c r="B36" s="17" t="s">
        <v>75</v>
      </c>
      <c r="C36" s="13" t="s">
        <v>76</v>
      </c>
      <c r="D36" s="13" t="s">
        <v>77</v>
      </c>
      <c r="E36" s="29">
        <v>500</v>
      </c>
      <c r="F36" s="19">
        <v>2366.2199999999998</v>
      </c>
      <c r="G36" s="30">
        <v>7.0699999999999999E-2</v>
      </c>
      <c r="H36" s="31">
        <v>7.3701000000000003E-2</v>
      </c>
      <c r="I36" s="21"/>
      <c r="J36" s="3"/>
    </row>
    <row r="37" spans="1:10" ht="13.15" customHeight="1">
      <c r="A37" s="3"/>
      <c r="B37" s="12" t="s">
        <v>26</v>
      </c>
      <c r="C37" s="13"/>
      <c r="D37" s="13"/>
      <c r="E37" s="13"/>
      <c r="F37" s="22">
        <v>2366.2199999999998</v>
      </c>
      <c r="G37" s="23">
        <v>7.0699999999999999E-2</v>
      </c>
      <c r="H37" s="24"/>
      <c r="I37" s="25"/>
      <c r="J37" s="3"/>
    </row>
    <row r="38" spans="1:10" ht="13.15" customHeight="1">
      <c r="A38" s="3"/>
      <c r="B38" s="12" t="s">
        <v>78</v>
      </c>
      <c r="C38" s="13"/>
      <c r="D38" s="13"/>
      <c r="E38" s="13"/>
      <c r="F38" s="3"/>
      <c r="G38" s="14"/>
      <c r="H38" s="14"/>
      <c r="I38" s="15"/>
      <c r="J38" s="3"/>
    </row>
    <row r="39" spans="1:10" ht="13.15" customHeight="1">
      <c r="A39" s="16" t="s">
        <v>79</v>
      </c>
      <c r="B39" s="17" t="s">
        <v>80</v>
      </c>
      <c r="C39" s="13" t="s">
        <v>81</v>
      </c>
      <c r="D39" s="13" t="s">
        <v>33</v>
      </c>
      <c r="E39" s="29">
        <v>3500000</v>
      </c>
      <c r="F39" s="19">
        <v>3441.991</v>
      </c>
      <c r="G39" s="30">
        <v>0.1028</v>
      </c>
      <c r="H39" s="31">
        <v>6.7599999999999993E-2</v>
      </c>
      <c r="I39" s="21"/>
      <c r="J39" s="3"/>
    </row>
    <row r="40" spans="1:10" ht="13.15" customHeight="1">
      <c r="A40" s="3"/>
      <c r="B40" s="12" t="s">
        <v>26</v>
      </c>
      <c r="C40" s="13"/>
      <c r="D40" s="13"/>
      <c r="E40" s="13"/>
      <c r="F40" s="22">
        <v>3441.991</v>
      </c>
      <c r="G40" s="23">
        <v>0.1028</v>
      </c>
      <c r="H40" s="24"/>
      <c r="I40" s="25"/>
      <c r="J40" s="3"/>
    </row>
    <row r="41" spans="1:10" ht="13.15" customHeight="1">
      <c r="A41" s="3"/>
      <c r="B41" s="26" t="s">
        <v>27</v>
      </c>
      <c r="C41" s="27"/>
      <c r="D41" s="28"/>
      <c r="E41" s="27"/>
      <c r="F41" s="22">
        <v>5808.2110000000002</v>
      </c>
      <c r="G41" s="23">
        <v>0.1734</v>
      </c>
      <c r="H41" s="24"/>
      <c r="I41" s="25"/>
      <c r="J41" s="3"/>
    </row>
    <row r="42" spans="1:10" ht="13.15" customHeight="1">
      <c r="A42" s="3"/>
      <c r="B42" s="12" t="s">
        <v>82</v>
      </c>
      <c r="C42" s="13"/>
      <c r="D42" s="13"/>
      <c r="E42" s="13"/>
      <c r="F42" s="13"/>
      <c r="G42" s="13"/>
      <c r="H42" s="14"/>
      <c r="I42" s="15"/>
      <c r="J42" s="3"/>
    </row>
    <row r="43" spans="1:10" ht="13.15" customHeight="1">
      <c r="A43" s="16" t="s">
        <v>83</v>
      </c>
      <c r="B43" s="17" t="s">
        <v>84</v>
      </c>
      <c r="C43" s="13"/>
      <c r="D43" s="13"/>
      <c r="E43" s="29"/>
      <c r="F43" s="19">
        <v>4634.66</v>
      </c>
      <c r="G43" s="30">
        <v>0.1384</v>
      </c>
      <c r="H43" s="31">
        <v>6.2541234491025471E-2</v>
      </c>
      <c r="I43" s="21"/>
      <c r="J43" s="3"/>
    </row>
    <row r="44" spans="1:10" ht="13.15" customHeight="1">
      <c r="A44" s="3"/>
      <c r="B44" s="12" t="s">
        <v>26</v>
      </c>
      <c r="C44" s="13"/>
      <c r="D44" s="13"/>
      <c r="E44" s="13"/>
      <c r="F44" s="22">
        <v>4634.66</v>
      </c>
      <c r="G44" s="23">
        <v>0.1384</v>
      </c>
      <c r="H44" s="24"/>
      <c r="I44" s="25"/>
      <c r="J44" s="3"/>
    </row>
    <row r="45" spans="1:10" ht="13.15" customHeight="1">
      <c r="A45" s="3"/>
      <c r="B45" s="26" t="s">
        <v>27</v>
      </c>
      <c r="C45" s="27"/>
      <c r="D45" s="28"/>
      <c r="E45" s="27"/>
      <c r="F45" s="22">
        <v>4634.66</v>
      </c>
      <c r="G45" s="23">
        <v>0.1384</v>
      </c>
      <c r="H45" s="24"/>
      <c r="I45" s="25"/>
      <c r="J45" s="3"/>
    </row>
    <row r="46" spans="1:10" ht="13.15" customHeight="1">
      <c r="A46" s="3"/>
      <c r="B46" s="26" t="s">
        <v>85</v>
      </c>
      <c r="C46" s="13"/>
      <c r="D46" s="28"/>
      <c r="E46" s="13"/>
      <c r="F46" s="32">
        <v>-3897.5353999999952</v>
      </c>
      <c r="G46" s="23">
        <v>-0.11633799999999994</v>
      </c>
      <c r="H46" s="24"/>
      <c r="I46" s="25"/>
      <c r="J46" s="3"/>
    </row>
    <row r="47" spans="1:10" ht="13.15" customHeight="1" thickBot="1">
      <c r="A47" s="3"/>
      <c r="B47" s="33" t="s">
        <v>86</v>
      </c>
      <c r="C47" s="34"/>
      <c r="D47" s="34"/>
      <c r="E47" s="34"/>
      <c r="F47" s="35">
        <v>33491.160000000003</v>
      </c>
      <c r="G47" s="36">
        <v>1</v>
      </c>
      <c r="H47" s="37"/>
      <c r="I47" s="38"/>
      <c r="J47" s="3"/>
    </row>
    <row r="48" spans="1:10" ht="13.1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3.15" customHeight="1">
      <c r="A49" s="3"/>
      <c r="B49" s="2" t="s">
        <v>87</v>
      </c>
      <c r="C49" s="3"/>
      <c r="D49" s="3"/>
      <c r="E49" s="3"/>
      <c r="F49" s="3"/>
      <c r="G49" s="3"/>
      <c r="H49" s="3"/>
      <c r="I49" s="3"/>
      <c r="J49" s="3"/>
    </row>
    <row r="50" spans="1:10" ht="13.15" customHeight="1">
      <c r="A50" s="3"/>
      <c r="B50" s="2" t="s">
        <v>88</v>
      </c>
      <c r="C50" s="3"/>
      <c r="D50" s="3"/>
      <c r="E50" s="3"/>
      <c r="F50" s="3"/>
      <c r="G50" s="3"/>
      <c r="H50" s="3"/>
      <c r="I50" s="3"/>
      <c r="J50" s="3"/>
    </row>
    <row r="51" spans="1:10" ht="13.15" customHeight="1">
      <c r="A51" s="3"/>
      <c r="B51" s="2" t="s">
        <v>89</v>
      </c>
      <c r="C51" s="3"/>
      <c r="D51" s="3"/>
      <c r="E51" s="3"/>
      <c r="F51" s="3"/>
      <c r="G51" s="3"/>
      <c r="H51" s="3"/>
      <c r="I51" s="3"/>
      <c r="J51" s="3"/>
    </row>
    <row r="52" spans="1:10" ht="13.15" customHeight="1">
      <c r="A52" s="3"/>
      <c r="B52" s="2" t="s">
        <v>90</v>
      </c>
      <c r="C52" s="3"/>
      <c r="D52" s="3"/>
      <c r="E52" s="3"/>
      <c r="F52" s="3"/>
      <c r="G52" s="3"/>
      <c r="H52" s="3"/>
      <c r="I52" s="3"/>
      <c r="J52" s="3"/>
    </row>
    <row r="53" spans="1:10" ht="25.9" customHeight="1">
      <c r="A53" s="3"/>
      <c r="B53" s="39" t="s">
        <v>91</v>
      </c>
      <c r="C53" s="39"/>
      <c r="D53" s="39"/>
      <c r="E53" s="39"/>
      <c r="F53" s="39"/>
      <c r="G53" s="39"/>
      <c r="H53" s="39"/>
      <c r="I53" s="39"/>
      <c r="J53" s="3"/>
    </row>
    <row r="54" spans="1:10" ht="13.15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3.15" customHeight="1">
      <c r="A55" s="3"/>
      <c r="B55" s="39"/>
      <c r="C55" s="39"/>
      <c r="D55" s="39"/>
      <c r="E55" s="39"/>
      <c r="F55" s="39"/>
      <c r="G55" s="39"/>
      <c r="H55" s="39"/>
      <c r="I55" s="39"/>
      <c r="J55" s="3"/>
    </row>
    <row r="56" spans="1:10" ht="13.15" customHeight="1">
      <c r="A56" s="3"/>
      <c r="B56" s="3"/>
      <c r="C56" s="40" t="s">
        <v>92</v>
      </c>
      <c r="D56" s="40"/>
      <c r="E56" s="40"/>
      <c r="F56" s="40"/>
      <c r="G56" s="3"/>
      <c r="H56" s="3"/>
      <c r="I56" s="3"/>
      <c r="J56" s="3"/>
    </row>
    <row r="57" spans="1:10" ht="13.15" customHeight="1">
      <c r="A57" s="3"/>
      <c r="B57" s="41" t="s">
        <v>93</v>
      </c>
      <c r="C57" s="40" t="s">
        <v>94</v>
      </c>
      <c r="D57" s="40"/>
      <c r="E57" s="40"/>
      <c r="F57" s="40"/>
      <c r="G57" s="3"/>
      <c r="H57" s="3"/>
      <c r="I57" s="3"/>
      <c r="J57" s="3"/>
    </row>
    <row r="58" spans="1:10" ht="121.15" customHeight="1">
      <c r="A58" s="3"/>
      <c r="B58" s="3"/>
      <c r="C58" s="42"/>
      <c r="D58" s="42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FloaterFund" display="AXISFLO" xr:uid="{D42A3CDF-1FA5-477C-BB74-23686B349B7D}"/>
    <hyperlink ref="B1" location="AxisFloaterFund" display="Axis Floater Fund" xr:uid="{ADC0CFC9-AED0-4CE0-93AB-AFCE2F1F9507}"/>
  </hyperlink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2023-06-05T20:11:47Z</dcterms:created>
  <dcterms:modified xsi:type="dcterms:W3CDTF">2023-06-05T20:11:48Z</dcterms:modified>
</cp:coreProperties>
</file>