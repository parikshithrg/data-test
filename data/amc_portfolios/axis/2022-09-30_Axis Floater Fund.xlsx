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FLO" sheetId="1" r:id="rId1"/>
  </sheets>
  <definedNames>
    <definedName name="JR_PAGE_ANCHOR_0_21">AXISFLO!$A$2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21" i="1" s="1"/>
</calcChain>
</file>

<file path=xl/sharedStrings.xml><?xml version="1.0" encoding="utf-8"?>
<sst xmlns="http://schemas.openxmlformats.org/spreadsheetml/2006/main" count="94" uniqueCount="75">
  <si>
    <t>AXISFLO</t>
  </si>
  <si>
    <t>Axis Floater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</si>
  <si>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</si>
  <si>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</si>
  <si>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</si>
  <si>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</si>
  <si>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</si>
  <si>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</si>
  <si>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</si>
  <si>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</si>
  <si>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</si>
  <si>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</si>
  <si>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</si>
  <si>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</si>
  <si>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</si>
  <si>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IRS620861FX</t>
  </si>
  <si>
    <t>Interest Rate Swaps Pay Fix Receive Floating - HSBC Bank (13/10/2022) (FV 2500 lacs)</t>
  </si>
  <si>
    <t>IRS845384FX</t>
  </si>
  <si>
    <t>Interest Rate Swaps Pay Fix Receive Floatin - ICICI Bank (01/11/2022) (FV 2500 lacs)</t>
  </si>
  <si>
    <t>IRS843526FX</t>
  </si>
  <si>
    <t>Interest Rate Swaps Pay Fix Receive Floating - ICSECPD (29/10/2022) (FV 2500 lacs)</t>
  </si>
  <si>
    <t>IRS862601FX</t>
  </si>
  <si>
    <t>Interest Rate Swaps Pay Fix Receive Floating - ICSECPD (25/11/2022) (FV 1500 lacs)</t>
  </si>
  <si>
    <t>IRS862603FX</t>
  </si>
  <si>
    <t>Interest Rate Swaps Pay Fix Receive Floating - AXIS Bank (25/11/2022) (FV 1500 lacs)</t>
  </si>
  <si>
    <t>IRS880075FX</t>
  </si>
  <si>
    <t>Interest Rate Swaps Receive Floating Pay Fix - ICSECPD (21/11/2022) (FV 2500 lacs)</t>
  </si>
  <si>
    <t>IRS828416FX</t>
  </si>
  <si>
    <t>Interest Rate Swaps Pay Fix Receive Floatin - AXIS Bank (13/10/2022) (FV 2500 lacs)</t>
  </si>
  <si>
    <t>IRS886973FX</t>
  </si>
  <si>
    <t>Interest Rate Swaps Pay Fix Receive Floating - IDFC Bank (29/10/2022) (FV 5000 lacs)</t>
  </si>
  <si>
    <t>IRS866525FX</t>
  </si>
  <si>
    <t>Interest Rate Swaps Pay Fix Receive Floating - HSBC Bank (03/10/2022) (FV 4000 lacs)</t>
  </si>
  <si>
    <t>IRS866533FX</t>
  </si>
  <si>
    <t>Interest Rate Swaps Pay Fix Receive Floating - ICICI Bank (03/10/2022) (FV 4000 lacs)</t>
  </si>
  <si>
    <t>IRS866517FX</t>
  </si>
  <si>
    <t>Interest Rate Swaps Pay Fix Receive Floating - IDFC Bank (03/10/2022) (FV 1500 lacs)</t>
  </si>
  <si>
    <t>IRS888136FX</t>
  </si>
  <si>
    <t>Interest Rate Swaps Pay Fix Receive Floating - AXIS Bank (30/10/2022) (FV 2500 lacs)</t>
  </si>
  <si>
    <t>Sub Total</t>
  </si>
  <si>
    <t>Total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</si>
  <si>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</si>
  <si>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</si>
  <si>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</si>
  <si>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</si>
  <si>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</si>
  <si>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</si>
  <si>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GOI3639</t>
  </si>
  <si>
    <t>5.74% Government of India (15/11/2026)</t>
  </si>
  <si>
    <t>IN0020210186</t>
  </si>
  <si>
    <t>GOI1430</t>
  </si>
  <si>
    <t>7.59% Government of India (11/01/2026)</t>
  </si>
  <si>
    <t>IN0020150093</t>
  </si>
  <si>
    <t>GOI2936</t>
  </si>
  <si>
    <t>4.7% Government of India (22/09/2033)</t>
  </si>
  <si>
    <t>IN0020200120</t>
  </si>
  <si>
    <t>GOI1400</t>
  </si>
  <si>
    <t>8.15% State Government Securities (13/11/2025)</t>
  </si>
  <si>
    <t>IN3120150138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</si>
  <si>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</si>
  <si>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</si>
  <si>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</si>
  <si>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</si>
  <si>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</si>
  <si>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</si>
  <si>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</si>
  <si>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</si>
  <si>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</si>
  <si>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</si>
  <si>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</si>
  <si>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</si>
  <si>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6,369.65 Lakhs.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</si>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</sst>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3" fontId="6" fillId="0" borderId="2" xfId="0" applyNumberFormat="1" applyFont="1" applyFill="1" applyBorder="1" applyAlignment="1">
      <alignment horizontal="right" vertical="top" wrapText="1"/>
    </xf>
    <xf numFmtId="164" fontId="6" fillId="0" borderId="2" xfId="0" applyNumberFormat="1" applyFont="1" applyFill="1" applyBorder="1" applyAlignment="1">
      <alignment horizontal="right" vertical="top" wrapText="1"/>
    </xf>
    <xf numFmtId="165" fontId="6" fillId="0" borderId="2" xfId="0" applyNumberFormat="1" applyFont="1" applyFill="1" applyBorder="1" applyAlignment="1">
      <alignment horizontal="right" vertical="top" wrapText="1"/>
    </xf>
    <xf numFmtId="166" fontId="6" fillId="0" borderId="2" xfId="0" applyNumberFormat="1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right" vertical="top" wrapText="1"/>
    </xf>
    <xf numFmtId="0" fontId="5" fillId="0" borderId="2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right" vertical="top" wrapText="1"/>
    </xf>
    <xf numFmtId="165" fontId="5" fillId="0" borderId="1" xfId="0" applyNumberFormat="1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50</xdr:row>
      <xdr:rowOff>0</xdr:rowOff>
    </xdr:from>
    <xdr:to>
      <xdr:col>3</xdr:col>
      <xdr:colOff>1117600</xdr:colOff>
      <xdr:row>57</xdr:row>
      <xdr:rowOff>120015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D41B6-A8A0-4CA4-87AD-A22A9FC13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0058400"/>
          <a:ext cx="2832100" cy="13868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1117600</xdr:colOff>
      <xdr:row>57</xdr:row>
      <xdr:rowOff>174625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0A320-368D-41D3-A19C-D93881AB0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0058400"/>
          <a:ext cx="2832100" cy="1441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57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20B667-8B47-4D90-82B0-0473E3C3B1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0058400"/>
          <a:ext cx="2857500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9" t="s">
        <v>16</v>
      </c>
      <c r="C8" s="19"/>
      <c r="D8" s="19"/>
      <c r="E8" s="20"/>
      <c r="F8" s="21">
        <v>1.86</v>
      </c>
      <c r="G8" s="22">
        <v>1E-4</v>
      </c>
      <c r="H8" s="23"/>
      <c r="I8" s="24"/>
      <c r="J8" s="8"/>
    </row>
    <row r="9" spans="1:10" ht="15" customHeight="1">
      <c r="A9" s="18" t="s">
        <v>17</v>
      </c>
      <c r="B9" s="19" t="s">
        <v>18</v>
      </c>
      <c r="C9" s="19"/>
      <c r="D9" s="19"/>
      <c r="E9" s="20"/>
      <c r="F9" s="21">
        <v>1.41</v>
      </c>
      <c r="G9" s="22">
        <v>0</v>
      </c>
      <c r="H9" s="23"/>
      <c r="I9" s="24"/>
      <c r="J9" s="8"/>
    </row>
    <row r="10" spans="1:10" ht="15" customHeight="1">
      <c r="A10" s="18" t="s">
        <v>19</v>
      </c>
      <c r="B10" s="19" t="s">
        <v>20</v>
      </c>
      <c r="C10" s="19"/>
      <c r="D10" s="19"/>
      <c r="E10" s="20"/>
      <c r="F10" s="21">
        <v>1.27</v>
      </c>
      <c r="G10" s="22">
        <v>0</v>
      </c>
      <c r="H10" s="23"/>
      <c r="I10" s="24"/>
      <c r="J10" s="8"/>
    </row>
    <row r="11" spans="1:10" ht="15" customHeight="1">
      <c r="A11" s="18" t="s">
        <v>21</v>
      </c>
      <c r="B11" s="19" t="s">
        <v>22</v>
      </c>
      <c r="C11" s="19"/>
      <c r="D11" s="19"/>
      <c r="E11" s="20"/>
      <c r="F11" s="21">
        <v>1.2</v>
      </c>
      <c r="G11" s="22">
        <v>0</v>
      </c>
      <c r="H11" s="23"/>
      <c r="I11" s="24"/>
      <c r="J11" s="8"/>
    </row>
    <row r="12" spans="1:10" ht="15" customHeight="1">
      <c r="A12" s="18" t="s">
        <v>23</v>
      </c>
      <c r="B12" s="19" t="s">
        <v>24</v>
      </c>
      <c r="C12" s="19"/>
      <c r="D12" s="19"/>
      <c r="E12" s="20"/>
      <c r="F12" s="21">
        <v>1.18</v>
      </c>
      <c r="G12" s="22">
        <v>0</v>
      </c>
      <c r="H12" s="23"/>
      <c r="I12" s="24"/>
      <c r="J12" s="8"/>
    </row>
    <row r="13" spans="1:10" ht="15" customHeight="1">
      <c r="A13" s="18" t="s">
        <v>25</v>
      </c>
      <c r="B13" s="19" t="s">
        <v>26</v>
      </c>
      <c r="C13" s="19"/>
      <c r="D13" s="19"/>
      <c r="E13" s="20"/>
      <c r="F13" s="21">
        <v>0.86</v>
      </c>
      <c r="G13" s="22">
        <v>0</v>
      </c>
      <c r="H13" s="23"/>
      <c r="I13" s="24"/>
      <c r="J13" s="8"/>
    </row>
    <row r="14" spans="1:10" ht="15" customHeight="1">
      <c r="A14" s="18" t="s">
        <v>27</v>
      </c>
      <c r="B14" s="19" t="s">
        <v>28</v>
      </c>
      <c r="C14" s="19"/>
      <c r="D14" s="19"/>
      <c r="E14" s="20"/>
      <c r="F14" s="21">
        <v>0.67</v>
      </c>
      <c r="G14" s="22">
        <v>0</v>
      </c>
      <c r="H14" s="23"/>
      <c r="I14" s="24"/>
      <c r="J14" s="8"/>
    </row>
    <row r="15" spans="1:10" ht="15" customHeight="1">
      <c r="A15" s="18" t="s">
        <v>29</v>
      </c>
      <c r="B15" s="19" t="s">
        <v>30</v>
      </c>
      <c r="C15" s="19"/>
      <c r="D15" s="19"/>
      <c r="E15" s="20"/>
      <c r="F15" s="21">
        <v>0.18</v>
      </c>
      <c r="G15" s="22">
        <v>0</v>
      </c>
      <c r="H15" s="23"/>
      <c r="I15" s="24"/>
      <c r="J15" s="8"/>
    </row>
    <row r="16" spans="1:10" ht="15" customHeight="1">
      <c r="A16" s="18" t="s">
        <v>31</v>
      </c>
      <c r="B16" s="19" t="s">
        <v>32</v>
      </c>
      <c r="C16" s="19"/>
      <c r="D16" s="19"/>
      <c r="E16" s="20"/>
      <c r="F16" s="21">
        <v>0.16</v>
      </c>
      <c r="G16" s="22">
        <v>0</v>
      </c>
      <c r="H16" s="23"/>
      <c r="I16" s="24"/>
      <c r="J16" s="8"/>
    </row>
    <row r="17" spans="1:10" ht="15" customHeight="1">
      <c r="A17" s="18" t="s">
        <v>33</v>
      </c>
      <c r="B17" s="19" t="s">
        <v>34</v>
      </c>
      <c r="C17" s="19"/>
      <c r="D17" s="19"/>
      <c r="E17" s="20"/>
      <c r="F17" s="21">
        <v>0.16</v>
      </c>
      <c r="G17" s="22">
        <v>0</v>
      </c>
      <c r="H17" s="23"/>
      <c r="I17" s="24"/>
      <c r="J17" s="8"/>
    </row>
    <row r="18" spans="1:10" ht="15" customHeight="1">
      <c r="A18" s="18" t="s">
        <v>35</v>
      </c>
      <c r="B18" s="19" t="s">
        <v>36</v>
      </c>
      <c r="C18" s="19"/>
      <c r="D18" s="19"/>
      <c r="E18" s="20"/>
      <c r="F18" s="21">
        <v>0.06</v>
      </c>
      <c r="G18" s="22">
        <v>0</v>
      </c>
      <c r="H18" s="23"/>
      <c r="I18" s="24"/>
      <c r="J18" s="8"/>
    </row>
    <row r="19" spans="1:10" ht="15" customHeight="1">
      <c r="A19" s="18" t="s">
        <v>37</v>
      </c>
      <c r="B19" s="19" t="s">
        <v>38</v>
      </c>
      <c r="C19" s="19"/>
      <c r="D19" s="19"/>
      <c r="E19" s="20"/>
      <c r="F19" s="21">
        <v>-0.1</v>
      </c>
      <c r="G19" s="22">
        <v>0</v>
      </c>
      <c r="H19" s="23"/>
      <c r="I19" s="24"/>
      <c r="J19" s="8"/>
    </row>
    <row r="20" spans="1:10" ht="15" customHeight="1">
      <c r="A20" s="8"/>
      <c r="B20" s="25" t="s">
        <v>39</v>
      </c>
      <c r="C20" s="19"/>
      <c r="D20" s="19"/>
      <c r="E20" s="19"/>
      <c r="F20" s="26">
        <f>SUM(F8:F19)</f>
        <v>8.9100000000000019</v>
      </c>
      <c r="G20" s="27">
        <v>1E-4</v>
      </c>
      <c r="H20" s="28"/>
      <c r="I20" s="28"/>
      <c r="J20" s="8"/>
    </row>
    <row r="21" spans="1:10" ht="15" customHeight="1">
      <c r="A21" s="8"/>
      <c r="B21" s="29" t="s">
        <v>40</v>
      </c>
      <c r="C21" s="30"/>
      <c r="D21" s="30"/>
      <c r="E21" s="30"/>
      <c r="F21" s="26">
        <f>F20</f>
        <v>8.9100000000000019</v>
      </c>
      <c r="G21" s="27">
        <v>1E-4</v>
      </c>
      <c r="H21" s="28"/>
      <c r="I21" s="28"/>
      <c r="J21" s="8"/>
    </row>
    <row r="22" spans="1:10" ht="15" customHeight="1">
      <c r="A22" s="8"/>
      <c r="B22" s="14" t="s">
        <v>41</v>
      </c>
      <c r="C22" s="15"/>
      <c r="D22" s="15"/>
      <c r="E22" s="15"/>
      <c r="F22" s="15"/>
      <c r="G22" s="15"/>
      <c r="H22" s="16"/>
      <c r="I22" s="16"/>
      <c r="J22" s="8"/>
    </row>
    <row r="23" spans="1:10" ht="15" customHeight="1">
      <c r="A23" s="8"/>
      <c r="B23" s="14" t="s">
        <v>42</v>
      </c>
      <c r="C23" s="15"/>
      <c r="D23" s="15"/>
      <c r="E23" s="15"/>
      <c r="F23" s="17"/>
      <c r="G23" s="16"/>
      <c r="H23" s="16"/>
      <c r="I23" s="16"/>
      <c r="J23" s="8"/>
    </row>
    <row r="24" spans="1:10" ht="15" customHeight="1">
      <c r="A24" s="18" t="s">
        <v>43</v>
      </c>
      <c r="B24" s="15" t="s">
        <v>44</v>
      </c>
      <c r="C24" s="15" t="s">
        <v>45</v>
      </c>
      <c r="D24" s="15" t="s">
        <v>46</v>
      </c>
      <c r="E24" s="31">
        <v>23000000</v>
      </c>
      <c r="F24" s="32">
        <v>21869.3</v>
      </c>
      <c r="G24" s="33">
        <v>0.31419999999999998</v>
      </c>
      <c r="H24" s="34">
        <v>7.2317000000000006E-2</v>
      </c>
      <c r="I24" s="35"/>
      <c r="J24" s="8"/>
    </row>
    <row r="25" spans="1:10" ht="15" customHeight="1">
      <c r="A25" s="18" t="s">
        <v>47</v>
      </c>
      <c r="B25" s="15" t="s">
        <v>48</v>
      </c>
      <c r="C25" s="15" t="s">
        <v>49</v>
      </c>
      <c r="D25" s="15" t="s">
        <v>46</v>
      </c>
      <c r="E25" s="31">
        <v>17500000</v>
      </c>
      <c r="F25" s="32">
        <v>16556.59</v>
      </c>
      <c r="G25" s="33">
        <v>0.2379</v>
      </c>
      <c r="H25" s="34">
        <v>7.2744000000000003E-2</v>
      </c>
      <c r="I25" s="35"/>
      <c r="J25" s="8"/>
    </row>
    <row r="26" spans="1:10" ht="15" customHeight="1">
      <c r="A26" s="18" t="s">
        <v>50</v>
      </c>
      <c r="B26" s="15" t="s">
        <v>51</v>
      </c>
      <c r="C26" s="15" t="s">
        <v>52</v>
      </c>
      <c r="D26" s="15" t="s">
        <v>46</v>
      </c>
      <c r="E26" s="31">
        <v>13500000</v>
      </c>
      <c r="F26" s="32">
        <v>13637.98</v>
      </c>
      <c r="G26" s="33">
        <v>0.19589999999999999</v>
      </c>
      <c r="H26" s="34">
        <v>7.2284000000000001E-2</v>
      </c>
      <c r="I26" s="35"/>
      <c r="J26" s="8"/>
    </row>
    <row r="27" spans="1:10" ht="15" customHeight="1">
      <c r="A27" s="18" t="s">
        <v>53</v>
      </c>
      <c r="B27" s="15" t="s">
        <v>54</v>
      </c>
      <c r="C27" s="15" t="s">
        <v>55</v>
      </c>
      <c r="D27" s="15" t="s">
        <v>46</v>
      </c>
      <c r="E27" s="31">
        <v>6000000</v>
      </c>
      <c r="F27" s="32">
        <v>6007.32</v>
      </c>
      <c r="G27" s="33">
        <v>8.6300000000000002E-2</v>
      </c>
      <c r="H27" s="34"/>
      <c r="I27" s="35"/>
      <c r="J27" s="8"/>
    </row>
    <row r="28" spans="1:10" ht="15" customHeight="1">
      <c r="A28" s="18" t="s">
        <v>56</v>
      </c>
      <c r="B28" s="15" t="s">
        <v>57</v>
      </c>
      <c r="C28" s="15" t="s">
        <v>58</v>
      </c>
      <c r="D28" s="15" t="s">
        <v>46</v>
      </c>
      <c r="E28" s="31">
        <v>2500000</v>
      </c>
      <c r="F28" s="32">
        <v>2550.2399999999998</v>
      </c>
      <c r="G28" s="33">
        <v>3.6600000000000001E-2</v>
      </c>
      <c r="H28" s="34">
        <v>7.4112999999999998E-2</v>
      </c>
      <c r="I28" s="35"/>
      <c r="J28" s="8"/>
    </row>
    <row r="29" spans="1:10" ht="15" customHeight="1">
      <c r="A29" s="18" t="s">
        <v>59</v>
      </c>
      <c r="B29" s="15" t="s">
        <v>60</v>
      </c>
      <c r="C29" s="15" t="s">
        <v>61</v>
      </c>
      <c r="D29" s="15" t="s">
        <v>46</v>
      </c>
      <c r="E29" s="31">
        <v>2000000</v>
      </c>
      <c r="F29" s="32">
        <v>1975.86</v>
      </c>
      <c r="G29" s="33">
        <v>2.8400000000000002E-2</v>
      </c>
      <c r="H29" s="34"/>
      <c r="I29" s="35"/>
      <c r="J29" s="8"/>
    </row>
    <row r="30" spans="1:10" ht="15" customHeight="1">
      <c r="A30" s="8"/>
      <c r="B30" s="14" t="s">
        <v>39</v>
      </c>
      <c r="C30" s="15"/>
      <c r="D30" s="15"/>
      <c r="E30" s="15"/>
      <c r="F30" s="36">
        <v>62597.29</v>
      </c>
      <c r="G30" s="37">
        <v>0.89929999999999999</v>
      </c>
      <c r="H30" s="38"/>
      <c r="I30" s="38"/>
      <c r="J30" s="8"/>
    </row>
    <row r="31" spans="1:10" ht="15" customHeight="1">
      <c r="A31" s="8"/>
      <c r="B31" s="39" t="s">
        <v>62</v>
      </c>
      <c r="C31" s="40"/>
      <c r="D31" s="40"/>
      <c r="E31" s="40"/>
      <c r="F31" s="38" t="s">
        <v>63</v>
      </c>
      <c r="G31" s="38" t="s">
        <v>63</v>
      </c>
      <c r="H31" s="38"/>
      <c r="I31" s="38"/>
      <c r="J31" s="8"/>
    </row>
    <row r="32" spans="1:10" ht="15" customHeight="1">
      <c r="A32" s="8"/>
      <c r="B32" s="39" t="s">
        <v>39</v>
      </c>
      <c r="C32" s="40"/>
      <c r="D32" s="40"/>
      <c r="E32" s="40"/>
      <c r="F32" s="38" t="s">
        <v>63</v>
      </c>
      <c r="G32" s="38" t="s">
        <v>63</v>
      </c>
      <c r="H32" s="38"/>
      <c r="I32" s="38"/>
      <c r="J32" s="8"/>
    </row>
    <row r="33" spans="1:10" ht="15" customHeight="1">
      <c r="A33" s="8"/>
      <c r="B33" s="39" t="s">
        <v>40</v>
      </c>
      <c r="C33" s="40"/>
      <c r="D33" s="40"/>
      <c r="E33" s="40"/>
      <c r="F33" s="36">
        <v>62597.29</v>
      </c>
      <c r="G33" s="37">
        <v>0.89929999999999999</v>
      </c>
      <c r="H33" s="38"/>
      <c r="I33" s="38"/>
      <c r="J33" s="8"/>
    </row>
    <row r="34" spans="1:10" ht="15" customHeight="1">
      <c r="A34" s="8"/>
      <c r="B34" s="14" t="s">
        <v>64</v>
      </c>
      <c r="C34" s="15"/>
      <c r="D34" s="15"/>
      <c r="E34" s="15"/>
      <c r="F34" s="15"/>
      <c r="G34" s="15"/>
      <c r="H34" s="16"/>
      <c r="I34" s="16"/>
      <c r="J34" s="8"/>
    </row>
    <row r="35" spans="1:10" ht="15" customHeight="1">
      <c r="A35" s="18" t="s">
        <v>65</v>
      </c>
      <c r="B35" s="15" t="s">
        <v>66</v>
      </c>
      <c r="C35" s="15"/>
      <c r="D35" s="15"/>
      <c r="E35" s="31"/>
      <c r="F35" s="32">
        <v>5473.82</v>
      </c>
      <c r="G35" s="33">
        <v>7.8600000000000003E-2</v>
      </c>
      <c r="H35" s="34">
        <v>5.992907936203111E-2</v>
      </c>
      <c r="I35" s="35"/>
      <c r="J35" s="8"/>
    </row>
    <row r="36" spans="1:10" ht="15" customHeight="1">
      <c r="A36" s="8"/>
      <c r="B36" s="14" t="s">
        <v>39</v>
      </c>
      <c r="C36" s="15"/>
      <c r="D36" s="15"/>
      <c r="E36" s="15"/>
      <c r="F36" s="36">
        <v>5473.82</v>
      </c>
      <c r="G36" s="37">
        <v>7.8600000000000003E-2</v>
      </c>
      <c r="H36" s="38"/>
      <c r="I36" s="38"/>
      <c r="J36" s="8"/>
    </row>
    <row r="37" spans="1:10" ht="15" customHeight="1">
      <c r="A37" s="8"/>
      <c r="B37" s="39" t="s">
        <v>62</v>
      </c>
      <c r="C37" s="40"/>
      <c r="D37" s="40"/>
      <c r="E37" s="40"/>
      <c r="F37" s="38" t="s">
        <v>63</v>
      </c>
      <c r="G37" s="38" t="s">
        <v>63</v>
      </c>
      <c r="H37" s="38"/>
      <c r="I37" s="38"/>
      <c r="J37" s="8"/>
    </row>
    <row r="38" spans="1:10" ht="15" customHeight="1">
      <c r="A38" s="8"/>
      <c r="B38" s="39" t="s">
        <v>39</v>
      </c>
      <c r="C38" s="40"/>
      <c r="D38" s="40"/>
      <c r="E38" s="40"/>
      <c r="F38" s="38" t="s">
        <v>63</v>
      </c>
      <c r="G38" s="38" t="s">
        <v>63</v>
      </c>
      <c r="H38" s="38"/>
      <c r="I38" s="38"/>
      <c r="J38" s="8"/>
    </row>
    <row r="39" spans="1:10" ht="15" customHeight="1">
      <c r="A39" s="8"/>
      <c r="B39" s="39" t="s">
        <v>40</v>
      </c>
      <c r="C39" s="40"/>
      <c r="D39" s="40"/>
      <c r="E39" s="40"/>
      <c r="F39" s="36">
        <v>5473.82</v>
      </c>
      <c r="G39" s="37">
        <v>7.8600000000000003E-2</v>
      </c>
      <c r="H39" s="38"/>
      <c r="I39" s="38"/>
      <c r="J39" s="8"/>
    </row>
    <row r="40" spans="1:10" ht="15" customHeight="1">
      <c r="A40" s="8"/>
      <c r="B40" s="39" t="s">
        <v>67</v>
      </c>
      <c r="C40" s="15"/>
      <c r="D40" s="40"/>
      <c r="E40" s="15"/>
      <c r="F40" s="36">
        <v>1525.3000000000063</v>
      </c>
      <c r="G40" s="37">
        <v>2.18E-2</v>
      </c>
      <c r="H40" s="38"/>
      <c r="I40" s="38"/>
      <c r="J40" s="8"/>
    </row>
    <row r="41" spans="1:10" ht="15" customHeight="1">
      <c r="A41" s="8"/>
      <c r="B41" s="41" t="s">
        <v>68</v>
      </c>
      <c r="C41" s="40"/>
      <c r="D41" s="40"/>
      <c r="E41" s="40"/>
      <c r="F41" s="36">
        <v>69605.320000000007</v>
      </c>
      <c r="G41" s="42">
        <v>1</v>
      </c>
      <c r="H41" s="43"/>
      <c r="I41" s="43"/>
      <c r="J41" s="8"/>
    </row>
    <row r="42" spans="1:10" ht="15" customHeight="1">
      <c r="A42" s="8"/>
      <c r="B42" s="6"/>
      <c r="C42" s="8"/>
      <c r="D42" s="8"/>
      <c r="E42" s="8"/>
      <c r="F42" s="8"/>
      <c r="G42" s="8"/>
      <c r="H42" s="8"/>
      <c r="I42" s="8"/>
      <c r="J42" s="8"/>
    </row>
    <row r="43" spans="1:10" ht="15" customHeight="1">
      <c r="A43" s="8"/>
      <c r="B43" s="7" t="s">
        <v>69</v>
      </c>
      <c r="C43" s="8"/>
      <c r="D43" s="8"/>
      <c r="E43" s="8"/>
      <c r="F43" s="8"/>
      <c r="G43" s="8"/>
      <c r="H43" s="8"/>
      <c r="I43" s="8"/>
      <c r="J43" s="8"/>
    </row>
    <row r="44" spans="1:10" ht="27.95" customHeight="1">
      <c r="A44" s="44"/>
      <c r="B44" s="45" t="s">
        <v>70</v>
      </c>
      <c r="C44" s="45"/>
      <c r="D44" s="45"/>
      <c r="E44" s="45"/>
      <c r="F44" s="45"/>
      <c r="G44" s="45"/>
      <c r="H44" s="45"/>
      <c r="I44" s="44"/>
      <c r="J44" s="44"/>
    </row>
    <row r="45" spans="1:10" ht="15" customHeight="1">
      <c r="A45" s="8"/>
      <c r="B45" s="7"/>
      <c r="C45" s="8"/>
      <c r="D45" s="8"/>
      <c r="E45" s="8"/>
      <c r="F45" s="8"/>
      <c r="G45" s="8"/>
      <c r="H45" s="8"/>
      <c r="I45" s="8"/>
      <c r="J45" s="8"/>
    </row>
    <row r="46" spans="1:10" s="46" customFormat="1" ht="15" customHeight="1">
      <c r="B46" s="47" t="s">
        <v>71</v>
      </c>
      <c r="C46" s="47"/>
      <c r="D46" s="47"/>
      <c r="E46" s="47"/>
      <c r="F46" s="47"/>
      <c r="G46" s="47"/>
      <c r="H46" s="47"/>
      <c r="I46" s="48"/>
    </row>
    <row r="48" spans="1:10" s="49" customFormat="1">
      <c r="C48" s="50" t="s">
        <v>72</v>
      </c>
    </row>
    <row r="49" spans="2:3" s="49" customFormat="1">
      <c r="B49" s="50" t="s">
        <v>73</v>
      </c>
      <c r="C49" s="50" t="s">
        <v>74</v>
      </c>
    </row>
    <row r="50" spans="2:3" s="49" customFormat="1" ht="14.25"/>
    <row r="51" spans="2:3" s="49" customFormat="1" ht="14.25"/>
    <row r="52" spans="2:3" s="49" customFormat="1" ht="14.25"/>
    <row r="53" spans="2:3" s="49" customFormat="1" ht="14.25"/>
    <row r="54" spans="2:3" s="49" customFormat="1" ht="14.25"/>
    <row r="55" spans="2:3" s="49" customFormat="1" ht="14.25"/>
    <row r="56" spans="2:3" s="49" customFormat="1" ht="14.25"/>
    <row r="57" spans="2:3" s="49" customFormat="1" ht="14.25"/>
    <row r="58" spans="2:3" s="49" customFormat="1" ht="14.25"/>
    <row r="59" spans="2:3" s="49" customFormat="1" ht="14.25"/>
    <row r="60" spans="2:3" s="49" customFormat="1" ht="14.25"/>
    <row r="61" spans="2:3" s="49" customFormat="1" ht="14.25"/>
  </sheetData>
  <mergeCells count="2">
    <mergeCell ref="B2:I2"/>
    <mergeCell ref="B44:H4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2022-10-07T20:41:56Z</dcterms:created>
  <dcterms:modified xsi:type="dcterms:W3CDTF">2022-10-07T20:42:07Z</dcterms:modified>
</cp:coreProperties>
</file>