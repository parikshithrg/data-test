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AN 23\Portfolio\Monthly\Monthly Portfolio-31 01 23\"/>
    </mc:Choice>
  </mc:AlternateContent>
  <xr:revisionPtr revIDLastSave="0" documentId="8_{D2053E25-BC8E-4255-BC81-9B4BB20557FA}" xr6:coauthVersionLast="47" xr6:coauthVersionMax="47" xr10:uidLastSave="{00000000-0000-0000-0000-000000000000}"/>
  <bookViews>
    <workbookView xWindow="-120" yWindow="-120" windowWidth="23280" windowHeight="12285" xr2:uid="{B1C76054-5A03-4066-A5BF-02B97E7753EC}"/>
  </bookViews>
  <sheets>
    <sheet name="AXISMLF" sheetId="1" r:id="rId1"/>
  </sheets>
  <definedNames>
    <definedName name="JR_PAGE_ANCHOR_0_38">AXISMLF!$A$1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6" i="1" l="1"/>
  <c r="G75" i="1"/>
  <c r="G76" i="1" s="1"/>
  <c r="F75" i="1"/>
</calcChain>
</file>

<file path=xl/sharedStrings.xml><?xml version="1.0" encoding="utf-8"?>
<sst xmlns="http://schemas.openxmlformats.org/spreadsheetml/2006/main" count="288" uniqueCount="243">
  <si>
    <t>AXISMLF</t>
  </si>
  <si>
    <t>Axis Flexi Cap Fund</t>
  </si>
  <si>
    <t xml:space="preserve">
  </t>
  </si>
  <si>
    <t>Monthly Portfolio Statement as on January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</si>
  <si>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</si>
  <si>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</si>
  <si>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</si>
  <si>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</si>
  <si>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</si>
  <si>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</si>
  <si>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</si>
  <si>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</si>
  <si>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</si>
  <si>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</si>
  <si>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</si>
  <si>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</si>
  <si>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</si>
  <si>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</si>
  <si>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</si>
  <si>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BAFL02</t>
  </si>
  <si>
    <t>Bajaj Finance Limited</t>
  </si>
  <si>
    <t>INE296A01024</t>
  </si>
  <si>
    <t>Finance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</si>
  <si>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</si>
  <si>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</si>
  <si>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</si>
  <si>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</si>
  <si>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</si>
  <si>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</si>
  <si>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</si>
  <si>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AVSP01</t>
  </si>
  <si>
    <t>Avenue Supermarts Limited</t>
  </si>
  <si>
    <t>INE192R01011</t>
  </si>
  <si>
    <t>Retailing</t>
  </si>
  <si>
    <t>TCSL01</t>
  </si>
  <si>
    <t>Tata Consultancy Services Limited</t>
  </si>
  <si>
    <t>INE467B01029</t>
  </si>
  <si>
    <t>KOMA02</t>
  </si>
  <si>
    <t>Kotak Mahindra Bank Limited</t>
  </si>
  <si>
    <t>INE237A01028</t>
  </si>
  <si>
    <t>MAHI02</t>
  </si>
  <si>
    <t>Mahindra &amp; Mahindra Limited</t>
  </si>
  <si>
    <t>INE101A01026</t>
  </si>
  <si>
    <t>Automobiles</t>
  </si>
  <si>
    <t>KIMS01</t>
  </si>
  <si>
    <t>Krishna Institute Of Medical Sciences Limited</t>
  </si>
  <si>
    <t>INE967H01017</t>
  </si>
  <si>
    <t>Healthcare Services</t>
  </si>
  <si>
    <t>SLIF01</t>
  </si>
  <si>
    <t>SBI Life Insurance Company Limited</t>
  </si>
  <si>
    <t>INE123W01016</t>
  </si>
  <si>
    <t>Insurance</t>
  </si>
  <si>
    <t>ULCC01</t>
  </si>
  <si>
    <t>UltraTech Cement Limited</t>
  </si>
  <si>
    <t>INE481G01011</t>
  </si>
  <si>
    <t>Cement &amp; Cement Products</t>
  </si>
  <si>
    <t>BRIG01</t>
  </si>
  <si>
    <t>Brigade Enterprises Limited</t>
  </si>
  <si>
    <t>INE791I01019</t>
  </si>
  <si>
    <t>Realty</t>
  </si>
  <si>
    <t>HDFC03</t>
  </si>
  <si>
    <t>Housing Development Finance Corporation Limited</t>
  </si>
  <si>
    <t>INE001A01036</t>
  </si>
  <si>
    <t>FOIL01</t>
  </si>
  <si>
    <t>Fine Organic Industries Limited</t>
  </si>
  <si>
    <t>INE686Y01026</t>
  </si>
  <si>
    <t>Chemicals &amp; Petrochemicals</t>
  </si>
  <si>
    <t>SONB01</t>
  </si>
  <si>
    <t>Sona BLW Precision Forgings Limited</t>
  </si>
  <si>
    <t>INE073K01018</t>
  </si>
  <si>
    <t>Auto Components</t>
  </si>
  <si>
    <t>NAHR01</t>
  </si>
  <si>
    <t>Narayana Hrudayalaya Limited</t>
  </si>
  <si>
    <t>INE410P01011</t>
  </si>
  <si>
    <t>BHEL02</t>
  </si>
  <si>
    <t>Bharat Electronics Limited</t>
  </si>
  <si>
    <t>INE263A01024</t>
  </si>
  <si>
    <t>Aerospace &amp; Defense</t>
  </si>
  <si>
    <t>PIDI02</t>
  </si>
  <si>
    <t>Pidilite Industries Limited</t>
  </si>
  <si>
    <t>INE318A01026</t>
  </si>
  <si>
    <t>SPIL03</t>
  </si>
  <si>
    <t>Sun Pharmaceutical Industries Limited</t>
  </si>
  <si>
    <t>INE044A01036</t>
  </si>
  <si>
    <t>Pharmaceuticals &amp; Biotechnology</t>
  </si>
  <si>
    <t>BFSL02</t>
  </si>
  <si>
    <t>Bajaj Finserv Limited</t>
  </si>
  <si>
    <t>INE918I01026</t>
  </si>
  <si>
    <t>TWAT02</t>
  </si>
  <si>
    <t>Titan Company Limited</t>
  </si>
  <si>
    <t>INE280A01028</t>
  </si>
  <si>
    <t>Consumer Durables</t>
  </si>
  <si>
    <t>PIIN03</t>
  </si>
  <si>
    <t>PI Industries Limited</t>
  </si>
  <si>
    <t>INE603J01030</t>
  </si>
  <si>
    <t>Fertilizers &amp; Agrochemicals</t>
  </si>
  <si>
    <t>NEST01</t>
  </si>
  <si>
    <t>Nestle India Limited</t>
  </si>
  <si>
    <t>INE239A01016</t>
  </si>
  <si>
    <t>Food Products</t>
  </si>
  <si>
    <t>CHOL02</t>
  </si>
  <si>
    <t>Cholamandalam Investment and Finance Company Ltd</t>
  </si>
  <si>
    <t>INE121A01024</t>
  </si>
  <si>
    <t>ASTP04</t>
  </si>
  <si>
    <t>Astral Limited</t>
  </si>
  <si>
    <t>INE006I01046</t>
  </si>
  <si>
    <t>Industrial Products</t>
  </si>
  <si>
    <t>IEIN01</t>
  </si>
  <si>
    <t>Info Edge (India) Limited</t>
  </si>
  <si>
    <t>INE663F01024</t>
  </si>
  <si>
    <t>ASPA02</t>
  </si>
  <si>
    <t>Asian Paints Limited</t>
  </si>
  <si>
    <t>INE021A01026</t>
  </si>
  <si>
    <t>SBAI02</t>
  </si>
  <si>
    <t>State Bank of India</t>
  </si>
  <si>
    <t>INE062A01020</t>
  </si>
  <si>
    <t>LAKM02</t>
  </si>
  <si>
    <t>Trent Limited</t>
  </si>
  <si>
    <t>INE849A01020</t>
  </si>
  <si>
    <t>MSUW01</t>
  </si>
  <si>
    <t>Motherson Sumi Wiring India Limited</t>
  </si>
  <si>
    <t>INE0FS801015</t>
  </si>
  <si>
    <t>GALS01</t>
  </si>
  <si>
    <t>Galaxy Surfactants Limited</t>
  </si>
  <si>
    <t>INE600K01018</t>
  </si>
  <si>
    <t>BTVL02</t>
  </si>
  <si>
    <t>Bharti Airtel Limited</t>
  </si>
  <si>
    <t>INE397D01024</t>
  </si>
  <si>
    <t>Telecom - Services</t>
  </si>
  <si>
    <t>LTIL01</t>
  </si>
  <si>
    <t>LTIMindtree Limited</t>
  </si>
  <si>
    <t>INE214T01019</t>
  </si>
  <si>
    <t>CSTL01</t>
  </si>
  <si>
    <t>Clean Science and Technology Limited</t>
  </si>
  <si>
    <t>INE227W01023</t>
  </si>
  <si>
    <t>SANE01</t>
  </si>
  <si>
    <t>Sansera Engineering Limited</t>
  </si>
  <si>
    <t>INE953O01021</t>
  </si>
  <si>
    <t>WABT01</t>
  </si>
  <si>
    <t>ZF Commercial Vehicle Control Systems India Limited</t>
  </si>
  <si>
    <t>INE342J01019</t>
  </si>
  <si>
    <t>TELC03</t>
  </si>
  <si>
    <t>Tata Motors Limited</t>
  </si>
  <si>
    <t>INE155A01022</t>
  </si>
  <si>
    <t>KFIN01</t>
  </si>
  <si>
    <t>KFin Technologies Limited</t>
  </si>
  <si>
    <t>INE138Y01010</t>
  </si>
  <si>
    <t>Capital Markets</t>
  </si>
  <si>
    <t>FRHL01</t>
  </si>
  <si>
    <t>Fortis Healthcare Limited</t>
  </si>
  <si>
    <t>INE061F01013</t>
  </si>
  <si>
    <t>RACM01</t>
  </si>
  <si>
    <t>Rainbow Childrens Medicare Limited</t>
  </si>
  <si>
    <t>INE961O01016</t>
  </si>
  <si>
    <t>DIVI02</t>
  </si>
  <si>
    <t>Divi's Laboratories Limited</t>
  </si>
  <si>
    <t>INE361B01024</t>
  </si>
  <si>
    <t>NECH01</t>
  </si>
  <si>
    <t>Neogen Chemicals Limited</t>
  </si>
  <si>
    <t>INE136S01016</t>
  </si>
  <si>
    <t>CPIL02</t>
  </si>
  <si>
    <t>CCL Products (India) Limited</t>
  </si>
  <si>
    <t>INE421D01022</t>
  </si>
  <si>
    <t>Agricultural Food &amp; other Products</t>
  </si>
  <si>
    <t>RIND01</t>
  </si>
  <si>
    <t>Reliance Industries Limited</t>
  </si>
  <si>
    <t>INE002A01018</t>
  </si>
  <si>
    <t>Petroleum Products</t>
  </si>
  <si>
    <t>ROLR01</t>
  </si>
  <si>
    <t>Rolex Rings Limited</t>
  </si>
  <si>
    <t>INE645S01016</t>
  </si>
  <si>
    <t>ORRE01</t>
  </si>
  <si>
    <t>RHI Magnesita India Limited</t>
  </si>
  <si>
    <t>INE743M01012</t>
  </si>
  <si>
    <t>ZMPL01</t>
  </si>
  <si>
    <t>Zomato Limited</t>
  </si>
  <si>
    <t>INE758T01015</t>
  </si>
  <si>
    <t>GFPL01</t>
  </si>
  <si>
    <t>Go Fashion (India) Limited</t>
  </si>
  <si>
    <t>INE0BJS01011</t>
  </si>
  <si>
    <t>GLAN02</t>
  </si>
  <si>
    <t>Gland Pharma Limited</t>
  </si>
  <si>
    <t>INE068V01023</t>
  </si>
  <si>
    <t>TATC01</t>
  </si>
  <si>
    <t>Tatva Chintan Pharma Chem Limited</t>
  </si>
  <si>
    <t>INE0GK401011</t>
  </si>
  <si>
    <t>SMFP01</t>
  </si>
  <si>
    <t>Suryoday Small Finance Bank Limited</t>
  </si>
  <si>
    <t>INE428Q01011</t>
  </si>
  <si>
    <t>CHEM04</t>
  </si>
  <si>
    <t>Chemplast Sanmar Limited</t>
  </si>
  <si>
    <t>INE488A01050</t>
  </si>
  <si>
    <t>STPR03</t>
  </si>
  <si>
    <t>JK Lakshmi Cement Limited</t>
  </si>
  <si>
    <t>INE786A01032</t>
  </si>
  <si>
    <t>GHPL01</t>
  </si>
  <si>
    <t>Global Health Limited</t>
  </si>
  <si>
    <t>INE474Q01031</t>
  </si>
  <si>
    <t>HLEL02</t>
  </si>
  <si>
    <t>Hindustan Unilever Limited</t>
  </si>
  <si>
    <t>INE030A01027</t>
  </si>
  <si>
    <t>Diversified FMCG</t>
  </si>
  <si>
    <t>AETH01</t>
  </si>
  <si>
    <t>Aether Industries Limited</t>
  </si>
  <si>
    <t>INE0BWX01014</t>
  </si>
  <si>
    <t>MASP02</t>
  </si>
  <si>
    <t>Vardhman Textiles Limited</t>
  </si>
  <si>
    <t>INE825A01020</t>
  </si>
  <si>
    <t>Textiles &amp; Apparels</t>
  </si>
  <si>
    <t>LARS02</t>
  </si>
  <si>
    <t>Larsen &amp; Toubro Limited</t>
  </si>
  <si>
    <t>INE018A01030</t>
  </si>
  <si>
    <t>Construction</t>
  </si>
  <si>
    <t>HKFIN01</t>
  </si>
  <si>
    <t>Privi Speciality Chemicals Limited</t>
  </si>
  <si>
    <t>INE959A01019</t>
  </si>
  <si>
    <t>Sub Total</t>
  </si>
  <si>
    <t>(b) Unlisted</t>
  </si>
  <si>
    <t>NIL</t>
  </si>
  <si>
    <t>Total</t>
  </si>
  <si>
    <t>Money Market Instruments</t>
  </si>
  <si>
    <t>Treasury Bill</t>
  </si>
  <si>
    <t>TBIL2137</t>
  </si>
  <si>
    <t>182 Days Tbill (MD 08/06/2023)</t>
  </si>
  <si>
    <t>IN002022Y377</t>
  </si>
  <si>
    <t>Sovereign</t>
  </si>
  <si>
    <t>TBIL2057</t>
  </si>
  <si>
    <t>364 Days Tbill (MD 01/06/2023)</t>
  </si>
  <si>
    <t>IN002022Z093</t>
  </si>
  <si>
    <t>TBIL2133</t>
  </si>
  <si>
    <t>182 Days Tbill (MD 01/06/2023)</t>
  </si>
  <si>
    <t>IN002022Y369</t>
  </si>
  <si>
    <t>Reverse Repo / TREPS</t>
  </si>
  <si>
    <t>TRP_010223</t>
  </si>
  <si>
    <t>Clearing Corporation of India Ltd</t>
  </si>
  <si>
    <t>Net Receivables / (Payables)</t>
  </si>
  <si>
    <t>GRAND TOTAL</t>
  </si>
  <si>
    <t xml:space="preserve"> </t>
  </si>
  <si>
    <t>~ YTM as on January 31, 2023</t>
  </si>
  <si>
    <t>^ YTC represents Yield to Call provided by valuation agencies as on January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</si>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</sst>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0</xdr:colOff>
      <xdr:row>91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37BC80F3-BE95-443D-8392-6A2838D8790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49637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90</xdr:row>
      <xdr:rowOff>0</xdr:rowOff>
    </xdr:from>
    <xdr:to>
      <xdr:col>4</xdr:col>
      <xdr:colOff>0</xdr:colOff>
      <xdr:row>91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B04188CE-2DCA-4FA8-A741-36D7A0E1D5A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49637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74C20-EE8B-46F2-9938-AE1585EBE92C}">
  <sheetPr codeName="Sheet38">
    <outlinePr summaryBelow="0"/>
  </sheetPr>
  <dimension ref="A1:J91"/>
  <sheetViews>
    <sheetView tabSelected="1" topLeftCell="B72" workbookViewId="0">
      <selection activeCell="B76" sqref="B76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10820000</v>
      </c>
      <c r="F7" s="19">
        <v>90011.58</v>
      </c>
      <c r="G7" s="20">
        <v>8.77E-2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1403266</v>
      </c>
      <c r="F8" s="19">
        <v>82601.849799999996</v>
      </c>
      <c r="G8" s="20">
        <v>8.0399999999999999E-2</v>
      </c>
      <c r="H8" s="21"/>
      <c r="I8" s="22"/>
      <c r="J8" s="3"/>
    </row>
    <row r="9" spans="1:10" ht="13.1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4426000</v>
      </c>
      <c r="F9" s="19">
        <v>70970.91</v>
      </c>
      <c r="G9" s="20">
        <v>6.9099999999999995E-2</v>
      </c>
      <c r="H9" s="21"/>
      <c r="I9" s="22"/>
      <c r="J9" s="3"/>
    </row>
    <row r="10" spans="1:10" ht="13.1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4527027</v>
      </c>
      <c r="F10" s="19">
        <v>69433.276599999997</v>
      </c>
      <c r="G10" s="20">
        <v>6.7599999999999993E-2</v>
      </c>
      <c r="H10" s="21"/>
      <c r="I10" s="22"/>
      <c r="J10" s="3"/>
    </row>
    <row r="11" spans="1:10" ht="13.1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1776581</v>
      </c>
      <c r="F11" s="19">
        <v>62221.196400000001</v>
      </c>
      <c r="G11" s="20">
        <v>6.0600000000000001E-2</v>
      </c>
      <c r="H11" s="21"/>
      <c r="I11" s="22"/>
      <c r="J11" s="3"/>
    </row>
    <row r="12" spans="1:10" ht="13.15" customHeight="1">
      <c r="A12" s="16" t="s">
        <v>34</v>
      </c>
      <c r="B12" s="17" t="s">
        <v>35</v>
      </c>
      <c r="C12" s="13" t="s">
        <v>36</v>
      </c>
      <c r="D12" s="13" t="s">
        <v>29</v>
      </c>
      <c r="E12" s="18">
        <v>1121605</v>
      </c>
      <c r="F12" s="19">
        <v>37671.347099999999</v>
      </c>
      <c r="G12" s="20">
        <v>3.6700000000000003E-2</v>
      </c>
      <c r="H12" s="21"/>
      <c r="I12" s="22"/>
      <c r="J12" s="3"/>
    </row>
    <row r="13" spans="1:10" ht="13.15" customHeight="1">
      <c r="A13" s="16" t="s">
        <v>37</v>
      </c>
      <c r="B13" s="17" t="s">
        <v>38</v>
      </c>
      <c r="C13" s="13" t="s">
        <v>39</v>
      </c>
      <c r="D13" s="13" t="s">
        <v>18</v>
      </c>
      <c r="E13" s="18">
        <v>2000000</v>
      </c>
      <c r="F13" s="19">
        <v>34620</v>
      </c>
      <c r="G13" s="20">
        <v>3.3700000000000001E-2</v>
      </c>
      <c r="H13" s="21"/>
      <c r="I13" s="22"/>
      <c r="J13" s="3"/>
    </row>
    <row r="14" spans="1:10" ht="13.15" customHeight="1">
      <c r="A14" s="16" t="s">
        <v>40</v>
      </c>
      <c r="B14" s="17" t="s">
        <v>41</v>
      </c>
      <c r="C14" s="13" t="s">
        <v>42</v>
      </c>
      <c r="D14" s="13" t="s">
        <v>43</v>
      </c>
      <c r="E14" s="18">
        <v>2483202</v>
      </c>
      <c r="F14" s="19">
        <v>34237.147599999997</v>
      </c>
      <c r="G14" s="20">
        <v>3.3300000000000003E-2</v>
      </c>
      <c r="H14" s="21"/>
      <c r="I14" s="22"/>
      <c r="J14" s="3"/>
    </row>
    <row r="15" spans="1:10" ht="13.15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1425344</v>
      </c>
      <c r="F15" s="19">
        <v>21483.4974</v>
      </c>
      <c r="G15" s="20">
        <v>2.0899999999999998E-2</v>
      </c>
      <c r="H15" s="21"/>
      <c r="I15" s="22"/>
      <c r="J15" s="3"/>
    </row>
    <row r="16" spans="1:10" ht="13.1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1512111</v>
      </c>
      <c r="F16" s="19">
        <v>18440.949700000001</v>
      </c>
      <c r="G16" s="20">
        <v>1.7999999999999999E-2</v>
      </c>
      <c r="H16" s="21"/>
      <c r="I16" s="22"/>
      <c r="J16" s="3"/>
    </row>
    <row r="17" spans="1:10" ht="13.1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233914</v>
      </c>
      <c r="F17" s="19">
        <v>16574.093400000002</v>
      </c>
      <c r="G17" s="20">
        <v>1.61E-2</v>
      </c>
      <c r="H17" s="21"/>
      <c r="I17" s="22"/>
      <c r="J17" s="3"/>
    </row>
    <row r="18" spans="1:10" ht="13.15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3452534</v>
      </c>
      <c r="F18" s="19">
        <v>15855.7624</v>
      </c>
      <c r="G18" s="20">
        <v>1.54E-2</v>
      </c>
      <c r="H18" s="21"/>
      <c r="I18" s="22"/>
      <c r="J18" s="3"/>
    </row>
    <row r="19" spans="1:10" ht="13.15" customHeight="1">
      <c r="A19" s="16" t="s">
        <v>60</v>
      </c>
      <c r="B19" s="17" t="s">
        <v>61</v>
      </c>
      <c r="C19" s="13" t="s">
        <v>62</v>
      </c>
      <c r="D19" s="13" t="s">
        <v>22</v>
      </c>
      <c r="E19" s="18">
        <v>603490</v>
      </c>
      <c r="F19" s="19">
        <v>15829.241</v>
      </c>
      <c r="G19" s="20">
        <v>1.54E-2</v>
      </c>
      <c r="H19" s="21"/>
      <c r="I19" s="22"/>
      <c r="J19" s="3"/>
    </row>
    <row r="20" spans="1:10" ht="13.1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304168</v>
      </c>
      <c r="F20" s="19">
        <v>15189.389499999999</v>
      </c>
      <c r="G20" s="20">
        <v>1.4800000000000001E-2</v>
      </c>
      <c r="H20" s="21"/>
      <c r="I20" s="22"/>
      <c r="J20" s="3"/>
    </row>
    <row r="21" spans="1:10" ht="13.15" customHeight="1">
      <c r="A21" s="16" t="s">
        <v>67</v>
      </c>
      <c r="B21" s="17" t="s">
        <v>68</v>
      </c>
      <c r="C21" s="13" t="s">
        <v>69</v>
      </c>
      <c r="D21" s="13" t="s">
        <v>70</v>
      </c>
      <c r="E21" s="18">
        <v>3367072</v>
      </c>
      <c r="F21" s="19">
        <v>15151.824000000001</v>
      </c>
      <c r="G21" s="20">
        <v>1.4800000000000001E-2</v>
      </c>
      <c r="H21" s="21"/>
      <c r="I21" s="22"/>
      <c r="J21" s="3"/>
    </row>
    <row r="22" spans="1:10" ht="13.15" customHeight="1">
      <c r="A22" s="16" t="s">
        <v>71</v>
      </c>
      <c r="B22" s="17" t="s">
        <v>72</v>
      </c>
      <c r="C22" s="13" t="s">
        <v>73</v>
      </c>
      <c r="D22" s="13" t="s">
        <v>47</v>
      </c>
      <c r="E22" s="18">
        <v>2063048</v>
      </c>
      <c r="F22" s="19">
        <v>14985.9807</v>
      </c>
      <c r="G22" s="20">
        <v>1.46E-2</v>
      </c>
      <c r="H22" s="21"/>
      <c r="I22" s="22"/>
      <c r="J22" s="3"/>
    </row>
    <row r="23" spans="1:10" ht="13.15" customHeight="1">
      <c r="A23" s="16" t="s">
        <v>74</v>
      </c>
      <c r="B23" s="17" t="s">
        <v>75</v>
      </c>
      <c r="C23" s="13" t="s">
        <v>76</v>
      </c>
      <c r="D23" s="13" t="s">
        <v>77</v>
      </c>
      <c r="E23" s="18">
        <v>15651792</v>
      </c>
      <c r="F23" s="19">
        <v>14861.3765</v>
      </c>
      <c r="G23" s="20">
        <v>1.4500000000000001E-2</v>
      </c>
      <c r="H23" s="21"/>
      <c r="I23" s="22"/>
      <c r="J23" s="3"/>
    </row>
    <row r="24" spans="1:10" ht="13.15" customHeight="1">
      <c r="A24" s="16" t="s">
        <v>78</v>
      </c>
      <c r="B24" s="17" t="s">
        <v>79</v>
      </c>
      <c r="C24" s="13" t="s">
        <v>80</v>
      </c>
      <c r="D24" s="13" t="s">
        <v>66</v>
      </c>
      <c r="E24" s="18">
        <v>638163</v>
      </c>
      <c r="F24" s="19">
        <v>14547.244699999999</v>
      </c>
      <c r="G24" s="20">
        <v>1.4200000000000001E-2</v>
      </c>
      <c r="H24" s="21"/>
      <c r="I24" s="22"/>
      <c r="J24" s="3"/>
    </row>
    <row r="25" spans="1:10" ht="13.15" customHeight="1">
      <c r="A25" s="16" t="s">
        <v>81</v>
      </c>
      <c r="B25" s="17" t="s">
        <v>82</v>
      </c>
      <c r="C25" s="13" t="s">
        <v>83</v>
      </c>
      <c r="D25" s="13" t="s">
        <v>84</v>
      </c>
      <c r="E25" s="18">
        <v>1350000</v>
      </c>
      <c r="F25" s="19">
        <v>13965.75</v>
      </c>
      <c r="G25" s="20">
        <v>1.3599999999999999E-2</v>
      </c>
      <c r="H25" s="21"/>
      <c r="I25" s="22"/>
      <c r="J25" s="3"/>
    </row>
    <row r="26" spans="1:10" ht="13.15" customHeight="1">
      <c r="A26" s="16" t="s">
        <v>85</v>
      </c>
      <c r="B26" s="17" t="s">
        <v>86</v>
      </c>
      <c r="C26" s="13" t="s">
        <v>87</v>
      </c>
      <c r="D26" s="13" t="s">
        <v>22</v>
      </c>
      <c r="E26" s="18">
        <v>985000</v>
      </c>
      <c r="F26" s="19">
        <v>13223.1325</v>
      </c>
      <c r="G26" s="20">
        <v>1.29E-2</v>
      </c>
      <c r="H26" s="21"/>
      <c r="I26" s="22"/>
      <c r="J26" s="3"/>
    </row>
    <row r="27" spans="1:10" ht="13.15" customHeight="1">
      <c r="A27" s="16" t="s">
        <v>88</v>
      </c>
      <c r="B27" s="17" t="s">
        <v>89</v>
      </c>
      <c r="C27" s="13" t="s">
        <v>90</v>
      </c>
      <c r="D27" s="13" t="s">
        <v>91</v>
      </c>
      <c r="E27" s="18">
        <v>550000</v>
      </c>
      <c r="F27" s="19">
        <v>13074.325000000001</v>
      </c>
      <c r="G27" s="20">
        <v>1.2699999999999999E-2</v>
      </c>
      <c r="H27" s="21"/>
      <c r="I27" s="22"/>
      <c r="J27" s="3"/>
    </row>
    <row r="28" spans="1:10" ht="13.15" customHeight="1">
      <c r="A28" s="16" t="s">
        <v>92</v>
      </c>
      <c r="B28" s="17" t="s">
        <v>93</v>
      </c>
      <c r="C28" s="13" t="s">
        <v>94</v>
      </c>
      <c r="D28" s="13" t="s">
        <v>95</v>
      </c>
      <c r="E28" s="18">
        <v>417256</v>
      </c>
      <c r="F28" s="19">
        <v>12506.6227</v>
      </c>
      <c r="G28" s="20">
        <v>1.2200000000000001E-2</v>
      </c>
      <c r="H28" s="21"/>
      <c r="I28" s="22"/>
      <c r="J28" s="3"/>
    </row>
    <row r="29" spans="1:10" ht="13.15" customHeight="1">
      <c r="A29" s="16" t="s">
        <v>96</v>
      </c>
      <c r="B29" s="17" t="s">
        <v>97</v>
      </c>
      <c r="C29" s="13" t="s">
        <v>98</v>
      </c>
      <c r="D29" s="13" t="s">
        <v>99</v>
      </c>
      <c r="E29" s="18">
        <v>57409</v>
      </c>
      <c r="F29" s="19">
        <v>10917.900100000001</v>
      </c>
      <c r="G29" s="20">
        <v>1.06E-2</v>
      </c>
      <c r="H29" s="21"/>
      <c r="I29" s="22"/>
      <c r="J29" s="3"/>
    </row>
    <row r="30" spans="1:10" ht="13.15" customHeight="1">
      <c r="A30" s="16" t="s">
        <v>100</v>
      </c>
      <c r="B30" s="17" t="s">
        <v>101</v>
      </c>
      <c r="C30" s="13" t="s">
        <v>102</v>
      </c>
      <c r="D30" s="13" t="s">
        <v>22</v>
      </c>
      <c r="E30" s="18">
        <v>1531006</v>
      </c>
      <c r="F30" s="19">
        <v>10823.446900000001</v>
      </c>
      <c r="G30" s="20">
        <v>1.0500000000000001E-2</v>
      </c>
      <c r="H30" s="21"/>
      <c r="I30" s="22"/>
      <c r="J30" s="3"/>
    </row>
    <row r="31" spans="1:10" ht="13.15" customHeight="1">
      <c r="A31" s="16" t="s">
        <v>103</v>
      </c>
      <c r="B31" s="17" t="s">
        <v>104</v>
      </c>
      <c r="C31" s="13" t="s">
        <v>105</v>
      </c>
      <c r="D31" s="13" t="s">
        <v>106</v>
      </c>
      <c r="E31" s="18">
        <v>518781</v>
      </c>
      <c r="F31" s="19">
        <v>10649.017599999999</v>
      </c>
      <c r="G31" s="20">
        <v>1.04E-2</v>
      </c>
      <c r="H31" s="21"/>
      <c r="I31" s="22"/>
      <c r="J31" s="3"/>
    </row>
    <row r="32" spans="1:10" ht="13.15" customHeight="1">
      <c r="A32" s="16" t="s">
        <v>107</v>
      </c>
      <c r="B32" s="17" t="s">
        <v>108</v>
      </c>
      <c r="C32" s="13" t="s">
        <v>109</v>
      </c>
      <c r="D32" s="13" t="s">
        <v>33</v>
      </c>
      <c r="E32" s="18">
        <v>290000</v>
      </c>
      <c r="F32" s="19">
        <v>10645.754999999999</v>
      </c>
      <c r="G32" s="20">
        <v>1.04E-2</v>
      </c>
      <c r="H32" s="21"/>
      <c r="I32" s="22"/>
      <c r="J32" s="3"/>
    </row>
    <row r="33" spans="1:10" ht="13.15" customHeight="1">
      <c r="A33" s="16" t="s">
        <v>110</v>
      </c>
      <c r="B33" s="17" t="s">
        <v>111</v>
      </c>
      <c r="C33" s="13" t="s">
        <v>112</v>
      </c>
      <c r="D33" s="13" t="s">
        <v>91</v>
      </c>
      <c r="E33" s="18">
        <v>377088</v>
      </c>
      <c r="F33" s="19">
        <v>10278.8532</v>
      </c>
      <c r="G33" s="20">
        <v>0.01</v>
      </c>
      <c r="H33" s="21"/>
      <c r="I33" s="22"/>
      <c r="J33" s="3"/>
    </row>
    <row r="34" spans="1:10" ht="13.15" customHeight="1">
      <c r="A34" s="16" t="s">
        <v>113</v>
      </c>
      <c r="B34" s="17" t="s">
        <v>114</v>
      </c>
      <c r="C34" s="13" t="s">
        <v>115</v>
      </c>
      <c r="D34" s="13" t="s">
        <v>18</v>
      </c>
      <c r="E34" s="18">
        <v>1815383</v>
      </c>
      <c r="F34" s="19">
        <v>10048.144899999999</v>
      </c>
      <c r="G34" s="20">
        <v>9.7999999999999997E-3</v>
      </c>
      <c r="H34" s="21"/>
      <c r="I34" s="22"/>
      <c r="J34" s="3"/>
    </row>
    <row r="35" spans="1:10" ht="13.15" customHeight="1">
      <c r="A35" s="16" t="s">
        <v>116</v>
      </c>
      <c r="B35" s="17" t="s">
        <v>117</v>
      </c>
      <c r="C35" s="13" t="s">
        <v>118</v>
      </c>
      <c r="D35" s="13" t="s">
        <v>33</v>
      </c>
      <c r="E35" s="18">
        <v>819574</v>
      </c>
      <c r="F35" s="19">
        <v>9807.0224999999991</v>
      </c>
      <c r="G35" s="20">
        <v>9.4999999999999998E-3</v>
      </c>
      <c r="H35" s="21"/>
      <c r="I35" s="22"/>
      <c r="J35" s="3"/>
    </row>
    <row r="36" spans="1:10" ht="13.15" customHeight="1">
      <c r="A36" s="16" t="s">
        <v>119</v>
      </c>
      <c r="B36" s="17" t="s">
        <v>120</v>
      </c>
      <c r="C36" s="13" t="s">
        <v>121</v>
      </c>
      <c r="D36" s="13" t="s">
        <v>70</v>
      </c>
      <c r="E36" s="18">
        <v>18109324</v>
      </c>
      <c r="F36" s="19">
        <v>9317.2471999999998</v>
      </c>
      <c r="G36" s="20">
        <v>9.1000000000000004E-3</v>
      </c>
      <c r="H36" s="21"/>
      <c r="I36" s="22"/>
      <c r="J36" s="3"/>
    </row>
    <row r="37" spans="1:10" ht="13.15" customHeight="1">
      <c r="A37" s="16" t="s">
        <v>122</v>
      </c>
      <c r="B37" s="17" t="s">
        <v>123</v>
      </c>
      <c r="C37" s="13" t="s">
        <v>124</v>
      </c>
      <c r="D37" s="13" t="s">
        <v>66</v>
      </c>
      <c r="E37" s="18">
        <v>380138</v>
      </c>
      <c r="F37" s="19">
        <v>8862.9174999999996</v>
      </c>
      <c r="G37" s="20">
        <v>8.6E-3</v>
      </c>
      <c r="H37" s="21"/>
      <c r="I37" s="22"/>
      <c r="J37" s="3"/>
    </row>
    <row r="38" spans="1:10" ht="13.15" customHeight="1">
      <c r="A38" s="16" t="s">
        <v>125</v>
      </c>
      <c r="B38" s="17" t="s">
        <v>126</v>
      </c>
      <c r="C38" s="13" t="s">
        <v>127</v>
      </c>
      <c r="D38" s="13" t="s">
        <v>128</v>
      </c>
      <c r="E38" s="18">
        <v>1100000</v>
      </c>
      <c r="F38" s="19">
        <v>8473.2999999999993</v>
      </c>
      <c r="G38" s="20">
        <v>8.3000000000000001E-3</v>
      </c>
      <c r="H38" s="21"/>
      <c r="I38" s="22"/>
      <c r="J38" s="3"/>
    </row>
    <row r="39" spans="1:10" ht="13.15" customHeight="1">
      <c r="A39" s="16" t="s">
        <v>129</v>
      </c>
      <c r="B39" s="17" t="s">
        <v>130</v>
      </c>
      <c r="C39" s="13" t="s">
        <v>131</v>
      </c>
      <c r="D39" s="13" t="s">
        <v>29</v>
      </c>
      <c r="E39" s="18">
        <v>177375</v>
      </c>
      <c r="F39" s="19">
        <v>7748.7156000000004</v>
      </c>
      <c r="G39" s="20">
        <v>7.4999999999999997E-3</v>
      </c>
      <c r="H39" s="21"/>
      <c r="I39" s="22"/>
      <c r="J39" s="3"/>
    </row>
    <row r="40" spans="1:10" ht="13.15" customHeight="1">
      <c r="A40" s="16" t="s">
        <v>132</v>
      </c>
      <c r="B40" s="17" t="s">
        <v>133</v>
      </c>
      <c r="C40" s="13" t="s">
        <v>134</v>
      </c>
      <c r="D40" s="13" t="s">
        <v>66</v>
      </c>
      <c r="E40" s="18">
        <v>558411</v>
      </c>
      <c r="F40" s="19">
        <v>7684.5730000000003</v>
      </c>
      <c r="G40" s="20">
        <v>7.4999999999999997E-3</v>
      </c>
      <c r="H40" s="21"/>
      <c r="I40" s="22"/>
      <c r="J40" s="3"/>
    </row>
    <row r="41" spans="1:10" ht="13.15" customHeight="1">
      <c r="A41" s="16" t="s">
        <v>135</v>
      </c>
      <c r="B41" s="17" t="s">
        <v>136</v>
      </c>
      <c r="C41" s="13" t="s">
        <v>137</v>
      </c>
      <c r="D41" s="13" t="s">
        <v>70</v>
      </c>
      <c r="E41" s="18">
        <v>827662</v>
      </c>
      <c r="F41" s="19">
        <v>6231.8810000000003</v>
      </c>
      <c r="G41" s="20">
        <v>6.1000000000000004E-3</v>
      </c>
      <c r="H41" s="21"/>
      <c r="I41" s="22"/>
      <c r="J41" s="3"/>
    </row>
    <row r="42" spans="1:10" ht="13.15" customHeight="1">
      <c r="A42" s="16" t="s">
        <v>138</v>
      </c>
      <c r="B42" s="17" t="s">
        <v>139</v>
      </c>
      <c r="C42" s="13" t="s">
        <v>140</v>
      </c>
      <c r="D42" s="13" t="s">
        <v>70</v>
      </c>
      <c r="E42" s="18">
        <v>64476</v>
      </c>
      <c r="F42" s="19">
        <v>5966.6734999999999</v>
      </c>
      <c r="G42" s="20">
        <v>5.7999999999999996E-3</v>
      </c>
      <c r="H42" s="21"/>
      <c r="I42" s="22"/>
      <c r="J42" s="3"/>
    </row>
    <row r="43" spans="1:10" ht="13.15" customHeight="1">
      <c r="A43" s="16" t="s">
        <v>141</v>
      </c>
      <c r="B43" s="17" t="s">
        <v>142</v>
      </c>
      <c r="C43" s="13" t="s">
        <v>143</v>
      </c>
      <c r="D43" s="13" t="s">
        <v>43</v>
      </c>
      <c r="E43" s="18">
        <v>1275000</v>
      </c>
      <c r="F43" s="19">
        <v>5764.2749999999996</v>
      </c>
      <c r="G43" s="20">
        <v>5.5999999999999999E-3</v>
      </c>
      <c r="H43" s="21"/>
      <c r="I43" s="22"/>
      <c r="J43" s="3"/>
    </row>
    <row r="44" spans="1:10" ht="13.15" customHeight="1">
      <c r="A44" s="16" t="s">
        <v>144</v>
      </c>
      <c r="B44" s="17" t="s">
        <v>145</v>
      </c>
      <c r="C44" s="13" t="s">
        <v>146</v>
      </c>
      <c r="D44" s="13" t="s">
        <v>147</v>
      </c>
      <c r="E44" s="18">
        <v>1787122</v>
      </c>
      <c r="F44" s="19">
        <v>5713.4290000000001</v>
      </c>
      <c r="G44" s="20">
        <v>5.5999999999999999E-3</v>
      </c>
      <c r="H44" s="21"/>
      <c r="I44" s="22"/>
      <c r="J44" s="3"/>
    </row>
    <row r="45" spans="1:10" ht="13.15" customHeight="1">
      <c r="A45" s="16" t="s">
        <v>148</v>
      </c>
      <c r="B45" s="17" t="s">
        <v>149</v>
      </c>
      <c r="C45" s="13" t="s">
        <v>150</v>
      </c>
      <c r="D45" s="13" t="s">
        <v>47</v>
      </c>
      <c r="E45" s="18">
        <v>2000508</v>
      </c>
      <c r="F45" s="19">
        <v>5634.4308000000001</v>
      </c>
      <c r="G45" s="20">
        <v>5.4999999999999997E-3</v>
      </c>
      <c r="H45" s="21"/>
      <c r="I45" s="22"/>
      <c r="J45" s="3"/>
    </row>
    <row r="46" spans="1:10" ht="13.15" customHeight="1">
      <c r="A46" s="16" t="s">
        <v>151</v>
      </c>
      <c r="B46" s="17" t="s">
        <v>152</v>
      </c>
      <c r="C46" s="13" t="s">
        <v>153</v>
      </c>
      <c r="D46" s="13" t="s">
        <v>47</v>
      </c>
      <c r="E46" s="18">
        <v>651312</v>
      </c>
      <c r="F46" s="19">
        <v>4995.2374</v>
      </c>
      <c r="G46" s="20">
        <v>4.8999999999999998E-3</v>
      </c>
      <c r="H46" s="21"/>
      <c r="I46" s="22"/>
      <c r="J46" s="3"/>
    </row>
    <row r="47" spans="1:10" ht="13.15" customHeight="1">
      <c r="A47" s="16" t="s">
        <v>154</v>
      </c>
      <c r="B47" s="17" t="s">
        <v>155</v>
      </c>
      <c r="C47" s="13" t="s">
        <v>156</v>
      </c>
      <c r="D47" s="13" t="s">
        <v>84</v>
      </c>
      <c r="E47" s="18">
        <v>127723</v>
      </c>
      <c r="F47" s="19">
        <v>4234.4005999999999</v>
      </c>
      <c r="G47" s="20">
        <v>4.1000000000000003E-3</v>
      </c>
      <c r="H47" s="21"/>
      <c r="I47" s="22"/>
      <c r="J47" s="3"/>
    </row>
    <row r="48" spans="1:10" ht="13.15" customHeight="1">
      <c r="A48" s="16" t="s">
        <v>157</v>
      </c>
      <c r="B48" s="17" t="s">
        <v>158</v>
      </c>
      <c r="C48" s="13" t="s">
        <v>159</v>
      </c>
      <c r="D48" s="13" t="s">
        <v>66</v>
      </c>
      <c r="E48" s="18">
        <v>290188</v>
      </c>
      <c r="F48" s="19">
        <v>3529.4115999999999</v>
      </c>
      <c r="G48" s="20">
        <v>3.3999999999999998E-3</v>
      </c>
      <c r="H48" s="21"/>
      <c r="I48" s="22"/>
      <c r="J48" s="3"/>
    </row>
    <row r="49" spans="1:10" ht="13.15" customHeight="1">
      <c r="A49" s="16" t="s">
        <v>160</v>
      </c>
      <c r="B49" s="17" t="s">
        <v>161</v>
      </c>
      <c r="C49" s="13" t="s">
        <v>162</v>
      </c>
      <c r="D49" s="13" t="s">
        <v>163</v>
      </c>
      <c r="E49" s="18">
        <v>589802</v>
      </c>
      <c r="F49" s="19">
        <v>3202.33</v>
      </c>
      <c r="G49" s="20">
        <v>3.0999999999999999E-3</v>
      </c>
      <c r="H49" s="21"/>
      <c r="I49" s="22"/>
      <c r="J49" s="3"/>
    </row>
    <row r="50" spans="1:10" ht="13.15" customHeight="1">
      <c r="A50" s="16" t="s">
        <v>164</v>
      </c>
      <c r="B50" s="17" t="s">
        <v>165</v>
      </c>
      <c r="C50" s="13" t="s">
        <v>166</v>
      </c>
      <c r="D50" s="13" t="s">
        <v>167</v>
      </c>
      <c r="E50" s="18">
        <v>110000</v>
      </c>
      <c r="F50" s="19">
        <v>2589.2350000000001</v>
      </c>
      <c r="G50" s="20">
        <v>2.5000000000000001E-3</v>
      </c>
      <c r="H50" s="21"/>
      <c r="I50" s="22"/>
      <c r="J50" s="3"/>
    </row>
    <row r="51" spans="1:10" ht="13.15" customHeight="1">
      <c r="A51" s="16" t="s">
        <v>168</v>
      </c>
      <c r="B51" s="17" t="s">
        <v>169</v>
      </c>
      <c r="C51" s="13" t="s">
        <v>170</v>
      </c>
      <c r="D51" s="13" t="s">
        <v>70</v>
      </c>
      <c r="E51" s="18">
        <v>147226</v>
      </c>
      <c r="F51" s="19">
        <v>2564.2352000000001</v>
      </c>
      <c r="G51" s="20">
        <v>2.5000000000000001E-3</v>
      </c>
      <c r="H51" s="21"/>
      <c r="I51" s="22"/>
      <c r="J51" s="3"/>
    </row>
    <row r="52" spans="1:10" ht="13.15" customHeight="1">
      <c r="A52" s="16" t="s">
        <v>171</v>
      </c>
      <c r="B52" s="17" t="s">
        <v>172</v>
      </c>
      <c r="C52" s="13" t="s">
        <v>173</v>
      </c>
      <c r="D52" s="13" t="s">
        <v>106</v>
      </c>
      <c r="E52" s="18">
        <v>309799</v>
      </c>
      <c r="F52" s="19">
        <v>2412.8694999999998</v>
      </c>
      <c r="G52" s="20">
        <v>2.3E-3</v>
      </c>
      <c r="H52" s="21"/>
      <c r="I52" s="22"/>
      <c r="J52" s="3"/>
    </row>
    <row r="53" spans="1:10" ht="13.15" customHeight="1">
      <c r="A53" s="16" t="s">
        <v>174</v>
      </c>
      <c r="B53" s="17" t="s">
        <v>175</v>
      </c>
      <c r="C53" s="13" t="s">
        <v>176</v>
      </c>
      <c r="D53" s="13" t="s">
        <v>33</v>
      </c>
      <c r="E53" s="18">
        <v>4696135</v>
      </c>
      <c r="F53" s="19">
        <v>2336.3272000000002</v>
      </c>
      <c r="G53" s="20">
        <v>2.3E-3</v>
      </c>
      <c r="H53" s="21"/>
      <c r="I53" s="22"/>
      <c r="J53" s="3"/>
    </row>
    <row r="54" spans="1:10" ht="13.15" customHeight="1">
      <c r="A54" s="16" t="s">
        <v>177</v>
      </c>
      <c r="B54" s="17" t="s">
        <v>178</v>
      </c>
      <c r="C54" s="13" t="s">
        <v>179</v>
      </c>
      <c r="D54" s="13" t="s">
        <v>33</v>
      </c>
      <c r="E54" s="18">
        <v>220935</v>
      </c>
      <c r="F54" s="19">
        <v>2293.5261999999998</v>
      </c>
      <c r="G54" s="20">
        <v>2.2000000000000001E-3</v>
      </c>
      <c r="H54" s="21"/>
      <c r="I54" s="22"/>
      <c r="J54" s="3"/>
    </row>
    <row r="55" spans="1:10" ht="13.15" customHeight="1">
      <c r="A55" s="16" t="s">
        <v>180</v>
      </c>
      <c r="B55" s="17" t="s">
        <v>181</v>
      </c>
      <c r="C55" s="13" t="s">
        <v>182</v>
      </c>
      <c r="D55" s="13" t="s">
        <v>84</v>
      </c>
      <c r="E55" s="18">
        <v>169867</v>
      </c>
      <c r="F55" s="19">
        <v>2209.9697000000001</v>
      </c>
      <c r="G55" s="20">
        <v>2.2000000000000001E-3</v>
      </c>
      <c r="H55" s="21"/>
      <c r="I55" s="22"/>
      <c r="J55" s="3"/>
    </row>
    <row r="56" spans="1:10" ht="13.15" customHeight="1">
      <c r="A56" s="16" t="s">
        <v>183</v>
      </c>
      <c r="B56" s="17" t="s">
        <v>184</v>
      </c>
      <c r="C56" s="13" t="s">
        <v>185</v>
      </c>
      <c r="D56" s="13" t="s">
        <v>66</v>
      </c>
      <c r="E56" s="18">
        <v>97167</v>
      </c>
      <c r="F56" s="19">
        <v>2016.1180999999999</v>
      </c>
      <c r="G56" s="20">
        <v>2E-3</v>
      </c>
      <c r="H56" s="21"/>
      <c r="I56" s="22"/>
      <c r="J56" s="3"/>
    </row>
    <row r="57" spans="1:10" ht="13.15" customHeight="1">
      <c r="A57" s="16" t="s">
        <v>186</v>
      </c>
      <c r="B57" s="17" t="s">
        <v>187</v>
      </c>
      <c r="C57" s="13" t="s">
        <v>188</v>
      </c>
      <c r="D57" s="13" t="s">
        <v>18</v>
      </c>
      <c r="E57" s="18">
        <v>1713795</v>
      </c>
      <c r="F57" s="19">
        <v>1847.471</v>
      </c>
      <c r="G57" s="20">
        <v>1.8E-3</v>
      </c>
      <c r="H57" s="21"/>
      <c r="I57" s="22"/>
      <c r="J57" s="3"/>
    </row>
    <row r="58" spans="1:10" ht="13.15" customHeight="1">
      <c r="A58" s="16" t="s">
        <v>189</v>
      </c>
      <c r="B58" s="17" t="s">
        <v>190</v>
      </c>
      <c r="C58" s="13" t="s">
        <v>191</v>
      </c>
      <c r="D58" s="13" t="s">
        <v>66</v>
      </c>
      <c r="E58" s="18">
        <v>396983</v>
      </c>
      <c r="F58" s="19">
        <v>1754.4664</v>
      </c>
      <c r="G58" s="20">
        <v>1.6999999999999999E-3</v>
      </c>
      <c r="H58" s="21"/>
      <c r="I58" s="22"/>
      <c r="J58" s="3"/>
    </row>
    <row r="59" spans="1:10" ht="13.15" customHeight="1">
      <c r="A59" s="16" t="s">
        <v>192</v>
      </c>
      <c r="B59" s="17" t="s">
        <v>193</v>
      </c>
      <c r="C59" s="13" t="s">
        <v>194</v>
      </c>
      <c r="D59" s="13" t="s">
        <v>55</v>
      </c>
      <c r="E59" s="18">
        <v>232755</v>
      </c>
      <c r="F59" s="19">
        <v>1712.3785</v>
      </c>
      <c r="G59" s="20">
        <v>1.6999999999999999E-3</v>
      </c>
      <c r="H59" s="21"/>
      <c r="I59" s="22"/>
      <c r="J59" s="3"/>
    </row>
    <row r="60" spans="1:10" ht="13.15" customHeight="1">
      <c r="A60" s="16" t="s">
        <v>195</v>
      </c>
      <c r="B60" s="17" t="s">
        <v>196</v>
      </c>
      <c r="C60" s="13" t="s">
        <v>197</v>
      </c>
      <c r="D60" s="13" t="s">
        <v>47</v>
      </c>
      <c r="E60" s="18">
        <v>375617</v>
      </c>
      <c r="F60" s="19">
        <v>1667.9273000000001</v>
      </c>
      <c r="G60" s="20">
        <v>1.6000000000000001E-3</v>
      </c>
      <c r="H60" s="21"/>
      <c r="I60" s="22"/>
      <c r="J60" s="3"/>
    </row>
    <row r="61" spans="1:10" ht="13.15" customHeight="1">
      <c r="A61" s="16" t="s">
        <v>198</v>
      </c>
      <c r="B61" s="17" t="s">
        <v>199</v>
      </c>
      <c r="C61" s="13" t="s">
        <v>200</v>
      </c>
      <c r="D61" s="13" t="s">
        <v>201</v>
      </c>
      <c r="E61" s="18">
        <v>60191</v>
      </c>
      <c r="F61" s="19">
        <v>1550.9716000000001</v>
      </c>
      <c r="G61" s="20">
        <v>1.5E-3</v>
      </c>
      <c r="H61" s="21"/>
      <c r="I61" s="22"/>
      <c r="J61" s="3"/>
    </row>
    <row r="62" spans="1:10" ht="13.15" customHeight="1">
      <c r="A62" s="16" t="s">
        <v>202</v>
      </c>
      <c r="B62" s="17" t="s">
        <v>203</v>
      </c>
      <c r="C62" s="13" t="s">
        <v>204</v>
      </c>
      <c r="D62" s="13" t="s">
        <v>66</v>
      </c>
      <c r="E62" s="18">
        <v>126000</v>
      </c>
      <c r="F62" s="19">
        <v>1122.0930000000001</v>
      </c>
      <c r="G62" s="20">
        <v>1.1000000000000001E-3</v>
      </c>
      <c r="H62" s="21"/>
      <c r="I62" s="22"/>
      <c r="J62" s="3"/>
    </row>
    <row r="63" spans="1:10" ht="13.15" customHeight="1">
      <c r="A63" s="16" t="s">
        <v>205</v>
      </c>
      <c r="B63" s="17" t="s">
        <v>206</v>
      </c>
      <c r="C63" s="13" t="s">
        <v>207</v>
      </c>
      <c r="D63" s="13" t="s">
        <v>208</v>
      </c>
      <c r="E63" s="18">
        <v>335736</v>
      </c>
      <c r="F63" s="19">
        <v>1018.2873</v>
      </c>
      <c r="G63" s="20">
        <v>1E-3</v>
      </c>
      <c r="H63" s="21"/>
      <c r="I63" s="22"/>
      <c r="J63" s="3"/>
    </row>
    <row r="64" spans="1:10" ht="13.15" customHeight="1">
      <c r="A64" s="16" t="s">
        <v>209</v>
      </c>
      <c r="B64" s="17" t="s">
        <v>210</v>
      </c>
      <c r="C64" s="13" t="s">
        <v>211</v>
      </c>
      <c r="D64" s="13" t="s">
        <v>212</v>
      </c>
      <c r="E64" s="18">
        <v>33596</v>
      </c>
      <c r="F64" s="19">
        <v>713.71339999999998</v>
      </c>
      <c r="G64" s="20">
        <v>6.9999999999999999E-4</v>
      </c>
      <c r="H64" s="21"/>
      <c r="I64" s="22"/>
      <c r="J64" s="3"/>
    </row>
    <row r="65" spans="1:10" ht="13.15" customHeight="1">
      <c r="A65" s="16" t="s">
        <v>213</v>
      </c>
      <c r="B65" s="17" t="s">
        <v>214</v>
      </c>
      <c r="C65" s="13" t="s">
        <v>215</v>
      </c>
      <c r="D65" s="13" t="s">
        <v>66</v>
      </c>
      <c r="E65" s="18">
        <v>53389</v>
      </c>
      <c r="F65" s="19">
        <v>533.89</v>
      </c>
      <c r="G65" s="20">
        <v>5.0000000000000001E-4</v>
      </c>
      <c r="H65" s="21"/>
      <c r="I65" s="22"/>
      <c r="J65" s="3"/>
    </row>
    <row r="66" spans="1:10" ht="13.15" customHeight="1">
      <c r="A66" s="3"/>
      <c r="B66" s="12" t="s">
        <v>216</v>
      </c>
      <c r="C66" s="13"/>
      <c r="D66" s="13"/>
      <c r="E66" s="13"/>
      <c r="F66" s="23">
        <v>886328.93870000006</v>
      </c>
      <c r="G66" s="24">
        <v>0.86309999999999998</v>
      </c>
      <c r="H66" s="25"/>
      <c r="I66" s="26"/>
      <c r="J66" s="3"/>
    </row>
    <row r="67" spans="1:10" ht="13.15" customHeight="1">
      <c r="A67" s="3"/>
      <c r="B67" s="27" t="s">
        <v>217</v>
      </c>
      <c r="C67" s="28"/>
      <c r="D67" s="28"/>
      <c r="E67" s="28"/>
      <c r="F67" s="25" t="s">
        <v>218</v>
      </c>
      <c r="G67" s="25" t="s">
        <v>218</v>
      </c>
      <c r="H67" s="25"/>
      <c r="I67" s="26"/>
      <c r="J67" s="3"/>
    </row>
    <row r="68" spans="1:10" ht="13.15" customHeight="1">
      <c r="A68" s="3"/>
      <c r="B68" s="27" t="s">
        <v>216</v>
      </c>
      <c r="C68" s="28"/>
      <c r="D68" s="28"/>
      <c r="E68" s="28"/>
      <c r="F68" s="25" t="s">
        <v>218</v>
      </c>
      <c r="G68" s="25" t="s">
        <v>218</v>
      </c>
      <c r="H68" s="25"/>
      <c r="I68" s="26"/>
      <c r="J68" s="3"/>
    </row>
    <row r="69" spans="1:10" ht="13.15" customHeight="1">
      <c r="A69" s="3"/>
      <c r="B69" s="27" t="s">
        <v>219</v>
      </c>
      <c r="C69" s="29"/>
      <c r="D69" s="28"/>
      <c r="E69" s="29"/>
      <c r="F69" s="23">
        <v>886328.93870000006</v>
      </c>
      <c r="G69" s="24">
        <v>0.86309999999999998</v>
      </c>
      <c r="H69" s="25"/>
      <c r="I69" s="26"/>
      <c r="J69" s="3"/>
    </row>
    <row r="70" spans="1:10" ht="13.15" customHeight="1">
      <c r="A70" s="3"/>
      <c r="B70" s="12" t="s">
        <v>220</v>
      </c>
      <c r="C70" s="13"/>
      <c r="D70" s="13"/>
      <c r="E70" s="13"/>
      <c r="F70" s="13"/>
      <c r="G70" s="13"/>
      <c r="H70" s="14"/>
      <c r="I70" s="15"/>
      <c r="J70" s="3"/>
    </row>
    <row r="71" spans="1:10" ht="13.15" customHeight="1">
      <c r="A71" s="3"/>
      <c r="B71" s="12" t="s">
        <v>221</v>
      </c>
      <c r="C71" s="13"/>
      <c r="D71" s="13"/>
      <c r="E71" s="13"/>
      <c r="F71" s="3"/>
      <c r="G71" s="14"/>
      <c r="H71" s="14"/>
      <c r="I71" s="15"/>
      <c r="J71" s="3"/>
    </row>
    <row r="72" spans="1:10" ht="13.15" customHeight="1">
      <c r="A72" s="16" t="s">
        <v>222</v>
      </c>
      <c r="B72" s="17" t="s">
        <v>223</v>
      </c>
      <c r="C72" s="13" t="s">
        <v>224</v>
      </c>
      <c r="D72" s="13" t="s">
        <v>225</v>
      </c>
      <c r="E72" s="18">
        <v>6000000</v>
      </c>
      <c r="F72" s="19">
        <v>5864.4120000000003</v>
      </c>
      <c r="G72" s="20">
        <v>5.7000000000000002E-3</v>
      </c>
      <c r="H72" s="30">
        <v>6.6449999999999995E-2</v>
      </c>
      <c r="I72" s="22"/>
      <c r="J72" s="3"/>
    </row>
    <row r="73" spans="1:10" ht="13.15" customHeight="1">
      <c r="A73" s="16" t="s">
        <v>226</v>
      </c>
      <c r="B73" s="17" t="s">
        <v>227</v>
      </c>
      <c r="C73" s="13" t="s">
        <v>228</v>
      </c>
      <c r="D73" s="13" t="s">
        <v>225</v>
      </c>
      <c r="E73" s="18">
        <v>500000</v>
      </c>
      <c r="F73" s="19">
        <v>489.31049999999999</v>
      </c>
      <c r="G73" s="20">
        <v>5.0000000000000001E-4</v>
      </c>
      <c r="H73" s="30">
        <v>6.6449999999999995E-2</v>
      </c>
      <c r="I73" s="22"/>
      <c r="J73" s="3"/>
    </row>
    <row r="74" spans="1:10" ht="13.15" customHeight="1">
      <c r="A74" s="16" t="s">
        <v>229</v>
      </c>
      <c r="B74" s="17" t="s">
        <v>230</v>
      </c>
      <c r="C74" s="13" t="s">
        <v>231</v>
      </c>
      <c r="D74" s="13" t="s">
        <v>225</v>
      </c>
      <c r="E74" s="18">
        <v>500000</v>
      </c>
      <c r="F74" s="19">
        <v>489.31049999999999</v>
      </c>
      <c r="G74" s="20">
        <v>5.0000000000000001E-4</v>
      </c>
      <c r="H74" s="30">
        <v>6.6449999999999995E-2</v>
      </c>
      <c r="I74" s="22"/>
      <c r="J74" s="3"/>
    </row>
    <row r="75" spans="1:10" ht="13.15" customHeight="1">
      <c r="A75" s="3"/>
      <c r="B75" s="12" t="s">
        <v>216</v>
      </c>
      <c r="C75" s="13"/>
      <c r="D75" s="13"/>
      <c r="E75" s="13"/>
      <c r="F75" s="23">
        <f>SUM(F72:F74)</f>
        <v>6843.0329999999994</v>
      </c>
      <c r="G75" s="24">
        <f>SUM(G72:G74)</f>
        <v>6.7000000000000011E-3</v>
      </c>
      <c r="H75" s="25"/>
      <c r="I75" s="26"/>
      <c r="J75" s="3"/>
    </row>
    <row r="76" spans="1:10" ht="13.15" customHeight="1">
      <c r="A76" s="3"/>
      <c r="B76" s="27" t="s">
        <v>219</v>
      </c>
      <c r="C76" s="29"/>
      <c r="D76" s="28"/>
      <c r="E76" s="29"/>
      <c r="F76" s="23">
        <f>F75</f>
        <v>6843.0329999999994</v>
      </c>
      <c r="G76" s="24">
        <f>G75</f>
        <v>6.7000000000000011E-3</v>
      </c>
      <c r="H76" s="25"/>
      <c r="I76" s="26"/>
      <c r="J76" s="3"/>
    </row>
    <row r="77" spans="1:10" ht="13.15" customHeight="1">
      <c r="A77" s="3"/>
      <c r="B77" s="12" t="s">
        <v>232</v>
      </c>
      <c r="C77" s="13"/>
      <c r="D77" s="13"/>
      <c r="E77" s="13"/>
      <c r="F77" s="13"/>
      <c r="G77" s="13"/>
      <c r="H77" s="14"/>
      <c r="I77" s="15"/>
      <c r="J77" s="3"/>
    </row>
    <row r="78" spans="1:10" ht="13.15" customHeight="1">
      <c r="A78" s="16" t="s">
        <v>233</v>
      </c>
      <c r="B78" s="17" t="s">
        <v>234</v>
      </c>
      <c r="C78" s="13"/>
      <c r="D78" s="13"/>
      <c r="E78" s="18"/>
      <c r="F78" s="19">
        <v>136411.13</v>
      </c>
      <c r="G78" s="20">
        <v>0.1328</v>
      </c>
      <c r="H78" s="30">
        <v>6.441532547888143E-2</v>
      </c>
      <c r="I78" s="22"/>
      <c r="J78" s="3"/>
    </row>
    <row r="79" spans="1:10" ht="13.15" customHeight="1">
      <c r="A79" s="3"/>
      <c r="B79" s="12" t="s">
        <v>216</v>
      </c>
      <c r="C79" s="13"/>
      <c r="D79" s="13"/>
      <c r="E79" s="13"/>
      <c r="F79" s="23">
        <v>136411.13</v>
      </c>
      <c r="G79" s="24">
        <v>0.1328</v>
      </c>
      <c r="H79" s="25"/>
      <c r="I79" s="26"/>
      <c r="J79" s="3"/>
    </row>
    <row r="80" spans="1:10" ht="13.15" customHeight="1">
      <c r="A80" s="3"/>
      <c r="B80" s="27" t="s">
        <v>219</v>
      </c>
      <c r="C80" s="29"/>
      <c r="D80" s="28"/>
      <c r="E80" s="29"/>
      <c r="F80" s="23">
        <v>136411.13</v>
      </c>
      <c r="G80" s="24">
        <v>0.1328</v>
      </c>
      <c r="H80" s="25"/>
      <c r="I80" s="26"/>
      <c r="J80" s="3"/>
    </row>
    <row r="81" spans="1:10" ht="13.15" customHeight="1">
      <c r="A81" s="3"/>
      <c r="B81" s="27" t="s">
        <v>235</v>
      </c>
      <c r="C81" s="13"/>
      <c r="D81" s="28"/>
      <c r="E81" s="13"/>
      <c r="F81" s="31">
        <v>-2665.2116999999998</v>
      </c>
      <c r="G81" s="24">
        <v>-2.5999999999999999E-3</v>
      </c>
      <c r="H81" s="25"/>
      <c r="I81" s="26"/>
      <c r="J81" s="3"/>
    </row>
    <row r="82" spans="1:10" ht="13.15" customHeight="1" thickBot="1">
      <c r="A82" s="3"/>
      <c r="B82" s="32" t="s">
        <v>236</v>
      </c>
      <c r="C82" s="33"/>
      <c r="D82" s="33"/>
      <c r="E82" s="33"/>
      <c r="F82" s="34">
        <v>1026917.89</v>
      </c>
      <c r="G82" s="35">
        <v>1</v>
      </c>
      <c r="H82" s="36"/>
      <c r="I82" s="37"/>
      <c r="J82" s="3"/>
    </row>
    <row r="83" spans="1:10" ht="13.15" customHeight="1">
      <c r="A83" s="3"/>
      <c r="B83" s="5"/>
      <c r="C83" s="3"/>
      <c r="D83" s="3"/>
      <c r="E83" s="3"/>
      <c r="F83" s="3"/>
      <c r="G83" s="3"/>
      <c r="H83" s="3"/>
      <c r="I83" s="3"/>
      <c r="J83" s="3"/>
    </row>
    <row r="84" spans="1:10" ht="13.15" customHeight="1">
      <c r="A84" s="3"/>
      <c r="B84" s="2" t="s">
        <v>237</v>
      </c>
      <c r="C84" s="3"/>
      <c r="D84" s="3"/>
      <c r="E84" s="3"/>
      <c r="F84" s="3"/>
      <c r="G84" s="3"/>
      <c r="H84" s="3"/>
      <c r="I84" s="3"/>
      <c r="J84" s="3"/>
    </row>
    <row r="85" spans="1:10" ht="13.15" customHeight="1">
      <c r="A85" s="3"/>
      <c r="B85" s="2" t="s">
        <v>238</v>
      </c>
      <c r="C85" s="3"/>
      <c r="D85" s="3"/>
      <c r="E85" s="3"/>
      <c r="F85" s="3"/>
      <c r="G85" s="3"/>
      <c r="H85" s="3"/>
      <c r="I85" s="3"/>
      <c r="J85" s="3"/>
    </row>
    <row r="86" spans="1:10" ht="25.9" customHeight="1">
      <c r="A86" s="3"/>
      <c r="B86" s="38" t="s">
        <v>239</v>
      </c>
      <c r="C86" s="38"/>
      <c r="D86" s="38"/>
      <c r="E86" s="38"/>
      <c r="F86" s="38"/>
      <c r="G86" s="38"/>
      <c r="H86" s="38"/>
      <c r="I86" s="38"/>
      <c r="J86" s="3"/>
    </row>
    <row r="87" spans="1:10" ht="13.15" customHeight="1">
      <c r="A87" s="3"/>
      <c r="B87" s="38"/>
      <c r="C87" s="38"/>
      <c r="D87" s="38"/>
      <c r="E87" s="38"/>
      <c r="F87" s="38"/>
      <c r="G87" s="38"/>
      <c r="H87" s="38"/>
      <c r="I87" s="38"/>
      <c r="J87" s="3"/>
    </row>
    <row r="88" spans="1:10" ht="13.15" customHeight="1">
      <c r="A88" s="3"/>
      <c r="B88" s="38"/>
      <c r="C88" s="38"/>
      <c r="D88" s="38"/>
      <c r="E88" s="38"/>
      <c r="F88" s="38"/>
      <c r="G88" s="38"/>
      <c r="H88" s="38"/>
      <c r="I88" s="38"/>
      <c r="J88" s="3"/>
    </row>
    <row r="89" spans="1:10" ht="13.15" customHeight="1">
      <c r="A89" s="3"/>
      <c r="B89" s="3"/>
      <c r="C89" s="39" t="s">
        <v>240</v>
      </c>
      <c r="D89" s="39"/>
      <c r="E89" s="39"/>
      <c r="F89" s="39"/>
      <c r="G89" s="3"/>
      <c r="H89" s="3"/>
      <c r="I89" s="3"/>
      <c r="J89" s="3"/>
    </row>
    <row r="90" spans="1:10" ht="13.15" customHeight="1">
      <c r="A90" s="3"/>
      <c r="B90" s="40" t="s">
        <v>241</v>
      </c>
      <c r="C90" s="39" t="s">
        <v>242</v>
      </c>
      <c r="D90" s="39"/>
      <c r="E90" s="39"/>
      <c r="F90" s="39"/>
      <c r="G90" s="3"/>
      <c r="H90" s="3"/>
      <c r="I90" s="3"/>
      <c r="J90" s="3"/>
    </row>
    <row r="91" spans="1:10" ht="121.15" customHeight="1">
      <c r="A91" s="3"/>
      <c r="B91" s="3"/>
      <c r="C91" s="41"/>
      <c r="D91" s="41"/>
      <c r="E91" s="3"/>
      <c r="F91" s="3"/>
      <c r="G91" s="3"/>
      <c r="H91" s="3"/>
      <c r="I91" s="3"/>
      <c r="J91" s="3"/>
    </row>
  </sheetData>
  <mergeCells count="6">
    <mergeCell ref="B86:I86"/>
    <mergeCell ref="B87:I87"/>
    <mergeCell ref="B88:I88"/>
    <mergeCell ref="C89:F89"/>
    <mergeCell ref="C90:F90"/>
    <mergeCell ref="C91:D91"/>
  </mergeCells>
  <hyperlinks>
    <hyperlink ref="A1" location="AxisFlexiCapFund" display="AXISMLF" xr:uid="{2762FB23-1583-467A-ACC7-21483CA7F1E6}"/>
    <hyperlink ref="B1" location="AxisFlexiCapFund" display="Axis Flexi Cap Fund" xr:uid="{E97EE9A7-6561-4308-AEA3-A15903B184A0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AXISMLF</vt:lpstr>
      <vt:lpstr>JR_PAGE_ANCHOR_0_38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2023-02-06T21:05:15Z</dcterms:created>
  <dcterms:modified xsi:type="dcterms:W3CDTF">2023-02-06T21:05:16Z</dcterms:modified>
</cp:coreProperties>
</file>