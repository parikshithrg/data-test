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5147A3FD-4481-4271-8346-1B818AC9E3C5}" xr6:coauthVersionLast="47" xr6:coauthVersionMax="47" xr10:uidLastSave="{00000000-0000-0000-0000-000000000000}"/>
  <bookViews>
    <workbookView xWindow="-120" yWindow="-120" windowWidth="23280" windowHeight="12285" xr2:uid="{50DC73C3-8247-4B13-982A-BBCBA61A2E92}"/>
  </bookViews>
  <sheets>
    <sheet name="AXISML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41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8" i="1" l="1"/>
  <c r="F78" i="1"/>
</calcChain>
</file>

<file path=xl/sharedStrings.xml><?xml version="1.0" encoding="utf-8"?>
<sst xmlns="http://schemas.openxmlformats.org/spreadsheetml/2006/main" count="300" uniqueCount="252">
  <si>
    <t>AXISMLF</t>
  </si>
  <si>
    <t>Axis Flexi Cap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</si>
  <si>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</si>
  <si>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</si>
  <si>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</si>
  <si>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</si>
  <si>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</si>
  <si>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</si>
  <si>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</si>
  <si>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</si>
  <si>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</si>
  <si>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</si>
  <si>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</si>
  <si>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</si>
  <si>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</si>
  <si>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</si>
  <si>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</si>
  <si>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</si>
  <si>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</si>
  <si>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</si>
  <si>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</si>
  <si>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</si>
  <si>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</si>
  <si>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</si>
  <si>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</si>
  <si>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</si>
  <si>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</si>
  <si>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</si>
  <si>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</si>
  <si>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</si>
  <si>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</si>
  <si>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</si>
  <si>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</si>
  <si>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</si>
  <si>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</si>
  <si>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</si>
  <si>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</si>
  <si>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</si>
  <si>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</si>
  <si>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</si>
  <si>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</si>
  <si>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</si>
  <si>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</si>
  <si>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</si>
  <si>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KIMS01</t>
  </si>
  <si>
    <t>Krishna Institute Of Medical Sciences Limited</t>
  </si>
  <si>
    <t>INE967H01017</t>
  </si>
  <si>
    <t>Healthcare Services</t>
  </si>
  <si>
    <t>ULCC01</t>
  </si>
  <si>
    <t>UltraTech Cement Limited</t>
  </si>
  <si>
    <t>INE481G01011</t>
  </si>
  <si>
    <t>Cement &amp; Cement Products</t>
  </si>
  <si>
    <t>BRIG01</t>
  </si>
  <si>
    <t>Brigade Enterprises Limited</t>
  </si>
  <si>
    <t>INE791I01019</t>
  </si>
  <si>
    <t>Realty</t>
  </si>
  <si>
    <t>SLIF01</t>
  </si>
  <si>
    <t>SBI Life Insurance Company Limited</t>
  </si>
  <si>
    <t>INE123W01016</t>
  </si>
  <si>
    <t>Insurance</t>
  </si>
  <si>
    <t>SONB01</t>
  </si>
  <si>
    <t>Sona BLW Precision Forgings Limited</t>
  </si>
  <si>
    <t>INE073K01018</t>
  </si>
  <si>
    <t>Auto Components</t>
  </si>
  <si>
    <t>HDFC03</t>
  </si>
  <si>
    <t>Housing Development Finance Corporation Limited</t>
  </si>
  <si>
    <t>INE001A01036</t>
  </si>
  <si>
    <t>NAHR01</t>
  </si>
  <si>
    <t>Narayana Hrudayalaya Limited</t>
  </si>
  <si>
    <t>INE410P01011</t>
  </si>
  <si>
    <t>TWAT02</t>
  </si>
  <si>
    <t>Titan Company Limited</t>
  </si>
  <si>
    <t>INE280A01028</t>
  </si>
  <si>
    <t>Consumer Durables</t>
  </si>
  <si>
    <t>PIDI02</t>
  </si>
  <si>
    <t>Pidilite Industries Limited</t>
  </si>
  <si>
    <t>INE318A01026</t>
  </si>
  <si>
    <t>Chemicals &amp; Petrochemicals</t>
  </si>
  <si>
    <t>FOIL01</t>
  </si>
  <si>
    <t>Fine Organic Industries Limited</t>
  </si>
  <si>
    <t>INE686Y01026</t>
  </si>
  <si>
    <t>BHEL02</t>
  </si>
  <si>
    <t>Bharat Electronics Limited</t>
  </si>
  <si>
    <t>INE263A01024</t>
  </si>
  <si>
    <t>Aerospace &amp; Defense</t>
  </si>
  <si>
    <t>BFSL02</t>
  </si>
  <si>
    <t>Bajaj Finserv Limited</t>
  </si>
  <si>
    <t>INE918I01026</t>
  </si>
  <si>
    <t>PIIN03</t>
  </si>
  <si>
    <t>PI Industries Limited</t>
  </si>
  <si>
    <t>INE603J01030</t>
  </si>
  <si>
    <t>Fertilizers &amp; Agrochemicals</t>
  </si>
  <si>
    <t>SPIL03</t>
  </si>
  <si>
    <t>Sun Pharmaceutical Industries Limited</t>
  </si>
  <si>
    <t>INE044A01036</t>
  </si>
  <si>
    <t>Pharmaceuticals &amp; Biotechnology</t>
  </si>
  <si>
    <t>CHOL02</t>
  </si>
  <si>
    <t>Cholamandalam Investment and Finance Company Ltd</t>
  </si>
  <si>
    <t>INE121A01024</t>
  </si>
  <si>
    <t>NEST01</t>
  </si>
  <si>
    <t>Nestle India Limited</t>
  </si>
  <si>
    <t>INE239A01016</t>
  </si>
  <si>
    <t>Food Products</t>
  </si>
  <si>
    <t>ASPA02</t>
  </si>
  <si>
    <t>Asian Paints Limited</t>
  </si>
  <si>
    <t>INE021A01026</t>
  </si>
  <si>
    <t>LAKM02</t>
  </si>
  <si>
    <t>Trent Limited</t>
  </si>
  <si>
    <t>INE849A01020</t>
  </si>
  <si>
    <t>IEIN01</t>
  </si>
  <si>
    <t>Info Edge (India) Limited</t>
  </si>
  <si>
    <t>INE663F01024</t>
  </si>
  <si>
    <t>BTVL02</t>
  </si>
  <si>
    <t>Bharti Airtel Limited</t>
  </si>
  <si>
    <t>INE397D01024</t>
  </si>
  <si>
    <t>Telecom - Services</t>
  </si>
  <si>
    <t>ASTP04</t>
  </si>
  <si>
    <t>Astral Limited</t>
  </si>
  <si>
    <t>INE006I01046</t>
  </si>
  <si>
    <t>Industrial Products</t>
  </si>
  <si>
    <t>SBAI02</t>
  </si>
  <si>
    <t>State Bank of India</t>
  </si>
  <si>
    <t>INE062A01020</t>
  </si>
  <si>
    <t>GALS01</t>
  </si>
  <si>
    <t>Galaxy Surfactants Limited</t>
  </si>
  <si>
    <t>INE600K01018</t>
  </si>
  <si>
    <t>CSTL01</t>
  </si>
  <si>
    <t>Clean Science and Technology Limited</t>
  </si>
  <si>
    <t>INE227W01023</t>
  </si>
  <si>
    <t>WABT01</t>
  </si>
  <si>
    <t>ZF Commercial Vehicle Control Systems India Limited</t>
  </si>
  <si>
    <t>INE342J01019</t>
  </si>
  <si>
    <t>TELC03</t>
  </si>
  <si>
    <t>Tata Motors Limited</t>
  </si>
  <si>
    <t>INE155A01022</t>
  </si>
  <si>
    <t>LTIL01</t>
  </si>
  <si>
    <t>LTIMindtree Limited</t>
  </si>
  <si>
    <t>INE214T01019</t>
  </si>
  <si>
    <t>SANE01</t>
  </si>
  <si>
    <t>Sansera Engineering Limited</t>
  </si>
  <si>
    <t>INE953O01021</t>
  </si>
  <si>
    <t>FRHL01</t>
  </si>
  <si>
    <t>Fortis Healthcare Limited</t>
  </si>
  <si>
    <t>INE061F01013</t>
  </si>
  <si>
    <t>KFIN01</t>
  </si>
  <si>
    <t>KFin Technologies Limited</t>
  </si>
  <si>
    <t>INE138Y01010</t>
  </si>
  <si>
    <t>Capital Markets</t>
  </si>
  <si>
    <t>RACM01</t>
  </si>
  <si>
    <t>Rainbow Childrens Medicare Limited</t>
  </si>
  <si>
    <t>INE961O01016</t>
  </si>
  <si>
    <t>NECH01</t>
  </si>
  <si>
    <t>Neogen Chemicals Limited</t>
  </si>
  <si>
    <t>INE136S01016</t>
  </si>
  <si>
    <t>CPIL02</t>
  </si>
  <si>
    <t>CCL Products (India) Limited</t>
  </si>
  <si>
    <t>INE421D01022</t>
  </si>
  <si>
    <t>Agricultural Food &amp; other Products</t>
  </si>
  <si>
    <t>MSUW01</t>
  </si>
  <si>
    <t>Motherson Sumi Wiring India Limited</t>
  </si>
  <si>
    <t>INE0FS801015</t>
  </si>
  <si>
    <t>ROLR01</t>
  </si>
  <si>
    <t>Rolex Rings Limited</t>
  </si>
  <si>
    <t>INE645S01016</t>
  </si>
  <si>
    <t>RIND01</t>
  </si>
  <si>
    <t>Reliance Industries Limited</t>
  </si>
  <si>
    <t>INE002A01018</t>
  </si>
  <si>
    <t>Petroleum Products</t>
  </si>
  <si>
    <t>ORRE01</t>
  </si>
  <si>
    <t>RHI Magnesita India Limited</t>
  </si>
  <si>
    <t>INE743M01012</t>
  </si>
  <si>
    <t>GHPL01</t>
  </si>
  <si>
    <t>Global Health Limited</t>
  </si>
  <si>
    <t>INE474Q01031</t>
  </si>
  <si>
    <t>GFPL01</t>
  </si>
  <si>
    <t>Go Fashion (India) Limited</t>
  </si>
  <si>
    <t>INE0BJS01011</t>
  </si>
  <si>
    <t>TATC01</t>
  </si>
  <si>
    <t>Tatva Chintan Pharma Chem Limited</t>
  </si>
  <si>
    <t>INE0GK401011</t>
  </si>
  <si>
    <t>SMFP01</t>
  </si>
  <si>
    <t>Suryoday Small Finance Bank Limited</t>
  </si>
  <si>
    <t>INE428Q01011</t>
  </si>
  <si>
    <t>STPR03</t>
  </si>
  <si>
    <t>JK Lakshmi Cement Limited</t>
  </si>
  <si>
    <t>INE786A01032</t>
  </si>
  <si>
    <t>CARU03</t>
  </si>
  <si>
    <t>Carborundum Universal Limited</t>
  </si>
  <si>
    <t>INE120A01034</t>
  </si>
  <si>
    <t>CHEM04</t>
  </si>
  <si>
    <t>Chemplast Sanmar Limited</t>
  </si>
  <si>
    <t>INE488A01050</t>
  </si>
  <si>
    <t>HLEL02</t>
  </si>
  <si>
    <t>Hindustan Unilever Limited</t>
  </si>
  <si>
    <t>INE030A01027</t>
  </si>
  <si>
    <t>Diversified FMCG</t>
  </si>
  <si>
    <t>ZMPL01</t>
  </si>
  <si>
    <t>Zomato Limited</t>
  </si>
  <si>
    <t>INE758T01015</t>
  </si>
  <si>
    <t>AETH01</t>
  </si>
  <si>
    <t>Aether Industries Limited</t>
  </si>
  <si>
    <t>INE0BWX01014</t>
  </si>
  <si>
    <t>GLAN02</t>
  </si>
  <si>
    <t>Gland Pharma Limited</t>
  </si>
  <si>
    <t>INE068V01023</t>
  </si>
  <si>
    <t>MASP02</t>
  </si>
  <si>
    <t>Vardhman Textiles Limited</t>
  </si>
  <si>
    <t>INE825A01020</t>
  </si>
  <si>
    <t>Textiles &amp; Apparels</t>
  </si>
  <si>
    <t>DIVI02</t>
  </si>
  <si>
    <t>Divi's Laboratories Limited</t>
  </si>
  <si>
    <t>INE361B01024</t>
  </si>
  <si>
    <t>LARS02</t>
  </si>
  <si>
    <t>Larsen &amp; Toubro Limited</t>
  </si>
  <si>
    <t>INE018A01030</t>
  </si>
  <si>
    <t>Construction</t>
  </si>
  <si>
    <t>HKFIN01</t>
  </si>
  <si>
    <t>Privi Speciality Chemicals Limited</t>
  </si>
  <si>
    <t>INE959A01019</t>
  </si>
  <si>
    <t>CIPL03</t>
  </si>
  <si>
    <t>Cipla Limited</t>
  </si>
  <si>
    <t>INE059A01026</t>
  </si>
  <si>
    <t>FAGP02</t>
  </si>
  <si>
    <t>Schaeffler India Limited</t>
  </si>
  <si>
    <t>INE513A01022</t>
  </si>
  <si>
    <t>Sub Total</t>
  </si>
  <si>
    <t>(b) Unlisted</t>
  </si>
  <si>
    <t>NIL</t>
  </si>
  <si>
    <t>Total</t>
  </si>
  <si>
    <t>Money Market Instruments</t>
  </si>
  <si>
    <t>Treasury Bill</t>
  </si>
  <si>
    <t>TBIL2137</t>
  </si>
  <si>
    <t>182 Days Tbill (MD 08/06/2023)</t>
  </si>
  <si>
    <t>IN002022Y377</t>
  </si>
  <si>
    <t>Sovereign</t>
  </si>
  <si>
    <t>TBIL2057</t>
  </si>
  <si>
    <t>364 Days Tbill (MD 01/06/2023)</t>
  </si>
  <si>
    <t>IN002022Z093</t>
  </si>
  <si>
    <t>TBIL2133</t>
  </si>
  <si>
    <t>182 Days Tbill (MD 01/06/2023)</t>
  </si>
  <si>
    <t>IN002022Y369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</si>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</sst>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0</xdr:colOff>
      <xdr:row>94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E462D2C-EB0C-4BEA-8673-B105AC94E58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4495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4</xdr:col>
      <xdr:colOff>0</xdr:colOff>
      <xdr:row>94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4BD3E6D-8FD4-413B-8BC9-BF0EA24344D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44955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FDAF-B106-44EE-86CE-968CEC59F39B}">
  <sheetPr codeName="Sheet40">
    <outlinePr summaryBelow="0"/>
  </sheetPr>
  <dimension ref="A1:J94"/>
  <sheetViews>
    <sheetView tabSelected="1" topLeftCell="A73" workbookViewId="0">
      <selection activeCell="A88" sqref="A8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10775852</v>
      </c>
      <c r="F7" s="19">
        <v>92117.370800000004</v>
      </c>
      <c r="G7" s="20">
        <v>9.1399999999999995E-2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1357266</v>
      </c>
      <c r="F8" s="19">
        <v>82957.455199999997</v>
      </c>
      <c r="G8" s="20">
        <v>8.2299999999999998E-2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4426000</v>
      </c>
      <c r="F9" s="19">
        <v>70798.296000000002</v>
      </c>
      <c r="G9" s="20">
        <v>7.0300000000000001E-2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4527027</v>
      </c>
      <c r="F10" s="19">
        <v>67341.790099999998</v>
      </c>
      <c r="G10" s="20">
        <v>6.6799999999999998E-2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1676581</v>
      </c>
      <c r="F11" s="19">
        <v>57287.934500000003</v>
      </c>
      <c r="G11" s="20">
        <v>5.6800000000000003E-2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1121605</v>
      </c>
      <c r="F12" s="19">
        <v>37157.091200000003</v>
      </c>
      <c r="G12" s="20">
        <v>3.6900000000000002E-2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2000000</v>
      </c>
      <c r="F13" s="19">
        <v>34585</v>
      </c>
      <c r="G13" s="20">
        <v>3.4299999999999997E-2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2590000</v>
      </c>
      <c r="F14" s="19">
        <v>32882.639999999999</v>
      </c>
      <c r="G14" s="20">
        <v>3.2599999999999997E-2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1425344</v>
      </c>
      <c r="F15" s="19">
        <v>19160.899399999998</v>
      </c>
      <c r="G15" s="20">
        <v>1.9E-2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233914</v>
      </c>
      <c r="F16" s="19">
        <v>16985.1973</v>
      </c>
      <c r="G16" s="20">
        <v>1.6899999999999998E-2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3452534</v>
      </c>
      <c r="F17" s="19">
        <v>16836.2821</v>
      </c>
      <c r="G17" s="20">
        <v>1.67E-2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1430324</v>
      </c>
      <c r="F18" s="19">
        <v>16033.932000000001</v>
      </c>
      <c r="G18" s="20">
        <v>1.5900000000000001E-2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3522517</v>
      </c>
      <c r="F19" s="19">
        <v>15784.3987</v>
      </c>
      <c r="G19" s="20">
        <v>1.5699999999999999E-2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22</v>
      </c>
      <c r="E20" s="18">
        <v>603490</v>
      </c>
      <c r="F20" s="19">
        <v>15747.7698</v>
      </c>
      <c r="G20" s="20">
        <v>1.5599999999999999E-2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47</v>
      </c>
      <c r="E21" s="18">
        <v>2063048</v>
      </c>
      <c r="F21" s="19">
        <v>15454.292600000001</v>
      </c>
      <c r="G21" s="20">
        <v>1.5299999999999999E-2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630738</v>
      </c>
      <c r="F22" s="19">
        <v>14966.1513</v>
      </c>
      <c r="G22" s="20">
        <v>1.49E-2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638163</v>
      </c>
      <c r="F23" s="19">
        <v>14682.854300000001</v>
      </c>
      <c r="G23" s="20">
        <v>1.46E-2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77</v>
      </c>
      <c r="E24" s="18">
        <v>304168</v>
      </c>
      <c r="F24" s="19">
        <v>14068.3783</v>
      </c>
      <c r="G24" s="20">
        <v>1.4E-2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14551792</v>
      </c>
      <c r="F25" s="19">
        <v>13765.995199999999</v>
      </c>
      <c r="G25" s="20">
        <v>1.37E-2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22</v>
      </c>
      <c r="E26" s="18">
        <v>985000</v>
      </c>
      <c r="F26" s="19">
        <v>13148.764999999999</v>
      </c>
      <c r="G26" s="20">
        <v>1.2999999999999999E-2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417256</v>
      </c>
      <c r="F27" s="19">
        <v>12933.058300000001</v>
      </c>
      <c r="G27" s="20">
        <v>1.2800000000000001E-2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1350000</v>
      </c>
      <c r="F28" s="19">
        <v>12914.1</v>
      </c>
      <c r="G28" s="20">
        <v>1.2800000000000001E-2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22</v>
      </c>
      <c r="E29" s="18">
        <v>1477276</v>
      </c>
      <c r="F29" s="19">
        <v>11175.5929</v>
      </c>
      <c r="G29" s="20">
        <v>1.11E-2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57409</v>
      </c>
      <c r="F30" s="19">
        <v>10718.2603</v>
      </c>
      <c r="G30" s="20">
        <v>1.06E-2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73</v>
      </c>
      <c r="E31" s="18">
        <v>377088</v>
      </c>
      <c r="F31" s="19">
        <v>10667.0653</v>
      </c>
      <c r="G31" s="20">
        <v>1.06E-2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33</v>
      </c>
      <c r="E32" s="18">
        <v>819574</v>
      </c>
      <c r="F32" s="19">
        <v>10475.3851</v>
      </c>
      <c r="G32" s="20">
        <v>1.04E-2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33</v>
      </c>
      <c r="E33" s="18">
        <v>290000</v>
      </c>
      <c r="F33" s="19">
        <v>10125.93</v>
      </c>
      <c r="G33" s="20">
        <v>0.01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1362964</v>
      </c>
      <c r="F34" s="19">
        <v>10116.6003</v>
      </c>
      <c r="G34" s="20">
        <v>0.01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518781</v>
      </c>
      <c r="F35" s="19">
        <v>9797.1792000000005</v>
      </c>
      <c r="G35" s="20">
        <v>9.7000000000000003E-3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18</v>
      </c>
      <c r="E36" s="18">
        <v>1815383</v>
      </c>
      <c r="F36" s="19">
        <v>9490.8222999999998</v>
      </c>
      <c r="G36" s="20">
        <v>9.4000000000000004E-3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77</v>
      </c>
      <c r="E37" s="18">
        <v>380138</v>
      </c>
      <c r="F37" s="19">
        <v>8991.0239999999994</v>
      </c>
      <c r="G37" s="20">
        <v>8.8999999999999999E-3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77</v>
      </c>
      <c r="E38" s="18">
        <v>558411</v>
      </c>
      <c r="F38" s="19">
        <v>7694.0659999999998</v>
      </c>
      <c r="G38" s="20">
        <v>7.6E-3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63</v>
      </c>
      <c r="E39" s="18">
        <v>64476</v>
      </c>
      <c r="F39" s="19">
        <v>6803.0562</v>
      </c>
      <c r="G39" s="20">
        <v>6.7999999999999996E-3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43</v>
      </c>
      <c r="E40" s="18">
        <v>1540164</v>
      </c>
      <c r="F40" s="19">
        <v>6479.4699000000001</v>
      </c>
      <c r="G40" s="20">
        <v>6.4000000000000003E-3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29</v>
      </c>
      <c r="E41" s="18">
        <v>127375</v>
      </c>
      <c r="F41" s="19">
        <v>6014.7111999999997</v>
      </c>
      <c r="G41" s="20">
        <v>6.0000000000000001E-3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63</v>
      </c>
      <c r="E42" s="18">
        <v>815352</v>
      </c>
      <c r="F42" s="19">
        <v>5941.8777</v>
      </c>
      <c r="G42" s="20">
        <v>5.8999999999999999E-3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47</v>
      </c>
      <c r="E43" s="18">
        <v>2000508</v>
      </c>
      <c r="F43" s="19">
        <v>5346.3576000000003</v>
      </c>
      <c r="G43" s="20">
        <v>5.3E-3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1787122</v>
      </c>
      <c r="F44" s="19">
        <v>5261.2871999999998</v>
      </c>
      <c r="G44" s="20">
        <v>5.1999999999999998E-3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47</v>
      </c>
      <c r="E45" s="18">
        <v>651312</v>
      </c>
      <c r="F45" s="19">
        <v>4823.2910000000002</v>
      </c>
      <c r="G45" s="20">
        <v>4.7999999999999996E-3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77</v>
      </c>
      <c r="E46" s="18">
        <v>290188</v>
      </c>
      <c r="F46" s="19">
        <v>3674.6505999999999</v>
      </c>
      <c r="G46" s="20">
        <v>3.5999999999999999E-3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589802</v>
      </c>
      <c r="F47" s="19">
        <v>3225.922</v>
      </c>
      <c r="G47" s="20">
        <v>3.2000000000000002E-3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63</v>
      </c>
      <c r="E48" s="18">
        <v>5532014</v>
      </c>
      <c r="F48" s="19">
        <v>2738.3469</v>
      </c>
      <c r="G48" s="20">
        <v>2.7000000000000001E-3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63</v>
      </c>
      <c r="E49" s="18">
        <v>144899</v>
      </c>
      <c r="F49" s="19">
        <v>2663.1712000000002</v>
      </c>
      <c r="G49" s="20">
        <v>2.5999999999999999E-3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110000</v>
      </c>
      <c r="F50" s="19">
        <v>2554.8049999999998</v>
      </c>
      <c r="G50" s="20">
        <v>2.5000000000000001E-3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119</v>
      </c>
      <c r="E51" s="18">
        <v>309799</v>
      </c>
      <c r="F51" s="19">
        <v>1984.8822</v>
      </c>
      <c r="G51" s="20">
        <v>2E-3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47</v>
      </c>
      <c r="E52" s="18">
        <v>375617</v>
      </c>
      <c r="F52" s="19">
        <v>1955.8377</v>
      </c>
      <c r="G52" s="20">
        <v>1.9E-3</v>
      </c>
      <c r="H52" s="21"/>
      <c r="I52" s="22"/>
      <c r="J52" s="3"/>
    </row>
    <row r="53" spans="1:10" ht="12.95" customHeight="1">
      <c r="A53" s="16" t="s">
        <v>174</v>
      </c>
      <c r="B53" s="17" t="s">
        <v>175</v>
      </c>
      <c r="C53" s="13" t="s">
        <v>176</v>
      </c>
      <c r="D53" s="13" t="s">
        <v>33</v>
      </c>
      <c r="E53" s="18">
        <v>212794</v>
      </c>
      <c r="F53" s="19">
        <v>1951.3209999999999</v>
      </c>
      <c r="G53" s="20">
        <v>1.9E-3</v>
      </c>
      <c r="H53" s="21"/>
      <c r="I53" s="22"/>
      <c r="J53" s="3"/>
    </row>
    <row r="54" spans="1:10" ht="12.95" customHeight="1">
      <c r="A54" s="16" t="s">
        <v>177</v>
      </c>
      <c r="B54" s="17" t="s">
        <v>178</v>
      </c>
      <c r="C54" s="13" t="s">
        <v>179</v>
      </c>
      <c r="D54" s="13" t="s">
        <v>77</v>
      </c>
      <c r="E54" s="18">
        <v>95627</v>
      </c>
      <c r="F54" s="19">
        <v>1832.6914999999999</v>
      </c>
      <c r="G54" s="20">
        <v>1.8E-3</v>
      </c>
      <c r="H54" s="21"/>
      <c r="I54" s="22"/>
      <c r="J54" s="3"/>
    </row>
    <row r="55" spans="1:10" ht="12.95" customHeight="1">
      <c r="A55" s="16" t="s">
        <v>180</v>
      </c>
      <c r="B55" s="17" t="s">
        <v>181</v>
      </c>
      <c r="C55" s="13" t="s">
        <v>182</v>
      </c>
      <c r="D55" s="13" t="s">
        <v>18</v>
      </c>
      <c r="E55" s="18">
        <v>1713795</v>
      </c>
      <c r="F55" s="19">
        <v>1673.5208</v>
      </c>
      <c r="G55" s="20">
        <v>1.6999999999999999E-3</v>
      </c>
      <c r="H55" s="21"/>
      <c r="I55" s="22"/>
      <c r="J55" s="3"/>
    </row>
    <row r="56" spans="1:10" ht="12.95" customHeight="1">
      <c r="A56" s="16" t="s">
        <v>183</v>
      </c>
      <c r="B56" s="17" t="s">
        <v>184</v>
      </c>
      <c r="C56" s="13" t="s">
        <v>185</v>
      </c>
      <c r="D56" s="13" t="s">
        <v>51</v>
      </c>
      <c r="E56" s="18">
        <v>232755</v>
      </c>
      <c r="F56" s="19">
        <v>1565.2773999999999</v>
      </c>
      <c r="G56" s="20">
        <v>1.6000000000000001E-3</v>
      </c>
      <c r="H56" s="21"/>
      <c r="I56" s="22"/>
      <c r="J56" s="3"/>
    </row>
    <row r="57" spans="1:10" ht="12.95" customHeight="1">
      <c r="A57" s="16" t="s">
        <v>186</v>
      </c>
      <c r="B57" s="17" t="s">
        <v>187</v>
      </c>
      <c r="C57" s="13" t="s">
        <v>188</v>
      </c>
      <c r="D57" s="13" t="s">
        <v>119</v>
      </c>
      <c r="E57" s="18">
        <v>158896</v>
      </c>
      <c r="F57" s="19">
        <v>1555.4329</v>
      </c>
      <c r="G57" s="20">
        <v>1.5E-3</v>
      </c>
      <c r="H57" s="21"/>
      <c r="I57" s="22"/>
      <c r="J57" s="3"/>
    </row>
    <row r="58" spans="1:10" ht="12.95" customHeight="1">
      <c r="A58" s="16" t="s">
        <v>189</v>
      </c>
      <c r="B58" s="17" t="s">
        <v>190</v>
      </c>
      <c r="C58" s="13" t="s">
        <v>191</v>
      </c>
      <c r="D58" s="13" t="s">
        <v>77</v>
      </c>
      <c r="E58" s="18">
        <v>396983</v>
      </c>
      <c r="F58" s="19">
        <v>1538.7061000000001</v>
      </c>
      <c r="G58" s="20">
        <v>1.5E-3</v>
      </c>
      <c r="H58" s="21"/>
      <c r="I58" s="22"/>
      <c r="J58" s="3"/>
    </row>
    <row r="59" spans="1:10" ht="12.95" customHeight="1">
      <c r="A59" s="16" t="s">
        <v>192</v>
      </c>
      <c r="B59" s="17" t="s">
        <v>193</v>
      </c>
      <c r="C59" s="13" t="s">
        <v>194</v>
      </c>
      <c r="D59" s="13" t="s">
        <v>195</v>
      </c>
      <c r="E59" s="18">
        <v>60191</v>
      </c>
      <c r="F59" s="19">
        <v>1481.0898</v>
      </c>
      <c r="G59" s="20">
        <v>1.5E-3</v>
      </c>
      <c r="H59" s="21"/>
      <c r="I59" s="22"/>
      <c r="J59" s="3"/>
    </row>
    <row r="60" spans="1:10" ht="12.95" customHeight="1">
      <c r="A60" s="16" t="s">
        <v>196</v>
      </c>
      <c r="B60" s="17" t="s">
        <v>197</v>
      </c>
      <c r="C60" s="13" t="s">
        <v>198</v>
      </c>
      <c r="D60" s="13" t="s">
        <v>33</v>
      </c>
      <c r="E60" s="18">
        <v>2406111</v>
      </c>
      <c r="F60" s="19">
        <v>1287.2693999999999</v>
      </c>
      <c r="G60" s="20">
        <v>1.2999999999999999E-3</v>
      </c>
      <c r="H60" s="21"/>
      <c r="I60" s="22"/>
      <c r="J60" s="3"/>
    </row>
    <row r="61" spans="1:10" ht="12.95" customHeight="1">
      <c r="A61" s="16" t="s">
        <v>199</v>
      </c>
      <c r="B61" s="17" t="s">
        <v>200</v>
      </c>
      <c r="C61" s="13" t="s">
        <v>201</v>
      </c>
      <c r="D61" s="13" t="s">
        <v>77</v>
      </c>
      <c r="E61" s="18">
        <v>126000</v>
      </c>
      <c r="F61" s="19">
        <v>1102.1220000000001</v>
      </c>
      <c r="G61" s="20">
        <v>1.1000000000000001E-3</v>
      </c>
      <c r="H61" s="21"/>
      <c r="I61" s="22"/>
      <c r="J61" s="3"/>
    </row>
    <row r="62" spans="1:10" ht="12.95" customHeight="1">
      <c r="A62" s="16" t="s">
        <v>202</v>
      </c>
      <c r="B62" s="17" t="s">
        <v>203</v>
      </c>
      <c r="C62" s="13" t="s">
        <v>204</v>
      </c>
      <c r="D62" s="13" t="s">
        <v>95</v>
      </c>
      <c r="E62" s="18">
        <v>80475</v>
      </c>
      <c r="F62" s="19">
        <v>1060.7007000000001</v>
      </c>
      <c r="G62" s="20">
        <v>1.1000000000000001E-3</v>
      </c>
      <c r="H62" s="21"/>
      <c r="I62" s="22"/>
      <c r="J62" s="3"/>
    </row>
    <row r="63" spans="1:10" ht="12.95" customHeight="1">
      <c r="A63" s="16" t="s">
        <v>205</v>
      </c>
      <c r="B63" s="17" t="s">
        <v>206</v>
      </c>
      <c r="C63" s="13" t="s">
        <v>207</v>
      </c>
      <c r="D63" s="13" t="s">
        <v>208</v>
      </c>
      <c r="E63" s="18">
        <v>335736</v>
      </c>
      <c r="F63" s="19">
        <v>1033.8989999999999</v>
      </c>
      <c r="G63" s="20">
        <v>1E-3</v>
      </c>
      <c r="H63" s="21"/>
      <c r="I63" s="22"/>
      <c r="J63" s="3"/>
    </row>
    <row r="64" spans="1:10" ht="12.95" customHeight="1">
      <c r="A64" s="16" t="s">
        <v>209</v>
      </c>
      <c r="B64" s="17" t="s">
        <v>210</v>
      </c>
      <c r="C64" s="13" t="s">
        <v>211</v>
      </c>
      <c r="D64" s="13" t="s">
        <v>95</v>
      </c>
      <c r="E64" s="18">
        <v>35870</v>
      </c>
      <c r="F64" s="19">
        <v>1013.5427</v>
      </c>
      <c r="G64" s="20">
        <v>1E-3</v>
      </c>
      <c r="H64" s="21"/>
      <c r="I64" s="22"/>
      <c r="J64" s="3"/>
    </row>
    <row r="65" spans="1:10" ht="12.95" customHeight="1">
      <c r="A65" s="16" t="s">
        <v>212</v>
      </c>
      <c r="B65" s="17" t="s">
        <v>213</v>
      </c>
      <c r="C65" s="13" t="s">
        <v>214</v>
      </c>
      <c r="D65" s="13" t="s">
        <v>215</v>
      </c>
      <c r="E65" s="18">
        <v>33596</v>
      </c>
      <c r="F65" s="19">
        <v>708.59</v>
      </c>
      <c r="G65" s="20">
        <v>6.9999999999999999E-4</v>
      </c>
      <c r="H65" s="21"/>
      <c r="I65" s="22"/>
      <c r="J65" s="3"/>
    </row>
    <row r="66" spans="1:10" ht="12.95" customHeight="1">
      <c r="A66" s="16" t="s">
        <v>216</v>
      </c>
      <c r="B66" s="17" t="s">
        <v>217</v>
      </c>
      <c r="C66" s="13" t="s">
        <v>218</v>
      </c>
      <c r="D66" s="13" t="s">
        <v>77</v>
      </c>
      <c r="E66" s="18">
        <v>42737</v>
      </c>
      <c r="F66" s="19">
        <v>399.31319999999999</v>
      </c>
      <c r="G66" s="20">
        <v>4.0000000000000002E-4</v>
      </c>
      <c r="H66" s="21"/>
      <c r="I66" s="22"/>
      <c r="J66" s="3"/>
    </row>
    <row r="67" spans="1:10" ht="12.95" customHeight="1">
      <c r="A67" s="16" t="s">
        <v>219</v>
      </c>
      <c r="B67" s="17" t="s">
        <v>220</v>
      </c>
      <c r="C67" s="13" t="s">
        <v>221</v>
      </c>
      <c r="D67" s="13" t="s">
        <v>95</v>
      </c>
      <c r="E67" s="18">
        <v>29337</v>
      </c>
      <c r="F67" s="19">
        <v>265.91059999999999</v>
      </c>
      <c r="G67" s="20">
        <v>2.9999999999999997E-4</v>
      </c>
      <c r="H67" s="21"/>
      <c r="I67" s="22"/>
      <c r="J67" s="3"/>
    </row>
    <row r="68" spans="1:10" ht="12.95" customHeight="1">
      <c r="A68" s="16" t="s">
        <v>222</v>
      </c>
      <c r="B68" s="17" t="s">
        <v>223</v>
      </c>
      <c r="C68" s="13" t="s">
        <v>224</v>
      </c>
      <c r="D68" s="13" t="s">
        <v>63</v>
      </c>
      <c r="E68" s="18">
        <v>3743</v>
      </c>
      <c r="F68" s="19">
        <v>111.61060000000001</v>
      </c>
      <c r="G68" s="20">
        <v>1E-4</v>
      </c>
      <c r="H68" s="21"/>
      <c r="I68" s="22"/>
      <c r="J68" s="3"/>
    </row>
    <row r="69" spans="1:10" ht="12.95" customHeight="1">
      <c r="A69" s="3"/>
      <c r="B69" s="12" t="s">
        <v>225</v>
      </c>
      <c r="C69" s="13"/>
      <c r="D69" s="13"/>
      <c r="E69" s="13"/>
      <c r="F69" s="23">
        <v>864910.24190000002</v>
      </c>
      <c r="G69" s="24">
        <v>0.85829999999999995</v>
      </c>
      <c r="H69" s="25"/>
      <c r="I69" s="26"/>
      <c r="J69" s="3"/>
    </row>
    <row r="70" spans="1:10" ht="12.95" customHeight="1">
      <c r="A70" s="3"/>
      <c r="B70" s="27" t="s">
        <v>226</v>
      </c>
      <c r="C70" s="28"/>
      <c r="D70" s="28"/>
      <c r="E70" s="28"/>
      <c r="F70" s="25" t="s">
        <v>227</v>
      </c>
      <c r="G70" s="25" t="s">
        <v>227</v>
      </c>
      <c r="H70" s="25"/>
      <c r="I70" s="26"/>
      <c r="J70" s="3"/>
    </row>
    <row r="71" spans="1:10" ht="12.95" customHeight="1">
      <c r="A71" s="3"/>
      <c r="B71" s="27" t="s">
        <v>225</v>
      </c>
      <c r="C71" s="28"/>
      <c r="D71" s="28"/>
      <c r="E71" s="28"/>
      <c r="F71" s="25" t="s">
        <v>227</v>
      </c>
      <c r="G71" s="25" t="s">
        <v>227</v>
      </c>
      <c r="H71" s="25"/>
      <c r="I71" s="26"/>
      <c r="J71" s="3"/>
    </row>
    <row r="72" spans="1:10" ht="12.95" customHeight="1">
      <c r="A72" s="3"/>
      <c r="B72" s="27" t="s">
        <v>228</v>
      </c>
      <c r="C72" s="29"/>
      <c r="D72" s="28"/>
      <c r="E72" s="29"/>
      <c r="F72" s="23">
        <v>864910.24190000002</v>
      </c>
      <c r="G72" s="24">
        <v>0.85829999999999995</v>
      </c>
      <c r="H72" s="25"/>
      <c r="I72" s="26"/>
      <c r="J72" s="3"/>
    </row>
    <row r="73" spans="1:10" ht="12.95" customHeight="1">
      <c r="A73" s="3"/>
      <c r="B73" s="12" t="s">
        <v>229</v>
      </c>
      <c r="C73" s="13"/>
      <c r="D73" s="13"/>
      <c r="E73" s="13"/>
      <c r="F73" s="13"/>
      <c r="G73" s="13"/>
      <c r="H73" s="14"/>
      <c r="I73" s="15"/>
      <c r="J73" s="3"/>
    </row>
    <row r="74" spans="1:10" ht="12.95" customHeight="1">
      <c r="A74" s="3"/>
      <c r="B74" s="12" t="s">
        <v>230</v>
      </c>
      <c r="C74" s="13"/>
      <c r="D74" s="13"/>
      <c r="E74" s="13"/>
      <c r="F74" s="3"/>
      <c r="G74" s="14"/>
      <c r="H74" s="14"/>
      <c r="I74" s="15"/>
      <c r="J74" s="3"/>
    </row>
    <row r="75" spans="1:10" ht="12.95" customHeight="1">
      <c r="A75" s="16" t="s">
        <v>231</v>
      </c>
      <c r="B75" s="17" t="s">
        <v>232</v>
      </c>
      <c r="C75" s="13" t="s">
        <v>233</v>
      </c>
      <c r="D75" s="13" t="s">
        <v>234</v>
      </c>
      <c r="E75" s="18">
        <v>6000000</v>
      </c>
      <c r="F75" s="19">
        <v>5889.4560000000001</v>
      </c>
      <c r="G75" s="20">
        <v>5.7999999999999996E-3</v>
      </c>
      <c r="H75" s="30">
        <v>6.9199999999999998E-2</v>
      </c>
      <c r="I75" s="22"/>
      <c r="J75" s="3"/>
    </row>
    <row r="76" spans="1:10" ht="12.95" customHeight="1">
      <c r="A76" s="16" t="s">
        <v>235</v>
      </c>
      <c r="B76" s="17" t="s">
        <v>236</v>
      </c>
      <c r="C76" s="13" t="s">
        <v>237</v>
      </c>
      <c r="D76" s="13" t="s">
        <v>234</v>
      </c>
      <c r="E76" s="18">
        <v>500000</v>
      </c>
      <c r="F76" s="19">
        <v>491.46300000000002</v>
      </c>
      <c r="G76" s="20">
        <v>5.0000000000000001E-4</v>
      </c>
      <c r="H76" s="30">
        <v>6.8916000000000005E-2</v>
      </c>
      <c r="I76" s="22"/>
      <c r="J76" s="3"/>
    </row>
    <row r="77" spans="1:10" ht="12.95" customHeight="1">
      <c r="A77" s="16" t="s">
        <v>238</v>
      </c>
      <c r="B77" s="17" t="s">
        <v>239</v>
      </c>
      <c r="C77" s="13" t="s">
        <v>240</v>
      </c>
      <c r="D77" s="13" t="s">
        <v>234</v>
      </c>
      <c r="E77" s="18">
        <v>500000</v>
      </c>
      <c r="F77" s="19">
        <v>491.46300000000002</v>
      </c>
      <c r="G77" s="20">
        <v>5.0000000000000001E-4</v>
      </c>
      <c r="H77" s="30">
        <v>6.8916000000000005E-2</v>
      </c>
      <c r="I77" s="22"/>
      <c r="J77" s="3"/>
    </row>
    <row r="78" spans="1:10" ht="12.95" customHeight="1">
      <c r="A78" s="3"/>
      <c r="B78" s="12" t="s">
        <v>225</v>
      </c>
      <c r="C78" s="13"/>
      <c r="D78" s="13"/>
      <c r="E78" s="13"/>
      <c r="F78" s="23">
        <f>SUM(F75:F77)</f>
        <v>6872.3819999999996</v>
      </c>
      <c r="G78" s="24">
        <f>SUM(G75:G77)</f>
        <v>6.8000000000000005E-3</v>
      </c>
      <c r="H78" s="25"/>
      <c r="I78" s="26"/>
      <c r="J78" s="3"/>
    </row>
    <row r="79" spans="1:10" ht="12.95" customHeight="1">
      <c r="A79" s="3"/>
      <c r="B79" s="27" t="s">
        <v>228</v>
      </c>
      <c r="C79" s="29"/>
      <c r="D79" s="28"/>
      <c r="E79" s="29"/>
      <c r="F79" s="23">
        <v>6872.3819999999996</v>
      </c>
      <c r="G79" s="24">
        <v>6.8000000000000005E-3</v>
      </c>
      <c r="H79" s="25"/>
      <c r="I79" s="26"/>
      <c r="J79" s="3"/>
    </row>
    <row r="80" spans="1:10" ht="12.95" customHeight="1">
      <c r="A80" s="3"/>
      <c r="B80" s="12" t="s">
        <v>241</v>
      </c>
      <c r="C80" s="13"/>
      <c r="D80" s="13"/>
      <c r="E80" s="13"/>
      <c r="F80" s="13"/>
      <c r="G80" s="13"/>
      <c r="H80" s="14"/>
      <c r="I80" s="15"/>
      <c r="J80" s="3"/>
    </row>
    <row r="81" spans="1:10" ht="12.95" customHeight="1">
      <c r="A81" s="16" t="s">
        <v>242</v>
      </c>
      <c r="B81" s="17" t="s">
        <v>243</v>
      </c>
      <c r="C81" s="13"/>
      <c r="D81" s="13"/>
      <c r="E81" s="18"/>
      <c r="F81" s="19">
        <v>134194.34</v>
      </c>
      <c r="G81" s="20">
        <v>0.13320000000000001</v>
      </c>
      <c r="H81" s="30">
        <v>6.6356802382348146E-2</v>
      </c>
      <c r="I81" s="22"/>
      <c r="J81" s="3"/>
    </row>
    <row r="82" spans="1:10" ht="12.95" customHeight="1">
      <c r="A82" s="3"/>
      <c r="B82" s="12" t="s">
        <v>225</v>
      </c>
      <c r="C82" s="13"/>
      <c r="D82" s="13"/>
      <c r="E82" s="13"/>
      <c r="F82" s="23">
        <v>134194.34</v>
      </c>
      <c r="G82" s="24">
        <v>0.13320000000000001</v>
      </c>
      <c r="H82" s="25"/>
      <c r="I82" s="26"/>
      <c r="J82" s="3"/>
    </row>
    <row r="83" spans="1:10" ht="12.95" customHeight="1">
      <c r="A83" s="3"/>
      <c r="B83" s="27" t="s">
        <v>228</v>
      </c>
      <c r="C83" s="29"/>
      <c r="D83" s="28"/>
      <c r="E83" s="29"/>
      <c r="F83" s="23">
        <v>134194.34</v>
      </c>
      <c r="G83" s="24">
        <v>0.13320000000000001</v>
      </c>
      <c r="H83" s="25"/>
      <c r="I83" s="26"/>
      <c r="J83" s="3"/>
    </row>
    <row r="84" spans="1:10" ht="12.95" customHeight="1">
      <c r="A84" s="3"/>
      <c r="B84" s="27" t="s">
        <v>244</v>
      </c>
      <c r="C84" s="13"/>
      <c r="D84" s="28"/>
      <c r="E84" s="13"/>
      <c r="F84" s="31">
        <v>1742.9260999999999</v>
      </c>
      <c r="G84" s="24">
        <v>1.7000000000000001E-3</v>
      </c>
      <c r="H84" s="25"/>
      <c r="I84" s="26"/>
      <c r="J84" s="3"/>
    </row>
    <row r="85" spans="1:10" ht="12.95" customHeight="1" thickBot="1">
      <c r="A85" s="3"/>
      <c r="B85" s="32" t="s">
        <v>245</v>
      </c>
      <c r="C85" s="33"/>
      <c r="D85" s="33"/>
      <c r="E85" s="33"/>
      <c r="F85" s="34">
        <v>1007719.89</v>
      </c>
      <c r="G85" s="35">
        <v>1</v>
      </c>
      <c r="H85" s="36"/>
      <c r="I85" s="37"/>
      <c r="J85" s="3"/>
    </row>
    <row r="86" spans="1:10" ht="12.95" customHeight="1">
      <c r="A86" s="3"/>
      <c r="B86" s="5"/>
      <c r="C86" s="3"/>
      <c r="D86" s="3"/>
      <c r="E86" s="3"/>
      <c r="F86" s="3"/>
      <c r="G86" s="3"/>
      <c r="H86" s="3"/>
      <c r="I86" s="3"/>
      <c r="J86" s="3"/>
    </row>
    <row r="87" spans="1:10" ht="12.95" customHeight="1">
      <c r="A87" s="3"/>
      <c r="B87" s="2" t="s">
        <v>246</v>
      </c>
      <c r="C87" s="3"/>
      <c r="D87" s="3"/>
      <c r="E87" s="3"/>
      <c r="F87" s="3"/>
      <c r="G87" s="3"/>
      <c r="H87" s="3"/>
      <c r="I87" s="3"/>
      <c r="J87" s="3"/>
    </row>
    <row r="88" spans="1:10" ht="12.95" customHeight="1">
      <c r="A88" s="3"/>
      <c r="B88" s="2" t="s">
        <v>247</v>
      </c>
      <c r="C88" s="3"/>
      <c r="D88" s="3"/>
      <c r="E88" s="3"/>
      <c r="F88" s="3"/>
      <c r="G88" s="3"/>
      <c r="H88" s="3"/>
      <c r="I88" s="3"/>
      <c r="J88" s="3"/>
    </row>
    <row r="89" spans="1:10" ht="26.1" customHeight="1">
      <c r="A89" s="3"/>
      <c r="B89" s="38" t="s">
        <v>248</v>
      </c>
      <c r="C89" s="38"/>
      <c r="D89" s="38"/>
      <c r="E89" s="38"/>
      <c r="F89" s="38"/>
      <c r="G89" s="38"/>
      <c r="H89" s="38"/>
      <c r="I89" s="38"/>
      <c r="J89" s="3"/>
    </row>
    <row r="90" spans="1:10" ht="12.95" customHeight="1">
      <c r="A90" s="3"/>
      <c r="B90" s="38"/>
      <c r="C90" s="38"/>
      <c r="D90" s="38"/>
      <c r="E90" s="38"/>
      <c r="F90" s="38"/>
      <c r="G90" s="38"/>
      <c r="H90" s="38"/>
      <c r="I90" s="38"/>
      <c r="J90" s="3"/>
    </row>
    <row r="91" spans="1:10" ht="12.95" customHeight="1">
      <c r="A91" s="3"/>
      <c r="B91" s="38"/>
      <c r="C91" s="38"/>
      <c r="D91" s="38"/>
      <c r="E91" s="38"/>
      <c r="F91" s="38"/>
      <c r="G91" s="38"/>
      <c r="H91" s="38"/>
      <c r="I91" s="38"/>
      <c r="J91" s="3"/>
    </row>
    <row r="92" spans="1:10" ht="12.95" customHeight="1">
      <c r="A92" s="3"/>
      <c r="B92" s="3"/>
      <c r="C92" s="39" t="s">
        <v>249</v>
      </c>
      <c r="D92" s="39"/>
      <c r="E92" s="39"/>
      <c r="F92" s="39"/>
      <c r="G92" s="3"/>
      <c r="H92" s="3"/>
      <c r="I92" s="3"/>
      <c r="J92" s="3"/>
    </row>
    <row r="93" spans="1:10" ht="12.95" customHeight="1">
      <c r="A93" s="3"/>
      <c r="B93" s="40" t="s">
        <v>250</v>
      </c>
      <c r="C93" s="39" t="s">
        <v>251</v>
      </c>
      <c r="D93" s="39"/>
      <c r="E93" s="39"/>
      <c r="F93" s="39"/>
      <c r="G93" s="3"/>
      <c r="H93" s="3"/>
      <c r="I93" s="3"/>
      <c r="J93" s="3"/>
    </row>
    <row r="94" spans="1:10" ht="120.95" customHeight="1">
      <c r="A94" s="3"/>
      <c r="B94" s="3"/>
      <c r="C94" s="41"/>
      <c r="D94" s="41"/>
      <c r="E94" s="3"/>
      <c r="F94" s="3"/>
      <c r="G94" s="3"/>
      <c r="H94" s="3"/>
      <c r="I94" s="3"/>
      <c r="J94" s="3"/>
    </row>
  </sheetData>
  <mergeCells count="6">
    <mergeCell ref="B89:I89"/>
    <mergeCell ref="B90:I90"/>
    <mergeCell ref="B91:I91"/>
    <mergeCell ref="C92:F92"/>
    <mergeCell ref="C93:F93"/>
    <mergeCell ref="C94:D94"/>
  </mergeCells>
  <hyperlinks>
    <hyperlink ref="A1" location="AxisFlexiCapFund" display="AXISMLF" xr:uid="{010FF42C-E901-4DFE-A912-7D0C684A4D6A}"/>
    <hyperlink ref="B1" location="AxisFlexiCapFund" display="Axis Flexi Cap Fund" xr:uid="{D138916A-D293-40D8-B9EE-1373418C144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2023-03-06T09:43:29Z</dcterms:created>
  <dcterms:modified xsi:type="dcterms:W3CDTF">2023-03-06T09:43:31Z</dcterms:modified>
</cp:coreProperties>
</file>