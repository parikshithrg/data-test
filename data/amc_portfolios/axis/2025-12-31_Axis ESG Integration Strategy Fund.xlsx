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Dec 25\Monthly Portfolio\"/>
    </mc:Choice>
  </mc:AlternateContent>
  <xr:revisionPtr revIDLastSave="0" documentId="8_{A3715BEB-B745-461A-B843-E3762853AFCB}" xr6:coauthVersionLast="47" xr6:coauthVersionMax="47" xr10:uidLastSave="{00000000-0000-0000-0000-000000000000}"/>
  <bookViews>
    <workbookView xWindow="-108" yWindow="-108" windowWidth="41496" windowHeight="16896" xr2:uid="{AE8842A2-0CA3-4E25-A7B1-5E82B82D517F}"/>
  </bookViews>
  <sheets>
    <sheet name="AXISESG" sheetId="1" r:id="rId1"/>
  </sheets>
  <definedNames>
    <definedName name="JR_PAGE_ANCHOR_0_27">AXISESG!$A$1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1" l="1"/>
</calcChain>
</file>

<file path=xl/sharedStrings.xml><?xml version="1.0" encoding="utf-8"?>
<sst xmlns="http://schemas.openxmlformats.org/spreadsheetml/2006/main" count="325" uniqueCount="266">
  <si>
    <t>AXISESG</t>
  </si>
  <si>
    <t>Axis ESG Integration Strategy Fund</t>
  </si>
  <si>
    <t xml:space="preserve">
  </t>
  </si>
  <si>
    <t>Monthly Portfolio Statement as on December 31, 2025</t>
  </si>
  <si>
    <t>Name of the Instrument</t>
  </si>
  <si>
    <t>ISIN</t>
  </si>
  <si>
    <t>Industry / Rating</t>
  </si>
  <si>
    <t>Quantity</t>
  </si>
  <si>
    <t>Market/Fair Value
 (Rs. in Lakhs)</t>
  </si>
  <si>
    <t>% to Net
 Assets</t>
  </si>
  <si>
    <t>YTM~</t>
  </si>
  <si>
    <t>YTC^</t>
  </si>
  <si>
    <t>ESG Score $</t>
  </si>
  <si>
    <t>Core ESG Score</t>
  </si>
  <si>
    <t>Link to BRSR</t>
  </si>
  <si>
    <t>Equity &amp; Equity related</t>
  </si>
  <si>
    <t>(a) Listed / awaiting listing on Stock Exchanges</t>
  </si>
  <si>
    <t>IBCL05</t>
  </si>
  <si>
    <t>ICICI Bank Limited</t>
  </si>
  <si>
    <t>INE090A01021</t>
  </si>
  <si>
    <t>Banks</t>
  </si>
  <si>
    <t>https://www.icicibank.com/content/dam/icicibank/managed-assets/docs/investor/annual-reports/2025/icici-bank-brsr-2025.pdf</t>
  </si>
  <si>
    <t>HDFB03</t>
  </si>
  <si>
    <t>HDFC Bank Limited</t>
  </si>
  <si>
    <t>INE040A01034</t>
  </si>
  <si>
    <t>https://nsearchives.nseindia.com/corporate/HDFCBANK_14072025080813_BRSR.pdf</t>
  </si>
  <si>
    <t>BTVL02</t>
  </si>
  <si>
    <t>Bharti Airtel Limited</t>
  </si>
  <si>
    <t>INE397D01024</t>
  </si>
  <si>
    <t>Telecom - Services</t>
  </si>
  <si>
    <t>https://www.bseindia.com/stockinfo/AnnPdfOpen.aspx?Pname=\fb6dabcf-112a-41d7-8e6d-83e358153c89.pdf</t>
  </si>
  <si>
    <t>BAFL03</t>
  </si>
  <si>
    <t>Bajaj Finance Limited</t>
  </si>
  <si>
    <t>INE296A01032</t>
  </si>
  <si>
    <t>Finance</t>
  </si>
  <si>
    <t>https://www.bseindia.com/xml-data/corpfiling/AttachHis//b080fcc4-f9b5-4a8d-9cf5-fe5c4a1e7e92.pdf</t>
  </si>
  <si>
    <t>RIND01</t>
  </si>
  <si>
    <t>Reliance Industries Limited</t>
  </si>
  <si>
    <t>INE002A01018</t>
  </si>
  <si>
    <t>Petroleum Products</t>
  </si>
  <si>
    <t>https://www.bseindia.com/stockinfo/AnnPdfOpen.aspx?Pname=\648b7ceb-a0c5-4f5c-a8d9-80f687561427.pdf</t>
  </si>
  <si>
    <t>GLAN02</t>
  </si>
  <si>
    <t>Gland Pharma Limited</t>
  </si>
  <si>
    <t>INE068V01023</t>
  </si>
  <si>
    <t>Pharmaceuticals &amp; Biotechnology</t>
  </si>
  <si>
    <t>NA</t>
  </si>
  <si>
    <t>https://www.bseindia.com/stockinfo/AnnPdfOpen.aspx?Pname=\44acd327-2dbb-42ea-833b-f988fdbf1206.pdf</t>
  </si>
  <si>
    <t>AFPL02</t>
  </si>
  <si>
    <t>AU Small Finance Bank Limited</t>
  </si>
  <si>
    <t>INE949L01017</t>
  </si>
  <si>
    <t>https://www.aubank.in/business-responsibility-report-2025-BRSR-2025.pdf</t>
  </si>
  <si>
    <t>INFS02</t>
  </si>
  <si>
    <t>Infosys Limited</t>
  </si>
  <si>
    <t>INE009A01021</t>
  </si>
  <si>
    <t>IT - Software</t>
  </si>
  <si>
    <t>https://www.bseindia.com/stockinfo/AnnPdfOpen.aspx?Pname=\5e2ee0c9-f4b4-4486-b247-674b01b11936.pdf</t>
  </si>
  <si>
    <t>MAUD01</t>
  </si>
  <si>
    <t>Maruti Suzuki India Limited</t>
  </si>
  <si>
    <t>INE585B01010</t>
  </si>
  <si>
    <t>Automobiles</t>
  </si>
  <si>
    <t>https://www.bseindia.com/XBRLFILES/BRSRDuplicateUploadDocument/BRSR_532500_582025212232_BRSR.html</t>
  </si>
  <si>
    <t>SAEL02</t>
  </si>
  <si>
    <t>TVS Motor Company Limited</t>
  </si>
  <si>
    <t>INE494B01023</t>
  </si>
  <si>
    <t>https://www.bseindia.com/stockinfo/AnnPdfOpen.aspx?Pname=\adc3e93f-b32f-4f2b-a08c-91f0b18c6aeb.pdf</t>
  </si>
  <si>
    <t>ZMPL01</t>
  </si>
  <si>
    <t>Eternal Limited</t>
  </si>
  <si>
    <t>INE758T01015</t>
  </si>
  <si>
    <t>Retailing</t>
  </si>
  <si>
    <t>https://www.bseindia.com/stockinfo/AnnPdfOpen.aspx?Pname=\7ead86ed-ca36-4e60-979f-5d9fd4cd1f73.pdf</t>
  </si>
  <si>
    <t>HCLT02</t>
  </si>
  <si>
    <t>HCL Technologies Limited</t>
  </si>
  <si>
    <t>INE860A01027</t>
  </si>
  <si>
    <t>https://www.bseindia.com/stockinfo/AnnPdfOpen.aspx?Pname=\3e2eefe5-b432-4464-a334-c92749deddb0.pdf</t>
  </si>
  <si>
    <t>CHOL02</t>
  </si>
  <si>
    <t>Cholamandalam Investment and Finance Company Ltd</t>
  </si>
  <si>
    <t>INE121A01024</t>
  </si>
  <si>
    <t>https://www.bseindia.com/stockinfo/AnnPdfOpen.aspx?Pname=\72687367-3a22-4292-b67a-6ab6728b0e3a.pdf</t>
  </si>
  <si>
    <t>LARS02</t>
  </si>
  <si>
    <t>Larsen &amp; Toubro Limited</t>
  </si>
  <si>
    <t>INE018A01030</t>
  </si>
  <si>
    <t>Construction</t>
  </si>
  <si>
    <t>https://www.bseindia.com/xml-data/corpfiling/AttachHis/63959ce8-b641-4bd4-9a62-43ab52301856.pdf</t>
  </si>
  <si>
    <t>TEMA02</t>
  </si>
  <si>
    <t>Tech Mahindra Limited</t>
  </si>
  <si>
    <t>INE669C01036</t>
  </si>
  <si>
    <t>https://nsearchives.nseindia.com/corporate/Apekshakhemka_23062025234552_StockExchangeIntimationBRSR_S.pdf</t>
  </si>
  <si>
    <t>TTEA02</t>
  </si>
  <si>
    <t>Tata Consumer Products Limited</t>
  </si>
  <si>
    <t>INE192A01025</t>
  </si>
  <si>
    <t>Agricultural Food &amp; other Products</t>
  </si>
  <si>
    <t>https://www.bseindia.com/stockinfo/AnnPdfOpen.aspx?Pname=\4c8ef117-d14c-4e96-9224-3c9593fac70d.pdf</t>
  </si>
  <si>
    <t>VNBL03</t>
  </si>
  <si>
    <t>Varun Beverages Limited</t>
  </si>
  <si>
    <t>INE200M01039</t>
  </si>
  <si>
    <t>Beverages</t>
  </si>
  <si>
    <t>https://www.bseindia.com/stockinfo/AnnPdfOpen.aspx?Pname=\65486ad5-1835-4414-9038-51543138d964.pdf</t>
  </si>
  <si>
    <t>WIPR02</t>
  </si>
  <si>
    <t>Wipro Limited</t>
  </si>
  <si>
    <t>INE075A01022</t>
  </si>
  <si>
    <t>https://www.bseindia.com/stockinfo/AnnPdfOpen.aspx?Pname=\6a364ef1-0c4c-4046-b56a-12f18ce9d520.pdf</t>
  </si>
  <si>
    <t>KOMA02</t>
  </si>
  <si>
    <t>Kotak Mahindra Bank Limited</t>
  </si>
  <si>
    <t>INE237A01028</t>
  </si>
  <si>
    <t>https://www.bseindia.com/stockinfo/AnnPdfOpen.aspx?Pname=\231d48a0-905d-4979-bee1-f855c401d4e8.pdf</t>
  </si>
  <si>
    <t>SBAI02</t>
  </si>
  <si>
    <t>State Bank of India</t>
  </si>
  <si>
    <t>INE062A01020</t>
  </si>
  <si>
    <t>https://www.bseindia.com/stockinfo/AnnPdfOpen.aspx?Pname=\938c3dc8-b424-40fc-836b-101415d323cd.pdf</t>
  </si>
  <si>
    <t>NITL02</t>
  </si>
  <si>
    <t>Coforge Limited</t>
  </si>
  <si>
    <t>INE591G01025</t>
  </si>
  <si>
    <t>https://www.bseindia.com/stockinfo/AnnPdfOpen.aspx?Pname=\0f8fd330-0e79-4b82-95ac-cc7395551655.pdf</t>
  </si>
  <si>
    <t>LAKM02</t>
  </si>
  <si>
    <t>Trent Limited</t>
  </si>
  <si>
    <t>INE849A01020</t>
  </si>
  <si>
    <t>https://www.bseindia.com/stockinfo/AnnPdfOpen.aspx?Pname=\121582fa-b16d-4e7f-a75e-756fde02815e.pdf</t>
  </si>
  <si>
    <t>CIPL03</t>
  </si>
  <si>
    <t>Cipla Limited</t>
  </si>
  <si>
    <t>INE059A01026</t>
  </si>
  <si>
    <t>https://www.bseindia.com/stockinfo/AnnPdfOpen.aspx?Pname=\47626896-31fb-456b-8664-8c36b0e1d5fe.pdf</t>
  </si>
  <si>
    <t>SHTR02</t>
  </si>
  <si>
    <t>Shriram Finance Limited</t>
  </si>
  <si>
    <t>INE721A01047</t>
  </si>
  <si>
    <t>Corporate Filings Bussiness and Sustainability Reports</t>
  </si>
  <si>
    <t>SPIL03</t>
  </si>
  <si>
    <t>Sun Pharmaceutical Industries Limited</t>
  </si>
  <si>
    <t>INE044A01036</t>
  </si>
  <si>
    <t>https://www.bseindia.com/stockinfo/AnnPdfOpen.aspx?Pname=\fc38eee2-c7fa-44bb-81a2-f13c151eff8d.pdf</t>
  </si>
  <si>
    <t>FEBA02</t>
  </si>
  <si>
    <t>The Federal Bank Limited</t>
  </si>
  <si>
    <t>INE171A01029</t>
  </si>
  <si>
    <t>https://www.bseindia.com/stockinfo/AnnPdfOpen.aspx?Pname=\09e8d0eb-6001-4f60-ab76-3866e4c8c25a.pdf</t>
  </si>
  <si>
    <t>AMBE01</t>
  </si>
  <si>
    <t>Amber Enterprises India Limited</t>
  </si>
  <si>
    <t>INE371P01015</t>
  </si>
  <si>
    <t>Consumer Durables</t>
  </si>
  <si>
    <t>https://www.bseindia.com/stockinfo/AnnPdfOpen.aspx?Pname=\4b92ba61-b856-4f32-8f61-7ecff507f58f.pdf</t>
  </si>
  <si>
    <t>TOPH02</t>
  </si>
  <si>
    <t>Torrent Pharmaceuticals Limited</t>
  </si>
  <si>
    <t>INE685A01028</t>
  </si>
  <si>
    <t>https://www.bseindia.com/stockinfo/AnnPdfOpen.aspx?Pname=\a5e846a9-9190-4494-a112-590cf018c735.pdf</t>
  </si>
  <si>
    <t>CRAF01</t>
  </si>
  <si>
    <t>Craftsman Automation Limited</t>
  </si>
  <si>
    <t>INE00LO01017</t>
  </si>
  <si>
    <t>Auto Components</t>
  </si>
  <si>
    <t>https://www.bseindia.com/stockinfo/AnnPdfOpen.aspx?Pname=\a1f1d737-cc7e-445f-bee8-ca4bf993e03e.pdf</t>
  </si>
  <si>
    <t>ULCC01</t>
  </si>
  <si>
    <t>UltraTech Cement Limited</t>
  </si>
  <si>
    <t>INE481G01011</t>
  </si>
  <si>
    <t>Cement &amp; Cement Products</t>
  </si>
  <si>
    <t>https://www.bseindia.com/stockinfo/AnnPdfOpen.aspx?Pname=\a3fa3c06-68a4-408b-9d3e-089ebd48d102.pdf</t>
  </si>
  <si>
    <t>HLEL02</t>
  </si>
  <si>
    <t>Hindustan Unilever Limited</t>
  </si>
  <si>
    <t>INE030A01027</t>
  </si>
  <si>
    <t>Diversified FMCG</t>
  </si>
  <si>
    <t>https://www.bseindia.com/stockinfo/AnnPdfOpen.aspx?Pname=\8bbc99c1-98e8-41e8-89ac-86e81221a963.pdf</t>
  </si>
  <si>
    <t>TMLC01</t>
  </si>
  <si>
    <t>Tata Motors Ltd</t>
  </si>
  <si>
    <t>INE1TAE01010</t>
  </si>
  <si>
    <t>Agricultural, Commercial &amp; Construction Vehicles</t>
  </si>
  <si>
    <t>https://www.bseindia.com/stockinfo/AnnPdfOpen.aspx?Pname=\0ab929be-ff32-4b19-a799-5b63bd464c41.pdf</t>
  </si>
  <si>
    <t>LTIL01</t>
  </si>
  <si>
    <t>LTIMindtree Limited</t>
  </si>
  <si>
    <t>INE214T01019</t>
  </si>
  <si>
    <t>https://www.ltimindtree.com/annual-report-html/pdf/business-responsibility.pdf</t>
  </si>
  <si>
    <t>SLIF01</t>
  </si>
  <si>
    <t>SBI Life Insurance Company Limited</t>
  </si>
  <si>
    <t>INE123W01016</t>
  </si>
  <si>
    <t>Insurance</t>
  </si>
  <si>
    <t>https://www.bseindia.com/stockinfo/AnnPdfOpen.aspx?Pname=\802be001-1ba9-4d98-bcce-9c93d94cf1d2.pdf</t>
  </si>
  <si>
    <t>TWAT02</t>
  </si>
  <si>
    <t>Titan Company Limited</t>
  </si>
  <si>
    <t>INE280A01028</t>
  </si>
  <si>
    <t>https://www.bseindia.com/stockinfo/AnnPdfOpen.aspx?Pname=\ca45f9c9-e992-4358-8886-6d82c856295c.pdf</t>
  </si>
  <si>
    <t>APOL02</t>
  </si>
  <si>
    <t>Apollo Hospitals Enterprise Limited</t>
  </si>
  <si>
    <t>INE437A01024</t>
  </si>
  <si>
    <t>Healthcare Services</t>
  </si>
  <si>
    <t>https://www.bseindia.com/stockinfo/AnnPdfOpen.aspx?Pname=\550ebf61-11e4-4de0-98ce-7e25abacd9eb.pdf</t>
  </si>
  <si>
    <t>IEIN02</t>
  </si>
  <si>
    <t>Info Edge (India) Limited</t>
  </si>
  <si>
    <t>INE663F01032</t>
  </si>
  <si>
    <t>https://www.bseindia.com/stockinfo/AnnPdfOpen.aspx?Pname=\ddc43203-ec04-4e85-8e23-2bbcf4361bc3.pdf</t>
  </si>
  <si>
    <t>TELC03</t>
  </si>
  <si>
    <t>Tata Motors Passenger Vehicles Limited</t>
  </si>
  <si>
    <t>INE155A01022</t>
  </si>
  <si>
    <t>MOSU03</t>
  </si>
  <si>
    <t>Samvardhana Motherson International Limited</t>
  </si>
  <si>
    <t>INE775A01035</t>
  </si>
  <si>
    <t>https://www.bseindia.com/stockinfo/AnnPdfOpen.aspx?Pname=\5a8395fe-99f8-4312-9ace-787322fec1c2.pdf</t>
  </si>
  <si>
    <t>IPLI01</t>
  </si>
  <si>
    <t>ICICI Prudential Life Insurance Company Limited</t>
  </si>
  <si>
    <t>INE726G01019</t>
  </si>
  <si>
    <t>https://nsearchives.nseindia.com/corporate/ICICIPRULI_20062025125244_BRSR_FY2025.pdf</t>
  </si>
  <si>
    <t>SPCO02</t>
  </si>
  <si>
    <t>Symphony Limited</t>
  </si>
  <si>
    <t>INE225D01027</t>
  </si>
  <si>
    <t>https://www.bseindia.com/stockinfo/AnnPdfOpen.aspx?Pname=\be63ce6e-1854-4bcb-abc4-f25e41f8c6b5.pdf</t>
  </si>
  <si>
    <t>JYCN01</t>
  </si>
  <si>
    <t>Jyoti CNC Automation Ltd</t>
  </si>
  <si>
    <t>INE980O01024</t>
  </si>
  <si>
    <t>Industrial Manufacturing</t>
  </si>
  <si>
    <t>https://www.bseindia.com/stockinfo/AnnPdfOpen.aspx?Pname=\c6e7f7e9-2a0f-443b-8358-94ef1ff64f62.pdf</t>
  </si>
  <si>
    <t>GCPL02</t>
  </si>
  <si>
    <t>Godrej Consumer Products Limited</t>
  </si>
  <si>
    <t>INE102D01028</t>
  </si>
  <si>
    <t>Personal Products</t>
  </si>
  <si>
    <t>https://www.bseindia.com/stockinfo/AnnPdfOpen.aspx?Pname=\79bc8a13-3ff7-4890-96c5-f7dda64078c0.pdf</t>
  </si>
  <si>
    <t>GFPL01</t>
  </si>
  <si>
    <t>Go Fashion (India) Limited</t>
  </si>
  <si>
    <t>INE0BJS01011</t>
  </si>
  <si>
    <t>https://www.bseindia.com/stockinfo/AnnPdfOpen.aspx?Pname=\b127505e-9185-49fa-826e-4db5383ca4fd.pdf</t>
  </si>
  <si>
    <t>ATVL02</t>
  </si>
  <si>
    <t>Aditya Vision Ltd</t>
  </si>
  <si>
    <t>INE679V01027</t>
  </si>
  <si>
    <t>https://www.bseindia.com/xml-data/corpfiling/AttachHis//c4bb275b-3f35-4d6b-bf23-2ee7cbf82033.pdf</t>
  </si>
  <si>
    <t>INAV01</t>
  </si>
  <si>
    <t>InterGlobe Aviation Limited</t>
  </si>
  <si>
    <t>INE646L01027</t>
  </si>
  <si>
    <t>Transport Services</t>
  </si>
  <si>
    <t>https://www.bseindia.com/stockinfo/AnnPdfOpen.aspx?Pname=\5bf7b8df-2b30-4e1e-a520-ea051c134813.pdf</t>
  </si>
  <si>
    <t>TCSL01</t>
  </si>
  <si>
    <t>Tata Consultancy Services Limited</t>
  </si>
  <si>
    <t>INE467B01029</t>
  </si>
  <si>
    <t>https://www.bseindia.com/stockinfo/AnnPdfOpen.aspx?Pname=\141ef7e3-e697-430b-a62c-108fbc78db2f.pdf</t>
  </si>
  <si>
    <t>KWWA01</t>
  </si>
  <si>
    <t>Kwality Walls (India) Limited</t>
  </si>
  <si>
    <t>INE2KCE01013</t>
  </si>
  <si>
    <t>Food Products</t>
  </si>
  <si>
    <t>Sub Total</t>
  </si>
  <si>
    <t>(b) Unlisted</t>
  </si>
  <si>
    <t>NIL</t>
  </si>
  <si>
    <t>Total</t>
  </si>
  <si>
    <t>Debt Instruments</t>
  </si>
  <si>
    <t>(a) Listed / awaiting listing on Stock Exchange</t>
  </si>
  <si>
    <t>(b) Privately placed / Unlisted</t>
  </si>
  <si>
    <t>(c) Preference shares</t>
  </si>
  <si>
    <t>SAEL21PS</t>
  </si>
  <si>
    <t>6% TVS Motor Co Non Conv Rede Pref Shares 01SEP26 **</t>
  </si>
  <si>
    <t>INE494B04019</t>
  </si>
  <si>
    <t>CARE A1+</t>
  </si>
  <si>
    <t>Reverse Repo / TREPS</t>
  </si>
  <si>
    <t>TRP_010126</t>
  </si>
  <si>
    <t>Clearing Corporation of India Ltd</t>
  </si>
  <si>
    <t>Net Receivables / (Payables)</t>
  </si>
  <si>
    <t>GRAND TOTAL</t>
  </si>
  <si>
    <t>• $ Weighted average score - excluding foreign securities - 74.59</t>
  </si>
  <si>
    <t>• $ Weighted average score - including foreign securities - 74.59</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</si>
  <si>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</si>
  <si>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</si>
  <si>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 xml:space="preserve">During FY2025, the AMC had carried out stewardship engagement with various companies whose equity shares were held by Axis ESG Integration Strategy Fund. During the engagement, following aspects were broadly covered:     </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</si>
  <si>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</si>
  <si>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t xml:space="preserve">Security wise ESG scores disclosed above are provided by SES ESG Research Private Limited. </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</si>
  <si>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</si>
  <si>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</si>
  <si>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  Thinly Traded / Non Traded Security</t>
  </si>
  <si>
    <t>~ YTM as on December 31, 2025</t>
  </si>
  <si>
    <t>^ YTC represents Yield to Call provided by valuation agencies as on December 31, 2025.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</si>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</sst>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0">
    <font>
      <sz val="11"/>
      <color theme="1"/>
      <name val="Aptos Narrow"/>
      <family val="2"/>
      <scheme val="minor"/>
    </font>
    <font>
      <sz val="11"/>
      <color theme="0"/>
      <name val="Aptos Narrow"/>
      <family val="2"/>
      <scheme val="minor"/>
    </font>
    <font>
      <u/>
      <sz val="11"/>
      <color theme="1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2" fillId="0" borderId="0" applyNumberFormat="0" applyFill="0" applyBorder="0" applyAlignment="0" applyProtection="0"/>
  </cellStyleXfs>
  <cellXfs count="5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7" fillId="0" borderId="7" xfId="0" applyFont="1" applyBorder="1" applyAlignment="1">
      <alignment horizontal="right" vertical="top" wrapText="1"/>
    </xf>
    <xf numFmtId="0" fontId="7" fillId="0" borderId="8" xfId="0" applyFont="1" applyBorder="1" applyAlignment="1">
      <alignment horizontal="right" vertical="top" wrapText="1"/>
    </xf>
    <xf numFmtId="0" fontId="7" fillId="0" borderId="9" xfId="0" applyFont="1" applyBorder="1" applyAlignment="1">
      <alignment horizontal="right" vertical="top" wrapText="1"/>
    </xf>
    <xf numFmtId="0" fontId="8" fillId="0" borderId="0" xfId="0" applyFont="1" applyAlignment="1">
      <alignment horizontal="left" vertical="top" wrapText="1"/>
    </xf>
    <xf numFmtId="0" fontId="5" fillId="0" borderId="5" xfId="0" applyFont="1" applyBorder="1" applyAlignment="1">
      <alignment horizontal="left" vertical="top" wrapText="1"/>
    </xf>
    <xf numFmtId="3" fontId="5" fillId="0" borderId="6" xfId="0" applyNumberFormat="1" applyFont="1" applyBorder="1" applyAlignment="1">
      <alignment horizontal="right" vertical="top" wrapText="1"/>
    </xf>
    <xf numFmtId="164" fontId="5" fillId="0" borderId="8" xfId="0" applyNumberFormat="1" applyFont="1" applyBorder="1" applyAlignment="1">
      <alignment horizontal="right" vertical="top" wrapText="1"/>
    </xf>
    <xf numFmtId="165"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0" fontId="5" fillId="0" borderId="8" xfId="0" applyFont="1" applyBorder="1" applyAlignment="1">
      <alignment horizontal="right" vertical="top" wrapText="1"/>
    </xf>
    <xf numFmtId="0" fontId="2" fillId="0" borderId="9" xfId="1" applyNumberFormat="1" applyFill="1" applyBorder="1" applyAlignment="1" applyProtection="1">
      <alignment horizontal="left" vertical="top" wrapText="1"/>
    </xf>
    <xf numFmtId="0" fontId="5" fillId="0" borderId="9" xfId="0" applyFont="1" applyBorder="1" applyAlignment="1">
      <alignment horizontal="left" vertical="top" wrapText="1"/>
    </xf>
    <xf numFmtId="164" fontId="4" fillId="0" borderId="10" xfId="0" applyNumberFormat="1" applyFont="1" applyBorder="1" applyAlignment="1">
      <alignment horizontal="right" vertical="top" wrapText="1"/>
    </xf>
    <xf numFmtId="165" fontId="4" fillId="0" borderId="11" xfId="0" applyNumberFormat="1" applyFont="1" applyBorder="1" applyAlignment="1">
      <alignment horizontal="right" vertical="top" wrapText="1"/>
    </xf>
    <xf numFmtId="0" fontId="4" fillId="0" borderId="12" xfId="0" applyFont="1" applyBorder="1" applyAlignment="1">
      <alignment horizontal="right" vertical="top" wrapText="1"/>
    </xf>
    <xf numFmtId="0" fontId="4" fillId="0" borderId="11" xfId="0" applyFont="1" applyBorder="1" applyAlignment="1">
      <alignment horizontal="right" vertical="top" wrapText="1"/>
    </xf>
    <xf numFmtId="0" fontId="4" fillId="0" borderId="13" xfId="0" applyFont="1" applyBorder="1" applyAlignment="1">
      <alignment horizontal="right" vertical="top" wrapText="1"/>
    </xf>
    <xf numFmtId="0" fontId="4" fillId="0" borderId="14" xfId="0" applyFont="1" applyBorder="1" applyAlignment="1">
      <alignment horizontal="left" vertical="top" wrapText="1"/>
    </xf>
    <xf numFmtId="0" fontId="5" fillId="0" borderId="11" xfId="0" applyFont="1" applyBorder="1" applyAlignment="1">
      <alignment horizontal="left" vertical="top" wrapText="1"/>
    </xf>
    <xf numFmtId="0" fontId="1" fillId="0" borderId="0" xfId="0" applyFont="1" applyAlignment="1" applyProtection="1">
      <alignment wrapText="1"/>
      <protection locked="0"/>
    </xf>
    <xf numFmtId="0" fontId="5" fillId="0" borderId="15" xfId="0" applyFont="1" applyBorder="1" applyAlignment="1">
      <alignment horizontal="lef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18" xfId="0" applyFont="1" applyBorder="1" applyAlignment="1">
      <alignment horizontal="right" vertical="top" wrapText="1"/>
    </xf>
    <xf numFmtId="0" fontId="4" fillId="0" borderId="19" xfId="0" applyFont="1" applyBorder="1" applyAlignment="1">
      <alignment horizontal="left" vertical="top" wrapText="1"/>
    </xf>
    <xf numFmtId="0" fontId="5" fillId="0" borderId="20" xfId="0" applyFont="1" applyBorder="1" applyAlignment="1">
      <alignment horizontal="left" vertical="top" wrapText="1"/>
    </xf>
    <xf numFmtId="166" fontId="5" fillId="0" borderId="7" xfId="0" applyNumberFormat="1" applyFont="1" applyBorder="1" applyAlignment="1">
      <alignment horizontal="right" vertical="top" wrapText="1"/>
    </xf>
    <xf numFmtId="0" fontId="5" fillId="0" borderId="9" xfId="0" applyFont="1" applyBorder="1" applyAlignment="1">
      <alignment horizontal="right" vertical="top" wrapText="1"/>
    </xf>
    <xf numFmtId="164" fontId="4" fillId="0" borderId="11" xfId="0" applyNumberFormat="1" applyFont="1" applyBorder="1" applyAlignment="1">
      <alignment horizontal="right" vertical="top" wrapText="1"/>
    </xf>
    <xf numFmtId="0" fontId="4" fillId="0" borderId="21" xfId="0" applyFont="1" applyBorder="1" applyAlignment="1">
      <alignment horizontal="left" vertical="top" wrapText="1"/>
    </xf>
    <xf numFmtId="0" fontId="5" fillId="0" borderId="22" xfId="0" applyFont="1" applyBorder="1" applyAlignment="1">
      <alignment horizontal="left" vertical="top" wrapText="1"/>
    </xf>
    <xf numFmtId="164" fontId="4" fillId="0" borderId="23" xfId="0" applyNumberFormat="1" applyFont="1" applyBorder="1" applyAlignment="1">
      <alignment horizontal="right" vertical="top" wrapText="1"/>
    </xf>
    <xf numFmtId="166" fontId="4" fillId="0" borderId="23" xfId="0" applyNumberFormat="1" applyFont="1" applyBorder="1" applyAlignment="1">
      <alignment horizontal="right" vertical="top" wrapText="1"/>
    </xf>
    <xf numFmtId="0" fontId="4" fillId="0" borderId="24" xfId="0" applyFont="1" applyBorder="1" applyAlignment="1">
      <alignment horizontal="right" vertical="top" wrapText="1"/>
    </xf>
    <xf numFmtId="0" fontId="4" fillId="0" borderId="25" xfId="0" applyFont="1" applyBorder="1" applyAlignment="1">
      <alignment horizontal="right" vertical="top" wrapText="1"/>
    </xf>
    <xf numFmtId="0" fontId="4" fillId="0" borderId="26" xfId="0" applyFont="1" applyBorder="1" applyAlignment="1">
      <alignment horizontal="right" vertical="top" wrapText="1"/>
    </xf>
    <xf numFmtId="0" fontId="6" fillId="0" borderId="0" xfId="0" applyFont="1" applyAlignment="1">
      <alignment horizontal="left" vertical="top" wrapText="1"/>
    </xf>
    <xf numFmtId="0" fontId="4"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pplyProtection="1">
      <alignment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0</xdr:colOff>
      <xdr:row>97</xdr:row>
      <xdr:rowOff>0</xdr:rowOff>
    </xdr:to>
    <xdr:pic>
      <xdr:nvPicPr>
        <xdr:cNvPr id="2" name="Picture">
          <a:extLst>
            <a:ext uri="{FF2B5EF4-FFF2-40B4-BE49-F238E27FC236}">
              <a16:creationId xmlns:a16="http://schemas.microsoft.com/office/drawing/2014/main" id="{0A33EAC2-FF43-4DB2-997C-1012FBD6417F}"/>
            </a:ext>
          </a:extLst>
        </xdr:cNvPr>
        <xdr:cNvPicPr/>
      </xdr:nvPicPr>
      <xdr:blipFill>
        <a:blip xmlns:r="http://schemas.openxmlformats.org/officeDocument/2006/relationships" r:embed="rId1"/>
        <a:srcRect/>
        <a:stretch>
          <a:fillRect r="54698"/>
        </a:stretch>
      </xdr:blipFill>
      <xdr:spPr>
        <a:xfrm>
          <a:off x="228600" y="16482060"/>
          <a:ext cx="4747260" cy="1714500"/>
        </a:xfrm>
        <a:prstGeom prst="rect">
          <a:avLst/>
        </a:prstGeom>
      </xdr:spPr>
    </xdr:pic>
    <xdr:clientData/>
  </xdr:twoCellAnchor>
  <xdr:twoCellAnchor editAs="oneCell">
    <xdr:from>
      <xdr:col>2</xdr:col>
      <xdr:colOff>0</xdr:colOff>
      <xdr:row>96</xdr:row>
      <xdr:rowOff>0</xdr:rowOff>
    </xdr:from>
    <xdr:to>
      <xdr:col>4</xdr:col>
      <xdr:colOff>0</xdr:colOff>
      <xdr:row>97</xdr:row>
      <xdr:rowOff>0</xdr:rowOff>
    </xdr:to>
    <xdr:pic>
      <xdr:nvPicPr>
        <xdr:cNvPr id="3" name="Picture">
          <a:extLst>
            <a:ext uri="{FF2B5EF4-FFF2-40B4-BE49-F238E27FC236}">
              <a16:creationId xmlns:a16="http://schemas.microsoft.com/office/drawing/2014/main" id="{AD377A21-BA23-48A6-8185-97E8AD87D544}"/>
            </a:ext>
          </a:extLst>
        </xdr:cNvPr>
        <xdr:cNvPicPr/>
      </xdr:nvPicPr>
      <xdr:blipFill>
        <a:blip xmlns:r="http://schemas.openxmlformats.org/officeDocument/2006/relationships" r:embed="rId2"/>
        <a:srcRect/>
        <a:stretch>
          <a:fillRect r="38666"/>
        </a:stretch>
      </xdr:blipFill>
      <xdr:spPr>
        <a:xfrm>
          <a:off x="4975860" y="1648206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seindia.com/stockinfo/AnnPdfOpen.aspx?Pname=\72687367-3a22-4292-b67a-6ab6728b0e3a.pdf" TargetMode="External"/><Relationship Id="rId18" Type="http://schemas.openxmlformats.org/officeDocument/2006/relationships/hyperlink" Target="https://www.bseindia.com/stockinfo/AnnPdfOpen.aspx?Pname=\6a364ef1-0c4c-4046-b56a-12f18ce9d520.pdf" TargetMode="External"/><Relationship Id="rId26" Type="http://schemas.openxmlformats.org/officeDocument/2006/relationships/hyperlink" Target="https://www.bseindia.com/stockinfo/AnnPdfOpen.aspx?Pname=\4b92ba61-b856-4f32-8f61-7ecff507f58f.pdf" TargetMode="External"/><Relationship Id="rId39" Type="http://schemas.openxmlformats.org/officeDocument/2006/relationships/hyperlink" Target="https://nsearchives.nseindia.com/corporate/ICICIPRULI_20062025125244_BRSR_FY2025.pdf" TargetMode="External"/><Relationship Id="rId21" Type="http://schemas.openxmlformats.org/officeDocument/2006/relationships/hyperlink" Target="https://www.bseindia.com/stockinfo/AnnPdfOpen.aspx?Pname=\0f8fd330-0e79-4b82-95ac-cc7395551655.pdf" TargetMode="External"/><Relationship Id="rId34" Type="http://schemas.openxmlformats.org/officeDocument/2006/relationships/hyperlink" Target="https://www.bseindia.com/stockinfo/AnnPdfOpen.aspx?Pname=\ca45f9c9-e992-4358-8886-6d82c856295c.pdf" TargetMode="External"/><Relationship Id="rId42" Type="http://schemas.openxmlformats.org/officeDocument/2006/relationships/hyperlink" Target="https://www.bseindia.com/stockinfo/AnnPdfOpen.aspx?Pname=\79bc8a13-3ff7-4890-96c5-f7dda64078c0.pdf" TargetMode="External"/><Relationship Id="rId47" Type="http://schemas.openxmlformats.org/officeDocument/2006/relationships/hyperlink" Target="https://www.bseindia.com/stockinfo/AnnPdfOpen.aspx?Pname=\8bbc99c1-98e8-41e8-89ac-86e81221a963.pdf" TargetMode="External"/><Relationship Id="rId7" Type="http://schemas.openxmlformats.org/officeDocument/2006/relationships/hyperlink" Target="https://www.aubank.in/business-responsibility-report-2025-BRSR-2025.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www.bseindia.com/stockinfo/AnnPdfOpen.aspx?Pname=\4c8ef117-d14c-4e96-9224-3c9593fac70d.pdf" TargetMode="External"/><Relationship Id="rId29" Type="http://schemas.openxmlformats.org/officeDocument/2006/relationships/hyperlink" Target="https://www.bseindia.com/stockinfo/AnnPdfOpen.aspx?Pname=\a3fa3c06-68a4-408b-9d3e-089ebd48d102.pdf" TargetMode="External"/><Relationship Id="rId11" Type="http://schemas.openxmlformats.org/officeDocument/2006/relationships/hyperlink" Target="https://www.bseindia.com/stockinfo/AnnPdfOpen.aspx?Pname=\7ead86ed-ca36-4e60-979f-5d9fd4cd1f73.pdf" TargetMode="External"/><Relationship Id="rId24" Type="http://schemas.openxmlformats.org/officeDocument/2006/relationships/hyperlink" Target="https://www.bseindia.com/stockinfo/AnnPdfOpen.aspx?Pname=\fc38eee2-c7fa-44bb-81a2-f13c151eff8d.pdf" TargetMode="External"/><Relationship Id="rId32" Type="http://schemas.openxmlformats.org/officeDocument/2006/relationships/hyperlink" Target="https://www.ltimindtree.com/annual-report-html/pdf/business-responsibility.pdf" TargetMode="External"/><Relationship Id="rId37" Type="http://schemas.openxmlformats.org/officeDocument/2006/relationships/hyperlink" Target="https://www.bseindia.com/stockinfo/AnnPdfOpen.aspx?Pname=\0ab929be-ff32-4b19-a799-5b63bd464c41.pdf" TargetMode="External"/><Relationship Id="rId40" Type="http://schemas.openxmlformats.org/officeDocument/2006/relationships/hyperlink" Target="https://www.bseindia.com/stockinfo/AnnPdfOpen.aspx?Pname=\be63ce6e-1854-4bcb-abc4-f25e41f8c6b5.pdf" TargetMode="External"/><Relationship Id="rId45" Type="http://schemas.openxmlformats.org/officeDocument/2006/relationships/hyperlink" Target="https://www.bseindia.com/stockinfo/AnnPdfOpen.aspx?Pname=\5bf7b8df-2b30-4e1e-a520-ea051c134813.pdf" TargetMode="External"/><Relationship Id="rId5" Type="http://schemas.openxmlformats.org/officeDocument/2006/relationships/hyperlink" Target="https://www.bseindia.com/stockinfo/AnnPdfOpen.aspx?Pname=\648b7ceb-a0c5-4f5c-a8d9-80f687561427.pdf" TargetMode="External"/><Relationship Id="rId15" Type="http://schemas.openxmlformats.org/officeDocument/2006/relationships/hyperlink" Target="https://nsearchives.nseindia.com/corporate/Apekshakhemka_23062025234552_StockExchangeIntimationBRSR_S.pdf" TargetMode="External"/><Relationship Id="rId23" Type="http://schemas.openxmlformats.org/officeDocument/2006/relationships/hyperlink" Target="https://www.bseindia.com/stockinfo/AnnPdfOpen.aspx?Pname=\47626896-31fb-456b-8664-8c36b0e1d5fe.pdf" TargetMode="External"/><Relationship Id="rId28" Type="http://schemas.openxmlformats.org/officeDocument/2006/relationships/hyperlink" Target="https://www.bseindia.com/stockinfo/AnnPdfOpen.aspx?Pname=\a1f1d737-cc7e-445f-bee8-ca4bf993e03e.pdf" TargetMode="External"/><Relationship Id="rId36" Type="http://schemas.openxmlformats.org/officeDocument/2006/relationships/hyperlink" Target="https://www.bseindia.com/stockinfo/AnnPdfOpen.aspx?Pname=\ddc43203-ec04-4e85-8e23-2bbcf4361bc3.pdf" TargetMode="External"/><Relationship Id="rId49" Type="http://schemas.openxmlformats.org/officeDocument/2006/relationships/drawing" Target="../drawings/drawing1.xml"/><Relationship Id="rId10" Type="http://schemas.openxmlformats.org/officeDocument/2006/relationships/hyperlink" Target="https://www.bseindia.com/stockinfo/AnnPdfOpen.aspx?Pname=\adc3e93f-b32f-4f2b-a08c-91f0b18c6aeb.pdf" TargetMode="External"/><Relationship Id="rId19" Type="http://schemas.openxmlformats.org/officeDocument/2006/relationships/hyperlink" Target="https://www.bseindia.com/stockinfo/AnnPdfOpen.aspx?Pname=\231d48a0-905d-4979-bee1-f855c401d4e8.pdf" TargetMode="External"/><Relationship Id="rId31" Type="http://schemas.openxmlformats.org/officeDocument/2006/relationships/hyperlink" Target="https://www.bseindia.com/stockinfo/AnnPdfOpen.aspx?Pname=\0ab929be-ff32-4b19-a799-5b63bd464c41.pdf" TargetMode="External"/><Relationship Id="rId44" Type="http://schemas.openxmlformats.org/officeDocument/2006/relationships/hyperlink" Target="https://www.bseindia.com/xml-data/corpfiling/AttachHis/c4bb275b-3f35-4d6b-bf23-2ee7cbf82033.pdf" TargetMode="External"/><Relationship Id="rId4" Type="http://schemas.openxmlformats.org/officeDocument/2006/relationships/hyperlink" Target="https://www.bseindia.com/xml-data/corpfiling/AttachHis/b080fcc4-f9b5-4a8d-9cf5-fe5c4a1e7e92.pdf" TargetMode="External"/><Relationship Id="rId9" Type="http://schemas.openxmlformats.org/officeDocument/2006/relationships/hyperlink" Target="https://www.bseindia.com/XBRLFILES/BRSRDuplicateUploadDocument/BRSR_532500_582025212232_BRSR.html" TargetMode="External"/><Relationship Id="rId14" Type="http://schemas.openxmlformats.org/officeDocument/2006/relationships/hyperlink" Target="https://www.bseindia.com/xml-data/corpfiling/AttachHis/63959ce8-b641-4bd4-9a62-43ab52301856.pdf" TargetMode="External"/><Relationship Id="rId22" Type="http://schemas.openxmlformats.org/officeDocument/2006/relationships/hyperlink" Target="https://www.bseindia.com/stockinfo/AnnPdfOpen.aspx?Pname=\121582fa-b16d-4e7f-a75e-756fde02815e.pdf" TargetMode="External"/><Relationship Id="rId27" Type="http://schemas.openxmlformats.org/officeDocument/2006/relationships/hyperlink" Target="https://www.bseindia.com/stockinfo/AnnPdfOpen.aspx?Pname=\a5e846a9-9190-4494-a112-590cf018c735.pdf" TargetMode="External"/><Relationship Id="rId30" Type="http://schemas.openxmlformats.org/officeDocument/2006/relationships/hyperlink" Target="https://www.bseindia.com/stockinfo/AnnPdfOpen.aspx?Pname=\8bbc99c1-98e8-41e8-89ac-86e81221a963.pdf" TargetMode="External"/><Relationship Id="rId35" Type="http://schemas.openxmlformats.org/officeDocument/2006/relationships/hyperlink" Target="https://www.bseindia.com/stockinfo/AnnPdfOpen.aspx?Pname=\550ebf61-11e4-4de0-98ce-7e25abacd9eb.pdf" TargetMode="External"/><Relationship Id="rId43" Type="http://schemas.openxmlformats.org/officeDocument/2006/relationships/hyperlink" Target="https://www.bseindia.com/stockinfo/AnnPdfOpen.aspx?Pname=\b127505e-9185-49fa-826e-4db5383ca4fd.pdf" TargetMode="External"/><Relationship Id="rId48" Type="http://schemas.openxmlformats.org/officeDocument/2006/relationships/hyperlink" Target="https://www.bseindia.com/stockinfo/AnnPdfOpen.aspx?Pname=\adc3e93f-b32f-4f2b-a08c-91f0b18c6aeb.pdf" TargetMode="External"/><Relationship Id="rId8" Type="http://schemas.openxmlformats.org/officeDocument/2006/relationships/hyperlink" Target="https://www.bseindia.com/stockinfo/AnnPdfOpen.aspx?Pname=\5e2ee0c9-f4b4-4486-b247-674b01b11936.pdf" TargetMode="External"/><Relationship Id="rId3" Type="http://schemas.openxmlformats.org/officeDocument/2006/relationships/hyperlink" Target="https://www.bseindia.com/stockinfo/AnnPdfOpen.aspx?Pname=\fb6dabcf-112a-41d7-8e6d-83e358153c89.pdf" TargetMode="External"/><Relationship Id="rId12" Type="http://schemas.openxmlformats.org/officeDocument/2006/relationships/hyperlink" Target="https://www.bseindia.com/stockinfo/AnnPdfOpen.aspx?Pname=\3e2eefe5-b432-4464-a334-c92749deddb0.pdf" TargetMode="External"/><Relationship Id="rId17" Type="http://schemas.openxmlformats.org/officeDocument/2006/relationships/hyperlink" Target="https://www.bseindia.com/stockinfo/AnnPdfOpen.aspx?Pname=\65486ad5-1835-4414-9038-51543138d964.pdf" TargetMode="External"/><Relationship Id="rId25" Type="http://schemas.openxmlformats.org/officeDocument/2006/relationships/hyperlink" Target="https://www.bseindia.com/stockinfo/AnnPdfOpen.aspx?Pname=\09e8d0eb-6001-4f60-ab76-3866e4c8c25a.pdf" TargetMode="External"/><Relationship Id="rId33" Type="http://schemas.openxmlformats.org/officeDocument/2006/relationships/hyperlink" Target="https://www.bseindia.com/stockinfo/AnnPdfOpen.aspx?Pname=\802be001-1ba9-4d98-bcce-9c93d94cf1d2.pdf" TargetMode="External"/><Relationship Id="rId38" Type="http://schemas.openxmlformats.org/officeDocument/2006/relationships/hyperlink" Target="https://www.bseindia.com/stockinfo/AnnPdfOpen.aspx?Pname=\5a8395fe-99f8-4312-9ace-787322fec1c2.pdf" TargetMode="External"/><Relationship Id="rId46" Type="http://schemas.openxmlformats.org/officeDocument/2006/relationships/hyperlink" Target="https://www.bseindia.com/stockinfo/AnnPdfOpen.aspx?Pname=\141ef7e3-e697-430b-a62c-108fbc78db2f.pdf" TargetMode="External"/><Relationship Id="rId20" Type="http://schemas.openxmlformats.org/officeDocument/2006/relationships/hyperlink" Target="https://www.bseindia.com/stockinfo/AnnPdfOpen.aspx?Pname=\938c3dc8-b424-40fc-836b-101415d323cd.pdf" TargetMode="External"/><Relationship Id="rId41" Type="http://schemas.openxmlformats.org/officeDocument/2006/relationships/hyperlink" Target="https://www.bseindia.com/stockinfo/AnnPdfOpen.aspx?Pname=\c6e7f7e9-2a0f-443b-8358-94ef1ff64f62.pdf" TargetMode="External"/><Relationship Id="rId1" Type="http://schemas.openxmlformats.org/officeDocument/2006/relationships/hyperlink" Target="https://www.icicibank.com/content/dam/icicibank/managed-assets/docs/investor/annual-reports/2025/icici-bank-brsr-2025.pdf" TargetMode="External"/><Relationship Id="rId6" Type="http://schemas.openxmlformats.org/officeDocument/2006/relationships/hyperlink" Target="https://www.bseindia.com/stockinfo/AnnPdfOpen.aspx?Pname=\44acd327-2dbb-42ea-833b-f988fdbf120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B458-644E-40F6-87A4-FA08B9312C28}">
  <sheetPr codeName="Sheet27">
    <outlinePr summaryBelow="0"/>
  </sheetPr>
  <dimension ref="A1:L97"/>
  <sheetViews>
    <sheetView tabSelected="1" topLeftCell="A69" workbookViewId="0">
      <selection activeCell="J65" sqref="J65"/>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1.88671875" customWidth="1"/>
    <col min="11" max="11" width="14.109375" customWidth="1"/>
    <col min="12" max="12" width="92.5546875" bestFit="1" customWidth="1"/>
  </cols>
  <sheetData>
    <row r="1" spans="1:12" ht="16.05" customHeight="1">
      <c r="A1" s="1" t="s">
        <v>0</v>
      </c>
      <c r="B1" s="2" t="s">
        <v>1</v>
      </c>
      <c r="C1" s="3"/>
      <c r="D1" s="3"/>
      <c r="E1" s="3"/>
      <c r="F1" s="3"/>
      <c r="G1" s="3"/>
      <c r="H1" s="3"/>
      <c r="I1" s="3"/>
      <c r="J1" s="3"/>
      <c r="K1" s="3"/>
      <c r="L1" s="3"/>
    </row>
    <row r="2" spans="1:12" ht="13.05" customHeight="1">
      <c r="A2" s="3"/>
      <c r="B2" s="4"/>
      <c r="C2" s="3"/>
      <c r="D2" s="3"/>
      <c r="E2" s="3"/>
      <c r="F2" s="3"/>
      <c r="G2" s="3"/>
      <c r="H2" s="3"/>
      <c r="I2" s="3"/>
      <c r="J2" s="3"/>
      <c r="K2" s="3"/>
      <c r="L2" s="3"/>
    </row>
    <row r="3" spans="1:12" ht="13.05" customHeight="1" thickBot="1">
      <c r="A3" s="5" t="s">
        <v>2</v>
      </c>
      <c r="B3" s="6" t="s">
        <v>3</v>
      </c>
      <c r="C3" s="3"/>
      <c r="D3" s="3"/>
      <c r="E3" s="3"/>
      <c r="F3" s="3"/>
      <c r="G3" s="3"/>
      <c r="H3" s="3"/>
      <c r="I3" s="3"/>
      <c r="J3" s="3"/>
      <c r="K3" s="3"/>
      <c r="L3" s="3"/>
    </row>
    <row r="4" spans="1:12" ht="28.05" customHeight="1">
      <c r="A4" s="3"/>
      <c r="B4" s="7" t="s">
        <v>4</v>
      </c>
      <c r="C4" s="8" t="s">
        <v>5</v>
      </c>
      <c r="D4" s="9" t="s">
        <v>6</v>
      </c>
      <c r="E4" s="9" t="s">
        <v>7</v>
      </c>
      <c r="F4" s="9" t="s">
        <v>8</v>
      </c>
      <c r="G4" s="9" t="s">
        <v>9</v>
      </c>
      <c r="H4" s="10" t="s">
        <v>10</v>
      </c>
      <c r="I4" s="9" t="s">
        <v>11</v>
      </c>
      <c r="J4" s="9" t="s">
        <v>12</v>
      </c>
      <c r="K4" s="9" t="s">
        <v>13</v>
      </c>
      <c r="L4" s="11" t="s">
        <v>14</v>
      </c>
    </row>
    <row r="5" spans="1:12" ht="13.05" customHeight="1">
      <c r="A5" s="3"/>
      <c r="B5" s="12" t="s">
        <v>15</v>
      </c>
      <c r="C5" s="13"/>
      <c r="D5" s="13"/>
      <c r="E5" s="13"/>
      <c r="F5" s="13"/>
      <c r="G5" s="13"/>
      <c r="H5" s="14"/>
      <c r="I5" s="15"/>
      <c r="J5" s="15"/>
      <c r="K5" s="15"/>
      <c r="L5" s="16"/>
    </row>
    <row r="6" spans="1:12" ht="13.05" customHeight="1">
      <c r="A6" s="3"/>
      <c r="B6" s="12" t="s">
        <v>16</v>
      </c>
      <c r="C6" s="13"/>
      <c r="D6" s="13"/>
      <c r="E6" s="13"/>
      <c r="F6" s="3"/>
      <c r="G6" s="15"/>
      <c r="H6" s="14"/>
      <c r="I6" s="15"/>
      <c r="J6" s="15"/>
      <c r="K6" s="15"/>
      <c r="L6" s="16"/>
    </row>
    <row r="7" spans="1:12" ht="13.05" customHeight="1">
      <c r="A7" s="17" t="s">
        <v>17</v>
      </c>
      <c r="B7" s="18" t="s">
        <v>18</v>
      </c>
      <c r="C7" s="13" t="s">
        <v>19</v>
      </c>
      <c r="D7" s="13" t="s">
        <v>20</v>
      </c>
      <c r="E7" s="19">
        <v>630000</v>
      </c>
      <c r="F7" s="20">
        <v>8460.27</v>
      </c>
      <c r="G7" s="21">
        <v>7.0199999999999999E-2</v>
      </c>
      <c r="H7" s="22"/>
      <c r="I7" s="23"/>
      <c r="J7" s="23">
        <v>76.7</v>
      </c>
      <c r="K7" s="23">
        <v>100</v>
      </c>
      <c r="L7" s="24" t="s">
        <v>21</v>
      </c>
    </row>
    <row r="8" spans="1:12" ht="13.05" customHeight="1">
      <c r="A8" s="17" t="s">
        <v>22</v>
      </c>
      <c r="B8" s="18" t="s">
        <v>23</v>
      </c>
      <c r="C8" s="13" t="s">
        <v>24</v>
      </c>
      <c r="D8" s="13" t="s">
        <v>20</v>
      </c>
      <c r="E8" s="19">
        <v>815448</v>
      </c>
      <c r="F8" s="20">
        <v>8082.7205999999996</v>
      </c>
      <c r="G8" s="21">
        <v>6.7100000000000007E-2</v>
      </c>
      <c r="H8" s="22"/>
      <c r="I8" s="23"/>
      <c r="J8" s="23">
        <v>80.099999999999994</v>
      </c>
      <c r="K8" s="23">
        <v>100</v>
      </c>
      <c r="L8" s="24" t="s">
        <v>25</v>
      </c>
    </row>
    <row r="9" spans="1:12" ht="13.05" customHeight="1">
      <c r="A9" s="17" t="s">
        <v>26</v>
      </c>
      <c r="B9" s="18" t="s">
        <v>27</v>
      </c>
      <c r="C9" s="13" t="s">
        <v>28</v>
      </c>
      <c r="D9" s="13" t="s">
        <v>29</v>
      </c>
      <c r="E9" s="19">
        <v>377000</v>
      </c>
      <c r="F9" s="20">
        <v>7938.1120000000001</v>
      </c>
      <c r="G9" s="21">
        <v>6.59E-2</v>
      </c>
      <c r="H9" s="22"/>
      <c r="I9" s="23"/>
      <c r="J9" s="23">
        <v>74.8</v>
      </c>
      <c r="K9" s="23">
        <v>100</v>
      </c>
      <c r="L9" s="24" t="s">
        <v>30</v>
      </c>
    </row>
    <row r="10" spans="1:12" ht="13.05" customHeight="1">
      <c r="A10" s="17" t="s">
        <v>31</v>
      </c>
      <c r="B10" s="18" t="s">
        <v>32</v>
      </c>
      <c r="C10" s="13" t="s">
        <v>33</v>
      </c>
      <c r="D10" s="13" t="s">
        <v>34</v>
      </c>
      <c r="E10" s="19">
        <v>665900</v>
      </c>
      <c r="F10" s="20">
        <v>6571.1012000000001</v>
      </c>
      <c r="G10" s="21">
        <v>5.4600000000000003E-2</v>
      </c>
      <c r="H10" s="22"/>
      <c r="I10" s="23"/>
      <c r="J10" s="23">
        <v>78.7</v>
      </c>
      <c r="K10" s="23">
        <v>100</v>
      </c>
      <c r="L10" s="24" t="s">
        <v>35</v>
      </c>
    </row>
    <row r="11" spans="1:12" ht="13.05" customHeight="1">
      <c r="A11" s="17" t="s">
        <v>36</v>
      </c>
      <c r="B11" s="18" t="s">
        <v>37</v>
      </c>
      <c r="C11" s="13" t="s">
        <v>38</v>
      </c>
      <c r="D11" s="13" t="s">
        <v>39</v>
      </c>
      <c r="E11" s="19">
        <v>390740</v>
      </c>
      <c r="F11" s="20">
        <v>6136.1809999999996</v>
      </c>
      <c r="G11" s="21">
        <v>5.0900000000000001E-2</v>
      </c>
      <c r="H11" s="22"/>
      <c r="I11" s="23"/>
      <c r="J11" s="23">
        <v>68</v>
      </c>
      <c r="K11" s="23">
        <v>100</v>
      </c>
      <c r="L11" s="24" t="s">
        <v>40</v>
      </c>
    </row>
    <row r="12" spans="1:12" ht="13.05" customHeight="1">
      <c r="A12" s="17" t="s">
        <v>41</v>
      </c>
      <c r="B12" s="18" t="s">
        <v>42</v>
      </c>
      <c r="C12" s="13" t="s">
        <v>43</v>
      </c>
      <c r="D12" s="13" t="s">
        <v>44</v>
      </c>
      <c r="E12" s="19">
        <v>289485</v>
      </c>
      <c r="F12" s="20">
        <v>4984.9317000000001</v>
      </c>
      <c r="G12" s="21">
        <v>4.1399999999999999E-2</v>
      </c>
      <c r="H12" s="22"/>
      <c r="I12" s="23"/>
      <c r="J12" s="23">
        <v>65</v>
      </c>
      <c r="K12" s="23" t="s">
        <v>45</v>
      </c>
      <c r="L12" s="24" t="s">
        <v>46</v>
      </c>
    </row>
    <row r="13" spans="1:12" ht="13.05" customHeight="1">
      <c r="A13" s="17" t="s">
        <v>47</v>
      </c>
      <c r="B13" s="18" t="s">
        <v>48</v>
      </c>
      <c r="C13" s="13" t="s">
        <v>49</v>
      </c>
      <c r="D13" s="13" t="s">
        <v>20</v>
      </c>
      <c r="E13" s="19">
        <v>440460</v>
      </c>
      <c r="F13" s="20">
        <v>4380.3747000000003</v>
      </c>
      <c r="G13" s="21">
        <v>3.6400000000000002E-2</v>
      </c>
      <c r="H13" s="22"/>
      <c r="I13" s="23"/>
      <c r="J13" s="23">
        <v>80.400000000000006</v>
      </c>
      <c r="K13" s="23">
        <v>100</v>
      </c>
      <c r="L13" s="24" t="s">
        <v>50</v>
      </c>
    </row>
    <row r="14" spans="1:12" ht="13.05" customHeight="1">
      <c r="A14" s="17" t="s">
        <v>51</v>
      </c>
      <c r="B14" s="18" t="s">
        <v>52</v>
      </c>
      <c r="C14" s="13" t="s">
        <v>53</v>
      </c>
      <c r="D14" s="13" t="s">
        <v>54</v>
      </c>
      <c r="E14" s="19">
        <v>268378</v>
      </c>
      <c r="F14" s="20">
        <v>4335.3782000000001</v>
      </c>
      <c r="G14" s="21">
        <v>3.5999999999999997E-2</v>
      </c>
      <c r="H14" s="22"/>
      <c r="I14" s="23"/>
      <c r="J14" s="23">
        <v>80.900000000000006</v>
      </c>
      <c r="K14" s="23">
        <v>100</v>
      </c>
      <c r="L14" s="24" t="s">
        <v>55</v>
      </c>
    </row>
    <row r="15" spans="1:12" ht="13.05" customHeight="1">
      <c r="A15" s="17" t="s">
        <v>56</v>
      </c>
      <c r="B15" s="18" t="s">
        <v>57</v>
      </c>
      <c r="C15" s="13" t="s">
        <v>58</v>
      </c>
      <c r="D15" s="13" t="s">
        <v>59</v>
      </c>
      <c r="E15" s="19">
        <v>22968</v>
      </c>
      <c r="F15" s="20">
        <v>3834.9670000000001</v>
      </c>
      <c r="G15" s="21">
        <v>3.1800000000000002E-2</v>
      </c>
      <c r="H15" s="22"/>
      <c r="I15" s="23"/>
      <c r="J15" s="23">
        <v>76.599999999999994</v>
      </c>
      <c r="K15" s="23">
        <v>100</v>
      </c>
      <c r="L15" s="24" t="s">
        <v>60</v>
      </c>
    </row>
    <row r="16" spans="1:12" ht="13.05" customHeight="1">
      <c r="A16" s="17" t="s">
        <v>61</v>
      </c>
      <c r="B16" s="18" t="s">
        <v>62</v>
      </c>
      <c r="C16" s="13" t="s">
        <v>63</v>
      </c>
      <c r="D16" s="13" t="s">
        <v>59</v>
      </c>
      <c r="E16" s="19">
        <v>93375</v>
      </c>
      <c r="F16" s="20">
        <v>3473.3633</v>
      </c>
      <c r="G16" s="21">
        <v>2.8799999999999999E-2</v>
      </c>
      <c r="H16" s="22"/>
      <c r="I16" s="23"/>
      <c r="J16" s="23">
        <v>73.3</v>
      </c>
      <c r="K16" s="23">
        <v>63</v>
      </c>
      <c r="L16" s="24" t="s">
        <v>64</v>
      </c>
    </row>
    <row r="17" spans="1:12" ht="13.05" customHeight="1">
      <c r="A17" s="17" t="s">
        <v>65</v>
      </c>
      <c r="B17" s="18" t="s">
        <v>66</v>
      </c>
      <c r="C17" s="13" t="s">
        <v>67</v>
      </c>
      <c r="D17" s="13" t="s">
        <v>68</v>
      </c>
      <c r="E17" s="19">
        <v>1244435</v>
      </c>
      <c r="F17" s="20">
        <v>3460.1514999999999</v>
      </c>
      <c r="G17" s="21">
        <v>2.87E-2</v>
      </c>
      <c r="H17" s="22"/>
      <c r="I17" s="23"/>
      <c r="J17" s="23">
        <v>70.3</v>
      </c>
      <c r="K17" s="23">
        <v>77</v>
      </c>
      <c r="L17" s="24" t="s">
        <v>69</v>
      </c>
    </row>
    <row r="18" spans="1:12" ht="13.05" customHeight="1">
      <c r="A18" s="17" t="s">
        <v>70</v>
      </c>
      <c r="B18" s="18" t="s">
        <v>71</v>
      </c>
      <c r="C18" s="13" t="s">
        <v>72</v>
      </c>
      <c r="D18" s="13" t="s">
        <v>54</v>
      </c>
      <c r="E18" s="19">
        <v>212049</v>
      </c>
      <c r="F18" s="20">
        <v>3442.1914000000002</v>
      </c>
      <c r="G18" s="21">
        <v>2.86E-2</v>
      </c>
      <c r="H18" s="22"/>
      <c r="I18" s="23"/>
      <c r="J18" s="23">
        <v>79.400000000000006</v>
      </c>
      <c r="K18" s="23">
        <v>100</v>
      </c>
      <c r="L18" s="24" t="s">
        <v>73</v>
      </c>
    </row>
    <row r="19" spans="1:12" ht="13.05" customHeight="1">
      <c r="A19" s="17" t="s">
        <v>74</v>
      </c>
      <c r="B19" s="18" t="s">
        <v>75</v>
      </c>
      <c r="C19" s="13" t="s">
        <v>76</v>
      </c>
      <c r="D19" s="13" t="s">
        <v>34</v>
      </c>
      <c r="E19" s="19">
        <v>202103</v>
      </c>
      <c r="F19" s="20">
        <v>3440.1972999999998</v>
      </c>
      <c r="G19" s="21">
        <v>2.86E-2</v>
      </c>
      <c r="H19" s="22"/>
      <c r="I19" s="23"/>
      <c r="J19" s="23">
        <v>79.8</v>
      </c>
      <c r="K19" s="23">
        <v>97</v>
      </c>
      <c r="L19" s="24" t="s">
        <v>77</v>
      </c>
    </row>
    <row r="20" spans="1:12" ht="13.05" customHeight="1">
      <c r="A20" s="17" t="s">
        <v>78</v>
      </c>
      <c r="B20" s="18" t="s">
        <v>79</v>
      </c>
      <c r="C20" s="13" t="s">
        <v>80</v>
      </c>
      <c r="D20" s="13" t="s">
        <v>81</v>
      </c>
      <c r="E20" s="19">
        <v>75000</v>
      </c>
      <c r="F20" s="20">
        <v>3062.625</v>
      </c>
      <c r="G20" s="21">
        <v>2.5399999999999999E-2</v>
      </c>
      <c r="H20" s="22"/>
      <c r="I20" s="23"/>
      <c r="J20" s="23">
        <v>71.3</v>
      </c>
      <c r="K20" s="23">
        <v>79.599999999999994</v>
      </c>
      <c r="L20" s="24" t="s">
        <v>82</v>
      </c>
    </row>
    <row r="21" spans="1:12" ht="13.05" customHeight="1">
      <c r="A21" s="17" t="s">
        <v>83</v>
      </c>
      <c r="B21" s="18" t="s">
        <v>84</v>
      </c>
      <c r="C21" s="13" t="s">
        <v>85</v>
      </c>
      <c r="D21" s="13" t="s">
        <v>54</v>
      </c>
      <c r="E21" s="19">
        <v>175683</v>
      </c>
      <c r="F21" s="20">
        <v>2794.9407999999999</v>
      </c>
      <c r="G21" s="21">
        <v>2.3199999999999998E-2</v>
      </c>
      <c r="H21" s="22"/>
      <c r="I21" s="23"/>
      <c r="J21" s="23">
        <v>77.900000000000006</v>
      </c>
      <c r="K21" s="23">
        <v>100</v>
      </c>
      <c r="L21" s="24" t="s">
        <v>86</v>
      </c>
    </row>
    <row r="22" spans="1:12" ht="13.05" customHeight="1">
      <c r="A22" s="17" t="s">
        <v>87</v>
      </c>
      <c r="B22" s="18" t="s">
        <v>88</v>
      </c>
      <c r="C22" s="13" t="s">
        <v>89</v>
      </c>
      <c r="D22" s="13" t="s">
        <v>90</v>
      </c>
      <c r="E22" s="19">
        <v>216972</v>
      </c>
      <c r="F22" s="20">
        <v>2586.3062</v>
      </c>
      <c r="G22" s="21">
        <v>2.1499999999999998E-2</v>
      </c>
      <c r="H22" s="22"/>
      <c r="I22" s="23"/>
      <c r="J22" s="23">
        <v>66.8</v>
      </c>
      <c r="K22" s="23">
        <v>100</v>
      </c>
      <c r="L22" s="24" t="s">
        <v>91</v>
      </c>
    </row>
    <row r="23" spans="1:12" ht="13.05" customHeight="1">
      <c r="A23" s="17" t="s">
        <v>92</v>
      </c>
      <c r="B23" s="18" t="s">
        <v>93</v>
      </c>
      <c r="C23" s="13" t="s">
        <v>94</v>
      </c>
      <c r="D23" s="13" t="s">
        <v>95</v>
      </c>
      <c r="E23" s="19">
        <v>525185</v>
      </c>
      <c r="F23" s="20">
        <v>2572.6187</v>
      </c>
      <c r="G23" s="21">
        <v>2.1399999999999999E-2</v>
      </c>
      <c r="H23" s="22"/>
      <c r="I23" s="23"/>
      <c r="J23" s="23">
        <v>66.400000000000006</v>
      </c>
      <c r="K23" s="23">
        <v>92</v>
      </c>
      <c r="L23" s="24" t="s">
        <v>96</v>
      </c>
    </row>
    <row r="24" spans="1:12" ht="13.05" customHeight="1">
      <c r="A24" s="17" t="s">
        <v>97</v>
      </c>
      <c r="B24" s="18" t="s">
        <v>98</v>
      </c>
      <c r="C24" s="13" t="s">
        <v>99</v>
      </c>
      <c r="D24" s="13" t="s">
        <v>54</v>
      </c>
      <c r="E24" s="19">
        <v>950000</v>
      </c>
      <c r="F24" s="20">
        <v>2501.16</v>
      </c>
      <c r="G24" s="21">
        <v>2.0799999999999999E-2</v>
      </c>
      <c r="H24" s="22"/>
      <c r="I24" s="23"/>
      <c r="J24" s="23">
        <v>78.3</v>
      </c>
      <c r="K24" s="23">
        <v>100</v>
      </c>
      <c r="L24" s="24" t="s">
        <v>100</v>
      </c>
    </row>
    <row r="25" spans="1:12" ht="13.05" customHeight="1">
      <c r="A25" s="17" t="s">
        <v>101</v>
      </c>
      <c r="B25" s="18" t="s">
        <v>102</v>
      </c>
      <c r="C25" s="13" t="s">
        <v>103</v>
      </c>
      <c r="D25" s="13" t="s">
        <v>20</v>
      </c>
      <c r="E25" s="19">
        <v>109000</v>
      </c>
      <c r="F25" s="20">
        <v>2399.1990000000001</v>
      </c>
      <c r="G25" s="21">
        <v>1.9900000000000001E-2</v>
      </c>
      <c r="H25" s="22"/>
      <c r="I25" s="23"/>
      <c r="J25" s="23">
        <v>79.099999999999994</v>
      </c>
      <c r="K25" s="23">
        <v>100</v>
      </c>
      <c r="L25" s="24" t="s">
        <v>104</v>
      </c>
    </row>
    <row r="26" spans="1:12" ht="13.05" customHeight="1">
      <c r="A26" s="17" t="s">
        <v>105</v>
      </c>
      <c r="B26" s="18" t="s">
        <v>106</v>
      </c>
      <c r="C26" s="13" t="s">
        <v>107</v>
      </c>
      <c r="D26" s="13" t="s">
        <v>20</v>
      </c>
      <c r="E26" s="19">
        <v>230000</v>
      </c>
      <c r="F26" s="20">
        <v>2259.06</v>
      </c>
      <c r="G26" s="21">
        <v>1.8800000000000001E-2</v>
      </c>
      <c r="H26" s="22"/>
      <c r="I26" s="23"/>
      <c r="J26" s="23">
        <v>71.2</v>
      </c>
      <c r="K26" s="23">
        <v>100</v>
      </c>
      <c r="L26" s="24" t="s">
        <v>108</v>
      </c>
    </row>
    <row r="27" spans="1:12" ht="13.05" customHeight="1">
      <c r="A27" s="17" t="s">
        <v>109</v>
      </c>
      <c r="B27" s="18" t="s">
        <v>110</v>
      </c>
      <c r="C27" s="13" t="s">
        <v>111</v>
      </c>
      <c r="D27" s="13" t="s">
        <v>54</v>
      </c>
      <c r="E27" s="19">
        <v>131805</v>
      </c>
      <c r="F27" s="20">
        <v>2191.9171999999999</v>
      </c>
      <c r="G27" s="21">
        <v>1.8200000000000001E-2</v>
      </c>
      <c r="H27" s="22"/>
      <c r="I27" s="23"/>
      <c r="J27" s="23">
        <v>76.599999999999994</v>
      </c>
      <c r="K27" s="23">
        <v>100</v>
      </c>
      <c r="L27" s="24" t="s">
        <v>112</v>
      </c>
    </row>
    <row r="28" spans="1:12" ht="13.05" customHeight="1">
      <c r="A28" s="17" t="s">
        <v>113</v>
      </c>
      <c r="B28" s="18" t="s">
        <v>114</v>
      </c>
      <c r="C28" s="13" t="s">
        <v>115</v>
      </c>
      <c r="D28" s="13" t="s">
        <v>68</v>
      </c>
      <c r="E28" s="19">
        <v>50969</v>
      </c>
      <c r="F28" s="20">
        <v>2180.9634999999998</v>
      </c>
      <c r="G28" s="21">
        <v>1.8100000000000002E-2</v>
      </c>
      <c r="H28" s="22"/>
      <c r="I28" s="23"/>
      <c r="J28" s="23">
        <v>68.900000000000006</v>
      </c>
      <c r="K28" s="23">
        <v>100</v>
      </c>
      <c r="L28" s="24" t="s">
        <v>116</v>
      </c>
    </row>
    <row r="29" spans="1:12" ht="13.05" customHeight="1">
      <c r="A29" s="17" t="s">
        <v>117</v>
      </c>
      <c r="B29" s="18" t="s">
        <v>118</v>
      </c>
      <c r="C29" s="13" t="s">
        <v>119</v>
      </c>
      <c r="D29" s="13" t="s">
        <v>44</v>
      </c>
      <c r="E29" s="19">
        <v>135000</v>
      </c>
      <c r="F29" s="20">
        <v>2040.2550000000001</v>
      </c>
      <c r="G29" s="21">
        <v>1.6899999999999998E-2</v>
      </c>
      <c r="H29" s="22"/>
      <c r="I29" s="23"/>
      <c r="J29" s="23">
        <v>69.3</v>
      </c>
      <c r="K29" s="23">
        <v>100</v>
      </c>
      <c r="L29" s="24" t="s">
        <v>120</v>
      </c>
    </row>
    <row r="30" spans="1:12" ht="13.05" customHeight="1">
      <c r="A30" s="17" t="s">
        <v>121</v>
      </c>
      <c r="B30" s="18" t="s">
        <v>122</v>
      </c>
      <c r="C30" s="13" t="s">
        <v>123</v>
      </c>
      <c r="D30" s="13" t="s">
        <v>34</v>
      </c>
      <c r="E30" s="19">
        <v>200000</v>
      </c>
      <c r="F30" s="20">
        <v>1992.4</v>
      </c>
      <c r="G30" s="21">
        <v>1.6500000000000001E-2</v>
      </c>
      <c r="H30" s="22"/>
      <c r="I30" s="23"/>
      <c r="J30" s="23">
        <v>81.099999999999994</v>
      </c>
      <c r="K30" s="23">
        <v>100</v>
      </c>
      <c r="L30" s="25" t="s">
        <v>124</v>
      </c>
    </row>
    <row r="31" spans="1:12" ht="13.05" customHeight="1">
      <c r="A31" s="17" t="s">
        <v>125</v>
      </c>
      <c r="B31" s="18" t="s">
        <v>126</v>
      </c>
      <c r="C31" s="13" t="s">
        <v>127</v>
      </c>
      <c r="D31" s="13" t="s">
        <v>44</v>
      </c>
      <c r="E31" s="19">
        <v>105000</v>
      </c>
      <c r="F31" s="20">
        <v>1805.6849999999999</v>
      </c>
      <c r="G31" s="21">
        <v>1.4999999999999999E-2</v>
      </c>
      <c r="H31" s="22"/>
      <c r="I31" s="23"/>
      <c r="J31" s="23">
        <v>66.900000000000006</v>
      </c>
      <c r="K31" s="23">
        <v>100</v>
      </c>
      <c r="L31" s="24" t="s">
        <v>128</v>
      </c>
    </row>
    <row r="32" spans="1:12" ht="13.05" customHeight="1">
      <c r="A32" s="17" t="s">
        <v>129</v>
      </c>
      <c r="B32" s="18" t="s">
        <v>130</v>
      </c>
      <c r="C32" s="13" t="s">
        <v>131</v>
      </c>
      <c r="D32" s="13" t="s">
        <v>20</v>
      </c>
      <c r="E32" s="19">
        <v>626029</v>
      </c>
      <c r="F32" s="20">
        <v>1672.1234999999999</v>
      </c>
      <c r="G32" s="21">
        <v>1.3899999999999999E-2</v>
      </c>
      <c r="H32" s="22"/>
      <c r="I32" s="23"/>
      <c r="J32" s="23">
        <v>81.900000000000006</v>
      </c>
      <c r="K32" s="23">
        <v>100</v>
      </c>
      <c r="L32" s="24" t="s">
        <v>132</v>
      </c>
    </row>
    <row r="33" spans="1:12" ht="13.05" customHeight="1">
      <c r="A33" s="17" t="s">
        <v>133</v>
      </c>
      <c r="B33" s="18" t="s">
        <v>134</v>
      </c>
      <c r="C33" s="13" t="s">
        <v>135</v>
      </c>
      <c r="D33" s="13" t="s">
        <v>136</v>
      </c>
      <c r="E33" s="19">
        <v>25000</v>
      </c>
      <c r="F33" s="20">
        <v>1596.75</v>
      </c>
      <c r="G33" s="21">
        <v>1.3299999999999999E-2</v>
      </c>
      <c r="H33" s="22"/>
      <c r="I33" s="23"/>
      <c r="J33" s="23">
        <v>73.400000000000006</v>
      </c>
      <c r="K33" s="23" t="s">
        <v>45</v>
      </c>
      <c r="L33" s="24" t="s">
        <v>137</v>
      </c>
    </row>
    <row r="34" spans="1:12" ht="13.05" customHeight="1">
      <c r="A34" s="17" t="s">
        <v>138</v>
      </c>
      <c r="B34" s="18" t="s">
        <v>139</v>
      </c>
      <c r="C34" s="13" t="s">
        <v>140</v>
      </c>
      <c r="D34" s="13" t="s">
        <v>44</v>
      </c>
      <c r="E34" s="19">
        <v>40547</v>
      </c>
      <c r="F34" s="20">
        <v>1561.0595000000001</v>
      </c>
      <c r="G34" s="21">
        <v>1.2999999999999999E-2</v>
      </c>
      <c r="H34" s="22"/>
      <c r="I34" s="23"/>
      <c r="J34" s="23">
        <v>69.599999999999994</v>
      </c>
      <c r="K34" s="23">
        <v>100</v>
      </c>
      <c r="L34" s="24" t="s">
        <v>141</v>
      </c>
    </row>
    <row r="35" spans="1:12" ht="13.05" customHeight="1">
      <c r="A35" s="17" t="s">
        <v>142</v>
      </c>
      <c r="B35" s="18" t="s">
        <v>143</v>
      </c>
      <c r="C35" s="13" t="s">
        <v>144</v>
      </c>
      <c r="D35" s="13" t="s">
        <v>145</v>
      </c>
      <c r="E35" s="19">
        <v>19054</v>
      </c>
      <c r="F35" s="20">
        <v>1465.1573000000001</v>
      </c>
      <c r="G35" s="21">
        <v>1.2200000000000001E-2</v>
      </c>
      <c r="H35" s="22"/>
      <c r="I35" s="23"/>
      <c r="J35" s="23">
        <v>69.2</v>
      </c>
      <c r="K35" s="23" t="s">
        <v>45</v>
      </c>
      <c r="L35" s="24" t="s">
        <v>146</v>
      </c>
    </row>
    <row r="36" spans="1:12" ht="13.05" customHeight="1">
      <c r="A36" s="17" t="s">
        <v>147</v>
      </c>
      <c r="B36" s="18" t="s">
        <v>148</v>
      </c>
      <c r="C36" s="13" t="s">
        <v>149</v>
      </c>
      <c r="D36" s="13" t="s">
        <v>150</v>
      </c>
      <c r="E36" s="19">
        <v>10841</v>
      </c>
      <c r="F36" s="20">
        <v>1277.5034000000001</v>
      </c>
      <c r="G36" s="21">
        <v>1.06E-2</v>
      </c>
      <c r="H36" s="22"/>
      <c r="I36" s="23"/>
      <c r="J36" s="23">
        <v>71.099999999999994</v>
      </c>
      <c r="K36" s="23">
        <v>100</v>
      </c>
      <c r="L36" s="24" t="s">
        <v>151</v>
      </c>
    </row>
    <row r="37" spans="1:12" ht="13.05" customHeight="1">
      <c r="A37" s="17" t="s">
        <v>152</v>
      </c>
      <c r="B37" s="18" t="s">
        <v>153</v>
      </c>
      <c r="C37" s="13" t="s">
        <v>154</v>
      </c>
      <c r="D37" s="13" t="s">
        <v>155</v>
      </c>
      <c r="E37" s="19">
        <v>55000</v>
      </c>
      <c r="F37" s="20">
        <v>1273.7449999999999</v>
      </c>
      <c r="G37" s="21">
        <v>1.06E-2</v>
      </c>
      <c r="H37" s="22"/>
      <c r="I37" s="23"/>
      <c r="J37" s="23">
        <v>77.2</v>
      </c>
      <c r="K37" s="23">
        <v>100</v>
      </c>
      <c r="L37" s="24" t="s">
        <v>156</v>
      </c>
    </row>
    <row r="38" spans="1:12" ht="13.05" customHeight="1">
      <c r="A38" s="17" t="s">
        <v>157</v>
      </c>
      <c r="B38" s="18" t="s">
        <v>158</v>
      </c>
      <c r="C38" s="13" t="s">
        <v>159</v>
      </c>
      <c r="D38" s="13" t="s">
        <v>160</v>
      </c>
      <c r="E38" s="19">
        <v>301180</v>
      </c>
      <c r="F38" s="20">
        <v>1251.4029</v>
      </c>
      <c r="G38" s="21">
        <v>1.04E-2</v>
      </c>
      <c r="H38" s="22"/>
      <c r="I38" s="23"/>
      <c r="J38" s="23">
        <v>77.900000000000006</v>
      </c>
      <c r="K38" s="23">
        <v>100</v>
      </c>
      <c r="L38" s="24" t="s">
        <v>161</v>
      </c>
    </row>
    <row r="39" spans="1:12" ht="13.05" customHeight="1">
      <c r="A39" s="17" t="s">
        <v>162</v>
      </c>
      <c r="B39" s="18" t="s">
        <v>163</v>
      </c>
      <c r="C39" s="13" t="s">
        <v>164</v>
      </c>
      <c r="D39" s="13" t="s">
        <v>54</v>
      </c>
      <c r="E39" s="19">
        <v>20500</v>
      </c>
      <c r="F39" s="20">
        <v>1243.0174999999999</v>
      </c>
      <c r="G39" s="21">
        <v>1.03E-2</v>
      </c>
      <c r="H39" s="22"/>
      <c r="I39" s="23"/>
      <c r="J39" s="23">
        <v>78.900000000000006</v>
      </c>
      <c r="K39" s="23">
        <v>100</v>
      </c>
      <c r="L39" s="24" t="s">
        <v>165</v>
      </c>
    </row>
    <row r="40" spans="1:12" ht="13.05" customHeight="1">
      <c r="A40" s="17" t="s">
        <v>166</v>
      </c>
      <c r="B40" s="18" t="s">
        <v>167</v>
      </c>
      <c r="C40" s="13" t="s">
        <v>168</v>
      </c>
      <c r="D40" s="13" t="s">
        <v>169</v>
      </c>
      <c r="E40" s="19">
        <v>60571</v>
      </c>
      <c r="F40" s="20">
        <v>1232.5592999999999</v>
      </c>
      <c r="G40" s="21">
        <v>1.0200000000000001E-2</v>
      </c>
      <c r="H40" s="22"/>
      <c r="I40" s="23"/>
      <c r="J40" s="23">
        <v>74.2</v>
      </c>
      <c r="K40" s="23">
        <v>100</v>
      </c>
      <c r="L40" s="24" t="s">
        <v>170</v>
      </c>
    </row>
    <row r="41" spans="1:12" ht="13.05" customHeight="1">
      <c r="A41" s="17" t="s">
        <v>171</v>
      </c>
      <c r="B41" s="18" t="s">
        <v>172</v>
      </c>
      <c r="C41" s="13" t="s">
        <v>173</v>
      </c>
      <c r="D41" s="13" t="s">
        <v>136</v>
      </c>
      <c r="E41" s="19">
        <v>30005</v>
      </c>
      <c r="F41" s="20">
        <v>1215.6525999999999</v>
      </c>
      <c r="G41" s="21">
        <v>1.01E-2</v>
      </c>
      <c r="H41" s="22"/>
      <c r="I41" s="23"/>
      <c r="J41" s="23">
        <v>71.099999999999994</v>
      </c>
      <c r="K41" s="23">
        <v>81</v>
      </c>
      <c r="L41" s="24" t="s">
        <v>174</v>
      </c>
    </row>
    <row r="42" spans="1:12" ht="13.05" customHeight="1">
      <c r="A42" s="17" t="s">
        <v>175</v>
      </c>
      <c r="B42" s="18" t="s">
        <v>176</v>
      </c>
      <c r="C42" s="13" t="s">
        <v>177</v>
      </c>
      <c r="D42" s="13" t="s">
        <v>178</v>
      </c>
      <c r="E42" s="19">
        <v>17000</v>
      </c>
      <c r="F42" s="20">
        <v>1197.2249999999999</v>
      </c>
      <c r="G42" s="21">
        <v>9.9000000000000008E-3</v>
      </c>
      <c r="H42" s="22"/>
      <c r="I42" s="23"/>
      <c r="J42" s="23">
        <v>67.099999999999994</v>
      </c>
      <c r="K42" s="23">
        <v>74.7</v>
      </c>
      <c r="L42" s="24" t="s">
        <v>179</v>
      </c>
    </row>
    <row r="43" spans="1:12" ht="13.05" customHeight="1">
      <c r="A43" s="17" t="s">
        <v>180</v>
      </c>
      <c r="B43" s="18" t="s">
        <v>181</v>
      </c>
      <c r="C43" s="13" t="s">
        <v>182</v>
      </c>
      <c r="D43" s="13" t="s">
        <v>68</v>
      </c>
      <c r="E43" s="19">
        <v>86310</v>
      </c>
      <c r="F43" s="20">
        <v>1151.0301999999999</v>
      </c>
      <c r="G43" s="21">
        <v>9.5999999999999992E-3</v>
      </c>
      <c r="H43" s="22"/>
      <c r="I43" s="23"/>
      <c r="J43" s="23">
        <v>74.400000000000006</v>
      </c>
      <c r="K43" s="23">
        <v>99.4</v>
      </c>
      <c r="L43" s="24" t="s">
        <v>183</v>
      </c>
    </row>
    <row r="44" spans="1:12" ht="13.05" customHeight="1">
      <c r="A44" s="17" t="s">
        <v>184</v>
      </c>
      <c r="B44" s="18" t="s">
        <v>185</v>
      </c>
      <c r="C44" s="13" t="s">
        <v>186</v>
      </c>
      <c r="D44" s="13" t="s">
        <v>59</v>
      </c>
      <c r="E44" s="19">
        <v>301180</v>
      </c>
      <c r="F44" s="20">
        <v>1106.3847000000001</v>
      </c>
      <c r="G44" s="21">
        <v>9.1999999999999998E-3</v>
      </c>
      <c r="H44" s="22"/>
      <c r="I44" s="23"/>
      <c r="J44" s="23">
        <v>77.900000000000006</v>
      </c>
      <c r="K44" s="23">
        <v>100</v>
      </c>
      <c r="L44" s="24" t="s">
        <v>161</v>
      </c>
    </row>
    <row r="45" spans="1:12" ht="13.05" customHeight="1">
      <c r="A45" s="17" t="s">
        <v>187</v>
      </c>
      <c r="B45" s="18" t="s">
        <v>188</v>
      </c>
      <c r="C45" s="13" t="s">
        <v>189</v>
      </c>
      <c r="D45" s="13" t="s">
        <v>145</v>
      </c>
      <c r="E45" s="19">
        <v>824344</v>
      </c>
      <c r="F45" s="20">
        <v>988.71820000000002</v>
      </c>
      <c r="G45" s="21">
        <v>8.2000000000000007E-3</v>
      </c>
      <c r="H45" s="22"/>
      <c r="I45" s="23"/>
      <c r="J45" s="23">
        <v>65.599999999999994</v>
      </c>
      <c r="K45" s="23">
        <v>67.8</v>
      </c>
      <c r="L45" s="24" t="s">
        <v>190</v>
      </c>
    </row>
    <row r="46" spans="1:12" ht="13.05" customHeight="1">
      <c r="A46" s="17" t="s">
        <v>191</v>
      </c>
      <c r="B46" s="18" t="s">
        <v>192</v>
      </c>
      <c r="C46" s="13" t="s">
        <v>193</v>
      </c>
      <c r="D46" s="13" t="s">
        <v>169</v>
      </c>
      <c r="E46" s="19">
        <v>146920</v>
      </c>
      <c r="F46" s="20">
        <v>981.79290000000003</v>
      </c>
      <c r="G46" s="21">
        <v>8.2000000000000007E-3</v>
      </c>
      <c r="H46" s="22"/>
      <c r="I46" s="23"/>
      <c r="J46" s="23">
        <v>78.900000000000006</v>
      </c>
      <c r="K46" s="23">
        <v>92</v>
      </c>
      <c r="L46" s="24" t="s">
        <v>194</v>
      </c>
    </row>
    <row r="47" spans="1:12" ht="13.05" customHeight="1">
      <c r="A47" s="17" t="s">
        <v>195</v>
      </c>
      <c r="B47" s="18" t="s">
        <v>196</v>
      </c>
      <c r="C47" s="13" t="s">
        <v>197</v>
      </c>
      <c r="D47" s="13" t="s">
        <v>136</v>
      </c>
      <c r="E47" s="19">
        <v>83001</v>
      </c>
      <c r="F47" s="20">
        <v>731.9443</v>
      </c>
      <c r="G47" s="21">
        <v>6.1000000000000004E-3</v>
      </c>
      <c r="H47" s="22"/>
      <c r="I47" s="23"/>
      <c r="J47" s="23">
        <v>75.900000000000006</v>
      </c>
      <c r="K47" s="23" t="s">
        <v>45</v>
      </c>
      <c r="L47" s="24" t="s">
        <v>198</v>
      </c>
    </row>
    <row r="48" spans="1:12" ht="13.05" customHeight="1">
      <c r="A48" s="17" t="s">
        <v>199</v>
      </c>
      <c r="B48" s="18" t="s">
        <v>200</v>
      </c>
      <c r="C48" s="13" t="s">
        <v>201</v>
      </c>
      <c r="D48" s="13" t="s">
        <v>202</v>
      </c>
      <c r="E48" s="19">
        <v>72865</v>
      </c>
      <c r="F48" s="20">
        <v>720.85339999999997</v>
      </c>
      <c r="G48" s="21">
        <v>6.0000000000000001E-3</v>
      </c>
      <c r="H48" s="22"/>
      <c r="I48" s="23"/>
      <c r="J48" s="23">
        <v>56.4</v>
      </c>
      <c r="K48" s="23" t="s">
        <v>45</v>
      </c>
      <c r="L48" s="24" t="s">
        <v>203</v>
      </c>
    </row>
    <row r="49" spans="1:12" ht="13.05" customHeight="1">
      <c r="A49" s="17" t="s">
        <v>204</v>
      </c>
      <c r="B49" s="18" t="s">
        <v>205</v>
      </c>
      <c r="C49" s="13" t="s">
        <v>206</v>
      </c>
      <c r="D49" s="13" t="s">
        <v>207</v>
      </c>
      <c r="E49" s="19">
        <v>50000</v>
      </c>
      <c r="F49" s="20">
        <v>611.1</v>
      </c>
      <c r="G49" s="21">
        <v>5.1000000000000004E-3</v>
      </c>
      <c r="H49" s="22"/>
      <c r="I49" s="23"/>
      <c r="J49" s="23">
        <v>76.400000000000006</v>
      </c>
      <c r="K49" s="23">
        <v>100</v>
      </c>
      <c r="L49" s="24" t="s">
        <v>208</v>
      </c>
    </row>
    <row r="50" spans="1:12" ht="13.05" customHeight="1">
      <c r="A50" s="17" t="s">
        <v>209</v>
      </c>
      <c r="B50" s="18" t="s">
        <v>210</v>
      </c>
      <c r="C50" s="13" t="s">
        <v>211</v>
      </c>
      <c r="D50" s="13" t="s">
        <v>68</v>
      </c>
      <c r="E50" s="19">
        <v>98619</v>
      </c>
      <c r="F50" s="20">
        <v>455.52120000000002</v>
      </c>
      <c r="G50" s="21">
        <v>3.8E-3</v>
      </c>
      <c r="H50" s="22"/>
      <c r="I50" s="23"/>
      <c r="J50" s="23">
        <v>64.400000000000006</v>
      </c>
      <c r="K50" s="23" t="s">
        <v>45</v>
      </c>
      <c r="L50" s="24" t="s">
        <v>212</v>
      </c>
    </row>
    <row r="51" spans="1:12" ht="13.05" customHeight="1">
      <c r="A51" s="17" t="s">
        <v>213</v>
      </c>
      <c r="B51" s="18" t="s">
        <v>214</v>
      </c>
      <c r="C51" s="13" t="s">
        <v>215</v>
      </c>
      <c r="D51" s="13" t="s">
        <v>68</v>
      </c>
      <c r="E51" s="19">
        <v>12147</v>
      </c>
      <c r="F51" s="20">
        <v>59.2834</v>
      </c>
      <c r="G51" s="21">
        <v>5.0000000000000001E-4</v>
      </c>
      <c r="H51" s="22"/>
      <c r="I51" s="23"/>
      <c r="J51" s="23">
        <v>59.7</v>
      </c>
      <c r="K51" s="23" t="s">
        <v>45</v>
      </c>
      <c r="L51" s="24" t="s">
        <v>216</v>
      </c>
    </row>
    <row r="52" spans="1:12" ht="13.05" customHeight="1">
      <c r="A52" s="17" t="s">
        <v>217</v>
      </c>
      <c r="B52" s="18" t="s">
        <v>218</v>
      </c>
      <c r="C52" s="13" t="s">
        <v>219</v>
      </c>
      <c r="D52" s="13" t="s">
        <v>220</v>
      </c>
      <c r="E52" s="19">
        <v>827</v>
      </c>
      <c r="F52" s="20">
        <v>41.842100000000002</v>
      </c>
      <c r="G52" s="21">
        <v>2.9999999999999997E-4</v>
      </c>
      <c r="H52" s="22"/>
      <c r="I52" s="23"/>
      <c r="J52" s="23">
        <v>65.7</v>
      </c>
      <c r="K52" s="23">
        <v>99</v>
      </c>
      <c r="L52" s="24" t="s">
        <v>221</v>
      </c>
    </row>
    <row r="53" spans="1:12" ht="13.05" customHeight="1">
      <c r="A53" s="17" t="s">
        <v>222</v>
      </c>
      <c r="B53" s="18" t="s">
        <v>223</v>
      </c>
      <c r="C53" s="13" t="s">
        <v>224</v>
      </c>
      <c r="D53" s="13" t="s">
        <v>54</v>
      </c>
      <c r="E53" s="19">
        <v>1066</v>
      </c>
      <c r="F53" s="20">
        <v>34.178100000000001</v>
      </c>
      <c r="G53" s="21">
        <v>2.9999999999999997E-4</v>
      </c>
      <c r="H53" s="22"/>
      <c r="I53" s="23"/>
      <c r="J53" s="23">
        <v>71.099999999999994</v>
      </c>
      <c r="K53" s="23">
        <v>100</v>
      </c>
      <c r="L53" s="24" t="s">
        <v>225</v>
      </c>
    </row>
    <row r="54" spans="1:12" ht="13.05" customHeight="1">
      <c r="A54" s="17" t="s">
        <v>226</v>
      </c>
      <c r="B54" s="18" t="s">
        <v>227</v>
      </c>
      <c r="C54" s="13" t="s">
        <v>228</v>
      </c>
      <c r="D54" s="13" t="s">
        <v>229</v>
      </c>
      <c r="E54" s="19">
        <v>55000</v>
      </c>
      <c r="F54" s="20">
        <v>22.11</v>
      </c>
      <c r="G54" s="21">
        <v>2.0000000000000001E-4</v>
      </c>
      <c r="H54" s="22"/>
      <c r="I54" s="23"/>
      <c r="J54" s="23">
        <v>77.2</v>
      </c>
      <c r="K54" s="23">
        <v>100</v>
      </c>
      <c r="L54" s="24" t="s">
        <v>156</v>
      </c>
    </row>
    <row r="55" spans="1:12" ht="13.05" customHeight="1">
      <c r="A55" s="3"/>
      <c r="B55" s="12" t="s">
        <v>230</v>
      </c>
      <c r="C55" s="13"/>
      <c r="D55" s="13"/>
      <c r="E55" s="13"/>
      <c r="F55" s="26">
        <v>118818.02469999999</v>
      </c>
      <c r="G55" s="27">
        <v>0.98650000000000004</v>
      </c>
      <c r="H55" s="28"/>
      <c r="I55" s="29"/>
      <c r="J55" s="29"/>
      <c r="K55" s="29"/>
      <c r="L55" s="30"/>
    </row>
    <row r="56" spans="1:12" ht="13.05" customHeight="1">
      <c r="A56" s="3"/>
      <c r="B56" s="31" t="s">
        <v>231</v>
      </c>
      <c r="C56" s="32"/>
      <c r="D56" s="32"/>
      <c r="E56" s="32"/>
      <c r="F56" s="29" t="s">
        <v>232</v>
      </c>
      <c r="G56" s="29" t="s">
        <v>232</v>
      </c>
      <c r="H56" s="28"/>
      <c r="I56" s="29"/>
      <c r="J56" s="29"/>
      <c r="K56" s="29"/>
      <c r="L56" s="30"/>
    </row>
    <row r="57" spans="1:12" ht="13.05" customHeight="1">
      <c r="A57" s="3"/>
      <c r="B57" s="31" t="s">
        <v>230</v>
      </c>
      <c r="C57" s="32"/>
      <c r="D57" s="32"/>
      <c r="E57" s="32"/>
      <c r="F57" s="29" t="s">
        <v>232</v>
      </c>
      <c r="G57" s="29" t="s">
        <v>232</v>
      </c>
      <c r="H57" s="28"/>
      <c r="I57" s="29"/>
      <c r="J57" s="29"/>
      <c r="K57" s="29"/>
      <c r="L57" s="30"/>
    </row>
    <row r="58" spans="1:12" ht="13.05" customHeight="1">
      <c r="A58" s="33">
        <f>ROUND(SUMPRODUCT($F$5:$F57,$J$5:$J57)/$F58,2)</f>
        <v>74.59</v>
      </c>
      <c r="B58" s="31" t="s">
        <v>233</v>
      </c>
      <c r="C58" s="34"/>
      <c r="D58" s="32"/>
      <c r="E58" s="34"/>
      <c r="F58" s="26">
        <v>118818.02469999999</v>
      </c>
      <c r="G58" s="27">
        <v>0.98650000000000004</v>
      </c>
      <c r="H58" s="28"/>
      <c r="I58" s="29"/>
      <c r="J58" s="29"/>
      <c r="K58" s="29"/>
      <c r="L58" s="30"/>
    </row>
    <row r="59" spans="1:12" ht="13.05" customHeight="1">
      <c r="A59" s="3"/>
      <c r="B59" s="12" t="s">
        <v>234</v>
      </c>
      <c r="C59" s="13"/>
      <c r="D59" s="13"/>
      <c r="E59" s="13"/>
      <c r="F59" s="13"/>
      <c r="G59" s="13"/>
      <c r="H59" s="14"/>
      <c r="I59" s="15"/>
      <c r="J59" s="15"/>
      <c r="K59" s="15"/>
      <c r="L59" s="16"/>
    </row>
    <row r="60" spans="1:12" ht="13.05" customHeight="1">
      <c r="A60" s="3"/>
      <c r="B60" s="31" t="s">
        <v>235</v>
      </c>
      <c r="C60" s="32"/>
      <c r="D60" s="32"/>
      <c r="E60" s="32"/>
      <c r="F60" s="29" t="s">
        <v>232</v>
      </c>
      <c r="G60" s="29" t="s">
        <v>232</v>
      </c>
      <c r="H60" s="35"/>
      <c r="I60" s="36"/>
      <c r="J60" s="36"/>
      <c r="K60" s="36"/>
      <c r="L60" s="37"/>
    </row>
    <row r="61" spans="1:12" ht="13.05" customHeight="1">
      <c r="A61" s="3"/>
      <c r="B61" s="38" t="s">
        <v>230</v>
      </c>
      <c r="C61" s="39"/>
      <c r="D61" s="39"/>
      <c r="E61" s="39"/>
      <c r="F61" s="29" t="s">
        <v>232</v>
      </c>
      <c r="G61" s="29" t="s">
        <v>232</v>
      </c>
      <c r="H61" s="35"/>
      <c r="I61" s="36"/>
      <c r="J61" s="36"/>
      <c r="K61" s="36"/>
      <c r="L61" s="37"/>
    </row>
    <row r="62" spans="1:12" ht="13.05" customHeight="1">
      <c r="A62" s="3"/>
      <c r="B62" s="31" t="s">
        <v>236</v>
      </c>
      <c r="C62" s="32"/>
      <c r="D62" s="32"/>
      <c r="E62" s="32"/>
      <c r="F62" s="29" t="s">
        <v>232</v>
      </c>
      <c r="G62" s="29" t="s">
        <v>232</v>
      </c>
      <c r="H62" s="28"/>
      <c r="I62" s="29"/>
      <c r="J62" s="29"/>
      <c r="K62" s="29"/>
      <c r="L62" s="30"/>
    </row>
    <row r="63" spans="1:12" ht="13.05" customHeight="1">
      <c r="A63" s="3"/>
      <c r="B63" s="31" t="s">
        <v>230</v>
      </c>
      <c r="C63" s="32"/>
      <c r="D63" s="32"/>
      <c r="E63" s="32"/>
      <c r="F63" s="29" t="s">
        <v>232</v>
      </c>
      <c r="G63" s="29" t="s">
        <v>232</v>
      </c>
      <c r="H63" s="28"/>
      <c r="I63" s="29"/>
      <c r="J63" s="29"/>
      <c r="K63" s="29"/>
      <c r="L63" s="30"/>
    </row>
    <row r="64" spans="1:12" ht="13.05" customHeight="1">
      <c r="A64" s="3"/>
      <c r="B64" s="12" t="s">
        <v>237</v>
      </c>
      <c r="C64" s="13"/>
      <c r="D64" s="13"/>
      <c r="E64" s="13"/>
      <c r="F64" s="3"/>
      <c r="G64" s="15"/>
      <c r="H64" s="14"/>
      <c r="I64" s="15"/>
      <c r="J64" s="15"/>
      <c r="K64" s="15"/>
      <c r="L64" s="16"/>
    </row>
    <row r="65" spans="1:12" ht="13.05" customHeight="1">
      <c r="A65" s="17" t="s">
        <v>238</v>
      </c>
      <c r="B65" s="18" t="s">
        <v>239</v>
      </c>
      <c r="C65" s="13" t="s">
        <v>240</v>
      </c>
      <c r="D65" s="13" t="s">
        <v>241</v>
      </c>
      <c r="E65" s="19">
        <v>373500</v>
      </c>
      <c r="F65" s="20">
        <v>38.044699999999999</v>
      </c>
      <c r="G65" s="21">
        <v>2.9999999999999997E-4</v>
      </c>
      <c r="H65" s="22"/>
      <c r="I65" s="23"/>
      <c r="J65" s="23">
        <v>73.3</v>
      </c>
      <c r="K65" s="23">
        <v>63</v>
      </c>
      <c r="L65" s="24" t="s">
        <v>64</v>
      </c>
    </row>
    <row r="66" spans="1:12" ht="13.05" customHeight="1">
      <c r="A66" s="3"/>
      <c r="B66" s="12" t="s">
        <v>230</v>
      </c>
      <c r="C66" s="13"/>
      <c r="D66" s="13"/>
      <c r="E66" s="13"/>
      <c r="F66" s="26">
        <v>38.044699999999999</v>
      </c>
      <c r="G66" s="27">
        <v>2.9999999999999997E-4</v>
      </c>
      <c r="H66" s="28"/>
      <c r="I66" s="29"/>
      <c r="J66" s="29"/>
      <c r="K66" s="29"/>
      <c r="L66" s="30"/>
    </row>
    <row r="67" spans="1:12" ht="13.05" customHeight="1">
      <c r="A67" s="3"/>
      <c r="B67" s="31" t="s">
        <v>233</v>
      </c>
      <c r="C67" s="34"/>
      <c r="D67" s="32"/>
      <c r="E67" s="34"/>
      <c r="F67" s="26">
        <v>38.044699999999999</v>
      </c>
      <c r="G67" s="27">
        <v>2.9999999999999997E-4</v>
      </c>
      <c r="H67" s="28"/>
      <c r="I67" s="29"/>
      <c r="J67" s="29"/>
      <c r="K67" s="29"/>
      <c r="L67" s="30"/>
    </row>
    <row r="68" spans="1:12" ht="13.05" customHeight="1">
      <c r="A68" s="3"/>
      <c r="B68" s="12" t="s">
        <v>242</v>
      </c>
      <c r="C68" s="13"/>
      <c r="D68" s="13"/>
      <c r="E68" s="13"/>
      <c r="F68" s="13"/>
      <c r="G68" s="13"/>
      <c r="H68" s="14"/>
      <c r="I68" s="15"/>
      <c r="J68" s="15"/>
      <c r="K68" s="15"/>
      <c r="L68" s="16"/>
    </row>
    <row r="69" spans="1:12" ht="13.05" customHeight="1">
      <c r="A69" s="3"/>
      <c r="B69" s="31" t="s">
        <v>235</v>
      </c>
      <c r="C69" s="32"/>
      <c r="D69" s="32"/>
      <c r="E69" s="32"/>
      <c r="F69" s="29" t="s">
        <v>232</v>
      </c>
      <c r="G69" s="29" t="s">
        <v>232</v>
      </c>
      <c r="H69" s="35"/>
      <c r="I69" s="36"/>
      <c r="J69" s="36"/>
      <c r="K69" s="36"/>
      <c r="L69" s="37"/>
    </row>
    <row r="70" spans="1:12" ht="13.05" customHeight="1">
      <c r="A70" s="3"/>
      <c r="B70" s="38" t="s">
        <v>230</v>
      </c>
      <c r="C70" s="39"/>
      <c r="D70" s="39"/>
      <c r="E70" s="39"/>
      <c r="F70" s="29" t="s">
        <v>232</v>
      </c>
      <c r="G70" s="29" t="s">
        <v>232</v>
      </c>
      <c r="H70" s="35"/>
      <c r="I70" s="36"/>
      <c r="J70" s="36"/>
      <c r="K70" s="36"/>
      <c r="L70" s="37"/>
    </row>
    <row r="71" spans="1:12" ht="13.05" customHeight="1">
      <c r="A71" s="17" t="s">
        <v>243</v>
      </c>
      <c r="B71" s="18" t="s">
        <v>244</v>
      </c>
      <c r="C71" s="13"/>
      <c r="D71" s="13"/>
      <c r="E71" s="19"/>
      <c r="F71" s="20">
        <v>1702.38</v>
      </c>
      <c r="G71" s="21">
        <v>1.41E-2</v>
      </c>
      <c r="H71" s="40">
        <v>5.2870200747718553E-2</v>
      </c>
      <c r="I71" s="23"/>
      <c r="J71" s="23"/>
      <c r="K71" s="23"/>
      <c r="L71" s="41"/>
    </row>
    <row r="72" spans="1:12" ht="13.05" customHeight="1">
      <c r="A72" s="3"/>
      <c r="B72" s="12" t="s">
        <v>230</v>
      </c>
      <c r="C72" s="13"/>
      <c r="D72" s="13"/>
      <c r="E72" s="13"/>
      <c r="F72" s="26">
        <v>1702.38</v>
      </c>
      <c r="G72" s="27">
        <v>1.41E-2</v>
      </c>
      <c r="H72" s="28"/>
      <c r="I72" s="29"/>
      <c r="J72" s="29"/>
      <c r="K72" s="29"/>
      <c r="L72" s="30"/>
    </row>
    <row r="73" spans="1:12" ht="13.05" customHeight="1">
      <c r="A73" s="3"/>
      <c r="B73" s="31" t="s">
        <v>233</v>
      </c>
      <c r="C73" s="34"/>
      <c r="D73" s="32"/>
      <c r="E73" s="34"/>
      <c r="F73" s="26">
        <v>1702.38</v>
      </c>
      <c r="G73" s="27">
        <v>1.41E-2</v>
      </c>
      <c r="H73" s="28"/>
      <c r="I73" s="29"/>
      <c r="J73" s="29"/>
      <c r="K73" s="29"/>
      <c r="L73" s="30"/>
    </row>
    <row r="74" spans="1:12" ht="13.05" customHeight="1">
      <c r="A74" s="3"/>
      <c r="B74" s="31" t="s">
        <v>245</v>
      </c>
      <c r="C74" s="13"/>
      <c r="D74" s="32"/>
      <c r="E74" s="13"/>
      <c r="F74" s="42">
        <v>-110.9594</v>
      </c>
      <c r="G74" s="27">
        <v>-8.9999999999999998E-4</v>
      </c>
      <c r="H74" s="28"/>
      <c r="I74" s="29"/>
      <c r="J74" s="29"/>
      <c r="K74" s="29"/>
      <c r="L74" s="30"/>
    </row>
    <row r="75" spans="1:12" ht="13.05" customHeight="1" thickBot="1">
      <c r="A75" s="3"/>
      <c r="B75" s="43" t="s">
        <v>246</v>
      </c>
      <c r="C75" s="44"/>
      <c r="D75" s="44"/>
      <c r="E75" s="44"/>
      <c r="F75" s="45">
        <v>120447.49</v>
      </c>
      <c r="G75" s="46">
        <v>1</v>
      </c>
      <c r="H75" s="47"/>
      <c r="I75" s="48"/>
      <c r="J75" s="48"/>
      <c r="K75" s="48"/>
      <c r="L75" s="49"/>
    </row>
    <row r="76" spans="1:12" ht="13.05" customHeight="1">
      <c r="A76" s="3"/>
      <c r="B76" s="5"/>
      <c r="C76" s="3"/>
      <c r="D76" s="3"/>
      <c r="E76" s="3"/>
      <c r="F76" s="3"/>
      <c r="G76" s="3"/>
      <c r="H76" s="3"/>
      <c r="I76" s="3"/>
      <c r="J76" s="3"/>
      <c r="K76" s="3"/>
      <c r="L76" s="3"/>
    </row>
    <row r="77" spans="1:12" ht="13.05" customHeight="1">
      <c r="A77" s="3"/>
      <c r="B77" s="50" t="s">
        <v>247</v>
      </c>
      <c r="C77" s="50"/>
      <c r="D77" s="50"/>
      <c r="E77" s="50"/>
      <c r="F77" s="50"/>
      <c r="G77" s="3"/>
      <c r="H77" s="3"/>
      <c r="I77" s="3"/>
      <c r="J77" s="3"/>
      <c r="K77" s="3"/>
      <c r="L77" s="3"/>
    </row>
    <row r="78" spans="1:12" ht="13.05" customHeight="1">
      <c r="A78" s="3"/>
      <c r="B78" s="50" t="s">
        <v>248</v>
      </c>
      <c r="C78" s="50"/>
      <c r="D78" s="50"/>
      <c r="E78" s="50"/>
      <c r="F78" s="50"/>
      <c r="G78" s="3"/>
      <c r="H78" s="3"/>
      <c r="I78" s="3"/>
      <c r="J78" s="3"/>
      <c r="K78" s="3"/>
      <c r="L78" s="3"/>
    </row>
    <row r="79" spans="1:12" ht="13.05" customHeight="1">
      <c r="A79" s="3"/>
      <c r="B79" s="50" t="s">
        <v>249</v>
      </c>
      <c r="C79" s="50"/>
      <c r="D79" s="50"/>
      <c r="E79" s="50"/>
      <c r="F79" s="50"/>
      <c r="G79" s="3"/>
      <c r="H79" s="3"/>
      <c r="I79" s="3"/>
      <c r="J79" s="3"/>
      <c r="K79" s="3"/>
      <c r="L79" s="3"/>
    </row>
    <row r="80" spans="1:12" ht="13.05" customHeight="1">
      <c r="A80" s="3"/>
      <c r="B80" s="50" t="s">
        <v>250</v>
      </c>
      <c r="C80" s="50"/>
      <c r="D80" s="50"/>
      <c r="E80" s="50"/>
      <c r="F80" s="50"/>
      <c r="G80" s="3"/>
      <c r="H80" s="3"/>
      <c r="I80" s="3"/>
      <c r="J80" s="3"/>
      <c r="K80" s="3"/>
      <c r="L80" s="3"/>
    </row>
    <row r="81" spans="1:12" ht="13.05" customHeight="1">
      <c r="A81" s="3"/>
      <c r="B81" s="50" t="s">
        <v>251</v>
      </c>
      <c r="C81" s="50"/>
      <c r="D81" s="50"/>
      <c r="E81" s="50"/>
      <c r="F81" s="50"/>
      <c r="G81" s="3"/>
      <c r="H81" s="3"/>
      <c r="I81" s="3"/>
      <c r="J81" s="3"/>
      <c r="K81" s="3"/>
      <c r="L81" s="3"/>
    </row>
    <row r="82" spans="1:12" ht="70.05" customHeight="1">
      <c r="A82" s="3"/>
      <c r="B82" s="50" t="s">
        <v>252</v>
      </c>
      <c r="C82" s="50"/>
      <c r="D82" s="50"/>
      <c r="E82" s="50"/>
      <c r="F82" s="50"/>
      <c r="G82" s="3"/>
      <c r="H82" s="3"/>
      <c r="I82" s="3"/>
      <c r="J82" s="3"/>
      <c r="K82" s="3"/>
      <c r="L82" s="3"/>
    </row>
    <row r="83" spans="1:12" ht="13.05" customHeight="1">
      <c r="A83" s="3"/>
      <c r="B83" s="50" t="s">
        <v>253</v>
      </c>
      <c r="C83" s="50"/>
      <c r="D83" s="50"/>
      <c r="E83" s="50"/>
      <c r="F83" s="50"/>
      <c r="G83" s="3"/>
      <c r="H83" s="3"/>
      <c r="I83" s="3"/>
      <c r="J83" s="3"/>
      <c r="K83" s="3"/>
      <c r="L83" s="3"/>
    </row>
    <row r="84" spans="1:12" ht="13.05" customHeight="1">
      <c r="A84" s="3"/>
      <c r="B84" s="50" t="s">
        <v>254</v>
      </c>
      <c r="C84" s="50"/>
      <c r="D84" s="50"/>
      <c r="E84" s="6"/>
      <c r="F84" s="6"/>
      <c r="G84" s="3"/>
      <c r="H84" s="3"/>
      <c r="I84" s="3"/>
      <c r="J84" s="3"/>
      <c r="K84" s="3"/>
      <c r="L84" s="3"/>
    </row>
    <row r="85" spans="1:12" ht="13.05" customHeight="1">
      <c r="A85" s="3"/>
      <c r="B85" s="50" t="s">
        <v>255</v>
      </c>
      <c r="C85" s="50"/>
      <c r="D85" s="50"/>
      <c r="E85" s="50"/>
      <c r="F85" s="50"/>
      <c r="G85" s="50"/>
      <c r="H85" s="3"/>
      <c r="I85" s="3"/>
      <c r="J85" s="3"/>
      <c r="K85" s="3"/>
      <c r="L85" s="3"/>
    </row>
    <row r="86" spans="1:12" ht="13.05" customHeight="1">
      <c r="A86" s="3"/>
      <c r="B86" s="2" t="s">
        <v>256</v>
      </c>
      <c r="C86" s="3"/>
      <c r="D86" s="3"/>
      <c r="E86" s="3"/>
      <c r="F86" s="3"/>
      <c r="G86" s="3"/>
      <c r="H86" s="3"/>
      <c r="I86" s="3"/>
      <c r="J86" s="3"/>
      <c r="K86" s="3"/>
      <c r="L86" s="3"/>
    </row>
    <row r="87" spans="1:12" ht="13.05" customHeight="1">
      <c r="A87" s="3"/>
      <c r="B87" s="2" t="s">
        <v>257</v>
      </c>
      <c r="C87" s="3"/>
      <c r="D87" s="3"/>
      <c r="E87" s="3"/>
      <c r="F87" s="3"/>
      <c r="G87" s="3"/>
      <c r="H87" s="3"/>
      <c r="I87" s="3"/>
      <c r="J87" s="3"/>
      <c r="K87" s="3"/>
      <c r="L87" s="3"/>
    </row>
    <row r="88" spans="1:12" ht="25.95" customHeight="1">
      <c r="A88" s="3"/>
      <c r="B88" s="51" t="s">
        <v>258</v>
      </c>
      <c r="C88" s="51"/>
      <c r="D88" s="51"/>
      <c r="E88" s="51"/>
      <c r="F88" s="51"/>
      <c r="G88" s="51"/>
      <c r="H88" s="51"/>
      <c r="I88" s="51"/>
      <c r="J88" s="51"/>
      <c r="K88" s="51"/>
      <c r="L88" s="51"/>
    </row>
    <row r="89" spans="1:12" ht="13.05" customHeight="1">
      <c r="A89" s="3"/>
      <c r="B89" s="51" t="s">
        <v>259</v>
      </c>
      <c r="C89" s="51"/>
      <c r="D89" s="51"/>
      <c r="E89" s="51"/>
      <c r="F89" s="51"/>
      <c r="G89" s="51"/>
      <c r="H89" s="51"/>
      <c r="I89" s="51"/>
      <c r="J89" s="51"/>
      <c r="K89" s="51"/>
      <c r="L89" s="51"/>
    </row>
    <row r="90" spans="1:12" ht="13.05" customHeight="1">
      <c r="A90" s="3"/>
      <c r="B90" s="51" t="s">
        <v>260</v>
      </c>
      <c r="C90" s="51"/>
      <c r="D90" s="51"/>
      <c r="E90" s="51"/>
      <c r="F90" s="51"/>
      <c r="G90" s="3"/>
      <c r="H90" s="3"/>
      <c r="I90" s="3"/>
      <c r="J90" s="3"/>
      <c r="K90" s="3"/>
      <c r="L90" s="3"/>
    </row>
    <row r="91" spans="1:12" ht="13.05" customHeight="1">
      <c r="A91" s="3"/>
      <c r="B91" s="51" t="s">
        <v>261</v>
      </c>
      <c r="C91" s="51"/>
      <c r="D91" s="51"/>
      <c r="E91" s="51"/>
      <c r="F91" s="51"/>
      <c r="G91" s="3"/>
      <c r="H91" s="3"/>
      <c r="I91" s="3"/>
      <c r="J91" s="3"/>
      <c r="K91" s="3"/>
      <c r="L91" s="3"/>
    </row>
    <row r="92" spans="1:12" ht="13.05" customHeight="1">
      <c r="A92" s="3"/>
      <c r="B92" s="51" t="s">
        <v>262</v>
      </c>
      <c r="C92" s="51"/>
      <c r="D92" s="51"/>
      <c r="E92" s="51"/>
      <c r="F92" s="51"/>
      <c r="G92" s="3"/>
      <c r="H92" s="3"/>
      <c r="I92" s="3"/>
      <c r="J92" s="3"/>
      <c r="K92" s="3"/>
      <c r="L92" s="3"/>
    </row>
    <row r="93" spans="1:12" ht="13.05" customHeight="1">
      <c r="A93" s="3"/>
      <c r="B93" s="51"/>
      <c r="C93" s="51"/>
      <c r="D93" s="51"/>
      <c r="E93" s="51"/>
      <c r="F93" s="51"/>
      <c r="G93" s="51"/>
      <c r="H93" s="51"/>
      <c r="I93" s="51"/>
      <c r="J93" s="51"/>
      <c r="K93" s="51"/>
      <c r="L93" s="51"/>
    </row>
    <row r="94" spans="1:12" ht="13.05" customHeight="1">
      <c r="A94" s="3"/>
      <c r="B94" s="51"/>
      <c r="C94" s="51"/>
      <c r="D94" s="51"/>
      <c r="E94" s="51"/>
      <c r="F94" s="51"/>
      <c r="G94" s="51"/>
      <c r="H94" s="51"/>
      <c r="I94" s="51"/>
      <c r="J94" s="51"/>
      <c r="K94" s="51"/>
      <c r="L94" s="51"/>
    </row>
    <row r="95" spans="1:12" ht="13.05" customHeight="1">
      <c r="A95" s="3"/>
      <c r="B95" s="3"/>
      <c r="C95" s="52" t="s">
        <v>263</v>
      </c>
      <c r="D95" s="52"/>
      <c r="E95" s="52"/>
      <c r="F95" s="52"/>
      <c r="G95" s="3"/>
      <c r="H95" s="3"/>
      <c r="I95" s="3"/>
      <c r="J95" s="3"/>
      <c r="K95" s="3"/>
      <c r="L95" s="3"/>
    </row>
    <row r="96" spans="1:12" ht="13.05" customHeight="1">
      <c r="A96" s="3"/>
      <c r="B96" s="53" t="s">
        <v>264</v>
      </c>
      <c r="C96" s="52" t="s">
        <v>265</v>
      </c>
      <c r="D96" s="52"/>
      <c r="E96" s="52"/>
      <c r="F96" s="52"/>
      <c r="G96" s="3"/>
      <c r="H96" s="3"/>
      <c r="I96" s="3"/>
      <c r="J96" s="3"/>
      <c r="K96" s="3"/>
      <c r="L96" s="3"/>
    </row>
    <row r="97" spans="1:12" ht="135" customHeight="1">
      <c r="A97" s="3"/>
      <c r="B97" s="3"/>
      <c r="C97" s="54"/>
      <c r="D97" s="54"/>
      <c r="E97" s="3"/>
      <c r="F97" s="3"/>
      <c r="G97" s="3"/>
      <c r="H97" s="3"/>
      <c r="I97" s="3"/>
      <c r="J97" s="3"/>
      <c r="K97" s="3"/>
      <c r="L97" s="3"/>
    </row>
  </sheetData>
  <mergeCells count="19">
    <mergeCell ref="C97:D97"/>
    <mergeCell ref="B91:F91"/>
    <mergeCell ref="B92:F92"/>
    <mergeCell ref="B93:L93"/>
    <mergeCell ref="B94:L94"/>
    <mergeCell ref="C95:F95"/>
    <mergeCell ref="C96:F96"/>
    <mergeCell ref="B83:F83"/>
    <mergeCell ref="B84:D84"/>
    <mergeCell ref="B85:G85"/>
    <mergeCell ref="B88:L88"/>
    <mergeCell ref="B89:L89"/>
    <mergeCell ref="B90:F90"/>
    <mergeCell ref="B77:F77"/>
    <mergeCell ref="B78:F78"/>
    <mergeCell ref="B79:F79"/>
    <mergeCell ref="B80:F80"/>
    <mergeCell ref="B81:F81"/>
    <mergeCell ref="B82:F82"/>
  </mergeCells>
  <hyperlinks>
    <hyperlink ref="A1" location="AxisESGIntegrationStrategyFund" display="AXISESG" xr:uid="{70158B6B-F0E3-4607-B38A-7EFAEAACDF08}"/>
    <hyperlink ref="B1" location="AxisESGIntegrationStrategyFund" display="Axis ESG Integration Strategy Fund" xr:uid="{D7F6D978-3796-4394-B408-0297C3BB27AD}"/>
    <hyperlink ref="L7" r:id="rId1" xr:uid="{5F9249E2-45A4-46BB-AF46-64193F70ABB1}"/>
    <hyperlink ref="L8" r:id="rId2" xr:uid="{C6BB5E71-087B-4D9C-B19A-A7A81DAA0214}"/>
    <hyperlink ref="L9" r:id="rId3" xr:uid="{FB071625-DC6D-49C1-AD80-89987C0BAA5C}"/>
    <hyperlink ref="L10" r:id="rId4" xr:uid="{09C12B36-0326-4EE4-BA5F-D08E27DBCB7D}"/>
    <hyperlink ref="L11" r:id="rId5" xr:uid="{2660F7AB-21A3-4F33-A288-3245E49BAAD6}"/>
    <hyperlink ref="L12" r:id="rId6" xr:uid="{4AA99AF5-112C-416E-A695-2F2D6DE36A85}"/>
    <hyperlink ref="L13" r:id="rId7" xr:uid="{C7311733-917E-4EB9-88F4-6E0481707836}"/>
    <hyperlink ref="L14" r:id="rId8" xr:uid="{E2DB26B8-426A-47C2-8DE5-BEB200AFC8D3}"/>
    <hyperlink ref="L15" r:id="rId9" xr:uid="{7EDE9584-2F83-4163-9DBC-F0CB95720B2E}"/>
    <hyperlink ref="L16" r:id="rId10" xr:uid="{186CA0D8-F67E-432D-B2D5-4F659E57FA4A}"/>
    <hyperlink ref="L17" r:id="rId11" xr:uid="{F3EE1E99-664B-43D0-88B1-535FE5A5FADA}"/>
    <hyperlink ref="L18" r:id="rId12" xr:uid="{867229D9-8D2C-4FC1-AD16-C08E365C8ACC}"/>
    <hyperlink ref="L19" r:id="rId13" xr:uid="{2FFF7C68-5D1E-4916-B58C-D97E94760D07}"/>
    <hyperlink ref="L20" r:id="rId14" xr:uid="{C1628008-57D3-44DC-BBEB-8FB9679281E3}"/>
    <hyperlink ref="L21" r:id="rId15" xr:uid="{625DF414-BD50-4FA6-9555-D5F862B61D69}"/>
    <hyperlink ref="L22" r:id="rId16" xr:uid="{5ED6F23E-AF3F-4E18-8964-B078E8F4096C}"/>
    <hyperlink ref="L23" r:id="rId17" xr:uid="{F452B9C9-549D-446B-A389-5D47AB0D42F8}"/>
    <hyperlink ref="L24" r:id="rId18" xr:uid="{9EC9F5C0-A0D5-40FA-BB87-554B6C48B960}"/>
    <hyperlink ref="L25" r:id="rId19" xr:uid="{A67B6FC4-ADE4-4AC7-A0E9-7F7EA8C06E13}"/>
    <hyperlink ref="L26" r:id="rId20" xr:uid="{59FEBA85-C929-4ED7-88EB-4AF09819F2C7}"/>
    <hyperlink ref="L27" r:id="rId21" xr:uid="{40F92D27-0815-4370-863D-FDFD70764B29}"/>
    <hyperlink ref="L28" r:id="rId22" xr:uid="{DD89ADDA-482D-46FB-BE21-D12750C50F4C}"/>
    <hyperlink ref="L29" r:id="rId23" xr:uid="{7F4B062B-3EA5-4914-AEE4-CFDFE1710A84}"/>
    <hyperlink ref="L31" r:id="rId24" xr:uid="{EA503B2D-BD8A-4E65-BE27-EFE7AB940836}"/>
    <hyperlink ref="L32" r:id="rId25" xr:uid="{EE768BDE-A355-4A3B-88C5-5B930DE3234E}"/>
    <hyperlink ref="L33" r:id="rId26" xr:uid="{719629D3-1589-4958-AE52-3133CA1F61F9}"/>
    <hyperlink ref="L34" r:id="rId27" xr:uid="{2E8E6F2F-D99E-41AB-BEB5-6A6515AA2D66}"/>
    <hyperlink ref="L35" r:id="rId28" xr:uid="{8B1670E1-2DD4-49D3-BE96-F68D942948AF}"/>
    <hyperlink ref="L36" r:id="rId29" xr:uid="{F0BA387A-FBC4-4EB2-B110-6DB2591B9D66}"/>
    <hyperlink ref="L37" r:id="rId30" xr:uid="{094F6B69-8379-4F7E-A89E-7741C5C1E739}"/>
    <hyperlink ref="L38" r:id="rId31" xr:uid="{823C1696-ADBB-4D46-9FEF-DA661B97EF75}"/>
    <hyperlink ref="L39" r:id="rId32" xr:uid="{46B91F07-6571-4E2B-961D-92538A1F1785}"/>
    <hyperlink ref="L40" r:id="rId33" xr:uid="{4558C218-71E3-4D9D-B427-9279FD624B3D}"/>
    <hyperlink ref="L41" r:id="rId34" xr:uid="{8E53E05B-26FD-40A2-9ED7-A0CAFC21C9FA}"/>
    <hyperlink ref="L42" r:id="rId35" xr:uid="{17C190C4-7255-4F01-B0F2-D69FB304593F}"/>
    <hyperlink ref="L43" r:id="rId36" xr:uid="{15296A1D-C00A-4AF6-80B8-C70FDF83D48E}"/>
    <hyperlink ref="L44" r:id="rId37" xr:uid="{E17EA2F6-3EBE-4BDF-BDA9-64CE2464B875}"/>
    <hyperlink ref="L45" r:id="rId38" xr:uid="{3C558491-8AC1-4093-AA54-6CD2DE85A54F}"/>
    <hyperlink ref="L46" r:id="rId39" xr:uid="{72957406-F364-4E2E-90C8-55CBFF2E2938}"/>
    <hyperlink ref="L47" r:id="rId40" xr:uid="{8B04C3A0-CD72-4750-9212-3673D4CA5552}"/>
    <hyperlink ref="L48" r:id="rId41" xr:uid="{0E46A8DA-2A31-4814-A4A3-C02E802F8FE4}"/>
    <hyperlink ref="L49" r:id="rId42" xr:uid="{1A7C2C12-0625-4957-8ED8-CEC9970FCFD5}"/>
    <hyperlink ref="L50" r:id="rId43" xr:uid="{74FC656A-BA81-4189-AF48-05592AD997EB}"/>
    <hyperlink ref="L51" r:id="rId44" xr:uid="{D68DF438-BE34-4886-8D16-B4D12C831FEE}"/>
    <hyperlink ref="L52" r:id="rId45" xr:uid="{27F0A623-774E-4668-84E9-09C232D0695D}"/>
    <hyperlink ref="L53" r:id="rId46" xr:uid="{64209F4B-D3D7-48AF-936F-AC74AF42030A}"/>
    <hyperlink ref="L54" r:id="rId47" xr:uid="{043070D8-E96B-48A7-83D7-CCEC2F1BD855}"/>
    <hyperlink ref="L65" r:id="rId48" xr:uid="{A68F2005-F648-42DD-A53D-10775698739B}"/>
  </hyperlinks>
  <pageMargins left="0" right="0" top="0" bottom="0" header="0" footer="0"/>
  <pageSetup orientation="landscape"/>
  <headerFooter>
    <oddFooter xml:space="preserve">&amp;C_x000D_&amp;1#&amp;"Calibri"&amp;10&amp;K000000  For internal use only </oddFooter>
  </headerFooter>
  <drawing r:id="rId4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AXISESG</vt:lpstr>
      <vt:lpstr>JR_PAGE_ANCHOR_0_27</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2026-01-07T13:58:23Z</dcterms:created>
  <dcterms:modified xsi:type="dcterms:W3CDTF">2026-01-07T13:58:25Z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2026-01-07T13:58:24Z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5827992a-51f4-48fd-9010-d170278e54d8</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