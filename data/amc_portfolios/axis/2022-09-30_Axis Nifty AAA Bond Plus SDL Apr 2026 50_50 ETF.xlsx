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SETF" sheetId="1" r:id="rId1"/>
  </sheets>
  <definedNames>
    <definedName name="JR_PAGE_ANCHOR_0_51">AXISSETF!$A$2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9" i="1"/>
  <c r="G8" i="1"/>
</calcChain>
</file>

<file path=xl/sharedStrings.xml><?xml version="1.0" encoding="utf-8"?>
<sst xmlns="http://schemas.openxmlformats.org/spreadsheetml/2006/main" count="235" uniqueCount="111">
  <si>
    <t>AXISSETF</t>
  </si>
  <si>
    <t>Axis NIFTY AAA Bond Plus SDL Apr 2026 50:50 ETF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</si>
  <si>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</si>
  <si>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</si>
  <si>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</si>
  <si>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</si>
  <si>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</si>
  <si>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</si>
  <si>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</si>
  <si>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</si>
  <si>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</si>
  <si>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</si>
  <si>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</si>
  <si>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Debt Instruments</t>
  </si>
  <si>
    <t/>
  </si>
  <si>
    <t>(a) Listed / awaiting listing on Stock Exchange</t>
  </si>
  <si>
    <t>5.85% REC Limited (20/12/2025) **</t>
  </si>
  <si>
    <t>INE020B08DF6</t>
  </si>
  <si>
    <t>CRISIL AAA</t>
  </si>
  <si>
    <t>6.5% Power Finance Corporation Limited (17/09/2025) **</t>
  </si>
  <si>
    <t>INE134E08LD7</t>
  </si>
  <si>
    <t>8.83% State Government Securities (24/02/2026)</t>
  </si>
  <si>
    <t>IN3320150383</t>
  </si>
  <si>
    <t>Sovereign</t>
  </si>
  <si>
    <t>5.78% Housing Development Finance Corporation Limited (25/11/2025) **</t>
  </si>
  <si>
    <t>INE001A07ST9</t>
  </si>
  <si>
    <t>5.50% Indian Oil Corporation Limited (20/10/2025) **</t>
  </si>
  <si>
    <t>INE242A08486</t>
  </si>
  <si>
    <t>8.88% State Government Securities (24/02/2026)</t>
  </si>
  <si>
    <t>IN3420150150</t>
  </si>
  <si>
    <t>8.51% State Government Securities (09/03/2026)</t>
  </si>
  <si>
    <t>IN2220150204</t>
  </si>
  <si>
    <t>8.16% State Government Securities (26/11/2025)</t>
  </si>
  <si>
    <t>IN1920150043</t>
  </si>
  <si>
    <t>8.18% Export Import Bank of India (07/12/2025) **</t>
  </si>
  <si>
    <t>INE514E08EU9</t>
  </si>
  <si>
    <t>8.47% State Government Securities (10/02/2026)</t>
  </si>
  <si>
    <t>IN2220150188</t>
  </si>
  <si>
    <t>6.18% State Government Securities (25/01/2026)</t>
  </si>
  <si>
    <t>IN1520210171</t>
  </si>
  <si>
    <t>7.15% Power Finance Corporation Limited (08/09/2025)**</t>
  </si>
  <si>
    <t>INE134E08LR7</t>
  </si>
  <si>
    <t>5.81% REC Limited (31/12/2025) **</t>
  </si>
  <si>
    <t>INE020B08DH2</t>
  </si>
  <si>
    <t>8.19% NTPC Limited (MD 15/12/2025) **</t>
  </si>
  <si>
    <t>INE733E07JX0</t>
  </si>
  <si>
    <t>7.13% Power Finance Corporation Limited (08/08/2025) **</t>
  </si>
  <si>
    <t>INE134E08LO4</t>
  </si>
  <si>
    <t>5.85% Export Import Bank of India (12/09/2025) **</t>
  </si>
  <si>
    <t>INE514E08FV4</t>
  </si>
  <si>
    <t>8.02% Export Import Bank of India (29/10/2025) **</t>
  </si>
  <si>
    <t>INE514E08EQ7</t>
  </si>
  <si>
    <t>8.34% State Government Securities (13/01/2026)</t>
  </si>
  <si>
    <t>IN3320150359</t>
  </si>
  <si>
    <t>8.51% State Government Securities (10/02/2026)</t>
  </si>
  <si>
    <t>IN3420150143</t>
  </si>
  <si>
    <t>8.12% State Government Securities (13/11/2025)</t>
  </si>
  <si>
    <t>IN2220150121</t>
  </si>
  <si>
    <t>8% State Government Securities (20/04/2026)</t>
  </si>
  <si>
    <t>IN1520160012</t>
  </si>
  <si>
    <t>5.45% NTPC Limited (15/10/2025)  **</t>
  </si>
  <si>
    <t>INE733E08163</t>
  </si>
  <si>
    <t>8.57% State Government Securities (09/03/2026)</t>
  </si>
  <si>
    <t>IN3420150168</t>
  </si>
  <si>
    <t>8.38% State Government Securities (27/01/2026)</t>
  </si>
  <si>
    <t>IN2720150043</t>
  </si>
  <si>
    <t>8.20% State Government Securities (09/12/2025)</t>
  </si>
  <si>
    <t>IN1520150096</t>
  </si>
  <si>
    <t>8.22% State Government Securities (13/05/2025)</t>
  </si>
  <si>
    <t>IN3120150039</t>
  </si>
  <si>
    <t>5.95% State Government Securities (13/05/2025)</t>
  </si>
  <si>
    <t>IN3120200057</t>
  </si>
  <si>
    <t>8.31% State Government Securities (13/01/2026)</t>
  </si>
  <si>
    <t>IN3420150127</t>
  </si>
  <si>
    <t>8.58% State Government Securities (09/03/2026)</t>
  </si>
  <si>
    <t>IN3320150391</t>
  </si>
  <si>
    <t>8.53% State Government Securities (10/02/2026)</t>
  </si>
  <si>
    <t>IN3320150375</t>
  </si>
  <si>
    <t>IN3120150187</t>
  </si>
  <si>
    <t>8.27% State Government Securities (13/01/2026)</t>
  </si>
  <si>
    <t>IN1520150104</t>
  </si>
  <si>
    <t>IN3120150179</t>
  </si>
  <si>
    <t>8.11% REC Limited (07/10/2025) **</t>
  </si>
  <si>
    <t>INE020B08963</t>
  </si>
  <si>
    <t>8.01% State Government Securities (20/04/2026)</t>
  </si>
  <si>
    <t>IN3120160012</t>
  </si>
  <si>
    <t>8.25% State Government Securities (13/01/2026)</t>
  </si>
  <si>
    <t>IN2220150162</t>
  </si>
  <si>
    <t>8.1% State Government Securities (23/03/2026)</t>
  </si>
  <si>
    <t>IN3420150176</t>
  </si>
  <si>
    <t>5.6% Indian Oil Corporation Limited (23/01/2026)  **</t>
  </si>
  <si>
    <t>INE242A08494</t>
  </si>
  <si>
    <t>8.67% State Government Securities (24/02/2026)</t>
  </si>
  <si>
    <t>IN2220150196</t>
  </si>
  <si>
    <t>8.69% State Government Securities (24/02/2026)</t>
  </si>
  <si>
    <t>IN3120150203</t>
  </si>
  <si>
    <t>Sub Total</t>
  </si>
  <si>
    <t>(b) Privately placed / Unlisted</t>
  </si>
  <si>
    <t>NIL</t>
  </si>
  <si>
    <t>Total</t>
  </si>
  <si>
    <t>Reverse Repo / TREPS</t>
  </si>
  <si>
    <t>Clearing Corporation of India Limited</t>
  </si>
  <si>
    <t>Net Receivables / (Payables)</t>
  </si>
  <si>
    <t>GRAND TOTAL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</si>
  <si>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</si>
  <si>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</si>
  <si>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</si>
  <si>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21,744.08 Lakhs.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</si>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</sst>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color indexed="72"/>
      <name val="SansSerif"/>
    </font>
    <font>
      <sz val="10"/>
      <name val="SansSerif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8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9" fillId="0" borderId="2" xfId="2" applyFont="1" applyFill="1" applyBorder="1" applyAlignment="1">
      <alignment horizontal="left" vertical="top" wrapText="1"/>
    </xf>
    <xf numFmtId="0" fontId="10" fillId="0" borderId="2" xfId="2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right" vertical="top" wrapText="1"/>
    </xf>
    <xf numFmtId="0" fontId="11" fillId="0" borderId="2" xfId="2" applyFont="1" applyFill="1" applyBorder="1" applyAlignment="1">
      <alignment vertical="top" wrapText="1"/>
    </xf>
    <xf numFmtId="0" fontId="12" fillId="0" borderId="2" xfId="2" applyFont="1" applyFill="1" applyBorder="1" applyAlignment="1">
      <alignment horizontal="left" vertical="top" wrapText="1"/>
    </xf>
    <xf numFmtId="3" fontId="10" fillId="0" borderId="2" xfId="2" applyNumberFormat="1" applyFont="1" applyFill="1" applyBorder="1" applyAlignment="1">
      <alignment horizontal="right" vertical="top" wrapText="1"/>
    </xf>
    <xf numFmtId="10" fontId="10" fillId="0" borderId="2" xfId="2" applyNumberFormat="1" applyFont="1" applyFill="1" applyBorder="1" applyAlignment="1">
      <alignment horizontal="right" vertical="top" wrapText="1"/>
    </xf>
    <xf numFmtId="10" fontId="10" fillId="0" borderId="2" xfId="3" applyNumberFormat="1" applyFont="1" applyFill="1" applyBorder="1" applyAlignment="1">
      <alignment vertical="top" wrapText="1"/>
    </xf>
    <xf numFmtId="164" fontId="9" fillId="0" borderId="3" xfId="2" applyNumberFormat="1" applyFont="1" applyFill="1" applyBorder="1" applyAlignment="1">
      <alignment horizontal="right" vertical="top" wrapText="1"/>
    </xf>
    <xf numFmtId="165" fontId="9" fillId="0" borderId="3" xfId="2" applyNumberFormat="1" applyFont="1" applyFill="1" applyBorder="1" applyAlignment="1">
      <alignment horizontal="right" vertical="top" wrapText="1"/>
    </xf>
    <xf numFmtId="0" fontId="9" fillId="0" borderId="3" xfId="2" applyFont="1" applyFill="1" applyBorder="1" applyAlignment="1">
      <alignment horizontal="right" vertical="top" wrapText="1"/>
    </xf>
    <xf numFmtId="0" fontId="9" fillId="0" borderId="3" xfId="2" applyFont="1" applyFill="1" applyBorder="1" applyAlignment="1">
      <alignment vertical="top" wrapText="1"/>
    </xf>
    <xf numFmtId="0" fontId="13" fillId="0" borderId="0" xfId="0" applyNumberFormat="1" applyFont="1" applyFill="1" applyBorder="1" applyAlignment="1" applyProtection="1">
      <alignment horizontal="left" vertical="top" wrapText="1"/>
    </xf>
    <xf numFmtId="0" fontId="9" fillId="0" borderId="3" xfId="2" applyFont="1" applyFill="1" applyBorder="1" applyAlignment="1">
      <alignment horizontal="left" vertical="top" wrapText="1"/>
    </xf>
    <xf numFmtId="0" fontId="10" fillId="0" borderId="3" xfId="2" applyFont="1" applyFill="1" applyBorder="1" applyAlignment="1">
      <alignment horizontal="left" vertical="top" wrapText="1"/>
    </xf>
    <xf numFmtId="164" fontId="10" fillId="0" borderId="2" xfId="2" applyNumberFormat="1" applyFont="1" applyFill="1" applyBorder="1" applyAlignment="1">
      <alignment horizontal="right" vertical="top" wrapText="1"/>
    </xf>
    <xf numFmtId="165" fontId="10" fillId="0" borderId="2" xfId="2" applyNumberFormat="1" applyFont="1" applyFill="1" applyBorder="1" applyAlignment="1">
      <alignment horizontal="right" vertical="top" wrapText="1"/>
    </xf>
    <xf numFmtId="166" fontId="7" fillId="0" borderId="2" xfId="4" applyNumberFormat="1" applyFont="1" applyFill="1" applyBorder="1" applyAlignment="1" applyProtection="1">
      <alignment horizontal="right" vertical="top" wrapText="1"/>
    </xf>
    <xf numFmtId="0" fontId="10" fillId="0" borderId="2" xfId="2" applyFont="1" applyFill="1" applyBorder="1" applyAlignment="1">
      <alignment vertical="top" wrapText="1"/>
    </xf>
    <xf numFmtId="0" fontId="9" fillId="0" borderId="4" xfId="2" applyFont="1" applyFill="1" applyBorder="1" applyAlignment="1">
      <alignment horizontal="left" vertical="top" wrapText="1"/>
    </xf>
    <xf numFmtId="0" fontId="10" fillId="0" borderId="5" xfId="2" applyFont="1" applyFill="1" applyBorder="1" applyAlignment="1">
      <alignment horizontal="left" vertical="top" wrapText="1"/>
    </xf>
    <xf numFmtId="164" fontId="9" fillId="0" borderId="5" xfId="2" applyNumberFormat="1" applyFont="1" applyFill="1" applyBorder="1" applyAlignment="1">
      <alignment horizontal="right" vertical="top" wrapText="1"/>
    </xf>
    <xf numFmtId="166" fontId="9" fillId="0" borderId="5" xfId="2" applyNumberFormat="1" applyFont="1" applyFill="1" applyBorder="1" applyAlignment="1">
      <alignment horizontal="right" vertical="top" wrapText="1"/>
    </xf>
    <xf numFmtId="0" fontId="9" fillId="0" borderId="4" xfId="2" applyFont="1" applyFill="1" applyBorder="1" applyAlignment="1">
      <alignment horizontal="right" vertical="top" wrapText="1"/>
    </xf>
    <xf numFmtId="0" fontId="9" fillId="0" borderId="4" xfId="2" applyFont="1" applyFill="1" applyBorder="1" applyAlignment="1">
      <alignment vertical="top" wrapText="1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6" xfId="0" applyFont="1" applyFill="1" applyBorder="1" applyAlignment="1">
      <alignment vertical="top"/>
    </xf>
    <xf numFmtId="0" fontId="14" fillId="0" borderId="0" xfId="2" applyFont="1" applyFill="1"/>
    <xf numFmtId="0" fontId="15" fillId="0" borderId="0" xfId="2" applyFont="1" applyFill="1"/>
    <xf numFmtId="0" fontId="16" fillId="0" borderId="0" xfId="0" applyFont="1" applyFill="1" applyBorder="1"/>
  </cellXfs>
  <cellStyles count="5">
    <cellStyle name="Hyperlink" xfId="1" builtinId="8"/>
    <cellStyle name="Normal" xfId="0" builtinId="0"/>
    <cellStyle name="Normal 2" xfId="2"/>
    <cellStyle name="Normal 5" xfId="4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76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6F342-639F-4B40-9B32-DB2B1F7D57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6874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3</xdr:col>
      <xdr:colOff>1144905</xdr:colOff>
      <xdr:row>76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4B7158-D9B7-4A0D-980E-A9FECEEF95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3687425"/>
          <a:ext cx="2859405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0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 t="s">
        <v>14</v>
      </c>
      <c r="D6" s="15" t="s">
        <v>14</v>
      </c>
      <c r="E6" s="15" t="s">
        <v>14</v>
      </c>
      <c r="F6" s="15" t="s">
        <v>14</v>
      </c>
      <c r="G6" s="15" t="s">
        <v>14</v>
      </c>
      <c r="H6" s="16" t="s">
        <v>14</v>
      </c>
      <c r="I6" s="17" t="s">
        <v>14</v>
      </c>
      <c r="J6" s="8"/>
    </row>
    <row r="7" spans="1:10" ht="15" customHeight="1">
      <c r="A7" s="8"/>
      <c r="B7" s="14" t="s">
        <v>15</v>
      </c>
      <c r="C7" s="15" t="s">
        <v>14</v>
      </c>
      <c r="D7" s="15" t="s">
        <v>14</v>
      </c>
      <c r="E7" s="15" t="s">
        <v>14</v>
      </c>
      <c r="F7" s="18"/>
      <c r="G7" s="16" t="s">
        <v>14</v>
      </c>
      <c r="H7" s="16"/>
      <c r="I7" s="17" t="s">
        <v>14</v>
      </c>
      <c r="J7" s="8"/>
    </row>
    <row r="8" spans="1:10" ht="15" customHeight="1">
      <c r="A8" s="8"/>
      <c r="B8" s="15" t="s">
        <v>16</v>
      </c>
      <c r="C8" s="15" t="s">
        <v>17</v>
      </c>
      <c r="D8" s="15" t="s">
        <v>18</v>
      </c>
      <c r="E8" s="19">
        <v>1125</v>
      </c>
      <c r="F8" s="19">
        <v>10730.35125</v>
      </c>
      <c r="G8" s="20">
        <f>9.55%-0.0001</f>
        <v>9.5399999999999999E-2</v>
      </c>
      <c r="H8" s="20">
        <v>7.5050000000000006E-2</v>
      </c>
      <c r="I8" s="21"/>
      <c r="J8" s="8"/>
    </row>
    <row r="9" spans="1:10" ht="15" customHeight="1">
      <c r="A9" s="8"/>
      <c r="B9" s="15" t="s">
        <v>19</v>
      </c>
      <c r="C9" s="15" t="s">
        <v>20</v>
      </c>
      <c r="D9" s="15" t="s">
        <v>18</v>
      </c>
      <c r="E9" s="19">
        <v>1001</v>
      </c>
      <c r="F9" s="19">
        <v>9767.0172600000005</v>
      </c>
      <c r="G9" s="20">
        <f>8.69%-0.0001</f>
        <v>8.6799999999999988E-2</v>
      </c>
      <c r="H9" s="20">
        <v>7.4399000000000007E-2</v>
      </c>
      <c r="I9" s="21"/>
      <c r="J9" s="8"/>
    </row>
    <row r="10" spans="1:10" ht="15" customHeight="1">
      <c r="A10" s="8"/>
      <c r="B10" s="15" t="s">
        <v>21</v>
      </c>
      <c r="C10" s="15" t="s">
        <v>22</v>
      </c>
      <c r="D10" s="15" t="s">
        <v>23</v>
      </c>
      <c r="E10" s="19">
        <v>6500000</v>
      </c>
      <c r="F10" s="19">
        <v>6764.2510000000002</v>
      </c>
      <c r="G10" s="20">
        <f>6.02%-0.0001</f>
        <v>6.0099999999999994E-2</v>
      </c>
      <c r="H10" s="20">
        <v>7.4490000000000001E-2</v>
      </c>
      <c r="I10" s="21"/>
      <c r="J10" s="8"/>
    </row>
    <row r="11" spans="1:10" ht="15" customHeight="1">
      <c r="A11" s="8"/>
      <c r="B11" s="15" t="s">
        <v>24</v>
      </c>
      <c r="C11" s="15" t="s">
        <v>25</v>
      </c>
      <c r="D11" s="15" t="s">
        <v>18</v>
      </c>
      <c r="E11" s="19">
        <v>912</v>
      </c>
      <c r="F11" s="19">
        <v>8630.4383999999991</v>
      </c>
      <c r="G11" s="20">
        <v>7.6799999999999993E-2</v>
      </c>
      <c r="H11" s="20">
        <v>7.7549999999999994E-2</v>
      </c>
      <c r="I11" s="21"/>
      <c r="J11" s="8"/>
    </row>
    <row r="12" spans="1:10" ht="15" customHeight="1">
      <c r="A12" s="8"/>
      <c r="B12" s="15" t="s">
        <v>26</v>
      </c>
      <c r="C12" s="15" t="s">
        <v>27</v>
      </c>
      <c r="D12" s="15" t="s">
        <v>18</v>
      </c>
      <c r="E12" s="19">
        <v>831</v>
      </c>
      <c r="F12" s="19">
        <v>7890.3948600000003</v>
      </c>
      <c r="G12" s="20">
        <v>7.0199999999999999E-2</v>
      </c>
      <c r="H12" s="20">
        <v>7.4050000000000005E-2</v>
      </c>
      <c r="I12" s="21"/>
      <c r="J12" s="8"/>
    </row>
    <row r="13" spans="1:10" ht="15" customHeight="1">
      <c r="A13" s="8"/>
      <c r="B13" s="15" t="s">
        <v>28</v>
      </c>
      <c r="C13" s="15" t="s">
        <v>29</v>
      </c>
      <c r="D13" s="15" t="s">
        <v>23</v>
      </c>
      <c r="E13" s="19">
        <v>7715000</v>
      </c>
      <c r="F13" s="19">
        <v>8038.7831200000001</v>
      </c>
      <c r="G13" s="20">
        <v>7.1499999999999994E-2</v>
      </c>
      <c r="H13" s="20">
        <v>7.4543999999999999E-2</v>
      </c>
      <c r="I13" s="21"/>
      <c r="J13" s="8"/>
    </row>
    <row r="14" spans="1:10" ht="15" customHeight="1">
      <c r="A14" s="8"/>
      <c r="B14" s="15" t="s">
        <v>30</v>
      </c>
      <c r="C14" s="15" t="s">
        <v>31</v>
      </c>
      <c r="D14" s="15" t="s">
        <v>23</v>
      </c>
      <c r="E14" s="19">
        <v>4730000</v>
      </c>
      <c r="F14" s="19">
        <v>4882.26343</v>
      </c>
      <c r="G14" s="20">
        <v>4.3400000000000001E-2</v>
      </c>
      <c r="H14" s="20">
        <v>7.4292999999999998E-2</v>
      </c>
      <c r="I14" s="21"/>
      <c r="J14" s="8"/>
    </row>
    <row r="15" spans="1:10" ht="15" customHeight="1">
      <c r="A15" s="8"/>
      <c r="B15" s="15" t="s">
        <v>32</v>
      </c>
      <c r="C15" s="15" t="s">
        <v>33</v>
      </c>
      <c r="D15" s="15" t="s">
        <v>23</v>
      </c>
      <c r="E15" s="19">
        <v>3950000</v>
      </c>
      <c r="F15" s="19">
        <v>4031.1882999999998</v>
      </c>
      <c r="G15" s="20">
        <v>3.5900000000000001E-2</v>
      </c>
      <c r="H15" s="20">
        <v>7.4112999999999998E-2</v>
      </c>
      <c r="I15" s="21"/>
      <c r="J15" s="8"/>
    </row>
    <row r="16" spans="1:10" ht="15" customHeight="1">
      <c r="A16" s="8"/>
      <c r="B16" s="15" t="s">
        <v>34</v>
      </c>
      <c r="C16" s="15" t="s">
        <v>35</v>
      </c>
      <c r="D16" s="15" t="s">
        <v>18</v>
      </c>
      <c r="E16" s="19">
        <v>380</v>
      </c>
      <c r="F16" s="19">
        <v>3878.1698000000001</v>
      </c>
      <c r="G16" s="20">
        <v>3.4500000000000003E-2</v>
      </c>
      <c r="H16" s="20">
        <v>7.4149000000000007E-2</v>
      </c>
      <c r="I16" s="21"/>
      <c r="J16" s="8"/>
    </row>
    <row r="17" spans="1:10" ht="15" customHeight="1">
      <c r="A17" s="8"/>
      <c r="B17" s="15" t="s">
        <v>36</v>
      </c>
      <c r="C17" s="15" t="s">
        <v>37</v>
      </c>
      <c r="D17" s="15" t="s">
        <v>23</v>
      </c>
      <c r="E17" s="19">
        <v>4500000</v>
      </c>
      <c r="F17" s="19">
        <v>4636.26</v>
      </c>
      <c r="G17" s="20">
        <v>4.1300000000000003E-2</v>
      </c>
      <c r="H17" s="20">
        <v>7.4292999999999998E-2</v>
      </c>
      <c r="I17" s="21"/>
      <c r="J17" s="8"/>
    </row>
    <row r="18" spans="1:10" ht="15" customHeight="1">
      <c r="A18" s="8"/>
      <c r="B18" s="15" t="s">
        <v>38</v>
      </c>
      <c r="C18" s="15" t="s">
        <v>39</v>
      </c>
      <c r="D18" s="15" t="s">
        <v>23</v>
      </c>
      <c r="E18" s="19">
        <v>3700000</v>
      </c>
      <c r="F18" s="19">
        <v>3569.4047999999998</v>
      </c>
      <c r="G18" s="20">
        <v>3.1800000000000002E-2</v>
      </c>
      <c r="H18" s="20">
        <v>7.3950000000000002E-2</v>
      </c>
      <c r="I18" s="21"/>
      <c r="J18" s="8"/>
    </row>
    <row r="19" spans="1:10" ht="15" customHeight="1">
      <c r="A19" s="8"/>
      <c r="B19" s="15" t="s">
        <v>40</v>
      </c>
      <c r="C19" s="15" t="s">
        <v>41</v>
      </c>
      <c r="D19" s="15" t="s">
        <v>18</v>
      </c>
      <c r="E19" s="19">
        <v>300</v>
      </c>
      <c r="F19" s="19">
        <v>2977.335</v>
      </c>
      <c r="G19" s="20">
        <v>2.6499999999999999E-2</v>
      </c>
      <c r="H19" s="20">
        <v>7.4399000000000007E-2</v>
      </c>
      <c r="I19" s="21"/>
      <c r="J19" s="8"/>
    </row>
    <row r="20" spans="1:10" ht="15" customHeight="1">
      <c r="A20" s="8"/>
      <c r="B20" s="15" t="s">
        <v>42</v>
      </c>
      <c r="C20" s="15" t="s">
        <v>43</v>
      </c>
      <c r="D20" s="15" t="s">
        <v>18</v>
      </c>
      <c r="E20" s="19">
        <v>277</v>
      </c>
      <c r="F20" s="19">
        <v>2637.8155999999999</v>
      </c>
      <c r="G20" s="20">
        <v>2.35E-2</v>
      </c>
      <c r="H20" s="20">
        <v>7.5050000000000006E-2</v>
      </c>
      <c r="I20" s="21"/>
      <c r="J20" s="8"/>
    </row>
    <row r="21" spans="1:10" ht="15" customHeight="1">
      <c r="A21" s="8"/>
      <c r="B21" s="15" t="s">
        <v>44</v>
      </c>
      <c r="C21" s="15" t="s">
        <v>45</v>
      </c>
      <c r="D21" s="15" t="s">
        <v>18</v>
      </c>
      <c r="E21" s="19">
        <v>250</v>
      </c>
      <c r="F21" s="19">
        <v>2556.9074999999998</v>
      </c>
      <c r="G21" s="20">
        <v>2.2700000000000001E-2</v>
      </c>
      <c r="H21" s="20">
        <v>7.3499999999999996E-2</v>
      </c>
      <c r="I21" s="21"/>
      <c r="J21" s="8"/>
    </row>
    <row r="22" spans="1:10" ht="15" customHeight="1">
      <c r="A22" s="8"/>
      <c r="B22" s="15" t="s">
        <v>46</v>
      </c>
      <c r="C22" s="15" t="s">
        <v>47</v>
      </c>
      <c r="D22" s="15" t="s">
        <v>18</v>
      </c>
      <c r="E22" s="19">
        <v>250</v>
      </c>
      <c r="F22" s="19">
        <v>2479.98</v>
      </c>
      <c r="G22" s="20">
        <v>2.2100000000000002E-2</v>
      </c>
      <c r="H22" s="20">
        <v>7.4399999999999994E-2</v>
      </c>
      <c r="I22" s="21"/>
      <c r="J22" s="8"/>
    </row>
    <row r="23" spans="1:10" ht="15" customHeight="1">
      <c r="A23" s="8"/>
      <c r="B23" s="15" t="s">
        <v>48</v>
      </c>
      <c r="C23" s="15" t="s">
        <v>49</v>
      </c>
      <c r="D23" s="15" t="s">
        <v>18</v>
      </c>
      <c r="E23" s="19">
        <v>250</v>
      </c>
      <c r="F23" s="19">
        <v>2399.7950000000001</v>
      </c>
      <c r="G23" s="20">
        <v>2.1399999999999999E-2</v>
      </c>
      <c r="H23" s="20">
        <v>7.4098999999999998E-2</v>
      </c>
      <c r="I23" s="21"/>
      <c r="J23" s="8"/>
    </row>
    <row r="24" spans="1:10" ht="15" customHeight="1">
      <c r="A24" s="8"/>
      <c r="B24" s="15" t="s">
        <v>50</v>
      </c>
      <c r="C24" s="15" t="s">
        <v>51</v>
      </c>
      <c r="D24" s="15" t="s">
        <v>18</v>
      </c>
      <c r="E24" s="19">
        <v>203</v>
      </c>
      <c r="F24" s="19">
        <v>2062.3074499999998</v>
      </c>
      <c r="G24" s="20">
        <v>1.83E-2</v>
      </c>
      <c r="H24" s="20">
        <v>7.4149000000000007E-2</v>
      </c>
      <c r="I24" s="21"/>
      <c r="J24" s="8"/>
    </row>
    <row r="25" spans="1:10" ht="15" customHeight="1">
      <c r="A25" s="8"/>
      <c r="B25" s="15" t="s">
        <v>52</v>
      </c>
      <c r="C25" s="15" t="s">
        <v>53</v>
      </c>
      <c r="D25" s="15" t="s">
        <v>23</v>
      </c>
      <c r="E25" s="19">
        <v>2425000</v>
      </c>
      <c r="F25" s="19">
        <v>2486.46405</v>
      </c>
      <c r="G25" s="20">
        <v>2.2100000000000002E-2</v>
      </c>
      <c r="H25" s="20">
        <v>7.4490000000000001E-2</v>
      </c>
      <c r="I25" s="21"/>
      <c r="J25" s="8"/>
    </row>
    <row r="26" spans="1:10" ht="15" customHeight="1">
      <c r="A26" s="8"/>
      <c r="B26" s="15" t="s">
        <v>54</v>
      </c>
      <c r="C26" s="15" t="s">
        <v>55</v>
      </c>
      <c r="D26" s="15" t="s">
        <v>23</v>
      </c>
      <c r="E26" s="19">
        <v>1600000</v>
      </c>
      <c r="F26" s="19">
        <v>1649.1215999999999</v>
      </c>
      <c r="G26" s="20">
        <v>1.47E-2</v>
      </c>
      <c r="H26" s="20">
        <v>7.4543999999999999E-2</v>
      </c>
      <c r="I26" s="21"/>
      <c r="J26" s="8"/>
    </row>
    <row r="27" spans="1:10" ht="15" customHeight="1">
      <c r="A27" s="8"/>
      <c r="B27" s="15" t="s">
        <v>56</v>
      </c>
      <c r="C27" s="15" t="s">
        <v>57</v>
      </c>
      <c r="D27" s="15" t="s">
        <v>23</v>
      </c>
      <c r="E27" s="19">
        <v>1500000</v>
      </c>
      <c r="F27" s="19">
        <v>1528.992</v>
      </c>
      <c r="G27" s="20">
        <v>1.3599999999999999E-2</v>
      </c>
      <c r="H27" s="20">
        <v>7.4093000000000006E-2</v>
      </c>
      <c r="I27" s="21"/>
      <c r="J27" s="8"/>
    </row>
    <row r="28" spans="1:10" ht="15" customHeight="1">
      <c r="A28" s="8"/>
      <c r="B28" s="15" t="s">
        <v>58</v>
      </c>
      <c r="C28" s="15" t="s">
        <v>59</v>
      </c>
      <c r="D28" s="15" t="s">
        <v>23</v>
      </c>
      <c r="E28" s="19">
        <v>1500000</v>
      </c>
      <c r="F28" s="19">
        <v>1526.5485000000001</v>
      </c>
      <c r="G28" s="20">
        <v>1.3599999999999999E-2</v>
      </c>
      <c r="H28" s="20">
        <v>7.4220999999999995E-2</v>
      </c>
      <c r="I28" s="21"/>
      <c r="J28" s="8"/>
    </row>
    <row r="29" spans="1:10" ht="15" customHeight="1">
      <c r="A29" s="8"/>
      <c r="B29" s="15" t="s">
        <v>60</v>
      </c>
      <c r="C29" s="15" t="s">
        <v>61</v>
      </c>
      <c r="D29" s="15" t="s">
        <v>18</v>
      </c>
      <c r="E29" s="19">
        <v>160</v>
      </c>
      <c r="F29" s="19">
        <v>1519.7056</v>
      </c>
      <c r="G29" s="20">
        <v>1.35E-2</v>
      </c>
      <c r="H29" s="20">
        <v>7.3499999999999996E-2</v>
      </c>
      <c r="I29" s="21"/>
      <c r="J29" s="8"/>
    </row>
    <row r="30" spans="1:10" ht="15" customHeight="1">
      <c r="A30" s="8"/>
      <c r="B30" s="15" t="s">
        <v>62</v>
      </c>
      <c r="C30" s="15" t="s">
        <v>63</v>
      </c>
      <c r="D30" s="15" t="s">
        <v>23</v>
      </c>
      <c r="E30" s="19">
        <v>1000000</v>
      </c>
      <c r="F30" s="19">
        <v>1033.2170000000001</v>
      </c>
      <c r="G30" s="20">
        <v>9.1999999999999998E-3</v>
      </c>
      <c r="H30" s="20">
        <v>7.4543999999999999E-2</v>
      </c>
      <c r="I30" s="21"/>
      <c r="J30" s="8"/>
    </row>
    <row r="31" spans="1:10" ht="15" customHeight="1">
      <c r="A31" s="8"/>
      <c r="B31" s="15" t="s">
        <v>64</v>
      </c>
      <c r="C31" s="15" t="s">
        <v>65</v>
      </c>
      <c r="D31" s="15" t="s">
        <v>23</v>
      </c>
      <c r="E31" s="19">
        <v>1000000</v>
      </c>
      <c r="F31" s="19">
        <v>1027.2850000000001</v>
      </c>
      <c r="G31" s="20">
        <v>9.1000000000000004E-3</v>
      </c>
      <c r="H31" s="20">
        <v>7.4319999999999997E-2</v>
      </c>
      <c r="I31" s="21"/>
      <c r="J31" s="8"/>
    </row>
    <row r="32" spans="1:10" ht="15" customHeight="1">
      <c r="A32" s="8"/>
      <c r="B32" s="15" t="s">
        <v>66</v>
      </c>
      <c r="C32" s="15" t="s">
        <v>67</v>
      </c>
      <c r="D32" s="15" t="s">
        <v>23</v>
      </c>
      <c r="E32" s="19">
        <v>2000000</v>
      </c>
      <c r="F32" s="19">
        <v>2044.31</v>
      </c>
      <c r="G32" s="20">
        <v>1.8200000000000001E-2</v>
      </c>
      <c r="H32" s="20">
        <v>7.4010000000000006E-2</v>
      </c>
      <c r="I32" s="21"/>
      <c r="J32" s="8"/>
    </row>
    <row r="33" spans="1:10" ht="15" customHeight="1">
      <c r="A33" s="8"/>
      <c r="B33" s="15" t="s">
        <v>68</v>
      </c>
      <c r="C33" s="15" t="s">
        <v>69</v>
      </c>
      <c r="D33" s="15" t="s">
        <v>23</v>
      </c>
      <c r="E33" s="19">
        <v>1000000</v>
      </c>
      <c r="F33" s="19">
        <v>1019.129</v>
      </c>
      <c r="G33" s="20">
        <v>9.1000000000000004E-3</v>
      </c>
      <c r="H33" s="20">
        <v>7.3968000000000006E-2</v>
      </c>
      <c r="I33" s="21"/>
      <c r="J33" s="8"/>
    </row>
    <row r="34" spans="1:10" ht="15" customHeight="1">
      <c r="A34" s="8"/>
      <c r="B34" s="15" t="s">
        <v>70</v>
      </c>
      <c r="C34" s="15" t="s">
        <v>71</v>
      </c>
      <c r="D34" s="15" t="s">
        <v>23</v>
      </c>
      <c r="E34" s="19">
        <v>250000</v>
      </c>
      <c r="F34" s="19">
        <v>241.684</v>
      </c>
      <c r="G34" s="20">
        <v>2.2000000000000001E-3</v>
      </c>
      <c r="H34" s="20">
        <v>7.3667999999999997E-2</v>
      </c>
      <c r="I34" s="21"/>
      <c r="J34" s="8"/>
    </row>
    <row r="35" spans="1:10" ht="15" customHeight="1">
      <c r="A35" s="8"/>
      <c r="B35" s="15" t="s">
        <v>72</v>
      </c>
      <c r="C35" s="15" t="s">
        <v>73</v>
      </c>
      <c r="D35" s="15" t="s">
        <v>23</v>
      </c>
      <c r="E35" s="19">
        <v>1049100</v>
      </c>
      <c r="F35" s="19">
        <v>1074.6267012000001</v>
      </c>
      <c r="G35" s="20">
        <v>9.5999999999999992E-3</v>
      </c>
      <c r="H35" s="20">
        <v>7.4543999999999999E-2</v>
      </c>
      <c r="I35" s="21"/>
      <c r="J35" s="8"/>
    </row>
    <row r="36" spans="1:10" ht="15" customHeight="1">
      <c r="A36" s="8"/>
      <c r="B36" s="15" t="s">
        <v>74</v>
      </c>
      <c r="C36" s="15" t="s">
        <v>75</v>
      </c>
      <c r="D36" s="15" t="s">
        <v>23</v>
      </c>
      <c r="E36" s="19">
        <v>500000</v>
      </c>
      <c r="F36" s="19">
        <v>516.83950000000004</v>
      </c>
      <c r="G36" s="20">
        <v>4.5999999999999999E-3</v>
      </c>
      <c r="H36" s="20">
        <v>7.4490000000000001E-2</v>
      </c>
      <c r="I36" s="21"/>
      <c r="J36" s="8"/>
    </row>
    <row r="37" spans="1:10" ht="15" customHeight="1">
      <c r="A37" s="8"/>
      <c r="B37" s="15" t="s">
        <v>76</v>
      </c>
      <c r="C37" s="15" t="s">
        <v>77</v>
      </c>
      <c r="D37" s="15" t="s">
        <v>23</v>
      </c>
      <c r="E37" s="19">
        <v>500000</v>
      </c>
      <c r="F37" s="19">
        <v>515.72249999999997</v>
      </c>
      <c r="G37" s="20">
        <v>4.5999999999999999E-3</v>
      </c>
      <c r="H37" s="20">
        <v>7.4490000000000001E-2</v>
      </c>
      <c r="I37" s="21"/>
      <c r="J37" s="8"/>
    </row>
    <row r="38" spans="1:10" ht="15" customHeight="1">
      <c r="A38" s="8"/>
      <c r="B38" s="15" t="s">
        <v>64</v>
      </c>
      <c r="C38" s="15" t="s">
        <v>78</v>
      </c>
      <c r="D38" s="15" t="s">
        <v>23</v>
      </c>
      <c r="E38" s="19">
        <v>500000</v>
      </c>
      <c r="F38" s="19">
        <v>513.45749999999998</v>
      </c>
      <c r="G38" s="20">
        <v>4.5999999999999999E-3</v>
      </c>
      <c r="H38" s="20">
        <v>7.4445999999999998E-2</v>
      </c>
      <c r="I38" s="21"/>
      <c r="J38" s="8"/>
    </row>
    <row r="39" spans="1:10" ht="15" customHeight="1">
      <c r="A39" s="8"/>
      <c r="B39" s="15" t="s">
        <v>79</v>
      </c>
      <c r="C39" s="15" t="s">
        <v>80</v>
      </c>
      <c r="D39" s="15" t="s">
        <v>23</v>
      </c>
      <c r="E39" s="19">
        <v>500000</v>
      </c>
      <c r="F39" s="19">
        <v>512.09400000000005</v>
      </c>
      <c r="G39" s="20">
        <v>4.5999999999999999E-3</v>
      </c>
      <c r="H39" s="20">
        <v>7.4200000000000002E-2</v>
      </c>
      <c r="I39" s="21"/>
      <c r="J39" s="8"/>
    </row>
    <row r="40" spans="1:10" ht="15" customHeight="1">
      <c r="A40" s="8"/>
      <c r="B40" s="15" t="s">
        <v>79</v>
      </c>
      <c r="C40" s="15" t="s">
        <v>81</v>
      </c>
      <c r="D40" s="15" t="s">
        <v>23</v>
      </c>
      <c r="E40" s="19">
        <v>500000</v>
      </c>
      <c r="F40" s="19">
        <v>511.7355</v>
      </c>
      <c r="G40" s="20">
        <v>4.5999999999999999E-3</v>
      </c>
      <c r="H40" s="20">
        <v>7.4445999999999998E-2</v>
      </c>
      <c r="I40" s="21"/>
      <c r="J40" s="8"/>
    </row>
    <row r="41" spans="1:10" ht="15" customHeight="1">
      <c r="A41" s="8"/>
      <c r="B41" s="15" t="s">
        <v>82</v>
      </c>
      <c r="C41" s="15" t="s">
        <v>83</v>
      </c>
      <c r="D41" s="15" t="s">
        <v>18</v>
      </c>
      <c r="E41" s="19">
        <v>50</v>
      </c>
      <c r="F41" s="19">
        <v>507.86700000000002</v>
      </c>
      <c r="G41" s="20">
        <v>4.4999999999999997E-3</v>
      </c>
      <c r="H41" s="20">
        <v>7.5050000000000006E-2</v>
      </c>
      <c r="I41" s="21"/>
      <c r="J41" s="8"/>
    </row>
    <row r="42" spans="1:10" ht="15" customHeight="1">
      <c r="A42" s="8"/>
      <c r="B42" s="15" t="s">
        <v>84</v>
      </c>
      <c r="C42" s="15" t="s">
        <v>85</v>
      </c>
      <c r="D42" s="15" t="s">
        <v>23</v>
      </c>
      <c r="E42" s="19">
        <v>500000</v>
      </c>
      <c r="F42" s="19">
        <v>509.00299999999999</v>
      </c>
      <c r="G42" s="20">
        <v>4.4999999999999997E-3</v>
      </c>
      <c r="H42" s="20">
        <v>7.4218999999999993E-2</v>
      </c>
      <c r="I42" s="21"/>
      <c r="J42" s="8"/>
    </row>
    <row r="43" spans="1:10" ht="15" customHeight="1">
      <c r="A43" s="8"/>
      <c r="B43" s="15" t="s">
        <v>86</v>
      </c>
      <c r="C43" s="15" t="s">
        <v>87</v>
      </c>
      <c r="D43" s="15" t="s">
        <v>23</v>
      </c>
      <c r="E43" s="19">
        <v>437500</v>
      </c>
      <c r="F43" s="19">
        <v>447.71300000000002</v>
      </c>
      <c r="G43" s="20">
        <v>4.0000000000000001E-3</v>
      </c>
      <c r="H43" s="20">
        <v>7.4292999999999998E-2</v>
      </c>
      <c r="I43" s="21"/>
      <c r="J43" s="8"/>
    </row>
    <row r="44" spans="1:10" ht="15" customHeight="1">
      <c r="A44" s="8"/>
      <c r="B44" s="15" t="s">
        <v>88</v>
      </c>
      <c r="C44" s="15" t="s">
        <v>89</v>
      </c>
      <c r="D44" s="15" t="s">
        <v>23</v>
      </c>
      <c r="E44" s="19">
        <v>419800</v>
      </c>
      <c r="F44" s="19">
        <v>428.08559259999998</v>
      </c>
      <c r="G44" s="20">
        <v>3.8E-3</v>
      </c>
      <c r="H44" s="20">
        <v>7.4443999999999996E-2</v>
      </c>
      <c r="I44" s="21"/>
      <c r="J44" s="8"/>
    </row>
    <row r="45" spans="1:10" ht="15" customHeight="1">
      <c r="A45" s="8"/>
      <c r="B45" s="15" t="s">
        <v>90</v>
      </c>
      <c r="C45" s="15" t="s">
        <v>91</v>
      </c>
      <c r="D45" s="15" t="s">
        <v>18</v>
      </c>
      <c r="E45" s="19">
        <v>40</v>
      </c>
      <c r="F45" s="19">
        <v>378.79</v>
      </c>
      <c r="G45" s="20">
        <v>3.3999999999999998E-3</v>
      </c>
      <c r="H45" s="20">
        <v>7.4499999999999997E-2</v>
      </c>
      <c r="I45" s="21"/>
      <c r="J45" s="8"/>
    </row>
    <row r="46" spans="1:10" ht="15" customHeight="1">
      <c r="A46" s="8"/>
      <c r="B46" s="15" t="s">
        <v>92</v>
      </c>
      <c r="C46" s="15" t="s">
        <v>93</v>
      </c>
      <c r="D46" s="15" t="s">
        <v>23</v>
      </c>
      <c r="E46" s="19">
        <v>145000</v>
      </c>
      <c r="F46" s="19">
        <v>150.29656</v>
      </c>
      <c r="G46" s="20">
        <v>1.2999999999999999E-3</v>
      </c>
      <c r="H46" s="20">
        <v>7.4292999999999998E-2</v>
      </c>
      <c r="I46" s="21"/>
      <c r="J46" s="8"/>
    </row>
    <row r="47" spans="1:10" ht="15" customHeight="1">
      <c r="A47" s="8"/>
      <c r="B47" s="15" t="s">
        <v>94</v>
      </c>
      <c r="C47" s="15" t="s">
        <v>95</v>
      </c>
      <c r="D47" s="15" t="s">
        <v>23</v>
      </c>
      <c r="E47" s="19">
        <v>120000</v>
      </c>
      <c r="F47" s="19">
        <v>124.39872</v>
      </c>
      <c r="G47" s="20">
        <v>1.1000000000000001E-3</v>
      </c>
      <c r="H47" s="20">
        <v>7.4445999999999998E-2</v>
      </c>
      <c r="I47" s="21"/>
      <c r="J47" s="8"/>
    </row>
    <row r="48" spans="1:10" ht="15" customHeight="1">
      <c r="A48" s="8"/>
      <c r="B48" s="14" t="s">
        <v>96</v>
      </c>
      <c r="C48" s="15" t="s">
        <v>14</v>
      </c>
      <c r="D48" s="15" t="s">
        <v>14</v>
      </c>
      <c r="E48" s="15" t="s">
        <v>14</v>
      </c>
      <c r="F48" s="22">
        <v>108199.7490938</v>
      </c>
      <c r="G48" s="23">
        <v>0.9627</v>
      </c>
      <c r="H48" s="24" t="s">
        <v>14</v>
      </c>
      <c r="I48" s="25" t="s">
        <v>14</v>
      </c>
      <c r="J48" s="8"/>
    </row>
    <row r="49" spans="1:10" ht="15" customHeight="1">
      <c r="A49" s="26" t="s">
        <v>12</v>
      </c>
      <c r="B49" s="27" t="s">
        <v>97</v>
      </c>
      <c r="C49" s="28" t="s">
        <v>14</v>
      </c>
      <c r="D49" s="28" t="s">
        <v>14</v>
      </c>
      <c r="E49" s="28" t="s">
        <v>14</v>
      </c>
      <c r="F49" s="24" t="s">
        <v>98</v>
      </c>
      <c r="G49" s="24" t="s">
        <v>98</v>
      </c>
      <c r="H49" s="24" t="s">
        <v>14</v>
      </c>
      <c r="I49" s="25" t="s">
        <v>14</v>
      </c>
      <c r="J49" s="8"/>
    </row>
    <row r="50" spans="1:10" ht="15" customHeight="1">
      <c r="A50" s="8"/>
      <c r="B50" s="27" t="s">
        <v>96</v>
      </c>
      <c r="C50" s="28" t="s">
        <v>14</v>
      </c>
      <c r="D50" s="28" t="s">
        <v>14</v>
      </c>
      <c r="E50" s="28" t="s">
        <v>14</v>
      </c>
      <c r="F50" s="24" t="s">
        <v>98</v>
      </c>
      <c r="G50" s="24" t="s">
        <v>98</v>
      </c>
      <c r="H50" s="24" t="s">
        <v>14</v>
      </c>
      <c r="I50" s="25" t="s">
        <v>14</v>
      </c>
      <c r="J50" s="8"/>
    </row>
    <row r="51" spans="1:10" ht="15" customHeight="1">
      <c r="A51" s="8"/>
      <c r="B51" s="27" t="s">
        <v>99</v>
      </c>
      <c r="C51" s="28" t="s">
        <v>14</v>
      </c>
      <c r="D51" s="28" t="s">
        <v>14</v>
      </c>
      <c r="E51" s="28" t="s">
        <v>14</v>
      </c>
      <c r="F51" s="22">
        <v>108199.7490938</v>
      </c>
      <c r="G51" s="23">
        <v>0.9627</v>
      </c>
      <c r="H51" s="24" t="s">
        <v>14</v>
      </c>
      <c r="I51" s="25" t="s">
        <v>14</v>
      </c>
      <c r="J51" s="8"/>
    </row>
    <row r="52" spans="1:10" ht="15" customHeight="1">
      <c r="A52" s="8"/>
      <c r="B52" s="14" t="s">
        <v>100</v>
      </c>
      <c r="C52" s="15" t="s">
        <v>14</v>
      </c>
      <c r="D52" s="15" t="s">
        <v>14</v>
      </c>
      <c r="E52" s="15" t="s">
        <v>14</v>
      </c>
      <c r="F52" s="15" t="s">
        <v>14</v>
      </c>
      <c r="G52" s="15" t="s">
        <v>14</v>
      </c>
      <c r="H52" s="16" t="s">
        <v>14</v>
      </c>
      <c r="I52" s="17" t="s">
        <v>14</v>
      </c>
      <c r="J52" s="8"/>
    </row>
    <row r="53" spans="1:10" ht="15" customHeight="1">
      <c r="A53" s="8"/>
      <c r="B53" s="15" t="s">
        <v>101</v>
      </c>
      <c r="C53" s="15" t="s">
        <v>14</v>
      </c>
      <c r="D53" s="15" t="s">
        <v>14</v>
      </c>
      <c r="E53" s="19"/>
      <c r="F53" s="29">
        <v>852.91</v>
      </c>
      <c r="G53" s="30">
        <v>7.6E-3</v>
      </c>
      <c r="H53" s="31">
        <v>5.9929572435702606E-2</v>
      </c>
      <c r="I53" s="32" t="s">
        <v>14</v>
      </c>
      <c r="J53" s="8"/>
    </row>
    <row r="54" spans="1:10" ht="15" customHeight="1">
      <c r="A54" s="8"/>
      <c r="B54" s="14" t="s">
        <v>96</v>
      </c>
      <c r="C54" s="15" t="s">
        <v>14</v>
      </c>
      <c r="D54" s="15" t="s">
        <v>14</v>
      </c>
      <c r="E54" s="15" t="s">
        <v>14</v>
      </c>
      <c r="F54" s="22">
        <v>852.91</v>
      </c>
      <c r="G54" s="23">
        <v>7.6E-3</v>
      </c>
      <c r="H54" s="24" t="s">
        <v>14</v>
      </c>
      <c r="I54" s="25" t="s">
        <v>14</v>
      </c>
      <c r="J54" s="8"/>
    </row>
    <row r="55" spans="1:10" ht="15" customHeight="1">
      <c r="A55" s="8"/>
      <c r="B55" s="27" t="s">
        <v>97</v>
      </c>
      <c r="C55" s="28" t="s">
        <v>14</v>
      </c>
      <c r="D55" s="28" t="s">
        <v>14</v>
      </c>
      <c r="E55" s="28" t="s">
        <v>14</v>
      </c>
      <c r="F55" s="24" t="s">
        <v>98</v>
      </c>
      <c r="G55" s="24" t="s">
        <v>98</v>
      </c>
      <c r="H55" s="24" t="s">
        <v>14</v>
      </c>
      <c r="I55" s="25" t="s">
        <v>14</v>
      </c>
      <c r="J55" s="8"/>
    </row>
    <row r="56" spans="1:10" ht="15" customHeight="1">
      <c r="A56" s="8"/>
      <c r="B56" s="27" t="s">
        <v>96</v>
      </c>
      <c r="C56" s="28" t="s">
        <v>14</v>
      </c>
      <c r="D56" s="28" t="s">
        <v>14</v>
      </c>
      <c r="E56" s="28" t="s">
        <v>14</v>
      </c>
      <c r="F56" s="24" t="s">
        <v>98</v>
      </c>
      <c r="G56" s="24" t="s">
        <v>98</v>
      </c>
      <c r="H56" s="24" t="s">
        <v>14</v>
      </c>
      <c r="I56" s="25" t="s">
        <v>14</v>
      </c>
      <c r="J56" s="8"/>
    </row>
    <row r="57" spans="1:10" ht="15" customHeight="1">
      <c r="A57" s="8"/>
      <c r="B57" s="27" t="s">
        <v>99</v>
      </c>
      <c r="C57" s="28" t="s">
        <v>14</v>
      </c>
      <c r="D57" s="28" t="s">
        <v>14</v>
      </c>
      <c r="E57" s="28" t="s">
        <v>14</v>
      </c>
      <c r="F57" s="22">
        <v>852.91</v>
      </c>
      <c r="G57" s="23">
        <v>7.6E-3</v>
      </c>
      <c r="H57" s="24" t="s">
        <v>14</v>
      </c>
      <c r="I57" s="25" t="s">
        <v>14</v>
      </c>
      <c r="J57" s="8"/>
    </row>
    <row r="58" spans="1:10" ht="15" customHeight="1">
      <c r="A58" s="8"/>
      <c r="B58" s="27" t="s">
        <v>102</v>
      </c>
      <c r="C58" s="15" t="s">
        <v>14</v>
      </c>
      <c r="D58" s="28" t="s">
        <v>14</v>
      </c>
      <c r="E58" s="15" t="s">
        <v>14</v>
      </c>
      <c r="F58" s="22">
        <v>3339.4809061999986</v>
      </c>
      <c r="G58" s="23">
        <v>2.9700000000000001E-2</v>
      </c>
      <c r="H58" s="24" t="s">
        <v>14</v>
      </c>
      <c r="I58" s="25" t="s">
        <v>14</v>
      </c>
      <c r="J58" s="8"/>
    </row>
    <row r="59" spans="1:10" ht="15" customHeight="1">
      <c r="A59" s="8"/>
      <c r="B59" s="33" t="s">
        <v>103</v>
      </c>
      <c r="C59" s="34" t="s">
        <v>14</v>
      </c>
      <c r="D59" s="34" t="s">
        <v>14</v>
      </c>
      <c r="E59" s="34" t="s">
        <v>14</v>
      </c>
      <c r="F59" s="35">
        <v>112392.14</v>
      </c>
      <c r="G59" s="36">
        <v>1</v>
      </c>
      <c r="H59" s="37" t="s">
        <v>14</v>
      </c>
      <c r="I59" s="38" t="s">
        <v>14</v>
      </c>
      <c r="J59" s="8"/>
    </row>
    <row r="61" spans="1:10" ht="15" customHeight="1">
      <c r="B61" s="39" t="s">
        <v>104</v>
      </c>
    </row>
    <row r="62" spans="1:10" ht="15" customHeight="1">
      <c r="B62" s="7" t="s">
        <v>105</v>
      </c>
      <c r="C62" s="8"/>
      <c r="D62" s="8"/>
    </row>
    <row r="63" spans="1:10" ht="27.95" customHeight="1">
      <c r="A63" s="40"/>
      <c r="B63" s="41" t="s">
        <v>106</v>
      </c>
      <c r="C63" s="41"/>
      <c r="D63" s="41"/>
      <c r="E63" s="41"/>
      <c r="F63" s="41"/>
      <c r="G63" s="41"/>
      <c r="H63" s="41"/>
      <c r="I63" s="40"/>
      <c r="J63" s="40"/>
    </row>
    <row r="64" spans="1:10" ht="15" customHeight="1">
      <c r="A64" s="40"/>
      <c r="B64" s="39"/>
      <c r="C64" s="40"/>
      <c r="D64" s="40"/>
      <c r="E64" s="40"/>
      <c r="F64" s="40"/>
      <c r="G64" s="40"/>
      <c r="H64" s="40"/>
      <c r="I64" s="40"/>
      <c r="J64" s="40"/>
    </row>
    <row r="65" spans="1:9" s="42" customFormat="1" ht="15" customHeight="1">
      <c r="B65" s="43" t="s">
        <v>107</v>
      </c>
      <c r="C65" s="43"/>
      <c r="D65" s="43"/>
      <c r="E65" s="43"/>
      <c r="F65" s="43"/>
      <c r="G65" s="43"/>
      <c r="H65" s="43"/>
      <c r="I65" s="44"/>
    </row>
    <row r="67" spans="1:9" s="47" customFormat="1" ht="15" customHeight="1">
      <c r="A67" s="45"/>
      <c r="B67" s="45"/>
      <c r="C67" s="46" t="s">
        <v>108</v>
      </c>
      <c r="D67" s="45"/>
      <c r="E67" s="45"/>
    </row>
    <row r="68" spans="1:9" s="47" customFormat="1" ht="15" customHeight="1">
      <c r="A68" s="45"/>
      <c r="B68" s="46" t="s">
        <v>109</v>
      </c>
      <c r="C68" s="46" t="s">
        <v>110</v>
      </c>
      <c r="D68" s="45"/>
      <c r="E68" s="45"/>
    </row>
    <row r="69" spans="1:9" s="47" customFormat="1" ht="15" customHeight="1">
      <c r="A69" s="45"/>
      <c r="B69" s="45"/>
      <c r="C69" s="45"/>
      <c r="D69" s="45"/>
      <c r="E69" s="45"/>
    </row>
    <row r="70" spans="1:9" s="47" customFormat="1" ht="15" customHeight="1">
      <c r="A70" s="45"/>
      <c r="B70" s="45"/>
      <c r="C70" s="45"/>
      <c r="D70" s="45"/>
      <c r="E70" s="45"/>
    </row>
    <row r="71" spans="1:9" s="47" customFormat="1" ht="15" customHeight="1">
      <c r="A71" s="45"/>
      <c r="B71" s="45"/>
      <c r="C71" s="45"/>
      <c r="D71" s="45"/>
      <c r="E71" s="45"/>
    </row>
    <row r="72" spans="1:9" s="47" customFormat="1" ht="15" customHeight="1">
      <c r="A72" s="45"/>
      <c r="B72" s="45"/>
      <c r="C72" s="45"/>
      <c r="D72" s="45"/>
      <c r="E72" s="45"/>
    </row>
    <row r="73" spans="1:9" s="47" customFormat="1" ht="15" customHeight="1">
      <c r="A73" s="45"/>
      <c r="B73" s="45"/>
      <c r="C73" s="45"/>
      <c r="D73" s="45"/>
      <c r="E73" s="45"/>
    </row>
    <row r="74" spans="1:9" s="47" customFormat="1" ht="15" customHeight="1">
      <c r="A74" s="45"/>
      <c r="B74" s="45"/>
      <c r="C74" s="45"/>
      <c r="D74" s="45"/>
      <c r="E74" s="45"/>
    </row>
    <row r="75" spans="1:9" s="47" customFormat="1" ht="15" customHeight="1">
      <c r="A75" s="45"/>
      <c r="B75" s="45"/>
      <c r="C75" s="45"/>
      <c r="D75" s="45"/>
      <c r="E75" s="45"/>
    </row>
    <row r="76" spans="1:9" s="47" customFormat="1" ht="15" customHeight="1">
      <c r="A76" s="45"/>
      <c r="B76" s="45"/>
      <c r="C76" s="45"/>
      <c r="D76" s="45"/>
      <c r="E76" s="45"/>
    </row>
    <row r="77" spans="1:9" s="47" customFormat="1" ht="15" customHeight="1">
      <c r="A77" s="45"/>
      <c r="B77" s="45"/>
      <c r="C77" s="45"/>
      <c r="D77" s="45"/>
      <c r="E77" s="45"/>
    </row>
    <row r="78" spans="1:9" s="47" customFormat="1" ht="15" customHeight="1">
      <c r="A78" s="45"/>
      <c r="B78" s="45"/>
      <c r="C78" s="45"/>
      <c r="D78" s="45"/>
      <c r="E78" s="45"/>
    </row>
    <row r="79" spans="1:9" s="47" customFormat="1" ht="15" customHeight="1">
      <c r="A79" s="45"/>
      <c r="B79" s="45"/>
      <c r="C79" s="45"/>
      <c r="D79" s="45"/>
      <c r="E79" s="45"/>
    </row>
    <row r="80" spans="1:9" s="47" customFormat="1" ht="15" customHeight="1">
      <c r="A80" s="45"/>
      <c r="B80" s="45"/>
      <c r="C80" s="45"/>
      <c r="D80" s="45"/>
      <c r="E80" s="45"/>
    </row>
  </sheetData>
  <mergeCells count="2">
    <mergeCell ref="B2:I2"/>
    <mergeCell ref="B63:H63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2022-10-07T20:56:58Z</dcterms:created>
  <dcterms:modified xsi:type="dcterms:W3CDTF">2022-10-07T20:57:04Z</dcterms:modified>
</cp:coreProperties>
</file>