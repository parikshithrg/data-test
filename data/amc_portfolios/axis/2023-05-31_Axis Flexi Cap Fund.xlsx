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891886D-F32E-4083-B22E-24E2CA98E0E0}" xr6:coauthVersionLast="47" xr6:coauthVersionMax="47" xr10:uidLastSave="{00000000-0000-0000-0000-000000000000}"/>
  <bookViews>
    <workbookView xWindow="-120" yWindow="-120" windowWidth="29040" windowHeight="15525" xr2:uid="{64E4EF0B-88B9-4A57-A405-D3C9FC6BC629}"/>
  </bookViews>
  <sheets>
    <sheet name="AXISMLF" sheetId="1" r:id="rId1"/>
  </sheets>
  <definedNames>
    <definedName name="JR_PAGE_ANCHOR_0_43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7" i="1" l="1"/>
  <c r="F78" i="1" s="1"/>
  <c r="G77" i="1" l="1"/>
  <c r="G78" i="1" s="1"/>
</calcChain>
</file>

<file path=xl/sharedStrings.xml><?xml version="1.0" encoding="utf-8"?>
<sst xmlns="http://schemas.openxmlformats.org/spreadsheetml/2006/main" count="296" uniqueCount="251">
  <si>
    <t>AXISMLF</t>
  </si>
  <si>
    <t>Axis Flexi 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</si>
  <si>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</si>
  <si>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</si>
  <si>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</si>
  <si>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</si>
  <si>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</si>
  <si>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</si>
  <si>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</si>
  <si>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</si>
  <si>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</si>
  <si>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</si>
  <si>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</si>
  <si>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</si>
  <si>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</si>
  <si>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</si>
  <si>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</si>
  <si>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</si>
  <si>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</si>
  <si>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</si>
  <si>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</si>
  <si>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</si>
  <si>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</si>
  <si>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</si>
  <si>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</si>
  <si>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</si>
  <si>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</si>
  <si>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</si>
  <si>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</si>
  <si>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</si>
  <si>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</si>
  <si>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</si>
  <si>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</si>
  <si>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</si>
  <si>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</si>
  <si>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</si>
  <si>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</si>
  <si>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</si>
  <si>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</si>
  <si>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</si>
  <si>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</si>
  <si>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</si>
  <si>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</si>
  <si>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</si>
  <si>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</si>
  <si>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</si>
  <si>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</si>
  <si>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</si>
  <si>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</si>
  <si>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</si>
  <si>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</si>
  <si>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</si>
  <si>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</si>
  <si>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</si>
  <si>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</si>
  <si>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Realty</t>
  </si>
  <si>
    <t>IEIN01</t>
  </si>
  <si>
    <t>Info Edge (India) Limited</t>
  </si>
  <si>
    <t>INE663F01024</t>
  </si>
  <si>
    <t>SONB01</t>
  </si>
  <si>
    <t>Sona BLW Precision Forgings Limited</t>
  </si>
  <si>
    <t>INE073K01018</t>
  </si>
  <si>
    <t>Auto Components</t>
  </si>
  <si>
    <t>NAHR01</t>
  </si>
  <si>
    <t>Narayana Hrudayalaya Limited</t>
  </si>
  <si>
    <t>INE410P01011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</si>
  <si>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</si>
  <si>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</si>
  <si>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</si>
  <si>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</si>
  <si>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</si>
  <si>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</si>
  <si>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</si>
  <si>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</si>
  <si>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PIIN03</t>
  </si>
  <si>
    <t>PI Industries Limited</t>
  </si>
  <si>
    <t>INE603J01030</t>
  </si>
  <si>
    <t>Fertilizers &amp; Agrochemicals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</si>
  <si>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</si>
  <si>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</si>
  <si>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</si>
  <si>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</si>
  <si>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</si>
  <si>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</si>
  <si>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</si>
  <si>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Aerospace &amp; Defense</t>
  </si>
  <si>
    <t>HDFC03</t>
  </si>
  <si>
    <t>Housing Development Finance Corporation Limited</t>
  </si>
  <si>
    <t>INE001A01036</t>
  </si>
  <si>
    <t>CHOL02</t>
  </si>
  <si>
    <t>Cholamandalam Investment and Finance Company Ltd</t>
  </si>
  <si>
    <t>INE121A01024</t>
  </si>
  <si>
    <t>PIDI02</t>
  </si>
  <si>
    <t>Pidilite Industries Limited</t>
  </si>
  <si>
    <t>INE318A01026</t>
  </si>
  <si>
    <t>Chemicals &amp; Petrochemicals</t>
  </si>
  <si>
    <t>BFSL02</t>
  </si>
  <si>
    <t>Bajaj Finserv Limited</t>
  </si>
  <si>
    <t>INE918I01026</t>
  </si>
  <si>
    <t>FOIL01</t>
  </si>
  <si>
    <t>Fine Organic Industries Limited</t>
  </si>
  <si>
    <t>INE686Y01026</t>
  </si>
  <si>
    <t>TELC03</t>
  </si>
  <si>
    <t>Tata Motors Limited</t>
  </si>
  <si>
    <t>INE155A01022</t>
  </si>
  <si>
    <t>LAKM02</t>
  </si>
  <si>
    <t>Trent Limited</t>
  </si>
  <si>
    <t>INE849A01020</t>
  </si>
  <si>
    <t>ASTP04</t>
  </si>
  <si>
    <t>Astral Limited</t>
  </si>
  <si>
    <t>INE006I01046</t>
  </si>
  <si>
    <t>Industrial Products</t>
  </si>
  <si>
    <t>ASPA02</t>
  </si>
  <si>
    <t>Asian Paints Limited</t>
  </si>
  <si>
    <t>INE021A01026</t>
  </si>
  <si>
    <t>BTVL02</t>
  </si>
  <si>
    <t>Bharti Airtel Limited</t>
  </si>
  <si>
    <t>INE397D01024</t>
  </si>
  <si>
    <t>Telecom - Services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</si>
  <si>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</si>
  <si>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</si>
  <si>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</si>
  <si>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</si>
  <si>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</si>
  <si>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</si>
  <si>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</si>
  <si>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Pharmaceuticals &amp; Biotechnology</t>
  </si>
  <si>
    <t>INAV01</t>
  </si>
  <si>
    <t>InterGlobe Aviation Limited</t>
  </si>
  <si>
    <t>INE646L01027</t>
  </si>
  <si>
    <t>Transport Services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</si>
  <si>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</si>
  <si>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</si>
  <si>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</si>
  <si>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</si>
  <si>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</si>
  <si>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</si>
  <si>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</si>
  <si>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</si>
  <si>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</si>
  <si>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</si>
  <si>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</si>
  <si>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SBAI02</t>
  </si>
  <si>
    <t>State Bank of India</t>
  </si>
  <si>
    <t>INE062A01020</t>
  </si>
  <si>
    <t>GALS01</t>
  </si>
  <si>
    <t>Galaxy Surfactants Limited</t>
  </si>
  <si>
    <t>INE600K01018</t>
  </si>
  <si>
    <t>HLEL02</t>
  </si>
  <si>
    <t>Hindustan Unilever Limited</t>
  </si>
  <si>
    <t>INE030A01027</t>
  </si>
  <si>
    <t>Diversified FMCG</t>
  </si>
  <si>
    <t>WABT01</t>
  </si>
  <si>
    <t>ZF Commercial Vehicle Control Systems India Limited</t>
  </si>
  <si>
    <t>INE342J01019</t>
  </si>
  <si>
    <t>CSTL01</t>
  </si>
  <si>
    <t>Clean Science and Technology Limited</t>
  </si>
  <si>
    <t>INE227W01023</t>
  </si>
  <si>
    <t>SANE01</t>
  </si>
  <si>
    <t>Sansera Engineering Limited</t>
  </si>
  <si>
    <t>INE953O01021</t>
  </si>
  <si>
    <t>MAAU01</t>
  </si>
  <si>
    <t>Mahindra CIE Automotive Limited</t>
  </si>
  <si>
    <t>INE536H01010</t>
  </si>
  <si>
    <t>KFIN01</t>
  </si>
  <si>
    <t>KFin Technologies Limited</t>
  </si>
  <si>
    <t>INE138Y01010</t>
  </si>
  <si>
    <t>Capital Markets</t>
  </si>
  <si>
    <t>CARU03</t>
  </si>
  <si>
    <t>Carborundum Universal Limited</t>
  </si>
  <si>
    <t>INE120A01034</t>
  </si>
  <si>
    <t>FRHL01</t>
  </si>
  <si>
    <t>Fortis Healthcare Limited</t>
  </si>
  <si>
    <t>INE061F01013</t>
  </si>
  <si>
    <t>NECH01</t>
  </si>
  <si>
    <t>Neogen Chemicals Limited</t>
  </si>
  <si>
    <t>INE136S01016</t>
  </si>
  <si>
    <t>CPIL02</t>
  </si>
  <si>
    <t>CCL Products (India) Limited</t>
  </si>
  <si>
    <t>INE421D01022</t>
  </si>
  <si>
    <t>Agricultural Food &amp; other Products</t>
  </si>
  <si>
    <t>LTIL01</t>
  </si>
  <si>
    <t>LTIMindtree Limited</t>
  </si>
  <si>
    <t>INE214T01019</t>
  </si>
  <si>
    <t>MSUW01</t>
  </si>
  <si>
    <t>Motherson Sumi Wiring India Limited</t>
  </si>
  <si>
    <t>INE0FS801015</t>
  </si>
  <si>
    <t>STPR03</t>
  </si>
  <si>
    <t>JK Lakshmi Cement Limited</t>
  </si>
  <si>
    <t>INE786A01032</t>
  </si>
  <si>
    <t>ROLR01</t>
  </si>
  <si>
    <t>Rolex Rings Limited</t>
  </si>
  <si>
    <t>INE645S01016</t>
  </si>
  <si>
    <t>ORRE01</t>
  </si>
  <si>
    <t>RHI Magnesita India Limited</t>
  </si>
  <si>
    <t>INE743M01012</t>
  </si>
  <si>
    <t>GHPL01</t>
  </si>
  <si>
    <t>Global Health Limited</t>
  </si>
  <si>
    <t>INE474Q01031</t>
  </si>
  <si>
    <t>SMFP01</t>
  </si>
  <si>
    <t>Suryoday Small Finance Bank Limited</t>
  </si>
  <si>
    <t>INE428Q01011</t>
  </si>
  <si>
    <t>GFPL01</t>
  </si>
  <si>
    <t>Go Fashion (India) Limited</t>
  </si>
  <si>
    <t>INE0BJS01011</t>
  </si>
  <si>
    <t>MKIP01</t>
  </si>
  <si>
    <t>Mankind Pharma Limited</t>
  </si>
  <si>
    <t>INE634S01028</t>
  </si>
  <si>
    <t>MAUD01</t>
  </si>
  <si>
    <t>Maruti Suzuki India Limited</t>
  </si>
  <si>
    <t>INE585B01010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</si>
  <si>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</si>
  <si>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</si>
  <si>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</si>
  <si>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</si>
  <si>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</si>
  <si>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</si>
  <si>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</si>
  <si>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</si>
  <si>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</si>
  <si>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</si>
  <si>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</si>
  <si>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</si>
  <si>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</si>
  <si>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</si>
  <si>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</si>
  <si>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</si>
  <si>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TBIL2171</t>
  </si>
  <si>
    <t>182 Days Tbill (MD 31/08/2023)</t>
  </si>
  <si>
    <t>IN002022Y492</t>
  </si>
  <si>
    <t>Sovereign</t>
  </si>
  <si>
    <t>TBIL2137</t>
  </si>
  <si>
    <t>182 Days Tbill (MD 08/06/2023)</t>
  </si>
  <si>
    <t>IN002022Y377</t>
  </si>
  <si>
    <t>TBIL2057</t>
  </si>
  <si>
    <t>364 Days Tbill (MD 01/06/2023)</t>
  </si>
  <si>
    <t>IN002022Z093</t>
  </si>
  <si>
    <t>TBIL2133</t>
  </si>
  <si>
    <t>182 Days Tbill (MD 01/06/2023)</t>
  </si>
  <si>
    <t>IN002022Y369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</si>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</sst>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EE99BCB-6847-4CD7-99B6-81B26E4756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287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3E14B5-8C92-4A1A-ADE6-D89B648ABE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287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F851-DAB1-4CB0-A838-0A64B80F45B5}">
  <sheetPr codeName="Sheet43">
    <outlinePr summaryBelow="0"/>
  </sheetPr>
  <dimension ref="A1:J93"/>
  <sheetViews>
    <sheetView tabSelected="1" workbookViewId="0">
      <selection activeCell="D11" sqref="D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11033614</v>
      </c>
      <c r="F7" s="19">
        <v>104725.54730000001</v>
      </c>
      <c r="G7" s="20">
        <v>9.4799999999999995E-2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1376777</v>
      </c>
      <c r="F8" s="19">
        <v>96234.647100000002</v>
      </c>
      <c r="G8" s="20">
        <v>8.72E-2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4512133</v>
      </c>
      <c r="F9" s="19">
        <v>72683.694399999993</v>
      </c>
      <c r="G9" s="20">
        <v>6.5799999999999997E-2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1641611</v>
      </c>
      <c r="F10" s="19">
        <v>56984.421799999996</v>
      </c>
      <c r="G10" s="20">
        <v>5.16E-2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3358000</v>
      </c>
      <c r="F11" s="19">
        <v>44268.514000000003</v>
      </c>
      <c r="G11" s="20">
        <v>4.0099999999999997E-2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1342325</v>
      </c>
      <c r="F12" s="19">
        <v>44155.780899999998</v>
      </c>
      <c r="G12" s="20">
        <v>0.04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1760000</v>
      </c>
      <c r="F13" s="19">
        <v>35452.559999999998</v>
      </c>
      <c r="G13" s="20">
        <v>3.2099999999999997E-2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2452965</v>
      </c>
      <c r="F14" s="19">
        <v>32354.608400000001</v>
      </c>
      <c r="G14" s="20">
        <v>2.93E-2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23121.217700000001</v>
      </c>
      <c r="G15" s="20">
        <v>2.0899999999999998E-2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283914</v>
      </c>
      <c r="F16" s="19">
        <v>22344.1738</v>
      </c>
      <c r="G16" s="20">
        <v>2.0199999999999999E-2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3582834</v>
      </c>
      <c r="F17" s="19">
        <v>20157.024099999999</v>
      </c>
      <c r="G17" s="20">
        <v>1.83E-2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29</v>
      </c>
      <c r="E18" s="18">
        <v>469348</v>
      </c>
      <c r="F18" s="19">
        <v>19120.533500000001</v>
      </c>
      <c r="G18" s="20">
        <v>1.7299999999999999E-2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3522517</v>
      </c>
      <c r="F19" s="19">
        <v>19076.1908</v>
      </c>
      <c r="G19" s="20">
        <v>1.7299999999999999E-2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47</v>
      </c>
      <c r="E20" s="18">
        <v>2063048</v>
      </c>
      <c r="F20" s="19">
        <v>18432.3024</v>
      </c>
      <c r="G20" s="20">
        <v>1.67E-2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630738</v>
      </c>
      <c r="F21" s="19">
        <v>17807.310600000001</v>
      </c>
      <c r="G21" s="20">
        <v>1.61E-2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1430324</v>
      </c>
      <c r="F22" s="19">
        <v>17664.501400000001</v>
      </c>
      <c r="G22" s="20">
        <v>1.6E-2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482256</v>
      </c>
      <c r="F23" s="19">
        <v>17442.235000000001</v>
      </c>
      <c r="G23" s="20">
        <v>1.5800000000000002E-2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78346</v>
      </c>
      <c r="F24" s="19">
        <v>16980.0069</v>
      </c>
      <c r="G24" s="20">
        <v>1.54E-2</v>
      </c>
      <c r="H24" s="21"/>
      <c r="I24" s="22"/>
      <c r="J24" s="3"/>
    </row>
    <row r="25" spans="1:10" ht="13.1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14551792</v>
      </c>
      <c r="F25" s="19">
        <v>16319.834699999999</v>
      </c>
      <c r="G25" s="20">
        <v>1.4800000000000001E-2</v>
      </c>
      <c r="H25" s="21"/>
      <c r="I25" s="22"/>
      <c r="J25" s="3"/>
    </row>
    <row r="26" spans="1:10" ht="13.15" customHeight="1">
      <c r="A26" s="16" t="s">
        <v>86</v>
      </c>
      <c r="B26" s="17" t="s">
        <v>87</v>
      </c>
      <c r="C26" s="13" t="s">
        <v>88</v>
      </c>
      <c r="D26" s="13" t="s">
        <v>22</v>
      </c>
      <c r="E26" s="18">
        <v>603490</v>
      </c>
      <c r="F26" s="19">
        <v>15934.55</v>
      </c>
      <c r="G26" s="20">
        <v>1.44E-2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1477276</v>
      </c>
      <c r="F27" s="19">
        <v>15524.693499999999</v>
      </c>
      <c r="G27" s="20">
        <v>1.41E-2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591722</v>
      </c>
      <c r="F28" s="19">
        <v>15431.2222</v>
      </c>
      <c r="G28" s="20">
        <v>1.4E-2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22</v>
      </c>
      <c r="E29" s="18">
        <v>985000</v>
      </c>
      <c r="F29" s="19">
        <v>14292.842500000001</v>
      </c>
      <c r="G29" s="20">
        <v>1.29E-2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95</v>
      </c>
      <c r="E30" s="18">
        <v>304168</v>
      </c>
      <c r="F30" s="19">
        <v>13678.2829</v>
      </c>
      <c r="G30" s="20">
        <v>1.24E-2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43</v>
      </c>
      <c r="E31" s="18">
        <v>2510164</v>
      </c>
      <c r="F31" s="19">
        <v>13210.9931</v>
      </c>
      <c r="G31" s="20">
        <v>1.2E-2</v>
      </c>
      <c r="H31" s="21"/>
      <c r="I31" s="22"/>
      <c r="J31" s="3"/>
    </row>
    <row r="32" spans="1:10" ht="13.15" customHeight="1">
      <c r="A32" s="16" t="s">
        <v>105</v>
      </c>
      <c r="B32" s="17" t="s">
        <v>106</v>
      </c>
      <c r="C32" s="13" t="s">
        <v>107</v>
      </c>
      <c r="D32" s="13" t="s">
        <v>29</v>
      </c>
      <c r="E32" s="18">
        <v>819574</v>
      </c>
      <c r="F32" s="19">
        <v>12789.0425</v>
      </c>
      <c r="G32" s="20">
        <v>1.1599999999999999E-2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664696</v>
      </c>
      <c r="F33" s="19">
        <v>12106.4406</v>
      </c>
      <c r="G33" s="20">
        <v>1.0999999999999999E-2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69</v>
      </c>
      <c r="E34" s="18">
        <v>377088</v>
      </c>
      <c r="F34" s="19">
        <v>12040.231299999999</v>
      </c>
      <c r="G34" s="20">
        <v>1.09E-2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1362964</v>
      </c>
      <c r="F35" s="19">
        <v>11583.831</v>
      </c>
      <c r="G35" s="20">
        <v>1.0500000000000001E-2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2960000</v>
      </c>
      <c r="F36" s="19">
        <v>11535.12</v>
      </c>
      <c r="G36" s="20">
        <v>1.04E-2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1165812</v>
      </c>
      <c r="F37" s="19">
        <v>11370.747300000001</v>
      </c>
      <c r="G37" s="20">
        <v>1.03E-2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473256</v>
      </c>
      <c r="F38" s="19">
        <v>11227.998600000001</v>
      </c>
      <c r="G38" s="20">
        <v>1.0200000000000001E-2</v>
      </c>
      <c r="H38" s="21"/>
      <c r="I38" s="22"/>
      <c r="J38" s="3"/>
    </row>
    <row r="39" spans="1:10" ht="13.1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450000</v>
      </c>
      <c r="F39" s="19">
        <v>11114.55</v>
      </c>
      <c r="G39" s="20">
        <v>1.01E-2</v>
      </c>
      <c r="H39" s="21"/>
      <c r="I39" s="22"/>
      <c r="J39" s="3"/>
    </row>
    <row r="40" spans="1:10" ht="13.1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470000</v>
      </c>
      <c r="F40" s="19">
        <v>10366.555</v>
      </c>
      <c r="G40" s="20">
        <v>9.4000000000000004E-3</v>
      </c>
      <c r="H40" s="21"/>
      <c r="I40" s="22"/>
      <c r="J40" s="3"/>
    </row>
    <row r="41" spans="1:10" ht="13.15" customHeight="1">
      <c r="A41" s="16" t="s">
        <v>139</v>
      </c>
      <c r="B41" s="17" t="s">
        <v>140</v>
      </c>
      <c r="C41" s="13" t="s">
        <v>141</v>
      </c>
      <c r="D41" s="13" t="s">
        <v>47</v>
      </c>
      <c r="E41" s="18">
        <v>1037370</v>
      </c>
      <c r="F41" s="19">
        <v>10262.7014</v>
      </c>
      <c r="G41" s="20">
        <v>9.2999999999999992E-3</v>
      </c>
      <c r="H41" s="21"/>
      <c r="I41" s="22"/>
      <c r="J41" s="3"/>
    </row>
    <row r="42" spans="1:10" ht="13.15" customHeight="1">
      <c r="A42" s="16" t="s">
        <v>142</v>
      </c>
      <c r="B42" s="17" t="s">
        <v>143</v>
      </c>
      <c r="C42" s="13" t="s">
        <v>144</v>
      </c>
      <c r="D42" s="13" t="s">
        <v>18</v>
      </c>
      <c r="E42" s="18">
        <v>1629000</v>
      </c>
      <c r="F42" s="19">
        <v>9445.7564999999995</v>
      </c>
      <c r="G42" s="20">
        <v>8.6E-3</v>
      </c>
      <c r="H42" s="21"/>
      <c r="I42" s="22"/>
      <c r="J42" s="3"/>
    </row>
    <row r="43" spans="1:10" ht="13.15" customHeight="1">
      <c r="A43" s="16" t="s">
        <v>145</v>
      </c>
      <c r="B43" s="17" t="s">
        <v>146</v>
      </c>
      <c r="C43" s="13" t="s">
        <v>147</v>
      </c>
      <c r="D43" s="13" t="s">
        <v>95</v>
      </c>
      <c r="E43" s="18">
        <v>380138</v>
      </c>
      <c r="F43" s="19">
        <v>9368.6911</v>
      </c>
      <c r="G43" s="20">
        <v>8.5000000000000006E-3</v>
      </c>
      <c r="H43" s="21"/>
      <c r="I43" s="22"/>
      <c r="J43" s="3"/>
    </row>
    <row r="44" spans="1:10" ht="13.1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336391</v>
      </c>
      <c r="F44" s="19">
        <v>8973.3981000000003</v>
      </c>
      <c r="G44" s="20">
        <v>8.0999999999999996E-3</v>
      </c>
      <c r="H44" s="21"/>
      <c r="I44" s="22"/>
      <c r="J44" s="3"/>
    </row>
    <row r="45" spans="1:10" ht="13.15" customHeight="1">
      <c r="A45" s="16" t="s">
        <v>152</v>
      </c>
      <c r="B45" s="17" t="s">
        <v>153</v>
      </c>
      <c r="C45" s="13" t="s">
        <v>154</v>
      </c>
      <c r="D45" s="13" t="s">
        <v>62</v>
      </c>
      <c r="E45" s="18">
        <v>74776</v>
      </c>
      <c r="F45" s="19">
        <v>7965.1021000000001</v>
      </c>
      <c r="G45" s="20">
        <v>7.1999999999999998E-3</v>
      </c>
      <c r="H45" s="21"/>
      <c r="I45" s="22"/>
      <c r="J45" s="3"/>
    </row>
    <row r="46" spans="1:10" ht="13.15" customHeight="1">
      <c r="A46" s="16" t="s">
        <v>155</v>
      </c>
      <c r="B46" s="17" t="s">
        <v>156</v>
      </c>
      <c r="C46" s="13" t="s">
        <v>157</v>
      </c>
      <c r="D46" s="13" t="s">
        <v>95</v>
      </c>
      <c r="E46" s="18">
        <v>558411</v>
      </c>
      <c r="F46" s="19">
        <v>7922.4561000000003</v>
      </c>
      <c r="G46" s="20">
        <v>7.1999999999999998E-3</v>
      </c>
      <c r="H46" s="21"/>
      <c r="I46" s="22"/>
      <c r="J46" s="3"/>
    </row>
    <row r="47" spans="1:10" ht="13.15" customHeight="1">
      <c r="A47" s="16" t="s">
        <v>158</v>
      </c>
      <c r="B47" s="17" t="s">
        <v>159</v>
      </c>
      <c r="C47" s="13" t="s">
        <v>160</v>
      </c>
      <c r="D47" s="13" t="s">
        <v>62</v>
      </c>
      <c r="E47" s="18">
        <v>806147</v>
      </c>
      <c r="F47" s="19">
        <v>6341.5554000000002</v>
      </c>
      <c r="G47" s="20">
        <v>5.7000000000000002E-3</v>
      </c>
      <c r="H47" s="21"/>
      <c r="I47" s="22"/>
      <c r="J47" s="3"/>
    </row>
    <row r="48" spans="1:10" ht="13.15" customHeight="1">
      <c r="A48" s="16" t="s">
        <v>161</v>
      </c>
      <c r="B48" s="17" t="s">
        <v>162</v>
      </c>
      <c r="C48" s="13" t="s">
        <v>163</v>
      </c>
      <c r="D48" s="13" t="s">
        <v>62</v>
      </c>
      <c r="E48" s="18">
        <v>1354877</v>
      </c>
      <c r="F48" s="19">
        <v>6155.8836000000001</v>
      </c>
      <c r="G48" s="20">
        <v>5.5999999999999999E-3</v>
      </c>
      <c r="H48" s="21"/>
      <c r="I48" s="22"/>
      <c r="J48" s="3"/>
    </row>
    <row r="49" spans="1:10" ht="13.1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1787122</v>
      </c>
      <c r="F49" s="19">
        <v>6005.6234999999997</v>
      </c>
      <c r="G49" s="20">
        <v>5.4000000000000003E-3</v>
      </c>
      <c r="H49" s="21"/>
      <c r="I49" s="22"/>
      <c r="J49" s="3"/>
    </row>
    <row r="50" spans="1:10" ht="13.15" customHeight="1">
      <c r="A50" s="16" t="s">
        <v>168</v>
      </c>
      <c r="B50" s="17" t="s">
        <v>169</v>
      </c>
      <c r="C50" s="13" t="s">
        <v>170</v>
      </c>
      <c r="D50" s="13" t="s">
        <v>111</v>
      </c>
      <c r="E50" s="18">
        <v>482414</v>
      </c>
      <c r="F50" s="19">
        <v>5548.0021999999999</v>
      </c>
      <c r="G50" s="20">
        <v>5.0000000000000001E-3</v>
      </c>
      <c r="H50" s="21"/>
      <c r="I50" s="22"/>
      <c r="J50" s="3"/>
    </row>
    <row r="51" spans="1:10" ht="13.15" customHeight="1">
      <c r="A51" s="16" t="s">
        <v>171</v>
      </c>
      <c r="B51" s="17" t="s">
        <v>172</v>
      </c>
      <c r="C51" s="13" t="s">
        <v>173</v>
      </c>
      <c r="D51" s="13" t="s">
        <v>47</v>
      </c>
      <c r="E51" s="18">
        <v>1935559</v>
      </c>
      <c r="F51" s="19">
        <v>5316.9805999999999</v>
      </c>
      <c r="G51" s="20">
        <v>4.7999999999999996E-3</v>
      </c>
      <c r="H51" s="21"/>
      <c r="I51" s="22"/>
      <c r="J51" s="3"/>
    </row>
    <row r="52" spans="1:10" ht="13.15" customHeight="1">
      <c r="A52" s="16" t="s">
        <v>174</v>
      </c>
      <c r="B52" s="17" t="s">
        <v>175</v>
      </c>
      <c r="C52" s="13" t="s">
        <v>176</v>
      </c>
      <c r="D52" s="13" t="s">
        <v>95</v>
      </c>
      <c r="E52" s="18">
        <v>290188</v>
      </c>
      <c r="F52" s="19">
        <v>4666.9485000000004</v>
      </c>
      <c r="G52" s="20">
        <v>4.1999999999999997E-3</v>
      </c>
      <c r="H52" s="21"/>
      <c r="I52" s="22"/>
      <c r="J52" s="3"/>
    </row>
    <row r="53" spans="1:10" ht="13.1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652496</v>
      </c>
      <c r="F53" s="19">
        <v>4140.0870999999997</v>
      </c>
      <c r="G53" s="20">
        <v>3.7000000000000002E-3</v>
      </c>
      <c r="H53" s="21"/>
      <c r="I53" s="22"/>
      <c r="J53" s="3"/>
    </row>
    <row r="54" spans="1:10" ht="13.15" customHeight="1">
      <c r="A54" s="16" t="s">
        <v>181</v>
      </c>
      <c r="B54" s="17" t="s">
        <v>182</v>
      </c>
      <c r="C54" s="13" t="s">
        <v>183</v>
      </c>
      <c r="D54" s="13" t="s">
        <v>33</v>
      </c>
      <c r="E54" s="18">
        <v>77375</v>
      </c>
      <c r="F54" s="19">
        <v>3867.5120000000002</v>
      </c>
      <c r="G54" s="20">
        <v>3.5000000000000001E-3</v>
      </c>
      <c r="H54" s="21"/>
      <c r="I54" s="22"/>
      <c r="J54" s="3"/>
    </row>
    <row r="55" spans="1:10" ht="13.15" customHeight="1">
      <c r="A55" s="16" t="s">
        <v>184</v>
      </c>
      <c r="B55" s="17" t="s">
        <v>185</v>
      </c>
      <c r="C55" s="13" t="s">
        <v>186</v>
      </c>
      <c r="D55" s="13" t="s">
        <v>62</v>
      </c>
      <c r="E55" s="18">
        <v>5532014</v>
      </c>
      <c r="F55" s="19">
        <v>3200.2701000000002</v>
      </c>
      <c r="G55" s="20">
        <v>2.8999999999999998E-3</v>
      </c>
      <c r="H55" s="21"/>
      <c r="I55" s="22"/>
      <c r="J55" s="3"/>
    </row>
    <row r="56" spans="1:10" ht="13.15" customHeight="1">
      <c r="A56" s="16" t="s">
        <v>187</v>
      </c>
      <c r="B56" s="17" t="s">
        <v>188</v>
      </c>
      <c r="C56" s="13" t="s">
        <v>189</v>
      </c>
      <c r="D56" s="13" t="s">
        <v>51</v>
      </c>
      <c r="E56" s="18">
        <v>481492</v>
      </c>
      <c r="F56" s="19">
        <v>3192.2919999999999</v>
      </c>
      <c r="G56" s="20">
        <v>2.8999999999999998E-3</v>
      </c>
      <c r="H56" s="21"/>
      <c r="I56" s="22"/>
      <c r="J56" s="3"/>
    </row>
    <row r="57" spans="1:10" ht="13.15" customHeight="1">
      <c r="A57" s="16" t="s">
        <v>190</v>
      </c>
      <c r="B57" s="17" t="s">
        <v>191</v>
      </c>
      <c r="C57" s="13" t="s">
        <v>192</v>
      </c>
      <c r="D57" s="13" t="s">
        <v>62</v>
      </c>
      <c r="E57" s="18">
        <v>144899</v>
      </c>
      <c r="F57" s="19">
        <v>2799.4486999999999</v>
      </c>
      <c r="G57" s="20">
        <v>2.5000000000000001E-3</v>
      </c>
      <c r="H57" s="21"/>
      <c r="I57" s="22"/>
      <c r="J57" s="3"/>
    </row>
    <row r="58" spans="1:10" ht="13.15" customHeight="1">
      <c r="A58" s="16" t="s">
        <v>193</v>
      </c>
      <c r="B58" s="17" t="s">
        <v>194</v>
      </c>
      <c r="C58" s="13" t="s">
        <v>195</v>
      </c>
      <c r="D58" s="13" t="s">
        <v>111</v>
      </c>
      <c r="E58" s="18">
        <v>391295</v>
      </c>
      <c r="F58" s="19">
        <v>2564.3517999999999</v>
      </c>
      <c r="G58" s="20">
        <v>2.3E-3</v>
      </c>
      <c r="H58" s="21"/>
      <c r="I58" s="22"/>
      <c r="J58" s="3"/>
    </row>
    <row r="59" spans="1:10" ht="13.15" customHeight="1">
      <c r="A59" s="16" t="s">
        <v>196</v>
      </c>
      <c r="B59" s="17" t="s">
        <v>197</v>
      </c>
      <c r="C59" s="13" t="s">
        <v>198</v>
      </c>
      <c r="D59" s="13" t="s">
        <v>47</v>
      </c>
      <c r="E59" s="18">
        <v>422760</v>
      </c>
      <c r="F59" s="19">
        <v>2504.2188999999998</v>
      </c>
      <c r="G59" s="20">
        <v>2.3E-3</v>
      </c>
      <c r="H59" s="21"/>
      <c r="I59" s="22"/>
      <c r="J59" s="3"/>
    </row>
    <row r="60" spans="1:10" ht="13.15" customHeight="1">
      <c r="A60" s="16" t="s">
        <v>199</v>
      </c>
      <c r="B60" s="17" t="s">
        <v>200</v>
      </c>
      <c r="C60" s="13" t="s">
        <v>201</v>
      </c>
      <c r="D60" s="13" t="s">
        <v>18</v>
      </c>
      <c r="E60" s="18">
        <v>1713795</v>
      </c>
      <c r="F60" s="19">
        <v>2489.2872000000002</v>
      </c>
      <c r="G60" s="20">
        <v>2.3E-3</v>
      </c>
      <c r="H60" s="21"/>
      <c r="I60" s="22"/>
      <c r="J60" s="3"/>
    </row>
    <row r="61" spans="1:10" ht="13.15" customHeight="1">
      <c r="A61" s="16" t="s">
        <v>202</v>
      </c>
      <c r="B61" s="17" t="s">
        <v>203</v>
      </c>
      <c r="C61" s="13" t="s">
        <v>204</v>
      </c>
      <c r="D61" s="13" t="s">
        <v>29</v>
      </c>
      <c r="E61" s="18">
        <v>212466</v>
      </c>
      <c r="F61" s="19">
        <v>2292.2957000000001</v>
      </c>
      <c r="G61" s="20">
        <v>2.0999999999999999E-3</v>
      </c>
      <c r="H61" s="21"/>
      <c r="I61" s="22"/>
      <c r="J61" s="3"/>
    </row>
    <row r="62" spans="1:10" ht="13.15" customHeight="1">
      <c r="A62" s="16" t="s">
        <v>205</v>
      </c>
      <c r="B62" s="17" t="s">
        <v>206</v>
      </c>
      <c r="C62" s="13" t="s">
        <v>207</v>
      </c>
      <c r="D62" s="13" t="s">
        <v>126</v>
      </c>
      <c r="E62" s="18">
        <v>167425</v>
      </c>
      <c r="F62" s="19">
        <v>2276.98</v>
      </c>
      <c r="G62" s="20">
        <v>2.0999999999999999E-3</v>
      </c>
      <c r="H62" s="21"/>
      <c r="I62" s="22"/>
      <c r="J62" s="3"/>
    </row>
    <row r="63" spans="1:10" ht="13.15" customHeight="1">
      <c r="A63" s="16" t="s">
        <v>208</v>
      </c>
      <c r="B63" s="17" t="s">
        <v>209</v>
      </c>
      <c r="C63" s="13" t="s">
        <v>210</v>
      </c>
      <c r="D63" s="13" t="s">
        <v>43</v>
      </c>
      <c r="E63" s="18">
        <v>19730</v>
      </c>
      <c r="F63" s="19">
        <v>1848.2472</v>
      </c>
      <c r="G63" s="20">
        <v>1.6999999999999999E-3</v>
      </c>
      <c r="H63" s="21"/>
      <c r="I63" s="22"/>
      <c r="J63" s="3"/>
    </row>
    <row r="64" spans="1:10" ht="13.15" customHeight="1">
      <c r="A64" s="16" t="s">
        <v>211</v>
      </c>
      <c r="B64" s="17" t="s">
        <v>212</v>
      </c>
      <c r="C64" s="13" t="s">
        <v>213</v>
      </c>
      <c r="D64" s="13" t="s">
        <v>62</v>
      </c>
      <c r="E64" s="18">
        <v>2185263</v>
      </c>
      <c r="F64" s="19">
        <v>1727.4503999999999</v>
      </c>
      <c r="G64" s="20">
        <v>1.6000000000000001E-3</v>
      </c>
      <c r="H64" s="21"/>
      <c r="I64" s="22"/>
      <c r="J64" s="3"/>
    </row>
    <row r="65" spans="1:10" ht="13.15" customHeight="1">
      <c r="A65" s="16" t="s">
        <v>214</v>
      </c>
      <c r="B65" s="17" t="s">
        <v>215</v>
      </c>
      <c r="C65" s="13" t="s">
        <v>216</v>
      </c>
      <c r="D65" s="13" t="s">
        <v>95</v>
      </c>
      <c r="E65" s="18">
        <v>126000</v>
      </c>
      <c r="F65" s="19">
        <v>1135.26</v>
      </c>
      <c r="G65" s="20">
        <v>1E-3</v>
      </c>
      <c r="H65" s="21"/>
      <c r="I65" s="22"/>
      <c r="J65" s="3"/>
    </row>
    <row r="66" spans="1:10" ht="13.15" customHeight="1">
      <c r="A66" s="16" t="s">
        <v>217</v>
      </c>
      <c r="B66" s="17" t="s">
        <v>218</v>
      </c>
      <c r="C66" s="13" t="s">
        <v>219</v>
      </c>
      <c r="D66" s="13" t="s">
        <v>220</v>
      </c>
      <c r="E66" s="18">
        <v>335736</v>
      </c>
      <c r="F66" s="19">
        <v>1080.9021</v>
      </c>
      <c r="G66" s="20">
        <v>1E-3</v>
      </c>
      <c r="H66" s="21"/>
      <c r="I66" s="22"/>
      <c r="J66" s="3"/>
    </row>
    <row r="67" spans="1:10" ht="13.15" customHeight="1">
      <c r="A67" s="3"/>
      <c r="B67" s="12" t="s">
        <v>221</v>
      </c>
      <c r="C67" s="13"/>
      <c r="D67" s="13"/>
      <c r="E67" s="13"/>
      <c r="F67" s="23">
        <v>1010623.9074</v>
      </c>
      <c r="G67" s="24">
        <v>0.9153</v>
      </c>
      <c r="H67" s="25"/>
      <c r="I67" s="26"/>
      <c r="J67" s="3"/>
    </row>
    <row r="68" spans="1:10" ht="13.15" customHeight="1">
      <c r="A68" s="3"/>
      <c r="B68" s="27" t="s">
        <v>222</v>
      </c>
      <c r="C68" s="28"/>
      <c r="D68" s="28"/>
      <c r="E68" s="28"/>
      <c r="F68" s="25" t="s">
        <v>223</v>
      </c>
      <c r="G68" s="25" t="s">
        <v>223</v>
      </c>
      <c r="H68" s="25"/>
      <c r="I68" s="26"/>
      <c r="J68" s="3"/>
    </row>
    <row r="69" spans="1:10" ht="13.15" customHeight="1">
      <c r="A69" s="3"/>
      <c r="B69" s="27" t="s">
        <v>221</v>
      </c>
      <c r="C69" s="28"/>
      <c r="D69" s="28"/>
      <c r="E69" s="28"/>
      <c r="F69" s="25" t="s">
        <v>223</v>
      </c>
      <c r="G69" s="25" t="s">
        <v>223</v>
      </c>
      <c r="H69" s="25"/>
      <c r="I69" s="26"/>
      <c r="J69" s="3"/>
    </row>
    <row r="70" spans="1:10" ht="13.15" customHeight="1">
      <c r="A70" s="3"/>
      <c r="B70" s="27" t="s">
        <v>224</v>
      </c>
      <c r="C70" s="29"/>
      <c r="D70" s="28"/>
      <c r="E70" s="29"/>
      <c r="F70" s="23">
        <v>1010623.9074</v>
      </c>
      <c r="G70" s="24">
        <v>0.9153</v>
      </c>
      <c r="H70" s="25"/>
      <c r="I70" s="26"/>
      <c r="J70" s="3"/>
    </row>
    <row r="71" spans="1:10" ht="13.15" customHeight="1">
      <c r="A71" s="3"/>
      <c r="B71" s="12" t="s">
        <v>225</v>
      </c>
      <c r="C71" s="13"/>
      <c r="D71" s="13"/>
      <c r="E71" s="13"/>
      <c r="F71" s="13"/>
      <c r="G71" s="13"/>
      <c r="H71" s="14"/>
      <c r="I71" s="15"/>
      <c r="J71" s="3"/>
    </row>
    <row r="72" spans="1:10" ht="13.15" customHeight="1">
      <c r="A72" s="3"/>
      <c r="B72" s="12" t="s">
        <v>226</v>
      </c>
      <c r="C72" s="13"/>
      <c r="D72" s="13"/>
      <c r="E72" s="13"/>
      <c r="F72" s="3"/>
      <c r="G72" s="14"/>
      <c r="H72" s="14"/>
      <c r="I72" s="15"/>
      <c r="J72" s="3"/>
    </row>
    <row r="73" spans="1:10" ht="13.15" customHeight="1">
      <c r="A73" s="16" t="s">
        <v>227</v>
      </c>
      <c r="B73" s="17" t="s">
        <v>228</v>
      </c>
      <c r="C73" s="13" t="s">
        <v>229</v>
      </c>
      <c r="D73" s="13" t="s">
        <v>230</v>
      </c>
      <c r="E73" s="18">
        <v>7000000</v>
      </c>
      <c r="F73" s="19">
        <v>6883.982</v>
      </c>
      <c r="G73" s="20">
        <v>6.1999999999999998E-3</v>
      </c>
      <c r="H73" s="30">
        <v>6.7599999999999993E-2</v>
      </c>
      <c r="I73" s="22"/>
      <c r="J73" s="3"/>
    </row>
    <row r="74" spans="1:10" ht="13.15" customHeight="1">
      <c r="A74" s="16" t="s">
        <v>231</v>
      </c>
      <c r="B74" s="17" t="s">
        <v>232</v>
      </c>
      <c r="C74" s="13" t="s">
        <v>233</v>
      </c>
      <c r="D74" s="13" t="s">
        <v>230</v>
      </c>
      <c r="E74" s="18">
        <v>6000000</v>
      </c>
      <c r="F74" s="19">
        <v>5992.6679999999997</v>
      </c>
      <c r="G74" s="20">
        <v>5.4000000000000003E-3</v>
      </c>
      <c r="H74" s="30">
        <v>6.3799999999999996E-2</v>
      </c>
      <c r="I74" s="22"/>
      <c r="J74" s="3"/>
    </row>
    <row r="75" spans="1:10" ht="13.15" customHeight="1">
      <c r="A75" s="16" t="s">
        <v>234</v>
      </c>
      <c r="B75" s="17" t="s">
        <v>235</v>
      </c>
      <c r="C75" s="13" t="s">
        <v>236</v>
      </c>
      <c r="D75" s="13" t="s">
        <v>230</v>
      </c>
      <c r="E75" s="18">
        <v>500000</v>
      </c>
      <c r="F75" s="19">
        <v>500</v>
      </c>
      <c r="G75" s="20">
        <v>5.0000000000000001E-4</v>
      </c>
      <c r="H75" s="30">
        <v>6.4154000000000003E-2</v>
      </c>
      <c r="I75" s="22"/>
      <c r="J75" s="3"/>
    </row>
    <row r="76" spans="1:10" ht="13.15" customHeight="1">
      <c r="A76" s="16" t="s">
        <v>237</v>
      </c>
      <c r="B76" s="17" t="s">
        <v>238</v>
      </c>
      <c r="C76" s="13" t="s">
        <v>239</v>
      </c>
      <c r="D76" s="13" t="s">
        <v>230</v>
      </c>
      <c r="E76" s="18">
        <v>500000</v>
      </c>
      <c r="F76" s="19">
        <v>500</v>
      </c>
      <c r="G76" s="20">
        <v>5.0000000000000001E-4</v>
      </c>
      <c r="H76" s="30">
        <v>6.4368999999999996E-2</v>
      </c>
      <c r="I76" s="22"/>
      <c r="J76" s="3"/>
    </row>
    <row r="77" spans="1:10" ht="13.15" customHeight="1">
      <c r="A77" s="3"/>
      <c r="B77" s="12" t="s">
        <v>221</v>
      </c>
      <c r="C77" s="13"/>
      <c r="D77" s="13"/>
      <c r="E77" s="13"/>
      <c r="F77" s="23">
        <f>SUM(F73:F76)</f>
        <v>13876.65</v>
      </c>
      <c r="G77" s="24">
        <f>ROUND(F77/F84,6)</f>
        <v>1.2567E-2</v>
      </c>
      <c r="H77" s="25"/>
      <c r="I77" s="26"/>
      <c r="J77" s="3"/>
    </row>
    <row r="78" spans="1:10" ht="13.15" customHeight="1">
      <c r="A78" s="3"/>
      <c r="B78" s="27" t="s">
        <v>224</v>
      </c>
      <c r="C78" s="29"/>
      <c r="D78" s="28"/>
      <c r="E78" s="29"/>
      <c r="F78" s="23">
        <f>F77</f>
        <v>13876.65</v>
      </c>
      <c r="G78" s="24">
        <f>G77</f>
        <v>1.2567E-2</v>
      </c>
      <c r="H78" s="25"/>
      <c r="I78" s="26"/>
      <c r="J78" s="3"/>
    </row>
    <row r="79" spans="1:10" ht="13.15" customHeight="1">
      <c r="A79" s="3"/>
      <c r="B79" s="12" t="s">
        <v>240</v>
      </c>
      <c r="C79" s="13"/>
      <c r="D79" s="13"/>
      <c r="E79" s="13"/>
      <c r="F79" s="13"/>
      <c r="G79" s="13"/>
      <c r="H79" s="14"/>
      <c r="I79" s="15"/>
      <c r="J79" s="3"/>
    </row>
    <row r="80" spans="1:10" ht="13.15" customHeight="1">
      <c r="A80" s="16" t="s">
        <v>241</v>
      </c>
      <c r="B80" s="17" t="s">
        <v>242</v>
      </c>
      <c r="C80" s="13"/>
      <c r="D80" s="13"/>
      <c r="E80" s="18"/>
      <c r="F80" s="19">
        <v>87511.92</v>
      </c>
      <c r="G80" s="20">
        <v>7.9299999999999995E-2</v>
      </c>
      <c r="H80" s="30">
        <v>6.2541236667728761E-2</v>
      </c>
      <c r="I80" s="22"/>
      <c r="J80" s="3"/>
    </row>
    <row r="81" spans="1:10" ht="13.15" customHeight="1">
      <c r="A81" s="3"/>
      <c r="B81" s="12" t="s">
        <v>221</v>
      </c>
      <c r="C81" s="13"/>
      <c r="D81" s="13"/>
      <c r="E81" s="13"/>
      <c r="F81" s="23">
        <v>87511.92</v>
      </c>
      <c r="G81" s="24">
        <v>7.9299999999999995E-2</v>
      </c>
      <c r="H81" s="25"/>
      <c r="I81" s="26"/>
      <c r="J81" s="3"/>
    </row>
    <row r="82" spans="1:10" ht="13.15" customHeight="1">
      <c r="A82" s="3"/>
      <c r="B82" s="27" t="s">
        <v>224</v>
      </c>
      <c r="C82" s="29"/>
      <c r="D82" s="28"/>
      <c r="E82" s="29"/>
      <c r="F82" s="23">
        <v>87511.92</v>
      </c>
      <c r="G82" s="24">
        <v>7.9299999999999995E-2</v>
      </c>
      <c r="H82" s="25"/>
      <c r="I82" s="26"/>
      <c r="J82" s="3"/>
    </row>
    <row r="83" spans="1:10" ht="13.15" customHeight="1">
      <c r="A83" s="3"/>
      <c r="B83" s="27" t="s">
        <v>243</v>
      </c>
      <c r="C83" s="13"/>
      <c r="D83" s="28"/>
      <c r="E83" s="13"/>
      <c r="F83" s="31">
        <v>-7832.8473999999997</v>
      </c>
      <c r="G83" s="24">
        <v>-7.1669999999999998E-3</v>
      </c>
      <c r="H83" s="25"/>
      <c r="I83" s="26"/>
      <c r="J83" s="3"/>
    </row>
    <row r="84" spans="1:10" ht="13.15" customHeight="1" thickBot="1">
      <c r="A84" s="3"/>
      <c r="B84" s="32" t="s">
        <v>244</v>
      </c>
      <c r="C84" s="33"/>
      <c r="D84" s="33"/>
      <c r="E84" s="33"/>
      <c r="F84" s="34">
        <v>1104179.6299999999</v>
      </c>
      <c r="G84" s="35">
        <v>1</v>
      </c>
      <c r="H84" s="36"/>
      <c r="I84" s="37"/>
      <c r="J84" s="3"/>
    </row>
    <row r="85" spans="1:10" ht="13.15" customHeight="1">
      <c r="A85" s="3"/>
      <c r="B85" s="5"/>
      <c r="C85" s="3"/>
      <c r="D85" s="3"/>
      <c r="E85" s="3"/>
      <c r="F85" s="3"/>
      <c r="G85" s="3"/>
      <c r="H85" s="3"/>
      <c r="I85" s="3"/>
      <c r="J85" s="3"/>
    </row>
    <row r="86" spans="1:10" ht="13.15" customHeight="1">
      <c r="A86" s="3"/>
      <c r="B86" s="2" t="s">
        <v>245</v>
      </c>
      <c r="C86" s="3"/>
      <c r="D86" s="3"/>
      <c r="E86" s="3"/>
      <c r="F86" s="3"/>
      <c r="G86" s="3"/>
      <c r="H86" s="3"/>
      <c r="I86" s="3"/>
      <c r="J86" s="3"/>
    </row>
    <row r="87" spans="1:10" ht="13.15" customHeight="1">
      <c r="A87" s="3"/>
      <c r="B87" s="2" t="s">
        <v>246</v>
      </c>
      <c r="C87" s="3"/>
      <c r="D87" s="3"/>
      <c r="E87" s="3"/>
      <c r="F87" s="3"/>
      <c r="G87" s="3"/>
      <c r="H87" s="3"/>
      <c r="I87" s="3"/>
      <c r="J87" s="3"/>
    </row>
    <row r="88" spans="1:10" ht="25.9" customHeight="1">
      <c r="A88" s="3"/>
      <c r="B88" s="38" t="s">
        <v>247</v>
      </c>
      <c r="C88" s="38"/>
      <c r="D88" s="38"/>
      <c r="E88" s="38"/>
      <c r="F88" s="38"/>
      <c r="G88" s="38"/>
      <c r="H88" s="38"/>
      <c r="I88" s="38"/>
      <c r="J88" s="3"/>
    </row>
    <row r="89" spans="1:10" ht="13.15" customHeight="1">
      <c r="A89" s="3"/>
      <c r="B89" s="38"/>
      <c r="C89" s="38"/>
      <c r="D89" s="38"/>
      <c r="E89" s="38"/>
      <c r="F89" s="38"/>
      <c r="G89" s="38"/>
      <c r="H89" s="38"/>
      <c r="I89" s="38"/>
      <c r="J89" s="3"/>
    </row>
    <row r="90" spans="1:10" ht="13.1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3.15" customHeight="1">
      <c r="A91" s="3"/>
      <c r="B91" s="3"/>
      <c r="C91" s="39" t="s">
        <v>248</v>
      </c>
      <c r="D91" s="39"/>
      <c r="E91" s="39"/>
      <c r="F91" s="39"/>
      <c r="G91" s="3"/>
      <c r="H91" s="3"/>
      <c r="I91" s="3"/>
      <c r="J91" s="3"/>
    </row>
    <row r="92" spans="1:10" ht="13.15" customHeight="1">
      <c r="A92" s="3"/>
      <c r="B92" s="40" t="s">
        <v>249</v>
      </c>
      <c r="C92" s="39" t="s">
        <v>250</v>
      </c>
      <c r="D92" s="39"/>
      <c r="E92" s="39"/>
      <c r="F92" s="39"/>
      <c r="G92" s="3"/>
      <c r="H92" s="3"/>
      <c r="I92" s="3"/>
      <c r="J92" s="3"/>
    </row>
    <row r="93" spans="1:10" ht="121.15" customHeight="1">
      <c r="A93" s="3"/>
      <c r="B93" s="3"/>
      <c r="C93" s="41"/>
      <c r="D93" s="41"/>
      <c r="E93" s="3"/>
      <c r="F93" s="3"/>
      <c r="G93" s="3"/>
      <c r="H93" s="3"/>
      <c r="I93" s="3"/>
      <c r="J93" s="3"/>
    </row>
  </sheetData>
  <mergeCells count="6">
    <mergeCell ref="B88:I88"/>
    <mergeCell ref="B89:I89"/>
    <mergeCell ref="B90:I90"/>
    <mergeCell ref="C91:F91"/>
    <mergeCell ref="C92:F92"/>
    <mergeCell ref="C93:D93"/>
  </mergeCells>
  <hyperlinks>
    <hyperlink ref="A1" location="AxisFlexiCapFund" display="AXISMLF" xr:uid="{17DD2940-AACD-487F-8274-D6F5CBF1E7A3}"/>
    <hyperlink ref="B1" location="AxisFlexiCapFund" display="Axis Flexi Cap Fund" xr:uid="{E9662FE9-B549-41D6-9121-21A9E1457BB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2023-06-05T20:12:14Z</dcterms:created>
  <dcterms:modified xsi:type="dcterms:W3CDTF">2023-06-05T20:12:15Z</dcterms:modified>
</cp:coreProperties>
</file>