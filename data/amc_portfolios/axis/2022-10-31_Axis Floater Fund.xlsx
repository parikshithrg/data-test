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50C2FD5E-0E83-4965-B4AF-7DC5E766A7E3}" xr6:coauthVersionLast="47" xr6:coauthVersionMax="47" xr10:uidLastSave="{00000000-0000-0000-0000-000000000000}"/>
  <bookViews>
    <workbookView xWindow="-120" yWindow="-120" windowWidth="23280" windowHeight="12285" xr2:uid="{88AB7197-0ED9-4AE1-9D3B-6E5F121C6F7D}"/>
  </bookViews>
  <sheets>
    <sheet name="AXISFLO" sheetId="1" r:id="rId1"/>
  </sheets>
  <externalReferences>
    <externalReference r:id="rId2"/>
  </externalReferences>
  <definedNames>
    <definedName name="JR_PAGE_ANCHOR_0_21">AXISFLO!$A$1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7" i="1" s="1"/>
</calcChain>
</file>

<file path=xl/sharedStrings.xml><?xml version="1.0" encoding="utf-8"?>
<sst xmlns="http://schemas.openxmlformats.org/spreadsheetml/2006/main" count="93" uniqueCount="68">
  <si>
    <t>AXISFLO</t>
  </si>
  <si>
    <t>Axis Floater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</si>
  <si>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</si>
  <si>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</si>
  <si>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</si>
  <si>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</si>
  <si>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</si>
  <si>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</si>
  <si>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</si>
  <si>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</si>
  <si>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</si>
  <si>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</si>
  <si>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</si>
  <si>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</si>
  <si>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SWAP</t>
  </si>
  <si>
    <t>IRS889912FX</t>
  </si>
  <si>
    <t>Interest Rate Swaps Pay Fix Receive Floating - HSBC Bank (04/01/2023) (FV 4000 lacs)</t>
  </si>
  <si>
    <t>$0.00%</t>
  </si>
  <si>
    <t>IRS889890FX</t>
  </si>
  <si>
    <t>Interest Rate Swaps Pay Fix Receive Floating - ICICI Bank (04/01/2023) (FV 4000 lacs)</t>
  </si>
  <si>
    <t>IRS862601FX</t>
  </si>
  <si>
    <t>Interest Rate Swaps Pay Fix Receive Floating - ICSECPD (25/11/2022) (FV 1500 lacs)</t>
  </si>
  <si>
    <t>IRS862603FX</t>
  </si>
  <si>
    <t>Interest Rate Swaps Pay Fix Receive Floating - AXIS Bank (25/11/2022) (FV 1500 lacs)</t>
  </si>
  <si>
    <t>IRS889892FX</t>
  </si>
  <si>
    <t>Interest Rate Swaps Pay Fix Receive Floating - IDFC Bank (04/01/2023) (FV 1500 lacs)</t>
  </si>
  <si>
    <t>IRS880075FX</t>
  </si>
  <si>
    <t>Interest Rate Swaps Receive Floating Pay Fix - ICSECPD (21/11/2022) (FV 2500 lacs)</t>
  </si>
  <si>
    <t>IRS845384FX</t>
  </si>
  <si>
    <t>Interest Rate Swaps Pay Fix Receive Floatin - ICICI Bank (01/11/2022) (FV 2500 lacs)</t>
  </si>
  <si>
    <t>IRS906284FX</t>
  </si>
  <si>
    <t>Interest Rate Swaps Pay Fix Receive Floatin - IDFC Bank (01/02/2023) (FV 3500 lacs)</t>
  </si>
  <si>
    <t>IRS906286FX</t>
  </si>
  <si>
    <t>Interest Rate Swaps Pay Fix Receive Floatin - AXIS Bank (01/02/2023) (FV 3500 lacs)</t>
  </si>
  <si>
    <t>Sub Total</t>
  </si>
  <si>
    <t>Total</t>
  </si>
  <si>
    <t>Debt Instruments</t>
  </si>
  <si>
    <t>(a) Listed / awaiting listing on Stock Exchange</t>
  </si>
  <si>
    <t>GOI3639</t>
  </si>
  <si>
    <t>5.74% Government of India (15/11/2026)</t>
  </si>
  <si>
    <t>IN0020210186</t>
  </si>
  <si>
    <t>Sovereign</t>
  </si>
  <si>
    <t>GOI3103</t>
  </si>
  <si>
    <t>5.63% Government of India (12/04/2026)</t>
  </si>
  <si>
    <t>IN0020210012</t>
  </si>
  <si>
    <t>GOI1430</t>
  </si>
  <si>
    <t>7.59% Government of India (11/01/2026)</t>
  </si>
  <si>
    <t>IN0020150093</t>
  </si>
  <si>
    <t>GOI2936</t>
  </si>
  <si>
    <t>4.7% Government of India (22/09/2033)</t>
  </si>
  <si>
    <t>IN0020200120</t>
  </si>
  <si>
    <t>GOI3607</t>
  </si>
  <si>
    <t>4.04% Government of India (04/10/2028)</t>
  </si>
  <si>
    <t>IN0020210160</t>
  </si>
  <si>
    <t>(b) Privately placed / Unlisted</t>
  </si>
  <si>
    <t>NIL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</si>
  <si>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</si>
  <si>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</si>
  <si>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</si>
  <si>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</si>
  <si>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</si>
  <si>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</si>
  <si>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</si>
  <si>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</si>
  <si>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</si>
  <si>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LOW DURATION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</si>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</sst>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46</xdr:row>
      <xdr:rowOff>0</xdr:rowOff>
    </xdr:from>
    <xdr:to>
      <xdr:col>3</xdr:col>
      <xdr:colOff>1746250</xdr:colOff>
      <xdr:row>53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BB2975-5BCD-4290-B3A0-63B1569FD5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7981950"/>
          <a:ext cx="2860675" cy="1412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3</xdr:col>
      <xdr:colOff>1746250</xdr:colOff>
      <xdr:row>54</xdr:row>
      <xdr:rowOff>15875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B96246-5D7F-4858-A930-1B02F71F86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7981950"/>
          <a:ext cx="2860675" cy="1463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2857500</xdr:colOff>
      <xdr:row>53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872100-099B-48BF-8C35-787D44FA00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981950"/>
          <a:ext cx="2857500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64D7-9A71-47DF-88DD-EF6DCEC5C03E}">
  <sheetPr codeName="Sheet21">
    <outlinePr summaryBelow="0"/>
  </sheetPr>
  <dimension ref="A1:J57"/>
  <sheetViews>
    <sheetView tabSelected="1" topLeftCell="A19" workbookViewId="0">
      <selection activeCell="C27" sqref="C2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1.89</v>
      </c>
      <c r="G7" s="20" t="s">
        <v>17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1.67</v>
      </c>
      <c r="G8" s="20" t="s">
        <v>17</v>
      </c>
      <c r="H8" s="21"/>
      <c r="I8" s="22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0.72</v>
      </c>
      <c r="G9" s="20" t="s">
        <v>17</v>
      </c>
      <c r="H9" s="21"/>
      <c r="I9" s="22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0.71</v>
      </c>
      <c r="G10" s="20" t="s">
        <v>17</v>
      </c>
      <c r="H10" s="21"/>
      <c r="I10" s="22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0.68</v>
      </c>
      <c r="G11" s="20" t="s">
        <v>17</v>
      </c>
      <c r="H11" s="21"/>
      <c r="I11" s="22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0.61</v>
      </c>
      <c r="G12" s="20">
        <v>9.9999999999995925E-5</v>
      </c>
      <c r="H12" s="21"/>
      <c r="I12" s="22"/>
      <c r="J12" s="3"/>
    </row>
    <row r="13" spans="1:10" ht="12.95" customHeight="1">
      <c r="A13" s="16" t="s">
        <v>28</v>
      </c>
      <c r="B13" s="17" t="s">
        <v>29</v>
      </c>
      <c r="C13" s="13"/>
      <c r="D13" s="13"/>
      <c r="E13" s="18"/>
      <c r="F13" s="19">
        <v>0</v>
      </c>
      <c r="G13" s="20" t="s">
        <v>17</v>
      </c>
      <c r="H13" s="21"/>
      <c r="I13" s="22"/>
      <c r="J13" s="3"/>
    </row>
    <row r="14" spans="1:10" ht="12.95" customHeight="1">
      <c r="A14" s="16" t="s">
        <v>30</v>
      </c>
      <c r="B14" s="17" t="s">
        <v>31</v>
      </c>
      <c r="C14" s="13"/>
      <c r="D14" s="13"/>
      <c r="E14" s="18"/>
      <c r="F14" s="19">
        <v>0</v>
      </c>
      <c r="G14" s="20" t="s">
        <v>17</v>
      </c>
      <c r="H14" s="21"/>
      <c r="I14" s="22"/>
      <c r="J14" s="3"/>
    </row>
    <row r="15" spans="1:10" ht="12.95" customHeight="1">
      <c r="A15" s="16" t="s">
        <v>32</v>
      </c>
      <c r="B15" s="17" t="s">
        <v>33</v>
      </c>
      <c r="C15" s="13"/>
      <c r="D15" s="13"/>
      <c r="E15" s="18"/>
      <c r="F15" s="19">
        <v>0</v>
      </c>
      <c r="G15" s="20" t="s">
        <v>17</v>
      </c>
      <c r="H15" s="21"/>
      <c r="I15" s="22"/>
      <c r="J15" s="3"/>
    </row>
    <row r="16" spans="1:10" ht="12.95" customHeight="1">
      <c r="A16" s="3"/>
      <c r="B16" s="12" t="s">
        <v>34</v>
      </c>
      <c r="C16" s="13"/>
      <c r="D16" s="13"/>
      <c r="E16" s="13"/>
      <c r="F16" s="23">
        <f>SUM(F7:F15)</f>
        <v>6.2799999999999994</v>
      </c>
      <c r="G16" s="24">
        <v>1E-4</v>
      </c>
      <c r="H16" s="25"/>
      <c r="I16" s="26"/>
      <c r="J16" s="3"/>
    </row>
    <row r="17" spans="1:10" ht="12.95" customHeight="1">
      <c r="A17" s="3"/>
      <c r="B17" s="27" t="s">
        <v>35</v>
      </c>
      <c r="C17" s="28"/>
      <c r="D17" s="29"/>
      <c r="E17" s="28"/>
      <c r="F17" s="23">
        <f>F16</f>
        <v>6.2799999999999994</v>
      </c>
      <c r="G17" s="24">
        <v>1E-4</v>
      </c>
      <c r="H17" s="25"/>
      <c r="I17" s="26"/>
      <c r="J17" s="3"/>
    </row>
    <row r="18" spans="1:10" ht="12.95" customHeight="1">
      <c r="A18" s="3"/>
      <c r="B18" s="12" t="s">
        <v>36</v>
      </c>
      <c r="C18" s="13"/>
      <c r="D18" s="13"/>
      <c r="E18" s="13"/>
      <c r="F18" s="13"/>
      <c r="G18" s="13"/>
      <c r="H18" s="14"/>
      <c r="I18" s="15"/>
      <c r="J18" s="3"/>
    </row>
    <row r="19" spans="1:10" ht="12.95" customHeight="1">
      <c r="A19" s="3"/>
      <c r="B19" s="12" t="s">
        <v>37</v>
      </c>
      <c r="C19" s="13"/>
      <c r="D19" s="13"/>
      <c r="E19" s="13"/>
      <c r="F19" s="3"/>
      <c r="G19" s="14"/>
      <c r="H19" s="14"/>
      <c r="I19" s="15"/>
      <c r="J19" s="3"/>
    </row>
    <row r="20" spans="1:10" ht="12.95" customHeight="1">
      <c r="A20" s="16" t="s">
        <v>38</v>
      </c>
      <c r="B20" s="17" t="s">
        <v>39</v>
      </c>
      <c r="C20" s="13" t="s">
        <v>40</v>
      </c>
      <c r="D20" s="13" t="s">
        <v>41</v>
      </c>
      <c r="E20" s="18">
        <v>18000000</v>
      </c>
      <c r="F20" s="19">
        <v>17025.439999999999</v>
      </c>
      <c r="G20" s="20">
        <v>0.30959999999999999</v>
      </c>
      <c r="H20" s="21">
        <v>7.3112999999999997E-2</v>
      </c>
      <c r="I20" s="22"/>
      <c r="J20" s="3"/>
    </row>
    <row r="21" spans="1:10" ht="12.95" customHeight="1">
      <c r="A21" s="16" t="s">
        <v>42</v>
      </c>
      <c r="B21" s="17" t="s">
        <v>43</v>
      </c>
      <c r="C21" s="13" t="s">
        <v>44</v>
      </c>
      <c r="D21" s="13" t="s">
        <v>41</v>
      </c>
      <c r="E21" s="18">
        <v>16000000</v>
      </c>
      <c r="F21" s="19">
        <v>15194.42</v>
      </c>
      <c r="G21" s="20">
        <v>0.27629999999999999</v>
      </c>
      <c r="H21" s="21">
        <v>7.3070999999999997E-2</v>
      </c>
      <c r="I21" s="22"/>
      <c r="J21" s="3"/>
    </row>
    <row r="22" spans="1:10" ht="12.95" customHeight="1">
      <c r="A22" s="16" t="s">
        <v>45</v>
      </c>
      <c r="B22" s="17" t="s">
        <v>46</v>
      </c>
      <c r="C22" s="13" t="s">
        <v>47</v>
      </c>
      <c r="D22" s="13" t="s">
        <v>41</v>
      </c>
      <c r="E22" s="18">
        <v>13500000</v>
      </c>
      <c r="F22" s="19">
        <v>13616.44</v>
      </c>
      <c r="G22" s="20">
        <v>0.24759999999999999</v>
      </c>
      <c r="H22" s="21">
        <v>7.2767999999999999E-2</v>
      </c>
      <c r="I22" s="22"/>
      <c r="J22" s="3"/>
    </row>
    <row r="23" spans="1:10" ht="12.95" customHeight="1">
      <c r="A23" s="16" t="s">
        <v>48</v>
      </c>
      <c r="B23" s="17" t="s">
        <v>49</v>
      </c>
      <c r="C23" s="13" t="s">
        <v>50</v>
      </c>
      <c r="D23" s="13" t="s">
        <v>41</v>
      </c>
      <c r="E23" s="18">
        <v>4500000</v>
      </c>
      <c r="F23" s="19">
        <v>4494.79</v>
      </c>
      <c r="G23" s="20">
        <v>8.1699999999999995E-2</v>
      </c>
      <c r="H23" s="21"/>
      <c r="I23" s="22"/>
      <c r="J23" s="3"/>
    </row>
    <row r="24" spans="1:10" ht="12.95" customHeight="1">
      <c r="A24" s="16" t="s">
        <v>51</v>
      </c>
      <c r="B24" s="17" t="s">
        <v>52</v>
      </c>
      <c r="C24" s="13" t="s">
        <v>53</v>
      </c>
      <c r="D24" s="13" t="s">
        <v>41</v>
      </c>
      <c r="E24" s="18">
        <v>2500000</v>
      </c>
      <c r="F24" s="19">
        <v>2459.29</v>
      </c>
      <c r="G24" s="20">
        <v>4.4699999999999997E-2</v>
      </c>
      <c r="H24" s="21"/>
      <c r="I24" s="22"/>
      <c r="J24" s="3"/>
    </row>
    <row r="25" spans="1:10" ht="12.95" customHeight="1">
      <c r="A25" s="3"/>
      <c r="B25" s="12" t="s">
        <v>34</v>
      </c>
      <c r="C25" s="13"/>
      <c r="D25" s="13"/>
      <c r="E25" s="13"/>
      <c r="F25" s="23">
        <v>52790.38</v>
      </c>
      <c r="G25" s="24">
        <v>0.95989999999999998</v>
      </c>
      <c r="H25" s="25"/>
      <c r="I25" s="26"/>
      <c r="J25" s="3"/>
    </row>
    <row r="26" spans="1:10" ht="12.95" customHeight="1">
      <c r="A26" s="3"/>
      <c r="B26" s="27" t="s">
        <v>54</v>
      </c>
      <c r="C26" s="29"/>
      <c r="D26" s="29"/>
      <c r="E26" s="29"/>
      <c r="F26" s="25" t="s">
        <v>55</v>
      </c>
      <c r="G26" s="25" t="s">
        <v>55</v>
      </c>
      <c r="H26" s="25"/>
      <c r="I26" s="26"/>
      <c r="J26" s="3"/>
    </row>
    <row r="27" spans="1:10" ht="12.95" customHeight="1">
      <c r="A27" s="3"/>
      <c r="B27" s="27" t="s">
        <v>34</v>
      </c>
      <c r="C27" s="29"/>
      <c r="D27" s="29"/>
      <c r="E27" s="29"/>
      <c r="F27" s="25" t="s">
        <v>55</v>
      </c>
      <c r="G27" s="25" t="s">
        <v>55</v>
      </c>
      <c r="H27" s="25"/>
      <c r="I27" s="26"/>
      <c r="J27" s="3"/>
    </row>
    <row r="28" spans="1:10" ht="12.95" customHeight="1">
      <c r="A28" s="3"/>
      <c r="B28" s="27" t="s">
        <v>35</v>
      </c>
      <c r="C28" s="28"/>
      <c r="D28" s="29"/>
      <c r="E28" s="28"/>
      <c r="F28" s="23">
        <v>52790.38</v>
      </c>
      <c r="G28" s="24">
        <v>0.95989999999999998</v>
      </c>
      <c r="H28" s="25"/>
      <c r="I28" s="26"/>
      <c r="J28" s="3"/>
    </row>
    <row r="29" spans="1:10" ht="12.95" customHeight="1">
      <c r="A29" s="3"/>
      <c r="B29" s="12" t="s">
        <v>56</v>
      </c>
      <c r="C29" s="13"/>
      <c r="D29" s="13"/>
      <c r="E29" s="13"/>
      <c r="F29" s="13"/>
      <c r="G29" s="13"/>
      <c r="H29" s="14"/>
      <c r="I29" s="15"/>
      <c r="J29" s="3"/>
    </row>
    <row r="30" spans="1:10" ht="12.95" customHeight="1">
      <c r="A30" s="16" t="s">
        <v>57</v>
      </c>
      <c r="B30" s="17" t="s">
        <v>58</v>
      </c>
      <c r="C30" s="13"/>
      <c r="D30" s="13"/>
      <c r="E30" s="18"/>
      <c r="F30" s="19">
        <v>1165.93</v>
      </c>
      <c r="G30" s="20">
        <v>2.12E-2</v>
      </c>
      <c r="H30" s="21">
        <v>6.1384718185483057E-2</v>
      </c>
      <c r="I30" s="22"/>
      <c r="J30" s="3"/>
    </row>
    <row r="31" spans="1:10" ht="12.95" customHeight="1">
      <c r="A31" s="3"/>
      <c r="B31" s="12" t="s">
        <v>34</v>
      </c>
      <c r="C31" s="13"/>
      <c r="D31" s="13"/>
      <c r="E31" s="13"/>
      <c r="F31" s="23">
        <v>1165.93</v>
      </c>
      <c r="G31" s="24">
        <v>2.12E-2</v>
      </c>
      <c r="H31" s="25"/>
      <c r="I31" s="26"/>
      <c r="J31" s="3"/>
    </row>
    <row r="32" spans="1:10" ht="12.95" customHeight="1">
      <c r="A32" s="3"/>
      <c r="B32" s="27" t="s">
        <v>54</v>
      </c>
      <c r="C32" s="29"/>
      <c r="D32" s="29"/>
      <c r="E32" s="29"/>
      <c r="F32" s="25" t="s">
        <v>55</v>
      </c>
      <c r="G32" s="25" t="s">
        <v>55</v>
      </c>
      <c r="H32" s="25"/>
      <c r="I32" s="26"/>
      <c r="J32" s="3"/>
    </row>
    <row r="33" spans="1:10" ht="12.95" customHeight="1">
      <c r="A33" s="3"/>
      <c r="B33" s="27" t="s">
        <v>34</v>
      </c>
      <c r="C33" s="29"/>
      <c r="D33" s="29"/>
      <c r="E33" s="29"/>
      <c r="F33" s="25" t="s">
        <v>55</v>
      </c>
      <c r="G33" s="25" t="s">
        <v>55</v>
      </c>
      <c r="H33" s="25"/>
      <c r="I33" s="26"/>
      <c r="J33" s="3"/>
    </row>
    <row r="34" spans="1:10" ht="12.95" customHeight="1">
      <c r="A34" s="3"/>
      <c r="B34" s="27" t="s">
        <v>35</v>
      </c>
      <c r="C34" s="28"/>
      <c r="D34" s="29"/>
      <c r="E34" s="28"/>
      <c r="F34" s="23">
        <v>1165.93</v>
      </c>
      <c r="G34" s="24">
        <v>2.12E-2</v>
      </c>
      <c r="H34" s="25"/>
      <c r="I34" s="26"/>
      <c r="J34" s="3"/>
    </row>
    <row r="35" spans="1:10" ht="12.95" customHeight="1">
      <c r="A35" s="3"/>
      <c r="B35" s="27" t="s">
        <v>59</v>
      </c>
      <c r="C35" s="13"/>
      <c r="D35" s="29"/>
      <c r="E35" s="13"/>
      <c r="F35" s="30">
        <v>1037.5899999999999</v>
      </c>
      <c r="G35" s="24">
        <v>1.8800000000000001E-2</v>
      </c>
      <c r="H35" s="25"/>
      <c r="I35" s="26"/>
      <c r="J35" s="3"/>
    </row>
    <row r="36" spans="1:10" ht="12.95" customHeight="1" thickBot="1">
      <c r="A36" s="3"/>
      <c r="B36" s="31" t="s">
        <v>60</v>
      </c>
      <c r="C36" s="32"/>
      <c r="D36" s="32"/>
      <c r="E36" s="32"/>
      <c r="F36" s="33">
        <v>55000.18</v>
      </c>
      <c r="G36" s="34">
        <v>1</v>
      </c>
      <c r="H36" s="35"/>
      <c r="I36" s="36"/>
      <c r="J36" s="3"/>
    </row>
    <row r="37" spans="1:10" ht="12.9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2.95" customHeight="1">
      <c r="A38" s="3"/>
      <c r="B38" s="2" t="s">
        <v>61</v>
      </c>
      <c r="C38" s="3"/>
      <c r="D38" s="3"/>
      <c r="E38" s="3"/>
      <c r="F38" s="3"/>
      <c r="G38" s="3"/>
      <c r="H38" s="3"/>
      <c r="I38" s="3"/>
      <c r="J38" s="3"/>
    </row>
    <row r="39" spans="1:10" ht="12.95" customHeight="1">
      <c r="A39" s="3"/>
      <c r="B39" s="2" t="s">
        <v>62</v>
      </c>
      <c r="C39" s="3"/>
      <c r="D39" s="3"/>
      <c r="E39" s="3"/>
      <c r="F39" s="3"/>
      <c r="G39" s="3"/>
      <c r="H39" s="3"/>
      <c r="I39" s="3"/>
      <c r="J39" s="3"/>
    </row>
    <row r="40" spans="1:10" ht="12.95" customHeight="1">
      <c r="A40" s="3"/>
      <c r="B40" s="2" t="s">
        <v>63</v>
      </c>
      <c r="C40" s="3"/>
      <c r="D40" s="3"/>
      <c r="E40" s="3"/>
      <c r="F40" s="3"/>
      <c r="G40" s="3"/>
      <c r="H40" s="3"/>
      <c r="I40" s="3"/>
      <c r="J40" s="3"/>
    </row>
    <row r="41" spans="1:10" ht="28.9" customHeight="1">
      <c r="A41" s="3"/>
      <c r="B41" s="37" t="s">
        <v>64</v>
      </c>
      <c r="C41" s="37"/>
      <c r="D41" s="37"/>
      <c r="E41" s="37"/>
      <c r="F41" s="37"/>
      <c r="G41" s="37"/>
      <c r="H41" s="37"/>
      <c r="I41" s="3"/>
      <c r="J41" s="3"/>
    </row>
    <row r="42" spans="1:10" ht="12.95" customHeight="1">
      <c r="A42" s="3"/>
      <c r="B42" s="2"/>
      <c r="C42" s="3"/>
      <c r="D42" s="3"/>
      <c r="E42" s="3"/>
      <c r="F42" s="3"/>
      <c r="G42" s="3"/>
      <c r="H42" s="3"/>
      <c r="I42" s="3"/>
      <c r="J42" s="3"/>
    </row>
    <row r="44" spans="1:10" s="38" customFormat="1">
      <c r="C44" s="39" t="s">
        <v>65</v>
      </c>
    </row>
    <row r="45" spans="1:10" s="38" customFormat="1">
      <c r="B45" s="39" t="s">
        <v>66</v>
      </c>
      <c r="C45" s="39" t="s">
        <v>67</v>
      </c>
    </row>
    <row r="46" spans="1:10" s="38" customFormat="1" ht="14.25"/>
    <row r="47" spans="1:10" s="38" customFormat="1" ht="14.25"/>
    <row r="48" spans="1:10" s="38" customFormat="1" ht="14.25"/>
    <row r="49" s="38" customFormat="1" ht="14.25"/>
    <row r="50" s="38" customFormat="1" ht="14.25"/>
    <row r="51" s="38" customFormat="1" ht="14.25"/>
    <row r="52" s="38" customFormat="1" ht="14.25"/>
    <row r="53" s="38" customFormat="1" ht="14.25"/>
    <row r="54" s="38" customFormat="1" ht="14.25"/>
    <row r="55" s="38" customFormat="1" ht="14.25"/>
    <row r="56" s="38" customFormat="1" ht="14.25"/>
    <row r="57" s="38" customFormat="1" ht="14.25"/>
  </sheetData>
  <mergeCells count="1">
    <mergeCell ref="B41:H41"/>
  </mergeCells>
  <hyperlinks>
    <hyperlink ref="A1" location="Index!A1" display="Index!A1" xr:uid="{FD245FA7-C04D-4E16-9CB7-6B1787021309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2022-11-07T07:38:32Z</dcterms:created>
  <dcterms:modified xsi:type="dcterms:W3CDTF">2022-11-07T07:38:33Z</dcterms:modified>
</cp:coreProperties>
</file>