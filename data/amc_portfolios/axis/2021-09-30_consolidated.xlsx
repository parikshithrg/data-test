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53222"/>
  <bookViews>
    <workbookView xWindow="-120" yWindow="-120" windowWidth="20400" windowHeight="11430"/>
  </bookViews>
  <sheets>
    <sheet name="Index" sheetId="59" r:id="rId1"/>
    <sheet name="AXIS100" sheetId="2" r:id="rId2"/>
    <sheet name="AXIS101" sheetId="3" r:id="rId3"/>
    <sheet name="AXIS102" sheetId="4" r:id="rId4"/>
    <sheet name="AXIS104" sheetId="5" r:id="rId5"/>
    <sheet name="AXISASD" sheetId="6" r:id="rId6"/>
    <sheet name="AXISBDF" sheetId="7" r:id="rId7"/>
    <sheet name="AXISBETF" sheetId="8" r:id="rId8"/>
    <sheet name="AXISCB1" sheetId="9" r:id="rId9"/>
    <sheet name="AXISCB4" sheetId="10" r:id="rId10"/>
    <sheet name="AXISCETF" sheetId="11" r:id="rId11"/>
    <sheet name="AXISCGF" sheetId="12" r:id="rId12"/>
    <sheet name="AXISCOF" sheetId="13" r:id="rId13"/>
    <sheet name="AXISDBF" sheetId="14" r:id="rId14"/>
    <sheet name="AXISDEF" sheetId="15" r:id="rId15"/>
    <sheet name="AXISEA1" sheetId="16" r:id="rId16"/>
    <sheet name="AXISEAF" sheetId="17" r:id="rId17"/>
    <sheet name="AXISEHF" sheetId="18" r:id="rId18"/>
    <sheet name="AXISEQF" sheetId="19" r:id="rId19"/>
    <sheet name="AXISESF" sheetId="20" r:id="rId20"/>
    <sheet name="AXISESG" sheetId="21" r:id="rId21"/>
    <sheet name="AXISF25" sheetId="22" r:id="rId22"/>
    <sheet name="AXISFLO" sheetId="23" r:id="rId23"/>
    <sheet name="AXISGCE" sheetId="24" r:id="rId24"/>
    <sheet name="AXISGEA" sheetId="25" r:id="rId25"/>
    <sheet name="AXISGETF" sheetId="26" r:id="rId26"/>
    <sheet name="AXISGIF" sheetId="27" r:id="rId27"/>
    <sheet name="AXISGLD" sheetId="28" r:id="rId28"/>
    <sheet name="AXISGOF" sheetId="29" r:id="rId29"/>
    <sheet name="AXISHETF" sheetId="30" r:id="rId30"/>
    <sheet name="AXISIFD" sheetId="31" r:id="rId31"/>
    <sheet name="AXISIOF" sheetId="32" r:id="rId32"/>
    <sheet name="AXISISF" sheetId="33" r:id="rId33"/>
    <sheet name="AXISLFA" sheetId="34" r:id="rId34"/>
    <sheet name="AXISM10" sheetId="35" r:id="rId35"/>
    <sheet name="AXISMCF" sheetId="36" r:id="rId36"/>
    <sheet name="AXISMLF" sheetId="37" r:id="rId37"/>
    <sheet name="AXISMMF" sheetId="38" r:id="rId38"/>
    <sheet name="AXISNETF" sheetId="39" r:id="rId39"/>
    <sheet name="AXISNIF" sheetId="40" r:id="rId40"/>
    <sheet name="AXISONF" sheetId="41" r:id="rId41"/>
    <sheet name="AXISQUA" sheetId="42" r:id="rId42"/>
    <sheet name="AXISRAP" sheetId="43" r:id="rId43"/>
    <sheet name="AXISRCP" sheetId="44" r:id="rId44"/>
    <sheet name="AXISRDP" sheetId="45" r:id="rId45"/>
    <sheet name="AXISS95" sheetId="46" r:id="rId46"/>
    <sheet name="AXISS96" sheetId="47" r:id="rId47"/>
    <sheet name="AXISS97" sheetId="48" r:id="rId48"/>
    <sheet name="AXISSCF" sheetId="49" r:id="rId49"/>
    <sheet name="AXISSETF" sheetId="50" r:id="rId50"/>
    <sheet name="AXISSSF" sheetId="51" r:id="rId51"/>
    <sheet name="AXISSTF" sheetId="52" r:id="rId52"/>
    <sheet name="AXISTAA" sheetId="53" r:id="rId53"/>
    <sheet name="AXISTAF" sheetId="54" r:id="rId54"/>
    <sheet name="AXISTETF" sheetId="55" r:id="rId55"/>
    <sheet name="AXISTSF" sheetId="56" r:id="rId56"/>
    <sheet name="AXISUSF" sheetId="57" r:id="rId57"/>
    <sheet name="AXISVAL" sheetId="58" r:id="rId58"/>
  </sheets>
  <definedNames>
    <definedName name="JR_PAGE_ANCHOR_0_1">#REF!</definedName>
    <definedName name="JR_PAGE_ANCHOR_0_10">AXISCB4!$A$2</definedName>
    <definedName name="JR_PAGE_ANCHOR_0_11">AXISCETF!$A$2</definedName>
    <definedName name="JR_PAGE_ANCHOR_0_12">AXISCGF!$A$2</definedName>
    <definedName name="JR_PAGE_ANCHOR_0_13">AXISCOF!$A$2</definedName>
    <definedName name="JR_PAGE_ANCHOR_0_14">AXISDBF!$A$2</definedName>
    <definedName name="JR_PAGE_ANCHOR_0_15">AXISDEF!$A$2</definedName>
    <definedName name="JR_PAGE_ANCHOR_0_16">AXISEA1!$A$2</definedName>
    <definedName name="JR_PAGE_ANCHOR_0_17">AXISEAF!$A$2</definedName>
    <definedName name="JR_PAGE_ANCHOR_0_18">AXISEHF!$A$2</definedName>
    <definedName name="JR_PAGE_ANCHOR_0_19">AXISEQF!$A$2</definedName>
    <definedName name="JR_PAGE_ANCHOR_0_2">AXIS100!$A$2</definedName>
    <definedName name="JR_PAGE_ANCHOR_0_20">AXISESF!$A$2</definedName>
    <definedName name="JR_PAGE_ANCHOR_0_21">AXISESG!$A$2</definedName>
    <definedName name="JR_PAGE_ANCHOR_0_22">AXISF25!$A$2</definedName>
    <definedName name="JR_PAGE_ANCHOR_0_23">AXISFLO!$A$2</definedName>
    <definedName name="JR_PAGE_ANCHOR_0_24">AXISGCE!$A$2</definedName>
    <definedName name="JR_PAGE_ANCHOR_0_25">AXISGEA!$A$2</definedName>
    <definedName name="JR_PAGE_ANCHOR_0_26">AXISGETF!$A$2</definedName>
    <definedName name="JR_PAGE_ANCHOR_0_27">AXISGIF!$A$2</definedName>
    <definedName name="JR_PAGE_ANCHOR_0_28">AXISGLD!$A$2</definedName>
    <definedName name="JR_PAGE_ANCHOR_0_29">AXISGOF!$A$2</definedName>
    <definedName name="JR_PAGE_ANCHOR_0_3">AXIS101!$A$2</definedName>
    <definedName name="JR_PAGE_ANCHOR_0_30">AXISHETF!$A$2</definedName>
    <definedName name="JR_PAGE_ANCHOR_0_31">AXISIFD!$A$2</definedName>
    <definedName name="JR_PAGE_ANCHOR_0_32">AXISIOF!$A$2</definedName>
    <definedName name="JR_PAGE_ANCHOR_0_33">AXISISF!$A$2</definedName>
    <definedName name="JR_PAGE_ANCHOR_0_34">AXISLFA!$A$2</definedName>
    <definedName name="JR_PAGE_ANCHOR_0_35">AXISM10!$A$2</definedName>
    <definedName name="JR_PAGE_ANCHOR_0_36">AXISMCF!$A$2</definedName>
    <definedName name="JR_PAGE_ANCHOR_0_37">AXISMLF!$A$2</definedName>
    <definedName name="JR_PAGE_ANCHOR_0_38">AXISMMF!$A$2</definedName>
    <definedName name="JR_PAGE_ANCHOR_0_39">AXISNETF!$A$2</definedName>
    <definedName name="JR_PAGE_ANCHOR_0_4">AXIS102!$A$2</definedName>
    <definedName name="JR_PAGE_ANCHOR_0_40">AXISNIF!$A$2</definedName>
    <definedName name="JR_PAGE_ANCHOR_0_41">AXISONF!$A$2</definedName>
    <definedName name="JR_PAGE_ANCHOR_0_42">AXISQUA!$A$2</definedName>
    <definedName name="JR_PAGE_ANCHOR_0_43">AXISRAP!$A$2</definedName>
    <definedName name="JR_PAGE_ANCHOR_0_44">AXISRCP!$A$2</definedName>
    <definedName name="JR_PAGE_ANCHOR_0_45">AXISRDP!$A$2</definedName>
    <definedName name="JR_PAGE_ANCHOR_0_46">AXISS95!$A$2</definedName>
    <definedName name="JR_PAGE_ANCHOR_0_47">AXISS96!$A$2</definedName>
    <definedName name="JR_PAGE_ANCHOR_0_48">AXISS97!$A$2</definedName>
    <definedName name="JR_PAGE_ANCHOR_0_49">AXISSCF!$A$2</definedName>
    <definedName name="JR_PAGE_ANCHOR_0_5">AXIS104!$A$2</definedName>
    <definedName name="JR_PAGE_ANCHOR_0_50">AXISSETF!$A$2</definedName>
    <definedName name="JR_PAGE_ANCHOR_0_51">AXISSSF!$A$2</definedName>
    <definedName name="JR_PAGE_ANCHOR_0_52">AXISSTF!$A$2</definedName>
    <definedName name="JR_PAGE_ANCHOR_0_53">AXISTAA!$A$2</definedName>
    <definedName name="JR_PAGE_ANCHOR_0_54">AXISTAF!$A$2</definedName>
    <definedName name="JR_PAGE_ANCHOR_0_55">AXISTETF!$A$2</definedName>
    <definedName name="JR_PAGE_ANCHOR_0_56">AXISTSF!$A$2</definedName>
    <definedName name="JR_PAGE_ANCHOR_0_57">AXISUSF!$A$2</definedName>
    <definedName name="JR_PAGE_ANCHOR_0_58">AXISVAL!$A$2</definedName>
    <definedName name="JR_PAGE_ANCHOR_0_6">AXISASD!$A$2</definedName>
    <definedName name="JR_PAGE_ANCHOR_0_7">AXISBDF!$A$2</definedName>
    <definedName name="JR_PAGE_ANCHOR_0_8">AXISBETF!$A$2</definedName>
    <definedName name="JR_PAGE_ANCHOR_0_9">AXISCB1!$A$2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3" l="1"/>
  <c r="A1" i="4"/>
  <c r="A1" i="5"/>
  <c r="A1" i="6"/>
  <c r="A1" i="7"/>
  <c r="A1" i="8"/>
  <c r="A1" i="9"/>
  <c r="A1" i="10"/>
  <c r="A1" i="11"/>
  <c r="A1" i="12"/>
  <c r="A1" i="13"/>
  <c r="A1" i="14"/>
  <c r="A1" i="15"/>
  <c r="A1" i="16"/>
  <c r="A1" i="17"/>
  <c r="A1" i="18"/>
  <c r="A1" i="19"/>
  <c r="A1" i="20"/>
  <c r="A1" i="21"/>
  <c r="A1" i="22"/>
  <c r="A1" i="23"/>
  <c r="A1" i="24"/>
  <c r="A1" i="25"/>
  <c r="A1" i="26"/>
  <c r="A1" i="27"/>
  <c r="A1" i="28"/>
  <c r="A1" i="29"/>
  <c r="A1" i="30"/>
  <c r="A1" i="31"/>
  <c r="A1" i="32"/>
  <c r="A1" i="33"/>
  <c r="A1" i="34"/>
  <c r="A1" i="35"/>
  <c r="A1" i="36"/>
  <c r="A1" i="37"/>
  <c r="A1" i="38"/>
  <c r="A1" i="39"/>
  <c r="A1" i="40"/>
  <c r="A1" i="41"/>
  <c r="A1" i="42"/>
  <c r="A1" i="43"/>
  <c r="A1" i="44"/>
  <c r="A1" i="45"/>
  <c r="A1" i="46"/>
  <c r="A1" i="47"/>
  <c r="A1" i="48"/>
  <c r="A1" i="49"/>
  <c r="A1" i="50"/>
  <c r="A1" i="51"/>
  <c r="A1" i="52"/>
  <c r="A1" i="53"/>
  <c r="A1" i="54"/>
  <c r="A1" i="55"/>
  <c r="A1" i="56"/>
  <c r="A1" i="57"/>
  <c r="A1" i="58"/>
  <c r="A1" i="2"/>
  <c r="A2" i="3" l="1"/>
  <c r="A2" i="4"/>
  <c r="A2" i="5"/>
  <c r="A2" i="6"/>
  <c r="A2" i="7"/>
  <c r="A2" i="8"/>
  <c r="A2" i="9"/>
  <c r="A2" i="10"/>
  <c r="A2" i="11"/>
  <c r="A2" i="12"/>
  <c r="A2" i="13"/>
  <c r="A2" i="14"/>
  <c r="A2" i="15"/>
  <c r="A2" i="16"/>
  <c r="A2" i="17"/>
  <c r="A2" i="18"/>
  <c r="A2" i="19"/>
  <c r="A2" i="20"/>
  <c r="A2" i="21"/>
  <c r="A2" i="22"/>
  <c r="A2" i="23"/>
  <c r="A2" i="24"/>
  <c r="A2" i="25"/>
  <c r="A2" i="26"/>
  <c r="A2" i="27"/>
  <c r="A2" i="28"/>
  <c r="A2" i="29"/>
  <c r="A2" i="30"/>
  <c r="A2" i="31"/>
  <c r="A2" i="32"/>
  <c r="A2" i="33"/>
  <c r="A2" i="34"/>
  <c r="A2" i="35"/>
  <c r="A2" i="36"/>
  <c r="A2" i="37"/>
  <c r="A2" i="38"/>
  <c r="A2" i="39"/>
  <c r="A2" i="40"/>
  <c r="A2" i="41"/>
  <c r="A2" i="42"/>
  <c r="A2" i="43"/>
  <c r="A2" i="44"/>
  <c r="A2" i="45"/>
  <c r="A2" i="46"/>
  <c r="A2" i="47"/>
  <c r="A2" i="48"/>
  <c r="A2" i="49"/>
  <c r="A2" i="50"/>
  <c r="A2" i="51"/>
  <c r="A2" i="52"/>
  <c r="A2" i="53"/>
  <c r="A2" i="54"/>
  <c r="A2" i="55"/>
  <c r="A2" i="56"/>
  <c r="A2" i="57"/>
  <c r="A2" i="58"/>
  <c r="A2" i="2"/>
  <c r="F8" i="31" l="1"/>
  <c r="F9" i="53" l="1"/>
  <c r="F8" i="53"/>
  <c r="F16" i="52"/>
  <c r="F19" i="52"/>
  <c r="F18" i="52"/>
  <c r="F17" i="52"/>
  <c r="F15" i="52"/>
  <c r="F14" i="52"/>
  <c r="F13" i="52"/>
  <c r="F12" i="52"/>
  <c r="F11" i="52"/>
  <c r="F10" i="52"/>
  <c r="F9" i="52"/>
  <c r="F8" i="52"/>
  <c r="F10" i="48"/>
  <c r="F10" i="47"/>
  <c r="F22" i="23"/>
  <c r="F21" i="23"/>
  <c r="F20" i="23"/>
  <c r="F19" i="23"/>
  <c r="F18" i="23"/>
  <c r="F17" i="23"/>
  <c r="F16" i="23"/>
  <c r="F15" i="23"/>
  <c r="F14" i="23"/>
  <c r="F13" i="23"/>
  <c r="F12" i="23"/>
  <c r="F11" i="23"/>
  <c r="F10" i="23"/>
  <c r="F9" i="23"/>
  <c r="F8" i="23"/>
  <c r="F11" i="13"/>
  <c r="F10" i="13"/>
  <c r="F9" i="13"/>
  <c r="F8" i="13"/>
  <c r="G33" i="50"/>
  <c r="G34" i="50" s="1"/>
  <c r="G37" i="50" s="1"/>
  <c r="G27" i="50"/>
  <c r="G25" i="50"/>
  <c r="G24" i="50"/>
  <c r="G22" i="50"/>
  <c r="G23" i="50"/>
  <c r="G21" i="50"/>
  <c r="G20" i="50"/>
  <c r="G19" i="50"/>
  <c r="G11" i="50"/>
  <c r="G17" i="50"/>
  <c r="G16" i="50"/>
  <c r="G15" i="50"/>
  <c r="G14" i="50"/>
  <c r="G10" i="50"/>
  <c r="G8" i="50"/>
  <c r="G12" i="50"/>
  <c r="G26" i="50"/>
  <c r="G18" i="50"/>
  <c r="G13" i="50"/>
  <c r="F28" i="50" l="1"/>
  <c r="F38" i="50" s="1"/>
  <c r="F34" i="50"/>
  <c r="F37" i="50" s="1"/>
  <c r="G9" i="50"/>
  <c r="G28" i="50" s="1"/>
  <c r="A3" i="59"/>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F31" i="50" l="1"/>
  <c r="G31" i="50"/>
  <c r="G38" i="50"/>
</calcChain>
</file>

<file path=xl/sharedStrings.xml><?xml version="1.0" encoding="utf-8"?>
<sst xmlns="http://schemas.openxmlformats.org/spreadsheetml/2006/main" count="14088" uniqueCount="4036">
  <si>
    <t>Sr No.</t>
  </si>
  <si>
    <t>Short Name</t>
  </si>
  <si>
    <t>Scheme Name</t>
  </si>
  <si>
    <t>AXIS100</t>
  </si>
  <si>
    <t>Axis Fixed Term Plan - Series 100 (1172 days)</t>
  </si>
  <si>
    <t>BSE</t>
  </si>
  <si>
    <t>AXIS101</t>
  </si>
  <si>
    <t>Axis Fixed Term Plan - Series 101 (1154 days)</t>
  </si>
  <si>
    <t>AXIS102</t>
  </si>
  <si>
    <t>Axis Fixed Term Plan - Series 102 (1133 Days)</t>
  </si>
  <si>
    <t>AXIS104</t>
  </si>
  <si>
    <t>Axis Fixed Term Plan - Series 104 (1112 Days)</t>
  </si>
  <si>
    <t>AXISASD</t>
  </si>
  <si>
    <t>Axis All Seasons Debt Fund of Funds</t>
  </si>
  <si>
    <t>AXISBDF</t>
  </si>
  <si>
    <t>Axis Banking &amp; PSU Debt Fund</t>
  </si>
  <si>
    <t>AXISBETF</t>
  </si>
  <si>
    <t>Axis Banking ETF</t>
  </si>
  <si>
    <t>NSE</t>
  </si>
  <si>
    <t>AXISCB1</t>
  </si>
  <si>
    <t>Axis Capital Builder Fund - Series 1 (1540 days)</t>
  </si>
  <si>
    <t>AXISCB4</t>
  </si>
  <si>
    <t>Axis Capital Builder Fund - Series 4 (1582 days)</t>
  </si>
  <si>
    <t>AXISCETF</t>
  </si>
  <si>
    <t>Axis Consumption ETF</t>
  </si>
  <si>
    <t>AXISCGF</t>
  </si>
  <si>
    <t>Axis Children's Gift Fund</t>
  </si>
  <si>
    <t>AXISCOF</t>
  </si>
  <si>
    <t>Axis Corporate Debt Fund</t>
  </si>
  <si>
    <t>AXISDBF</t>
  </si>
  <si>
    <t>Axis Dynamic Bond Fund</t>
  </si>
  <si>
    <t>AXISDEF</t>
  </si>
  <si>
    <t>AXISEA1</t>
  </si>
  <si>
    <t>Axis Equity Advantage Fund - Series 1</t>
  </si>
  <si>
    <t>AXISEAF</t>
  </si>
  <si>
    <t>Axis Arbitrage Fund</t>
  </si>
  <si>
    <t>AXISEHF</t>
  </si>
  <si>
    <t>Axis Equity Hybrid Fund</t>
  </si>
  <si>
    <t>AXISEQF</t>
  </si>
  <si>
    <t>Axis Bluechip Fund</t>
  </si>
  <si>
    <t>AXISESF</t>
  </si>
  <si>
    <t>Axis Equity Saver Fund</t>
  </si>
  <si>
    <t>AXISESG</t>
  </si>
  <si>
    <t>Axis ESG Equity Fund</t>
  </si>
  <si>
    <t>AXISF25</t>
  </si>
  <si>
    <t>Axis Focused 25 Fund</t>
  </si>
  <si>
    <t>AXISFLO</t>
  </si>
  <si>
    <t>Axis Floater Fund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</si>
  <si>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</si>
  <si>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</si>
  <si>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</si>
  <si>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</si>
  <si>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</si>
  <si>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</si>
  <si>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</si>
  <si>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</si>
  <si>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</si>
  <si>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</si>
  <si>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</si>
  <si>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Growth Opportunities Fund</t>
  </si>
  <si>
    <t>AXISHETF</t>
  </si>
  <si>
    <t>Axis Healthcare ETF</t>
  </si>
  <si>
    <t>AXISIFD</t>
  </si>
  <si>
    <t>Axis Strategic Bond Fund</t>
  </si>
  <si>
    <t>AXISIOF</t>
  </si>
  <si>
    <t>Axis Credit Risk Fund</t>
  </si>
  <si>
    <t>AXISISF</t>
  </si>
  <si>
    <t>Axis Regular Saver Fund</t>
  </si>
  <si>
    <t>AXISLFA</t>
  </si>
  <si>
    <t>Axis Liquid Fund</t>
  </si>
  <si>
    <t>AXISM10</t>
  </si>
  <si>
    <t>Axis Gilt Fund</t>
  </si>
  <si>
    <t>AXISMCF</t>
  </si>
  <si>
    <t>Axis Midcap Fund</t>
  </si>
  <si>
    <t>AXISMLF</t>
  </si>
  <si>
    <t>Axis Flexi Cap Fund</t>
  </si>
  <si>
    <t>AXISMMF</t>
  </si>
  <si>
    <t>Axis Money Market Fund</t>
  </si>
  <si>
    <t>AXISNETF</t>
  </si>
  <si>
    <t>Axis Nifty ETF</t>
  </si>
  <si>
    <t>AXISNIF</t>
  </si>
  <si>
    <t>Axis Nifty 100 Index Fund</t>
  </si>
  <si>
    <t>AXISONF</t>
  </si>
  <si>
    <t>Axis Overnight Fund</t>
  </si>
  <si>
    <t>AXISQUA</t>
  </si>
  <si>
    <t>Axis Quant Fund</t>
  </si>
  <si>
    <t>AXISRAP</t>
  </si>
  <si>
    <t>Axis Retirement Savings Fund - Aggressive Plan</t>
  </si>
  <si>
    <t>AXISRCP</t>
  </si>
  <si>
    <t>Axis Retirement Savings Fund - Conservative Plan</t>
  </si>
  <si>
    <t>AXISRDP</t>
  </si>
  <si>
    <t>Axis Retirement Savings Fund - Dynamic Plan</t>
  </si>
  <si>
    <t>AXISS95</t>
  </si>
  <si>
    <t>Axis Fixed Term Plan - Series 95 (1185 Days)</t>
  </si>
  <si>
    <t>AXISS96</t>
  </si>
  <si>
    <t>Axis Fixed Term Plan - Series 96 (1124 Days)</t>
  </si>
  <si>
    <t>AXISS97</t>
  </si>
  <si>
    <t>Axis Fixed Term Plan - Series 97 (1116 Days)</t>
  </si>
  <si>
    <t>AXISSCF</t>
  </si>
  <si>
    <t>Axis Small Cap Fund</t>
  </si>
  <si>
    <t>AXISSETF</t>
  </si>
  <si>
    <t>Axis AAA Bond Plus SDL ETF - 2026 Maturity</t>
  </si>
  <si>
    <t>AXISSSF</t>
  </si>
  <si>
    <t>Axis Special Situations Fund</t>
  </si>
  <si>
    <t>AXISSTF</t>
  </si>
  <si>
    <t>Axis Short Term Fund</t>
  </si>
  <si>
    <t>AXISTAA</t>
  </si>
  <si>
    <t>Axis Treasury Advantage Fund</t>
  </si>
  <si>
    <t>AXISTAF</t>
  </si>
  <si>
    <t>Axis Triple Advantage Fund</t>
  </si>
  <si>
    <t>AXISTETF</t>
  </si>
  <si>
    <t>Axis Technology ETF</t>
  </si>
  <si>
    <t>AXISTSF</t>
  </si>
  <si>
    <t>Axis Long Term Equity Fund</t>
  </si>
  <si>
    <t>AXISUSF</t>
  </si>
  <si>
    <t>Axis Ultra Short Term Fund</t>
  </si>
  <si>
    <t>AXISVAL</t>
  </si>
  <si>
    <t>Axis Value Fund</t>
  </si>
  <si>
    <t xml:space="preserve">
  </t>
  </si>
  <si>
    <t>Name of the Instrument</t>
  </si>
  <si>
    <t>ISIN</t>
  </si>
  <si>
    <t>Rating</t>
  </si>
  <si>
    <t>Quantity</t>
  </si>
  <si>
    <t>Market/Fair Value
 (Rs. in Lakhs)</t>
  </si>
  <si>
    <t>% to Net
 Assets</t>
  </si>
  <si>
    <t>YTM~</t>
  </si>
  <si>
    <t>YTC^</t>
  </si>
  <si>
    <t>Debt Instruments</t>
  </si>
  <si>
    <t>(a) Listed / awaiting listing on Stock Exchange</t>
  </si>
  <si>
    <t>HDBF241</t>
  </si>
  <si>
    <t>HDB Financial Services Limited (05/04/2022) (ZCB) **</t>
  </si>
  <si>
    <t>INE756I07CI8</t>
  </si>
  <si>
    <t>CRISIL AAA</t>
  </si>
  <si>
    <t>LICH498</t>
  </si>
  <si>
    <t>LIC Housing Finance Limited (25/02/2022) (ZCB) **</t>
  </si>
  <si>
    <t>INE115A07NM3</t>
  </si>
  <si>
    <t>BHFL30</t>
  </si>
  <si>
    <t>Bajaj Housing Finance Limited (05/04/2022) (ZCB) **</t>
  </si>
  <si>
    <t>INE377Y07052</t>
  </si>
  <si>
    <t>BDTC20</t>
  </si>
  <si>
    <t>7.85% Bhopal Dhule Transmission Company Limited (04/04/2022) **</t>
  </si>
  <si>
    <t>INE774N07087</t>
  </si>
  <si>
    <t>NBAR420</t>
  </si>
  <si>
    <t>8.60% National Bank For Agriculture and Rural Development (31/01/2022)</t>
  </si>
  <si>
    <t>INE261F08AI7</t>
  </si>
  <si>
    <t>SIDB387</t>
  </si>
  <si>
    <t>8.81% Small Industries Dev Bank of India (25/01/2022) **</t>
  </si>
  <si>
    <t>INE556F08JI1</t>
  </si>
  <si>
    <t>CARE AAA</t>
  </si>
  <si>
    <t>RECL316</t>
  </si>
  <si>
    <t>7.46% REC Limited (28/02/2022)</t>
  </si>
  <si>
    <t>INE020B08AF2</t>
  </si>
  <si>
    <t>RIND278</t>
  </si>
  <si>
    <t>8.3% Reliance Industries Limited (08/03/2022)</t>
  </si>
  <si>
    <t>INE002A08575</t>
  </si>
  <si>
    <t>NHAI51</t>
  </si>
  <si>
    <t>7.60% National Highways Auth Of Ind (18/03/2022)</t>
  </si>
  <si>
    <t>INE906B07FG1</t>
  </si>
  <si>
    <t>FCOI29</t>
  </si>
  <si>
    <t>9.95% Food Corporation Of India (07/03/2022) **</t>
  </si>
  <si>
    <t>INE861G08035</t>
  </si>
  <si>
    <t>CRISIL AAA(CE)</t>
  </si>
  <si>
    <t>PGCI405</t>
  </si>
  <si>
    <t>7.20% Power Grid Corporation of India Limited (21/12/2021) **</t>
  </si>
  <si>
    <t>INE752E07OD2</t>
  </si>
  <si>
    <t>HDFC1063</t>
  </si>
  <si>
    <t>8.58% Housing Development Finance Corporation Limited (18/03/2022) **</t>
  </si>
  <si>
    <t>INE001A07RS3</t>
  </si>
  <si>
    <t>NHPC116</t>
  </si>
  <si>
    <t>8.7% NHPC Limited (11/02/2022) **</t>
  </si>
  <si>
    <t>INE848E07245</t>
  </si>
  <si>
    <t>ICRA AAA</t>
  </si>
  <si>
    <t>Sub Total</t>
  </si>
  <si>
    <t>(b) Privately placed / Unlisted</t>
  </si>
  <si>
    <t>TASO119</t>
  </si>
  <si>
    <t>8.25% Tata Sons Private Ltd (23/03/2022) ** #</t>
  </si>
  <si>
    <t>INE895D08782</t>
  </si>
  <si>
    <t>Total</t>
  </si>
  <si>
    <t>Reverse Repo / TREPS</t>
  </si>
  <si>
    <t>TRP_011021</t>
  </si>
  <si>
    <t>Clearing Corporation of India Ltd</t>
  </si>
  <si>
    <t>Net Receivables / (Payables)</t>
  </si>
  <si>
    <t>GRAND TOTAL</t>
  </si>
  <si>
    <t>ZCB - Zero Coupon Bond</t>
  </si>
  <si>
    <t>**  Thinly Traded / Non Traded Security</t>
  </si>
  <si>
    <t>#  Unlisted Security</t>
  </si>
  <si>
    <t>~ YTM as on September 30, 2021</t>
  </si>
  <si>
    <t>BAFL676</t>
  </si>
  <si>
    <t>Bajaj Finance Limited (05/04/2022) (ZCB) **</t>
  </si>
  <si>
    <t>INE296A07QQ5</t>
  </si>
  <si>
    <t>RECL351</t>
  </si>
  <si>
    <t>8.45% REC Limited (22/03/2022)</t>
  </si>
  <si>
    <t>INE020B08BF0</t>
  </si>
  <si>
    <t>MMFS1109</t>
  </si>
  <si>
    <t>Mahindra &amp; Mahindra Financial Services Limited (29/03/2022) (ZCB) **</t>
  </si>
  <si>
    <t>INE774D07SQ1</t>
  </si>
  <si>
    <t>IND AAA</t>
  </si>
  <si>
    <t>GOI858</t>
  </si>
  <si>
    <t>8.75% State Government Securities (22/02/2022)</t>
  </si>
  <si>
    <t>IN2020110028</t>
  </si>
  <si>
    <t>Sovereign</t>
  </si>
  <si>
    <t>IRLY285</t>
  </si>
  <si>
    <t>6.70% Indian Railway Finance Corporation Limited (24/11/2021) **</t>
  </si>
  <si>
    <t>INE053F07942</t>
  </si>
  <si>
    <t>NIL</t>
  </si>
  <si>
    <t>NHAI49</t>
  </si>
  <si>
    <t>7.17% National Highways Auth Of Ind (23/12/2021) **</t>
  </si>
  <si>
    <t>INE906B07FE6</t>
  </si>
  <si>
    <t>KMIL347</t>
  </si>
  <si>
    <t>Kotak Mahindra Investments Limited (06/04/2022) (ZCB) **</t>
  </si>
  <si>
    <t>INE975F07GF7</t>
  </si>
  <si>
    <t>POWF431</t>
  </si>
  <si>
    <t>8.18% Power Finance Corporation Limited (19/03/2022)</t>
  </si>
  <si>
    <t>INE134E08JW1</t>
  </si>
  <si>
    <t>RECL363</t>
  </si>
  <si>
    <t>8.35% REC Limited (11/03/2022) **</t>
  </si>
  <si>
    <t>INE020B08BM6</t>
  </si>
  <si>
    <t>Industry / Rating</t>
  </si>
  <si>
    <t>null</t>
  </si>
  <si>
    <t>Others</t>
  </si>
  <si>
    <t>Mutual Fund Units</t>
  </si>
  <si>
    <t>148789</t>
  </si>
  <si>
    <t>INF194KB1BP3</t>
  </si>
  <si>
    <t>130314</t>
  </si>
  <si>
    <t>INF846K01PJ5</t>
  </si>
  <si>
    <t>128051</t>
  </si>
  <si>
    <t>INF179KA1FZ3</t>
  </si>
  <si>
    <t>120475</t>
  </si>
  <si>
    <t>INF846K01DT0</t>
  </si>
  <si>
    <t>120590</t>
  </si>
  <si>
    <t>INF109K018C5</t>
  </si>
  <si>
    <t>149049</t>
  </si>
  <si>
    <t>Axis Floater Fund - Direct Growth Plan</t>
  </si>
  <si>
    <t>INF846K014A6</t>
  </si>
  <si>
    <t>119081</t>
  </si>
  <si>
    <t>INF179K01WI9</t>
  </si>
  <si>
    <t>120711</t>
  </si>
  <si>
    <t>INF109K01V00</t>
  </si>
  <si>
    <t>120425</t>
  </si>
  <si>
    <t>INF109K01P57</t>
  </si>
  <si>
    <t>120670</t>
  </si>
  <si>
    <t>INF109K015A5</t>
  </si>
  <si>
    <t>119798</t>
  </si>
  <si>
    <t>INF200K01SV4</t>
  </si>
  <si>
    <t xml:space="preserve"> </t>
  </si>
  <si>
    <t>NBAR466</t>
  </si>
  <si>
    <t>8.5% National Bank For Agriculture and Rural Development (31/01/2023) **</t>
  </si>
  <si>
    <t>INE261F08AT4</t>
  </si>
  <si>
    <t>GOI1644</t>
  </si>
  <si>
    <t>6.84% Government of India (19/12/2022)</t>
  </si>
  <si>
    <t>IN0020160050</t>
  </si>
  <si>
    <t>NTPC157</t>
  </si>
  <si>
    <t>7.93% NTPC Limited (03/05/2022) **</t>
  </si>
  <si>
    <t>INE733E07KK5</t>
  </si>
  <si>
    <t>HPEC197</t>
  </si>
  <si>
    <t>6.8% Hindustan Petroleum Corporation Limited (15/12/2022) **</t>
  </si>
  <si>
    <t>INE094A08044</t>
  </si>
  <si>
    <t>GOI1030</t>
  </si>
  <si>
    <t>7.16% Government of India (20/05/2023)</t>
  </si>
  <si>
    <t>IN0020130012</t>
  </si>
  <si>
    <t>HDFC1084</t>
  </si>
  <si>
    <t>7.87% Housing Development Finance Corporation Limited (18/07/2022) **</t>
  </si>
  <si>
    <t>INE001A07RW5</t>
  </si>
  <si>
    <t>IOIC501</t>
  </si>
  <si>
    <t>5.05% Indian Oil Corporation Limited (25/11/2022) **</t>
  </si>
  <si>
    <t>INE242A08460</t>
  </si>
  <si>
    <t>RECL381</t>
  </si>
  <si>
    <t>6.9% REC Limited (30/06/2022) **</t>
  </si>
  <si>
    <t>INE020B08CE1</t>
  </si>
  <si>
    <t>SIDB434</t>
  </si>
  <si>
    <t>6.27% Small Industries Dev Bank of India (27/02/2023) **</t>
  </si>
  <si>
    <t>INE556F08JP6</t>
  </si>
  <si>
    <t>POWF447</t>
  </si>
  <si>
    <t>7.35% Power Finance Corporation Limited (15/10/2022) **</t>
  </si>
  <si>
    <t>INE134E08KG2</t>
  </si>
  <si>
    <t>NBAR546</t>
  </si>
  <si>
    <t>6.98% National Bank For Agriculture and Rural Development (19/09/2022) **</t>
  </si>
  <si>
    <t>INE261F08BO3</t>
  </si>
  <si>
    <t>POWF429</t>
  </si>
  <si>
    <t>8.45% Power Finance Corporation Limited (11/08/2022) **</t>
  </si>
  <si>
    <t>INE134E08JU5</t>
  </si>
  <si>
    <t>TCFS581</t>
  </si>
  <si>
    <t>5% Tata Capital Financial Services Limited (01/12/2022) **</t>
  </si>
  <si>
    <t>INE306N07MC4</t>
  </si>
  <si>
    <t>IBCL997</t>
  </si>
  <si>
    <t>7.6% ICICI Bank Limited (07/10/2023)</t>
  </si>
  <si>
    <t>INE090A08TU6</t>
  </si>
  <si>
    <t>IRLY337</t>
  </si>
  <si>
    <t>6.59% Indian Railway Finance Corporation Limited (14/04/2023) **</t>
  </si>
  <si>
    <t>INE053F07BZ2</t>
  </si>
  <si>
    <t>NHAI53</t>
  </si>
  <si>
    <t>7.27% National Highways Auth Of Ind (06/06/2022) **</t>
  </si>
  <si>
    <t>INE906B07FT4</t>
  </si>
  <si>
    <t>LICH546</t>
  </si>
  <si>
    <t>7.85% LIC Housing Finance Limited (23/09/2022) **</t>
  </si>
  <si>
    <t>INE115A07OG3</t>
  </si>
  <si>
    <t>POWF385</t>
  </si>
  <si>
    <t>7.28% Power Finance Corporation Limited (10/06/2022) **</t>
  </si>
  <si>
    <t>INE134E08JB5</t>
  </si>
  <si>
    <t>RECL380</t>
  </si>
  <si>
    <t>7.09% REC Limited (13/12/2022) **</t>
  </si>
  <si>
    <t>INE020B08CD3</t>
  </si>
  <si>
    <t>POWF468</t>
  </si>
  <si>
    <t>5.47% Power Finance Corporation Limited (19/08/2023) **</t>
  </si>
  <si>
    <t>INE134E08LB1</t>
  </si>
  <si>
    <t>POWF389</t>
  </si>
  <si>
    <t>7.10% Power Finance Corporation Limited (08/08/2022) **</t>
  </si>
  <si>
    <t>INE134E08JD1</t>
  </si>
  <si>
    <t>NHBA304</t>
  </si>
  <si>
    <t>5.8% National Housing Bank (15/05/2023) **</t>
  </si>
  <si>
    <t>INE557F08FJ5</t>
  </si>
  <si>
    <t>LICH541</t>
  </si>
  <si>
    <t>7.6% LIC Housing Finance Limited (22/11/2022) **</t>
  </si>
  <si>
    <t>INE115A07OH1</t>
  </si>
  <si>
    <t>RECL383</t>
  </si>
  <si>
    <t>7.24% REC Limited (31/12/2022) **</t>
  </si>
  <si>
    <t>INE020B08CG6</t>
  </si>
  <si>
    <t>IOIC464</t>
  </si>
  <si>
    <t>6.44% Indian Oil Corporation Limited (14/04/2023) **</t>
  </si>
  <si>
    <t>INE242A08445</t>
  </si>
  <si>
    <t>AIAH20</t>
  </si>
  <si>
    <t>6.99% Air India Assets Holding Limited (16/12/2022) **</t>
  </si>
  <si>
    <t>INE0AED08011</t>
  </si>
  <si>
    <t>SIDB421</t>
  </si>
  <si>
    <t>7.29% Small Industries Dev Bank of India (01/08/2022) **</t>
  </si>
  <si>
    <t>INE556F08JM3</t>
  </si>
  <si>
    <t>NBAR524</t>
  </si>
  <si>
    <t>7.85% National Bank For Agriculture and Rural Development (23/05/2022) **</t>
  </si>
  <si>
    <t>INE261F08BJ3</t>
  </si>
  <si>
    <t>TCFS568</t>
  </si>
  <si>
    <t>6.85% Tata Capital Financial Services Limited (23/09/2022) **</t>
  </si>
  <si>
    <t>INE306N07LX2</t>
  </si>
  <si>
    <t>NBAR609</t>
  </si>
  <si>
    <t>4.6% National Bank For Agriculture and Rural Development (29/07/2024)</t>
  </si>
  <si>
    <t>INE261F08CS2</t>
  </si>
  <si>
    <t>NHBA306</t>
  </si>
  <si>
    <t>5.32% National Housing Bank (01/09/2023) **</t>
  </si>
  <si>
    <t>INE557F08FK3</t>
  </si>
  <si>
    <t>HDFC1094</t>
  </si>
  <si>
    <t>7.28% Housing Development Finance Corporation Limited (26/09/2022) **</t>
  </si>
  <si>
    <t>INE001A07RZ8</t>
  </si>
  <si>
    <t>PGCI439</t>
  </si>
  <si>
    <t>6.35% Power Grid Corporation of India Limited (14/04/2023) **</t>
  </si>
  <si>
    <t>INE752E08627</t>
  </si>
  <si>
    <t>BKBA300</t>
  </si>
  <si>
    <t>8.6% Bank of Baroda (10/01/2029) **</t>
  </si>
  <si>
    <t>INE028A08141</t>
  </si>
  <si>
    <t>SIDB404</t>
  </si>
  <si>
    <t>7.95% Small Industries Dev Bank of India (26/04/2022) **</t>
  </si>
  <si>
    <t>INE556F08JK7</t>
  </si>
  <si>
    <t>SBAI198</t>
  </si>
  <si>
    <t>7.99% State Bank of India (28/06/2029) **</t>
  </si>
  <si>
    <t>INE062A08207</t>
  </si>
  <si>
    <t>SBAI195</t>
  </si>
  <si>
    <t>8.9% State Bank of India (02/11/2028) **</t>
  </si>
  <si>
    <t>INE062A08165</t>
  </si>
  <si>
    <t>IRLY350</t>
  </si>
  <si>
    <t>5.04% Indian Railway Finance Corporation Limited (05/05/2023)</t>
  </si>
  <si>
    <t>INE053F07CU1</t>
  </si>
  <si>
    <t>GOI2852</t>
  </si>
  <si>
    <t>3.96% Government of India (09/11/2022)</t>
  </si>
  <si>
    <t>IN0020200260</t>
  </si>
  <si>
    <t>EXIM318</t>
  </si>
  <si>
    <t>8.88% Export Import Bank of India (18/10/2022) **</t>
  </si>
  <si>
    <t>INE514E08BS9</t>
  </si>
  <si>
    <t>LICH547</t>
  </si>
  <si>
    <t>7.445% LIC Housing Finance Limited (13/01/2023) **</t>
  </si>
  <si>
    <t>INE115A07OJ7</t>
  </si>
  <si>
    <t>IRLY341</t>
  </si>
  <si>
    <t>6.19% Indian Railway Finance Corporation Limited (28/04/2023) **</t>
  </si>
  <si>
    <t>INE053F07CC9</t>
  </si>
  <si>
    <t>NBAR514</t>
  </si>
  <si>
    <t>7.90% National Bank For Agriculture and Rural Development (18/04/2022) **</t>
  </si>
  <si>
    <t>INE261F08BI5</t>
  </si>
  <si>
    <t>HDBF283</t>
  </si>
  <si>
    <t>7.57% HDB Financial Services Limited (16/02/2023) **</t>
  </si>
  <si>
    <t>INE756I07CY5</t>
  </si>
  <si>
    <t>NBAR568</t>
  </si>
  <si>
    <t>6.4% National Bank For Agriculture and Rural Development (31/07/2023) **</t>
  </si>
  <si>
    <t>INE261F08CA0</t>
  </si>
  <si>
    <t>NBAR549</t>
  </si>
  <si>
    <t>6.7% National Bank For Agriculture and Rural Development (11/11/2022) **</t>
  </si>
  <si>
    <t>INE261F08BQ8</t>
  </si>
  <si>
    <t>LICH529</t>
  </si>
  <si>
    <t>8.5% LIC Housing Finance Limited (20/06/2022) **</t>
  </si>
  <si>
    <t>INE115A07OD0</t>
  </si>
  <si>
    <t>EXIM325</t>
  </si>
  <si>
    <t>8.87% Export Import Bank of India (10/10/2022) **</t>
  </si>
  <si>
    <t>INE514E08BQ3</t>
  </si>
  <si>
    <t>LICH515</t>
  </si>
  <si>
    <t>LIC Housing Finance Limited (04/05/2022) (ZCB) **</t>
  </si>
  <si>
    <t>INE115A07NW2</t>
  </si>
  <si>
    <t>RECL330</t>
  </si>
  <si>
    <t>7.45% REC Limited (30/11/2022)</t>
  </si>
  <si>
    <t>INE020B08AP1</t>
  </si>
  <si>
    <t>RECL271</t>
  </si>
  <si>
    <t>8.44% REC Limited (04/12/2021) **</t>
  </si>
  <si>
    <t>INE020B08872</t>
  </si>
  <si>
    <t>PGCI329</t>
  </si>
  <si>
    <t>8.8% Power Grid Corporation of India Limited (13/03/2023) **</t>
  </si>
  <si>
    <t>INE752E07KN9</t>
  </si>
  <si>
    <t>NHPC101</t>
  </si>
  <si>
    <t>6.91% NHPC Limited (15/09/2022) **</t>
  </si>
  <si>
    <t>INE848E07AH8</t>
  </si>
  <si>
    <t>LTFL696</t>
  </si>
  <si>
    <t>INE027E07BH7</t>
  </si>
  <si>
    <t>HDBF273</t>
  </si>
  <si>
    <t>7.2834% HDB Financial Services Limited (24/08/2023) **</t>
  </si>
  <si>
    <t>INE756I07DD7</t>
  </si>
  <si>
    <t>GOI711</t>
  </si>
  <si>
    <t>8.13% Government of India (21/09/2022)</t>
  </si>
  <si>
    <t>IN0020070051</t>
  </si>
  <si>
    <t>HDBF271</t>
  </si>
  <si>
    <t>7.2871% HDB Financial Services Limited (27/07/2023) **</t>
  </si>
  <si>
    <t>INE756I07DE5</t>
  </si>
  <si>
    <t>HDBF266</t>
  </si>
  <si>
    <t>7.5549% HDB Financial Services Limited (20/01/2023) **</t>
  </si>
  <si>
    <t>INE756I07CZ2</t>
  </si>
  <si>
    <t>HDBF268</t>
  </si>
  <si>
    <t>7.09% HDB Financial Services Limited (17/04/2023) **</t>
  </si>
  <si>
    <t>INE756I07DA3</t>
  </si>
  <si>
    <t>HDBF275</t>
  </si>
  <si>
    <t>8% HDB Financial Services Limited (25/08/2022) **</t>
  </si>
  <si>
    <t>INE756I07CS7</t>
  </si>
  <si>
    <t>NHBA303</t>
  </si>
  <si>
    <t>6.55% National Housing Bank (17/04/2023) **</t>
  </si>
  <si>
    <t>INE557F08FI7</t>
  </si>
  <si>
    <t>RECL371</t>
  </si>
  <si>
    <t>8.15% REC Limited (10/06/2022) **</t>
  </si>
  <si>
    <t>INE020B08BT1</t>
  </si>
  <si>
    <t>BGFL977</t>
  </si>
  <si>
    <t>6.15% Aditya Birla Finance Limited (30/05/2023) **</t>
  </si>
  <si>
    <t>INE860H07HF5</t>
  </si>
  <si>
    <t>NBAR616</t>
  </si>
  <si>
    <t>5.09% National Bank For Agriculture and Rural Development (12/02/2024) **</t>
  </si>
  <si>
    <t>INE261F08CV6</t>
  </si>
  <si>
    <t>SBAI204</t>
  </si>
  <si>
    <t>5.83% State Bank of India (25/10/2030) **</t>
  </si>
  <si>
    <t>INE062A08264</t>
  </si>
  <si>
    <t>POWF442</t>
  </si>
  <si>
    <t>8.2% Power Finance Corporation Limited (27/05/2022) **</t>
  </si>
  <si>
    <t>INE134E08KB3</t>
  </si>
  <si>
    <t>LARS349</t>
  </si>
  <si>
    <t>8.02% Larsen &amp; Toubro Limited (22/05/2022) **</t>
  </si>
  <si>
    <t>INE018A08AS1</t>
  </si>
  <si>
    <t>RECL327</t>
  </si>
  <si>
    <t>7.09% REC Limited (17/10/2022) **</t>
  </si>
  <si>
    <t>INE020B08AM8</t>
  </si>
  <si>
    <t>PGCI282</t>
  </si>
  <si>
    <t>9.35% Power Grid Corporation of India Limited (29/08/2022) **</t>
  </si>
  <si>
    <t>INE752E07IS2</t>
  </si>
  <si>
    <t>POWF458</t>
  </si>
  <si>
    <t>6.75% Power Finance Corporation Limited (22/05/2023) **</t>
  </si>
  <si>
    <t>INE134E08KS7</t>
  </si>
  <si>
    <t>NTPC91</t>
  </si>
  <si>
    <t>8.84% NTPC Limited (04/10/2022) **</t>
  </si>
  <si>
    <t>INE733E07JB6</t>
  </si>
  <si>
    <t>IRLY284</t>
  </si>
  <si>
    <t>7.24% Indian Railway Finance Corporation Limited (08/11/2021) **</t>
  </si>
  <si>
    <t>INE053F07934</t>
  </si>
  <si>
    <t>GOI1585</t>
  </si>
  <si>
    <t>8.27% State Government Securities (23/06/2023)</t>
  </si>
  <si>
    <t>IN2920160099</t>
  </si>
  <si>
    <t>PGCI323</t>
  </si>
  <si>
    <t>8.85% Power Grid Corporation of India Limited (19/10/2022) **</t>
  </si>
  <si>
    <t>INE752E07KH1</t>
  </si>
  <si>
    <t>HDFC1110</t>
  </si>
  <si>
    <t>7.2% Housing Development Finance Corporation Limited (13/04/2023) **</t>
  </si>
  <si>
    <t>INE001A07SJ0</t>
  </si>
  <si>
    <t>RECL191</t>
  </si>
  <si>
    <t>9.35% REC Limited (15/06/2022) **</t>
  </si>
  <si>
    <t>INE020B08740</t>
  </si>
  <si>
    <t>GOI2788</t>
  </si>
  <si>
    <t>4.48% Government of India (02/11/2023)</t>
  </si>
  <si>
    <t>IN0020200211</t>
  </si>
  <si>
    <t>GOI1538</t>
  </si>
  <si>
    <t>8.21% State Government Securities (31/03/2023)</t>
  </si>
  <si>
    <t>IN2920150421</t>
  </si>
  <si>
    <t>EXIM308</t>
  </si>
  <si>
    <t>9.15% Export Import Bank of India (05/09/2022) **</t>
  </si>
  <si>
    <t>INE514E08BK6</t>
  </si>
  <si>
    <t>BPCL80</t>
  </si>
  <si>
    <t>7.69% Bharat Petroleum Corporation Limited (16/01/2023) **</t>
  </si>
  <si>
    <t>INE029A08040</t>
  </si>
  <si>
    <t>POWF396</t>
  </si>
  <si>
    <t>7.35% Power Finance Corporation Limited (22/11/2022) **</t>
  </si>
  <si>
    <t>INE134E08JF6</t>
  </si>
  <si>
    <t>POWF461</t>
  </si>
  <si>
    <t>6.72% Power Finance Corporation Limited (09/06/2023) **</t>
  </si>
  <si>
    <t>INE134E08KW9</t>
  </si>
  <si>
    <t>PGCI370</t>
  </si>
  <si>
    <t>8.40% Power Grid Corporation of India Limited (27/05/2022) **</t>
  </si>
  <si>
    <t>INE752E07MO3</t>
  </si>
  <si>
    <t>NBAR542</t>
  </si>
  <si>
    <t>7.18% National Bank For Agriculture and Rural Development (08/08/2022) **</t>
  </si>
  <si>
    <t>INE261F08BN5</t>
  </si>
  <si>
    <t>LICH509</t>
  </si>
  <si>
    <t>8.685% LIC Housing Finance Limited (19/04/2022) **</t>
  </si>
  <si>
    <t>INE115A07NS0</t>
  </si>
  <si>
    <t>NHPC39</t>
  </si>
  <si>
    <t>8.78% NHPC Limited (11/02/2023) **</t>
  </si>
  <si>
    <t>INE848E07435</t>
  </si>
  <si>
    <t>IBCL1121</t>
  </si>
  <si>
    <t>7.1% ICICI Bank Limited (17/02/2030) **</t>
  </si>
  <si>
    <t>INE090A08UD0</t>
  </si>
  <si>
    <t>LICH537</t>
  </si>
  <si>
    <t>7.99% LIC Housing Finance Limited (12/07/2029) **</t>
  </si>
  <si>
    <t>INE115A07OF5</t>
  </si>
  <si>
    <t>EXIM329</t>
  </si>
  <si>
    <t>8.83% Export Import Bank of India (09/01/2023) **</t>
  </si>
  <si>
    <t>INE514E08CC1</t>
  </si>
  <si>
    <t>EXIM300</t>
  </si>
  <si>
    <t>9.25% Export Import Bank of India (12/07/2022) **</t>
  </si>
  <si>
    <t>INE514E08BE9</t>
  </si>
  <si>
    <t>EXIM291</t>
  </si>
  <si>
    <t>9.30% Export Import Bank of India (11/05/2022) **</t>
  </si>
  <si>
    <t>INE514E08AX1</t>
  </si>
  <si>
    <t>RECL376</t>
  </si>
  <si>
    <t>7.55% REC Limited (26/09/2022) **</t>
  </si>
  <si>
    <t>INE020B08CB7</t>
  </si>
  <si>
    <t>NHPC63</t>
  </si>
  <si>
    <t>8.54% NHPC Limited (26/11/2022) **</t>
  </si>
  <si>
    <t>INE848E07716</t>
  </si>
  <si>
    <t>LARS378</t>
  </si>
  <si>
    <t>7.25% Larsen &amp; Toubro Limited (06/05/2024) **</t>
  </si>
  <si>
    <t>INE018A08BB5</t>
  </si>
  <si>
    <t>LARS377</t>
  </si>
  <si>
    <t>7.25% Larsen &amp; Toubro Limited (24/04/2023) **</t>
  </si>
  <si>
    <t>INE018A08AY9</t>
  </si>
  <si>
    <t>LICH417</t>
  </si>
  <si>
    <t>7.39% LIC Housing Finance Limited (30/08/2022) **</t>
  </si>
  <si>
    <t>INE115A07MJ1</t>
  </si>
  <si>
    <t>RECL324</t>
  </si>
  <si>
    <t>7.03% REC Limited (07/09/2022)</t>
  </si>
  <si>
    <t>INE020B08AK2</t>
  </si>
  <si>
    <t>SBAI203</t>
  </si>
  <si>
    <t>6.24% State Bank of India (20/09/2030) **</t>
  </si>
  <si>
    <t>INE062A08256</t>
  </si>
  <si>
    <t>RECL402</t>
  </si>
  <si>
    <t>6.92% REC Limited (21/04/2023) **</t>
  </si>
  <si>
    <t>INE020B08CT9</t>
  </si>
  <si>
    <t>PGCI353</t>
  </si>
  <si>
    <t>8.93% Power Grid Corporation of India Limited (20/10/2023) **</t>
  </si>
  <si>
    <t>INE752E07LX6</t>
  </si>
  <si>
    <t>BKBA299</t>
  </si>
  <si>
    <t>8.42% Bank of Baroda (07/12/2028) **</t>
  </si>
  <si>
    <t>INE028A08125</t>
  </si>
  <si>
    <t>IRLY256</t>
  </si>
  <si>
    <t>8.83% Indian Railway Finance Corporation Limited (25/03/2023)</t>
  </si>
  <si>
    <t>INE053F07603</t>
  </si>
  <si>
    <t>EXIM305</t>
  </si>
  <si>
    <t>9.14% Export Import Bank of India (01/08/2022) **</t>
  </si>
  <si>
    <t>INE514E08BJ8</t>
  </si>
  <si>
    <t>PGCI271</t>
  </si>
  <si>
    <t>9.64% Power Grid Corporation of India Limited (31/05/2022) **</t>
  </si>
  <si>
    <t>INE752E07IH5</t>
  </si>
  <si>
    <t>NHPC89</t>
  </si>
  <si>
    <t>8.50% NHPC Limited (14/07/2022) **</t>
  </si>
  <si>
    <t>INE848E07823</t>
  </si>
  <si>
    <t>NHAI56</t>
  </si>
  <si>
    <t>7.11% National Highways Auth Of Ind (05/11/2022) **</t>
  </si>
  <si>
    <t>INE906B07FX6</t>
  </si>
  <si>
    <t>NTPC189</t>
  </si>
  <si>
    <t>6.55% NTPC Limited (17/04/2023) **</t>
  </si>
  <si>
    <t>INE733E08148</t>
  </si>
  <si>
    <t>RUPL30</t>
  </si>
  <si>
    <t>7.65% Jamnagar Utilities &amp; Power Private Limited (29/08/2022) **</t>
  </si>
  <si>
    <t>INE936D07133</t>
  </si>
  <si>
    <t>RUPL31</t>
  </si>
  <si>
    <t>7.6% Jamnagar Utilities &amp; Power Private Limited (27/05/2022) **</t>
  </si>
  <si>
    <t>INE936D07125</t>
  </si>
  <si>
    <t>PGCI322</t>
  </si>
  <si>
    <t>8.85% Power Grid Corporation of India Limited (19/10/2021) **</t>
  </si>
  <si>
    <t>INE752E07KG3</t>
  </si>
  <si>
    <t>BAFL728</t>
  </si>
  <si>
    <t>7.1% Bajaj Finance Limited (10/02/2023) **</t>
  </si>
  <si>
    <t>INE296A07RB5</t>
  </si>
  <si>
    <t>GRAS167</t>
  </si>
  <si>
    <t>7.65% Grasim Industries Limited (15/04/2022) **</t>
  </si>
  <si>
    <t>INE047A08133</t>
  </si>
  <si>
    <t>GOI3006</t>
  </si>
  <si>
    <t>8.04% State Government Securities (20/03/2026)</t>
  </si>
  <si>
    <t>IN3520180131</t>
  </si>
  <si>
    <t>PGCI298</t>
  </si>
  <si>
    <t>9.25% Power Grid Corporation of India Limited (26/12/2022) **</t>
  </si>
  <si>
    <t>INE752E07JI1</t>
  </si>
  <si>
    <t>EXIM338</t>
  </si>
  <si>
    <t>8.93% Export Import Bank of India (12/12/2022) **</t>
  </si>
  <si>
    <t>INE514E08BY7</t>
  </si>
  <si>
    <t>PGCI390</t>
  </si>
  <si>
    <t>8.13% Power Grid Corporation of India Limited (25/04/2023) **</t>
  </si>
  <si>
    <t>INE752E07NP8</t>
  </si>
  <si>
    <t>PGCI352</t>
  </si>
  <si>
    <t>8.93% Power Grid Corporation of India Limited (20/10/2022) **</t>
  </si>
  <si>
    <t>INE752E07LW8</t>
  </si>
  <si>
    <t>EXIM312</t>
  </si>
  <si>
    <t>9.04% Export Import Bank of India (21/09/2022) **</t>
  </si>
  <si>
    <t>INE514E08BO8</t>
  </si>
  <si>
    <t>RIND338</t>
  </si>
  <si>
    <t>7.05% Reliance Industries Limited (13/09/2023) **</t>
  </si>
  <si>
    <t>INE002A08625</t>
  </si>
  <si>
    <t>GOI616</t>
  </si>
  <si>
    <t>7% Government of India (10/12/2022)</t>
  </si>
  <si>
    <t>IN0020089028</t>
  </si>
  <si>
    <t>SIDB422</t>
  </si>
  <si>
    <t>6.99% Small Industries Dev Bank of India (08/08/2022) **</t>
  </si>
  <si>
    <t>INE556F08JN1</t>
  </si>
  <si>
    <t>PGCI389</t>
  </si>
  <si>
    <t>8.13% Power Grid Corporation of India Limited (25/04/2022) **</t>
  </si>
  <si>
    <t>INE752E07NO1</t>
  </si>
  <si>
    <t>LICH154</t>
  </si>
  <si>
    <t>9.45% LIC Housing Finance Limited (30/01/2022) **</t>
  </si>
  <si>
    <t>INE115A07BY3</t>
  </si>
  <si>
    <t>RECL393</t>
  </si>
  <si>
    <t>6.99% REC Limited (31/12/2021) **</t>
  </si>
  <si>
    <t>INE020B08CQ5</t>
  </si>
  <si>
    <t>POWF365</t>
  </si>
  <si>
    <t>7.27% Power Finance Corporation Limited (22/12/2021) **</t>
  </si>
  <si>
    <t>INE134E08IN2</t>
  </si>
  <si>
    <t>SIDB437</t>
  </si>
  <si>
    <t>4.9% Small Industries Dev Bank of India (18/08/2023) **</t>
  </si>
  <si>
    <t>INE556F08JQ4</t>
  </si>
  <si>
    <t>GOI2462</t>
  </si>
  <si>
    <t>5.79% Government of India (11/05/2030)</t>
  </si>
  <si>
    <t>IN0020200070</t>
  </si>
  <si>
    <t>GOI2757</t>
  </si>
  <si>
    <t>8.92% State Government Securities (20/06/2022)</t>
  </si>
  <si>
    <t>IN3320120022</t>
  </si>
  <si>
    <t>RECL349</t>
  </si>
  <si>
    <t>8.83% REC Limited (21/01/2022) **</t>
  </si>
  <si>
    <t>INE020B08BD5</t>
  </si>
  <si>
    <t>GOI1515</t>
  </si>
  <si>
    <t>8.39% State Government Securities (15/03/2023)</t>
  </si>
  <si>
    <t>IN2920150322</t>
  </si>
  <si>
    <t>GOI2771</t>
  </si>
  <si>
    <t>5.9% State Government Securities (27/05/2025)</t>
  </si>
  <si>
    <t>IN4520200077</t>
  </si>
  <si>
    <t>GOI1514</t>
  </si>
  <si>
    <t>8.39% State Government Securities (15/03/2022)</t>
  </si>
  <si>
    <t>IN2920150314</t>
  </si>
  <si>
    <t>PGCI343</t>
  </si>
  <si>
    <t>8.7% Power Grid Corporation of India Limited (15/07/2023) **</t>
  </si>
  <si>
    <t>INE752E07LB2</t>
  </si>
  <si>
    <t>$0.00%</t>
  </si>
  <si>
    <t>GOI901</t>
  </si>
  <si>
    <t>8.85% State Government Securities (18/07/2022)</t>
  </si>
  <si>
    <t>IN2220120017</t>
  </si>
  <si>
    <t>GOI1133</t>
  </si>
  <si>
    <t>8.83% Government of India (25/11/2023)</t>
  </si>
  <si>
    <t>IN0020130061</t>
  </si>
  <si>
    <t>GOI658</t>
  </si>
  <si>
    <t>7.35% Government of India (22/06/2024)</t>
  </si>
  <si>
    <t>IN0020090034</t>
  </si>
  <si>
    <t>GOI295</t>
  </si>
  <si>
    <t>6.17% Government of India (12/06/2023)</t>
  </si>
  <si>
    <t>IN0020030055</t>
  </si>
  <si>
    <t>Money Market Instruments</t>
  </si>
  <si>
    <t>Certificate of Deposit</t>
  </si>
  <si>
    <t>EXIM711</t>
  </si>
  <si>
    <t>Export Import Bank of India (02/08/2022) ** #</t>
  </si>
  <si>
    <t>INE514E16BW4</t>
  </si>
  <si>
    <t>CRISIL A1+</t>
  </si>
  <si>
    <t>Commercial Paper</t>
  </si>
  <si>
    <t>EXIM707</t>
  </si>
  <si>
    <t>Export Import Bank of India (31/12/2021) **</t>
  </si>
  <si>
    <t>INE514E14PR9</t>
  </si>
  <si>
    <t>EXIM713</t>
  </si>
  <si>
    <t>Export Import Bank of India (24/03/2022)</t>
  </si>
  <si>
    <t>INE514E14PY5</t>
  </si>
  <si>
    <t>EXIM714</t>
  </si>
  <si>
    <t>Export Import Bank of India (30/03/2022)</t>
  </si>
  <si>
    <t>INE514E14PZ2</t>
  </si>
  <si>
    <t>LICH596</t>
  </si>
  <si>
    <t>LIC Housing Finance Limited (07/07/2022)</t>
  </si>
  <si>
    <t>INE115A14DE7</t>
  </si>
  <si>
    <t>BHFL73</t>
  </si>
  <si>
    <t>Bajaj Housing Finance Limited (20/07/2022) **</t>
  </si>
  <si>
    <t>INE377Y14868</t>
  </si>
  <si>
    <t xml:space="preserve">$  Less Than 0.01% of Net Asset Value </t>
  </si>
  <si>
    <t>Industry</t>
  </si>
  <si>
    <t>Equity &amp; Equity related</t>
  </si>
  <si>
    <t>(a) Listed / awaiting listing on Stock Exchanges</t>
  </si>
  <si>
    <t>HDFB03</t>
  </si>
  <si>
    <t>HDFC Bank Limited</t>
  </si>
  <si>
    <t>INE040A01034</t>
  </si>
  <si>
    <t>Banks</t>
  </si>
  <si>
    <t>IBCL05</t>
  </si>
  <si>
    <t>ICICI Bank Limited</t>
  </si>
  <si>
    <t>INE090A01021</t>
  </si>
  <si>
    <t>SBAI02</t>
  </si>
  <si>
    <t>State Bank of India</t>
  </si>
  <si>
    <t>INE062A01020</t>
  </si>
  <si>
    <t>KOMA02</t>
  </si>
  <si>
    <t>Kotak Mahindra Bank Limited</t>
  </si>
  <si>
    <t>INE237A01028</t>
  </si>
  <si>
    <t>UTIB02</t>
  </si>
  <si>
    <t>Axis Bank Limited</t>
  </si>
  <si>
    <t>INE238A01034</t>
  </si>
  <si>
    <t>IIBL01</t>
  </si>
  <si>
    <t>IndusInd Bank Limited</t>
  </si>
  <si>
    <t>INE095A01012</t>
  </si>
  <si>
    <t>AFPL02</t>
  </si>
  <si>
    <t>AU Small Finance Bank Limited</t>
  </si>
  <si>
    <t>INE949L01017</t>
  </si>
  <si>
    <t>BAND01</t>
  </si>
  <si>
    <t>Bandhan Bank Limited</t>
  </si>
  <si>
    <t>INE545U01014</t>
  </si>
  <si>
    <t>FEBA02</t>
  </si>
  <si>
    <t>The Federal Bank  Limited</t>
  </si>
  <si>
    <t>INE171A01029</t>
  </si>
  <si>
    <t>IDBK01</t>
  </si>
  <si>
    <t>IDFC First Bank Limited</t>
  </si>
  <si>
    <t>INE092T01019</t>
  </si>
  <si>
    <t>PUBA02</t>
  </si>
  <si>
    <t>Punjab National Bank</t>
  </si>
  <si>
    <t>INE160A01022</t>
  </si>
  <si>
    <t>RATN01</t>
  </si>
  <si>
    <t>RBL Bank Limited</t>
  </si>
  <si>
    <t>INE976G01028</t>
  </si>
  <si>
    <t>(b) Unlisted</t>
  </si>
  <si>
    <t>BAFL02</t>
  </si>
  <si>
    <t>Bajaj Finance Limited</t>
  </si>
  <si>
    <t>INE296A01024</t>
  </si>
  <si>
    <t>Finance</t>
  </si>
  <si>
    <t>ASTP04</t>
  </si>
  <si>
    <t>Astral Limited</t>
  </si>
  <si>
    <t>INE006I01046</t>
  </si>
  <si>
    <t>Industrial Products</t>
  </si>
  <si>
    <t>TCSL01</t>
  </si>
  <si>
    <t>Tata Consultancy Services Limited</t>
  </si>
  <si>
    <t>INE467B01029</t>
  </si>
  <si>
    <t>Software</t>
  </si>
  <si>
    <t>RIND01</t>
  </si>
  <si>
    <t>Reliance Industries Limited</t>
  </si>
  <si>
    <t>INE002A01018</t>
  </si>
  <si>
    <t>Petroleum Products</t>
  </si>
  <si>
    <t>AVSP01</t>
  </si>
  <si>
    <t>Avenue Supermarts Limited</t>
  </si>
  <si>
    <t>INE192R01011</t>
  </si>
  <si>
    <t>Retailing</t>
  </si>
  <si>
    <t>INFS02</t>
  </si>
  <si>
    <t>Infosys Limited</t>
  </si>
  <si>
    <t>INE009A01021</t>
  </si>
  <si>
    <t>HDFC03</t>
  </si>
  <si>
    <t>Housing Development Finance Corporation Limited</t>
  </si>
  <si>
    <t>INE001A01036</t>
  </si>
  <si>
    <t>DIVI02</t>
  </si>
  <si>
    <t>Divi's Laboratories Limited</t>
  </si>
  <si>
    <t>INE361B01024</t>
  </si>
  <si>
    <t>Pharmaceuticals</t>
  </si>
  <si>
    <t>PIIN03</t>
  </si>
  <si>
    <t>PI Industries Limited</t>
  </si>
  <si>
    <t>INE603J01030</t>
  </si>
  <si>
    <t>Pesticides</t>
  </si>
  <si>
    <t>SUPI02</t>
  </si>
  <si>
    <t>Supreme Industries Limited</t>
  </si>
  <si>
    <t>INE195A01028</t>
  </si>
  <si>
    <t>GLAN02</t>
  </si>
  <si>
    <t>Gland Pharma Limited</t>
  </si>
  <si>
    <t>INE068V01023</t>
  </si>
  <si>
    <t>CFCP02</t>
  </si>
  <si>
    <t>Camlin Fine Sciences Limited</t>
  </si>
  <si>
    <t>INE052I01032</t>
  </si>
  <si>
    <t>Chemicals</t>
  </si>
  <si>
    <t>TTPL01</t>
  </si>
  <si>
    <t>TTK Prestige Limited</t>
  </si>
  <si>
    <t>INE690A01010</t>
  </si>
  <si>
    <t>Consumer Durables</t>
  </si>
  <si>
    <t>ENDT01</t>
  </si>
  <si>
    <t>Endurance Technologies Limited</t>
  </si>
  <si>
    <t>INE913H01037</t>
  </si>
  <si>
    <t>Auto Ancillaries</t>
  </si>
  <si>
    <t>TEMA02</t>
  </si>
  <si>
    <t>Tech Mahindra Limited</t>
  </si>
  <si>
    <t>INE669C01036</t>
  </si>
  <si>
    <t>MAUD01</t>
  </si>
  <si>
    <t>Maruti Suzuki India Limited</t>
  </si>
  <si>
    <t>INE585B01010</t>
  </si>
  <si>
    <t>Auto</t>
  </si>
  <si>
    <t>GUAM02</t>
  </si>
  <si>
    <t>Ambuja Cements Limited</t>
  </si>
  <si>
    <t>INE079A01024</t>
  </si>
  <si>
    <t>Cement &amp; Cement Products</t>
  </si>
  <si>
    <t>IPCA02</t>
  </si>
  <si>
    <t>IPCA Laboratories Limited</t>
  </si>
  <si>
    <t>INE571A01020</t>
  </si>
  <si>
    <t>HLEL02</t>
  </si>
  <si>
    <t>Hindustan Unilever Limited</t>
  </si>
  <si>
    <t>INE030A01027</t>
  </si>
  <si>
    <t>Consumer Non Durables</t>
  </si>
  <si>
    <t>SPCO02</t>
  </si>
  <si>
    <t>Symphony Limited</t>
  </si>
  <si>
    <t>INE225D01027</t>
  </si>
  <si>
    <t>TINV04</t>
  </si>
  <si>
    <t>Cholamandalam Financial Holdings Limited</t>
  </si>
  <si>
    <t>INE149A01033</t>
  </si>
  <si>
    <t>MOSU03</t>
  </si>
  <si>
    <t>Motherson Sumi Systems Limited</t>
  </si>
  <si>
    <t>INE775A01035</t>
  </si>
  <si>
    <t>SPIL03</t>
  </si>
  <si>
    <t>Sun Pharmaceutical Industries Limited</t>
  </si>
  <si>
    <t>INE044A01036</t>
  </si>
  <si>
    <t>LTTS01</t>
  </si>
  <si>
    <t>L&amp;T Technology Services Limited</t>
  </si>
  <si>
    <t>INE010V01017</t>
  </si>
  <si>
    <t>AIEL02</t>
  </si>
  <si>
    <t>AIA Engineering Limited</t>
  </si>
  <si>
    <t>INE212H01026</t>
  </si>
  <si>
    <t>MAHI02</t>
  </si>
  <si>
    <t>Mahindra &amp; Mahindra Limited</t>
  </si>
  <si>
    <t>INE101A01026</t>
  </si>
  <si>
    <t>CCOI02</t>
  </si>
  <si>
    <t>Container Corporation of India Limited</t>
  </si>
  <si>
    <t>INE111A01025</t>
  </si>
  <si>
    <t>Transportation</t>
  </si>
  <si>
    <t>MCEL03</t>
  </si>
  <si>
    <t>The Ramco Cements Limited</t>
  </si>
  <si>
    <t>INE331A01037</t>
  </si>
  <si>
    <t>IMIN01</t>
  </si>
  <si>
    <t>Indiamart Intermesh Limited</t>
  </si>
  <si>
    <t>INE933S01016</t>
  </si>
  <si>
    <t>SUMI01</t>
  </si>
  <si>
    <t>Sumitomo Chemical India Limited</t>
  </si>
  <si>
    <t>INE258G01013</t>
  </si>
  <si>
    <t>AARI02</t>
  </si>
  <si>
    <t>Aarti Industries Limited</t>
  </si>
  <si>
    <t>INE769A01020</t>
  </si>
  <si>
    <t>PRRC03</t>
  </si>
  <si>
    <t>Navin Fluorine International Limited</t>
  </si>
  <si>
    <t>INE048G01026</t>
  </si>
  <si>
    <t>HKFIN01</t>
  </si>
  <si>
    <t>Privi Speciality Chemicals Limited</t>
  </si>
  <si>
    <t>INE959A01019</t>
  </si>
  <si>
    <t>TAHO01</t>
  </si>
  <si>
    <t>Honeywell Automation India Limited</t>
  </si>
  <si>
    <t>INE671A01010</t>
  </si>
  <si>
    <t>Industrial Capital Goods</t>
  </si>
  <si>
    <t>ATUL01</t>
  </si>
  <si>
    <t>Atul Limited</t>
  </si>
  <si>
    <t>INE100A01010</t>
  </si>
  <si>
    <t>RIND03</t>
  </si>
  <si>
    <t>IN9002A01032</t>
  </si>
  <si>
    <t>SANE01</t>
  </si>
  <si>
    <t>Sansera Engineering Limited</t>
  </si>
  <si>
    <t>INE953O01021</t>
  </si>
  <si>
    <t>CART01</t>
  </si>
  <si>
    <t>Cartrade Tech Limited</t>
  </si>
  <si>
    <t>INE290S01011</t>
  </si>
  <si>
    <t>ZMPL01</t>
  </si>
  <si>
    <t>Zomato Limited</t>
  </si>
  <si>
    <t>INE758T01015</t>
  </si>
  <si>
    <t>MIIL02</t>
  </si>
  <si>
    <t>Minda Industries Limited</t>
  </si>
  <si>
    <t>INE405E01023</t>
  </si>
  <si>
    <t>EIML02</t>
  </si>
  <si>
    <t>Eicher Motors Limited</t>
  </si>
  <si>
    <t>INE066A01021</t>
  </si>
  <si>
    <t>CHEM04</t>
  </si>
  <si>
    <t>Chemplast Sanmar Limited</t>
  </si>
  <si>
    <t>INE488A01050</t>
  </si>
  <si>
    <t>Derivatives</t>
  </si>
  <si>
    <t>Index / Stock Options</t>
  </si>
  <si>
    <t>N22C15000P</t>
  </si>
  <si>
    <t>Nifty 50 Index 15000 Put March 2022 Option</t>
  </si>
  <si>
    <t>N21DC10500P</t>
  </si>
  <si>
    <t>Nifty 50 Index 10500 Put December 2021 Option **</t>
  </si>
  <si>
    <t>TISC109</t>
  </si>
  <si>
    <t>2% Tata Steel Limited (23/04/2022) **</t>
  </si>
  <si>
    <t>INE081A08181</t>
  </si>
  <si>
    <t>BWR AA+</t>
  </si>
  <si>
    <t>RECL398</t>
  </si>
  <si>
    <t>6.60% REC Limited (21/03/2022) **</t>
  </si>
  <si>
    <t>INE020B08CV5</t>
  </si>
  <si>
    <t>NEST01</t>
  </si>
  <si>
    <t>Nestle India Limited</t>
  </si>
  <si>
    <t>INE239A01016</t>
  </si>
  <si>
    <t>SRFL01</t>
  </si>
  <si>
    <t>SRF Limited</t>
  </si>
  <si>
    <t>INE647A01010</t>
  </si>
  <si>
    <t>SUFI01</t>
  </si>
  <si>
    <t>Sundaram Finance Limited</t>
  </si>
  <si>
    <t>INE660A01013</t>
  </si>
  <si>
    <t>GALS01</t>
  </si>
  <si>
    <t>Galaxy Surfactants Limited</t>
  </si>
  <si>
    <t>INE600K01018</t>
  </si>
  <si>
    <t>STPR03</t>
  </si>
  <si>
    <t>JK Lakshmi Cement Limited</t>
  </si>
  <si>
    <t>INE786A01032</t>
  </si>
  <si>
    <t>ASPA02</t>
  </si>
  <si>
    <t>Asian Paints Limited</t>
  </si>
  <si>
    <t>INE021A01026</t>
  </si>
  <si>
    <t>ULCC01</t>
  </si>
  <si>
    <t>UltraTech Cement Limited</t>
  </si>
  <si>
    <t>INE481G01011</t>
  </si>
  <si>
    <t>NITL01</t>
  </si>
  <si>
    <t>Coforge Limited</t>
  </si>
  <si>
    <t>INE591G01017</t>
  </si>
  <si>
    <t>BFSL01</t>
  </si>
  <si>
    <t>Bajaj Finserv Limited</t>
  </si>
  <si>
    <t>INE918I01018</t>
  </si>
  <si>
    <t>Insurance</t>
  </si>
  <si>
    <t>TWAT02</t>
  </si>
  <si>
    <t>Titan Company Limited</t>
  </si>
  <si>
    <t>INE280A01028</t>
  </si>
  <si>
    <t>BFLS01</t>
  </si>
  <si>
    <t>MphasiS Limited</t>
  </si>
  <si>
    <t>INE356A01018</t>
  </si>
  <si>
    <t>KIMS01</t>
  </si>
  <si>
    <t>Krishna Institute Of Medical Sciences Limited</t>
  </si>
  <si>
    <t>INE967H01017</t>
  </si>
  <si>
    <t>Healthcare Services</t>
  </si>
  <si>
    <t>GCPL02</t>
  </si>
  <si>
    <t>Godrej Consumer Products Limited</t>
  </si>
  <si>
    <t>INE102D01028</t>
  </si>
  <si>
    <t>MINT01</t>
  </si>
  <si>
    <t>MindTree Limited</t>
  </si>
  <si>
    <t>INE018I01017</t>
  </si>
  <si>
    <t>PSYL01</t>
  </si>
  <si>
    <t>Persistent Systems Limited</t>
  </si>
  <si>
    <t>INE262H01013</t>
  </si>
  <si>
    <t>TCNS01</t>
  </si>
  <si>
    <t>TCNS Clothing Co. Limited</t>
  </si>
  <si>
    <t>INE778U01029</t>
  </si>
  <si>
    <t>Textile Products</t>
  </si>
  <si>
    <t>SONB01</t>
  </si>
  <si>
    <t>Sona BLW Precision Forgings Limited</t>
  </si>
  <si>
    <t>INE073K01018</t>
  </si>
  <si>
    <t>CUBI02</t>
  </si>
  <si>
    <t>City Union Bank Limited</t>
  </si>
  <si>
    <t>INE491A01021</t>
  </si>
  <si>
    <t>CHOL02</t>
  </si>
  <si>
    <t>Cholamandalam Investment and Finance Company Limited</t>
  </si>
  <si>
    <t>INE121A01024</t>
  </si>
  <si>
    <t>CPIL02</t>
  </si>
  <si>
    <t>CCL Products (India) Limited</t>
  </si>
  <si>
    <t>INE421D01022</t>
  </si>
  <si>
    <t>MAAU01</t>
  </si>
  <si>
    <t>Mahindra CIE Automotive Limited</t>
  </si>
  <si>
    <t>INE536H01010</t>
  </si>
  <si>
    <t>SHCE01</t>
  </si>
  <si>
    <t>Shree Cement Limited</t>
  </si>
  <si>
    <t>INE070A01015</t>
  </si>
  <si>
    <t>LARS02</t>
  </si>
  <si>
    <t>Larsen &amp; Toubro Limited</t>
  </si>
  <si>
    <t>INE018A01030</t>
  </si>
  <si>
    <t>Construction Project</t>
  </si>
  <si>
    <t>TISC01</t>
  </si>
  <si>
    <t>Tata Steel Limited</t>
  </si>
  <si>
    <t>INE081A01012</t>
  </si>
  <si>
    <t>Ferrous Metals</t>
  </si>
  <si>
    <t>VIDI01</t>
  </si>
  <si>
    <t>Vijaya Diagnostic Centre Limited</t>
  </si>
  <si>
    <t>INE043W01024</t>
  </si>
  <si>
    <t>ITCL02</t>
  </si>
  <si>
    <t>ITC Limited</t>
  </si>
  <si>
    <t>INE154A01025</t>
  </si>
  <si>
    <t>BTVL02</t>
  </si>
  <si>
    <t>Bharti Airtel Limited</t>
  </si>
  <si>
    <t>INE397D01024</t>
  </si>
  <si>
    <t>Telecom - Services</t>
  </si>
  <si>
    <t>BALN01</t>
  </si>
  <si>
    <t>Bajaj Auto Limited</t>
  </si>
  <si>
    <t>INE917I01010</t>
  </si>
  <si>
    <t>IEIN01</t>
  </si>
  <si>
    <t>Info Edge (India) Limited</t>
  </si>
  <si>
    <t>INE663F01024</t>
  </si>
  <si>
    <t>TTEA02</t>
  </si>
  <si>
    <t>Tata Consumer Products Limited</t>
  </si>
  <si>
    <t>INE192A01025</t>
  </si>
  <si>
    <t>BRIT03</t>
  </si>
  <si>
    <t>Britannia Industries Limited</t>
  </si>
  <si>
    <t>INE216A01030</t>
  </si>
  <si>
    <t>APOL02</t>
  </si>
  <si>
    <t>Apollo Hospitals Enterprise Limited</t>
  </si>
  <si>
    <t>INE437A01024</t>
  </si>
  <si>
    <t>HERO02</t>
  </si>
  <si>
    <t>Hero MotoCorp Limited</t>
  </si>
  <si>
    <t>INE158A01026</t>
  </si>
  <si>
    <t>DABU02</t>
  </si>
  <si>
    <t>Dabur India Limited</t>
  </si>
  <si>
    <t>INE016A01026</t>
  </si>
  <si>
    <t>HAIL03</t>
  </si>
  <si>
    <t>Havells India Limited</t>
  </si>
  <si>
    <t>INE176B01034</t>
  </si>
  <si>
    <t>JUFL01</t>
  </si>
  <si>
    <t>Jubilant Foodworks Limited</t>
  </si>
  <si>
    <t>INE797F01012</t>
  </si>
  <si>
    <t>Leisure Services</t>
  </si>
  <si>
    <t>MARC02</t>
  </si>
  <si>
    <t>Marico Limited</t>
  </si>
  <si>
    <t>INE196A01026</t>
  </si>
  <si>
    <t>VOLT02</t>
  </si>
  <si>
    <t>Voltas Limited</t>
  </si>
  <si>
    <t>INE226A01021</t>
  </si>
  <si>
    <t>CGCE01</t>
  </si>
  <si>
    <t>Crompton Greaves Consumer Electricals Limited</t>
  </si>
  <si>
    <t>INE299U01018</t>
  </si>
  <si>
    <t>ZEET02</t>
  </si>
  <si>
    <t>Zee Entertainment Enterprises Limited</t>
  </si>
  <si>
    <t>INE256A01028</t>
  </si>
  <si>
    <t>Entertainment</t>
  </si>
  <si>
    <t>MCSP02</t>
  </si>
  <si>
    <t>United Spirits Limited</t>
  </si>
  <si>
    <t>INE854D01024</t>
  </si>
  <si>
    <t>LAKM02</t>
  </si>
  <si>
    <t>Trent Limited</t>
  </si>
  <si>
    <t>INE849A01020</t>
  </si>
  <si>
    <t>COLG02</t>
  </si>
  <si>
    <t>Colgate Palmolive (India) Limited</t>
  </si>
  <si>
    <t>INE259A01022</t>
  </si>
  <si>
    <t>BERG03</t>
  </si>
  <si>
    <t>Berger Paints (I) Limited</t>
  </si>
  <si>
    <t>INE463A01038</t>
  </si>
  <si>
    <t>INAV01</t>
  </si>
  <si>
    <t>InterGlobe Aviation Limited</t>
  </si>
  <si>
    <t>INE646L01027</t>
  </si>
  <si>
    <t>PAGE01</t>
  </si>
  <si>
    <t>Page Industries Limited</t>
  </si>
  <si>
    <t>INE761H01022</t>
  </si>
  <si>
    <t>NECH01</t>
  </si>
  <si>
    <t>Neogen Chemicals Limited</t>
  </si>
  <si>
    <t>INE136S01016</t>
  </si>
  <si>
    <t>MTAR01L</t>
  </si>
  <si>
    <t>MTAR Technologies Limited</t>
  </si>
  <si>
    <t>INE864I01014</t>
  </si>
  <si>
    <t>Aerospace &amp; Defense</t>
  </si>
  <si>
    <t>CSTL01</t>
  </si>
  <si>
    <t>Clean Science and Technology Limited</t>
  </si>
  <si>
    <t>INE227W01023</t>
  </si>
  <si>
    <t>BRIG01</t>
  </si>
  <si>
    <t>Brigade Enterprises Limited</t>
  </si>
  <si>
    <t>INE791I01019</t>
  </si>
  <si>
    <t>Construction</t>
  </si>
  <si>
    <t>IRCT01</t>
  </si>
  <si>
    <t>Indian Railway Catering And Tourism Corporation Limited</t>
  </si>
  <si>
    <t>INE335Y01012</t>
  </si>
  <si>
    <t>SUCH02</t>
  </si>
  <si>
    <t>Sudarshan Chemical Industries Limited</t>
  </si>
  <si>
    <t>INE659A01023</t>
  </si>
  <si>
    <t>SLIF01</t>
  </si>
  <si>
    <t>SBI Life Insurance Company Limited</t>
  </si>
  <si>
    <t>INE123W01016</t>
  </si>
  <si>
    <t>PEFR01</t>
  </si>
  <si>
    <t>Aditya Birla Fashion and Retail Limited</t>
  </si>
  <si>
    <t>INE647O01011</t>
  </si>
  <si>
    <t>BSLM02</t>
  </si>
  <si>
    <t>INE404A01024</t>
  </si>
  <si>
    <t>Capital Markets</t>
  </si>
  <si>
    <t>GOI2936</t>
  </si>
  <si>
    <t>4.7% Government of India (22/09/2033)</t>
  </si>
  <si>
    <t>IN0020200120</t>
  </si>
  <si>
    <t>GOI3532</t>
  </si>
  <si>
    <t>6.82% State Government Securities (14/07/2028)</t>
  </si>
  <si>
    <t>IN1320210041</t>
  </si>
  <si>
    <t>FCOI35</t>
  </si>
  <si>
    <t>7.09% Food Corporation Of India (13/08/2031)</t>
  </si>
  <si>
    <t>INE861G08084</t>
  </si>
  <si>
    <t>GOI3108</t>
  </si>
  <si>
    <t>6.76% Government of India (22/02/2061)</t>
  </si>
  <si>
    <t>IN0020200401</t>
  </si>
  <si>
    <t>GOI1973</t>
  </si>
  <si>
    <t>7.17% Government of India (08/01/2028)</t>
  </si>
  <si>
    <t>IN0020170174</t>
  </si>
  <si>
    <t>RIND191</t>
  </si>
  <si>
    <t>7% Reliance Industries Limited (31/08/2022) **</t>
  </si>
  <si>
    <t>INE002A08476</t>
  </si>
  <si>
    <t>BKBA282</t>
  </si>
  <si>
    <t>8.50% Bank of Baroda (02/12/2021) **</t>
  </si>
  <si>
    <t>INE028A08083</t>
  </si>
  <si>
    <t>IND AA+</t>
  </si>
  <si>
    <t>SBAI192</t>
  </si>
  <si>
    <t>8.39% State Bank of India (25/10/2021) **</t>
  </si>
  <si>
    <t>INE062A08140</t>
  </si>
  <si>
    <t>CRISIL AA+</t>
  </si>
  <si>
    <t>GOI3528</t>
  </si>
  <si>
    <t>6.1% Government of India (12/07/2031)</t>
  </si>
  <si>
    <t>IN0020210095</t>
  </si>
  <si>
    <t>INDI21</t>
  </si>
  <si>
    <t>9.04% IndInfravit Trust (09/03/2038) **</t>
  </si>
  <si>
    <t>INE790Z07038</t>
  </si>
  <si>
    <t>GOI2943</t>
  </si>
  <si>
    <t>6.55% State Government Securities (17/06/2030)</t>
  </si>
  <si>
    <t>IN3120200149</t>
  </si>
  <si>
    <t>GOI2484</t>
  </si>
  <si>
    <t>6.19% Government of India (16/09/2034)</t>
  </si>
  <si>
    <t>IN0020200096</t>
  </si>
  <si>
    <t>GOI2249</t>
  </si>
  <si>
    <t>7.57% Government of India (17/06/2033)</t>
  </si>
  <si>
    <t>IN0020190065</t>
  </si>
  <si>
    <t>GOI2752</t>
  </si>
  <si>
    <t>6.84% State Government Securities (07/10/2030)</t>
  </si>
  <si>
    <t>IN1520200172</t>
  </si>
  <si>
    <t>PUBA927</t>
  </si>
  <si>
    <t>9.21% Punjab National Bank (31/03/2022) **</t>
  </si>
  <si>
    <t>INE160A08126</t>
  </si>
  <si>
    <t>BWR AA</t>
  </si>
  <si>
    <t>SYBK282</t>
  </si>
  <si>
    <t>9.95% Canara Bank (25/10/2021) **</t>
  </si>
  <si>
    <t>INE667A08088</t>
  </si>
  <si>
    <t>IND AA</t>
  </si>
  <si>
    <t>GOI1430</t>
  </si>
  <si>
    <t>7.59% Government of India (11/01/2026)</t>
  </si>
  <si>
    <t>IN0020150093</t>
  </si>
  <si>
    <t>UNBI322</t>
  </si>
  <si>
    <t>9.1% Union Bank of India (31/03/2022) **</t>
  </si>
  <si>
    <t>INE692A08078</t>
  </si>
  <si>
    <t>Margin Fixed Deposit</t>
  </si>
  <si>
    <t xml:space="preserve">Duration (in Days) </t>
  </si>
  <si>
    <t>FDUT888</t>
  </si>
  <si>
    <t>3.5% Axis Bank Limited (18/11/2021)</t>
  </si>
  <si>
    <t>177</t>
  </si>
  <si>
    <t>IRS595523FX</t>
  </si>
  <si>
    <t>IRS591388FX</t>
  </si>
  <si>
    <t>IRS592624FX</t>
  </si>
  <si>
    <t>IRS592638FX</t>
  </si>
  <si>
    <t>GOI3103</t>
  </si>
  <si>
    <t>5.63% Government of India (12/04/2026)</t>
  </si>
  <si>
    <t>IN0020210012</t>
  </si>
  <si>
    <t>EOPR20</t>
  </si>
  <si>
    <t>Embassy Office Parks REIT (03/06/2022) (ZCB)</t>
  </si>
  <si>
    <t>INE041007019</t>
  </si>
  <si>
    <t>MOSU198</t>
  </si>
  <si>
    <t>6.65% Motherson Sumi Systems Limited (14/09/2023) **</t>
  </si>
  <si>
    <t>INE775A08048</t>
  </si>
  <si>
    <t>RECL209</t>
  </si>
  <si>
    <t>8.82% REC Limited (12/04/2023) **</t>
  </si>
  <si>
    <t>INE020B08831</t>
  </si>
  <si>
    <t>HDFC1140</t>
  </si>
  <si>
    <t>4.23% Housing Development Finance Corporation Limited (18/02/2022) **</t>
  </si>
  <si>
    <t>INE001A07SV5</t>
  </si>
  <si>
    <t>AFGL266</t>
  </si>
  <si>
    <t>8.25% L&amp;T Finance Limited (24/01/2023) **</t>
  </si>
  <si>
    <t>INE027E07BD6</t>
  </si>
  <si>
    <t>AFGL303</t>
  </si>
  <si>
    <t>7.68% L&amp;T Finance Limited (03/03/2023) **</t>
  </si>
  <si>
    <t>INE027E07BE4</t>
  </si>
  <si>
    <t>TCAL473</t>
  </si>
  <si>
    <t>6.7942% Tata Capital Limited (30/04/2024) **</t>
  </si>
  <si>
    <t>INE976I08375</t>
  </si>
  <si>
    <t>HDBF288</t>
  </si>
  <si>
    <t>5.75% HDB Financial Services Limited (28/05/2024) **</t>
  </si>
  <si>
    <t>INE756I07DO4</t>
  </si>
  <si>
    <t>IRLY358</t>
  </si>
  <si>
    <t>6.92% Indian Railway Finance Corporation Limited (29/08/2031)</t>
  </si>
  <si>
    <t>INE053F08122</t>
  </si>
  <si>
    <t>MMFS1145</t>
  </si>
  <si>
    <t>4.88% Mahindra &amp; Mahindra Financial Services Limited (23/07/2024) (FRN) **</t>
  </si>
  <si>
    <t>INE774D07UF0</t>
  </si>
  <si>
    <t>IILD57</t>
  </si>
  <si>
    <t>7% India Infradebt Limited (12/11/2025) **</t>
  </si>
  <si>
    <t>INE537P07588</t>
  </si>
  <si>
    <t>EOPR24</t>
  </si>
  <si>
    <t>6.4% Embassy Office Parks REIT (15/02/2024) **</t>
  </si>
  <si>
    <t>INE041007050</t>
  </si>
  <si>
    <t>SUMM21</t>
  </si>
  <si>
    <t>6.59% Summit Digitel Infrastructure Private Limited (16/06/2026) **</t>
  </si>
  <si>
    <t>INE507T07062</t>
  </si>
  <si>
    <t>GOI979</t>
  </si>
  <si>
    <t>8.68% State Government Securities (06/02/2023)</t>
  </si>
  <si>
    <t>IN1520120149</t>
  </si>
  <si>
    <t>HDFC1115</t>
  </si>
  <si>
    <t>7% Housing Development Finance Corporation Limited (19/05/2022) **</t>
  </si>
  <si>
    <t>INE001A07SM4</t>
  </si>
  <si>
    <t>GOI1908</t>
  </si>
  <si>
    <t>7.18% State Government Securities (26/07/2027)</t>
  </si>
  <si>
    <t>IN3120170078</t>
  </si>
  <si>
    <t>IILD56</t>
  </si>
  <si>
    <t>7.5% India Infradebt Limited (30/06/2025) **</t>
  </si>
  <si>
    <t>INE537P07562</t>
  </si>
  <si>
    <t>LICH409</t>
  </si>
  <si>
    <t>7.42% LIC Housing Finance Limited (15/07/2022) **</t>
  </si>
  <si>
    <t>INE115A07MG7</t>
  </si>
  <si>
    <t>RPAT30</t>
  </si>
  <si>
    <t>6.75% Sikka Ports and Terminals Limited (22/04/2026) **</t>
  </si>
  <si>
    <t>INE941D07208</t>
  </si>
  <si>
    <t>TCFS573</t>
  </si>
  <si>
    <t>6.7% Tata Capital Limited (04/08/2023) **</t>
  </si>
  <si>
    <t>INE976I08359</t>
  </si>
  <si>
    <t>HDFC1144</t>
  </si>
  <si>
    <t>5.3% Housing Development Finance Corporation Limited (08/03/2023)</t>
  </si>
  <si>
    <t>INE001A07SX1</t>
  </si>
  <si>
    <t>VSEL20</t>
  </si>
  <si>
    <t>Varanasi Sang Exp (Repo+2.8% Varanasi Sangam Expressway Private Limited (29/12/2034) (FRN) **</t>
  </si>
  <si>
    <t>INE213Y07018</t>
  </si>
  <si>
    <t>GOI3031</t>
  </si>
  <si>
    <t>4.54% State Government Securities (03/06/2022)</t>
  </si>
  <si>
    <t>IN2220200041</t>
  </si>
  <si>
    <t>IGIF36</t>
  </si>
  <si>
    <t>6.72% India Grid Trust InvIT Fund (14/09/2026) **</t>
  </si>
  <si>
    <t>INE219X07306</t>
  </si>
  <si>
    <t>RECL275</t>
  </si>
  <si>
    <t>8.27% REC Limited (09/03/2022) **</t>
  </si>
  <si>
    <t>INE020B08922</t>
  </si>
  <si>
    <t>RECL336</t>
  </si>
  <si>
    <t>7.99% REC Limited (23/02/2023) **</t>
  </si>
  <si>
    <t>INE020B08AT3</t>
  </si>
  <si>
    <t>IGIF22</t>
  </si>
  <si>
    <t>9.1% India Grid Trust InvIT Fund (03/06/2022) **</t>
  </si>
  <si>
    <t>INE219X07033</t>
  </si>
  <si>
    <t>NBAR475</t>
  </si>
  <si>
    <t>8.18% National Bank For Agriculture and Rural Development (26/12/2028) **</t>
  </si>
  <si>
    <t>INE261F08AX6</t>
  </si>
  <si>
    <t>EXIM557</t>
  </si>
  <si>
    <t>8.1% Export Import Bank of India (19/11/2025) **</t>
  </si>
  <si>
    <t>INE514E08ES3</t>
  </si>
  <si>
    <t>IILD51</t>
  </si>
  <si>
    <t>8.6% India Infradebt Limited (30/12/2024) **</t>
  </si>
  <si>
    <t>INE537P07497</t>
  </si>
  <si>
    <t>HDFC1098</t>
  </si>
  <si>
    <t>7.21% Housing Development Finance Corporation Limited (30/12/2022)</t>
  </si>
  <si>
    <t>INE001A07SD3</t>
  </si>
  <si>
    <t>IRLY355</t>
  </si>
  <si>
    <t>6.89% Indian Railway Finance Corporation Limited (18/07/2031)</t>
  </si>
  <si>
    <t>INE053F08106</t>
  </si>
  <si>
    <t>SUMM22</t>
  </si>
  <si>
    <t>7.4% Summit Digitel Infrastructure Private Limited (28/09/2028) **</t>
  </si>
  <si>
    <t>INE507T07070</t>
  </si>
  <si>
    <t>LICH420</t>
  </si>
  <si>
    <t>7.4% LIC Housing Finance Limited (06/09/2024) **</t>
  </si>
  <si>
    <t>INE115A07ML7</t>
  </si>
  <si>
    <t>IGIF26</t>
  </si>
  <si>
    <t>8.4% India Grid Trust InvIT Fund (14/06/2023) **</t>
  </si>
  <si>
    <t>INE219X07090</t>
  </si>
  <si>
    <t>GOI1864</t>
  </si>
  <si>
    <t>6.79% Government of India (15/05/2027)</t>
  </si>
  <si>
    <t>IN0020170026</t>
  </si>
  <si>
    <t>GOI1410</t>
  </si>
  <si>
    <t>8.22% State Government Securities (09/12/2025)</t>
  </si>
  <si>
    <t>IN1920150050</t>
  </si>
  <si>
    <t>GOI3500</t>
  </si>
  <si>
    <t>8.66% State Government Securities (06/02/2023)</t>
  </si>
  <si>
    <t>IN1620120130</t>
  </si>
  <si>
    <t>MMFS1135</t>
  </si>
  <si>
    <t>6.56% Mahindra &amp; Mahindra Financial Services Limited (29/09/2022) **</t>
  </si>
  <si>
    <t>INE774D07TU1</t>
  </si>
  <si>
    <t>RECL388</t>
  </si>
  <si>
    <t>6.32% REC Limited (31/12/2021) **</t>
  </si>
  <si>
    <t>INE020B08CL6</t>
  </si>
  <si>
    <t>GOI2143</t>
  </si>
  <si>
    <t>8.53% State Government Securities (20/11/2028)</t>
  </si>
  <si>
    <t>IN1520180192</t>
  </si>
  <si>
    <t>GOI2161</t>
  </si>
  <si>
    <t>8.18% State Government Securities (19/12/2028)</t>
  </si>
  <si>
    <t>IN3120180192</t>
  </si>
  <si>
    <t>GOI2167</t>
  </si>
  <si>
    <t>8.08% State Government Securities (26/12/2028)</t>
  </si>
  <si>
    <t>IN2220180052</t>
  </si>
  <si>
    <t>RPAT21</t>
  </si>
  <si>
    <t>8.45% Sikka Ports and Terminals Limited (12/06/2023)</t>
  </si>
  <si>
    <t>INE941D07133</t>
  </si>
  <si>
    <t>POWF470</t>
  </si>
  <si>
    <t>6.5% Power Finance Corporation Limited (17/09/2025) **</t>
  </si>
  <si>
    <t>INE134E08LD7</t>
  </si>
  <si>
    <t>GOI3576</t>
  </si>
  <si>
    <t>6.79% State Government Securities (11/08/2028)</t>
  </si>
  <si>
    <t>IN3420210095</t>
  </si>
  <si>
    <t>GOI3575</t>
  </si>
  <si>
    <t>6.77% State Government Securities (04/08/2028)</t>
  </si>
  <si>
    <t>IN1320210058</t>
  </si>
  <si>
    <t>GOI3606</t>
  </si>
  <si>
    <t>6.23% State Government Securities (29/09/2027)</t>
  </si>
  <si>
    <t>IN2920210290</t>
  </si>
  <si>
    <t>IILD60</t>
  </si>
  <si>
    <t>8.4% India Infradebt Limited (20/11/2024) **</t>
  </si>
  <si>
    <t>INE537P07489</t>
  </si>
  <si>
    <t>HDFB631</t>
  </si>
  <si>
    <t>8.44% HDFC Bank Limited (28/12/2028) **</t>
  </si>
  <si>
    <t>INE040A08393</t>
  </si>
  <si>
    <t>RECL365</t>
  </si>
  <si>
    <t>8.30% REC Limited (23/03/2029) **</t>
  </si>
  <si>
    <t>INE020B08BO2</t>
  </si>
  <si>
    <t>LICH562</t>
  </si>
  <si>
    <t>7.33% LIC Housing Finance Limited (12/02/2025) **</t>
  </si>
  <si>
    <t>INE115A07OS8</t>
  </si>
  <si>
    <t>RECL397</t>
  </si>
  <si>
    <t>7.55% REC Limited (10/05/2030) **</t>
  </si>
  <si>
    <t>INE020B08CU7</t>
  </si>
  <si>
    <t>IOIC485</t>
  </si>
  <si>
    <t>6.39% Indian Oil Corporation Limited (06/03/2025) **</t>
  </si>
  <si>
    <t>INE242A08452</t>
  </si>
  <si>
    <t>ONBH30</t>
  </si>
  <si>
    <t>8.28% Oriental Nagpur Betul Highway Limited (30/03/2022) **</t>
  </si>
  <si>
    <t>INE105N07118</t>
  </si>
  <si>
    <t>RECL405</t>
  </si>
  <si>
    <t>5.85% REC Limited (20/12/2025)</t>
  </si>
  <si>
    <t>INE020B08DF6</t>
  </si>
  <si>
    <t>GOI3588</t>
  </si>
  <si>
    <t>6.67% Government of India (15/12/2035)</t>
  </si>
  <si>
    <t>IN0020210152</t>
  </si>
  <si>
    <t>GOI2931</t>
  </si>
  <si>
    <t>5.85% Government of India (01/12/2030)</t>
  </si>
  <si>
    <t>IN0020200294</t>
  </si>
  <si>
    <t>(c) Securitised Debt</t>
  </si>
  <si>
    <t>FBRT31</t>
  </si>
  <si>
    <t>First Business Receivables Trust (01/01/2023) **</t>
  </si>
  <si>
    <t>INE0BTV15121</t>
  </si>
  <si>
    <t>CRISIL AAA(SO)</t>
  </si>
  <si>
    <t>FBRT35</t>
  </si>
  <si>
    <t>First Business Receivables Trust (01/01/2024) **</t>
  </si>
  <si>
    <t>INE0BTV15162</t>
  </si>
  <si>
    <t>FBRT39</t>
  </si>
  <si>
    <t>First Business Receivables Trust (01/01/2025) **</t>
  </si>
  <si>
    <t>INE0BTV15204</t>
  </si>
  <si>
    <t>FBRT34</t>
  </si>
  <si>
    <t>First Business Receivables Trust (01/10/2023) **</t>
  </si>
  <si>
    <t>INE0BTV15154</t>
  </si>
  <si>
    <t>IDBK429</t>
  </si>
  <si>
    <t>IDFC First Bank Limited (07/06/2022) ** #</t>
  </si>
  <si>
    <t>INE092T16QV9</t>
  </si>
  <si>
    <t>LTIF382</t>
  </si>
  <si>
    <t>L&amp;T Finance Limited (23/02/2022) **</t>
  </si>
  <si>
    <t>INE691I14KU1</t>
  </si>
  <si>
    <t>ICRA A1+</t>
  </si>
  <si>
    <t>ICBR326</t>
  </si>
  <si>
    <t>ICICI Securities Limited (20/12/2021) **</t>
  </si>
  <si>
    <t>INE763G14KJ5</t>
  </si>
  <si>
    <t>Treasury Bill</t>
  </si>
  <si>
    <t>TBIL1945</t>
  </si>
  <si>
    <t>91 Days Tbill (MD 23/12/2021)</t>
  </si>
  <si>
    <t>IN002021X280</t>
  </si>
  <si>
    <t>FRN - Floating Rate Note , ZCB - Zero Coupon Bond</t>
  </si>
  <si>
    <t>GOI2954</t>
  </si>
  <si>
    <t>6.51% State Government Securities (30/12/2030)</t>
  </si>
  <si>
    <t>IN1920200533</t>
  </si>
  <si>
    <t>SBAI201</t>
  </si>
  <si>
    <t>6.8% State Bank of India (21/08/2035) **</t>
  </si>
  <si>
    <t>INE062A08231</t>
  </si>
  <si>
    <t>GOI2750</t>
  </si>
  <si>
    <t>6.87% State Government Securities (07/10/2030)</t>
  </si>
  <si>
    <t>IN2220200223</t>
  </si>
  <si>
    <t>NHAI67</t>
  </si>
  <si>
    <t>7.7% National Highways Auth Of Ind (13/09/2029) **</t>
  </si>
  <si>
    <t>INE906B07HH5</t>
  </si>
  <si>
    <t>FCOI31</t>
  </si>
  <si>
    <t>7.64% Food Corporation Of India (12/12/2029) **</t>
  </si>
  <si>
    <t>INE861G08050</t>
  </si>
  <si>
    <t>IRLY324</t>
  </si>
  <si>
    <t>8.3% Indian Railway Finance Corporation Limited (23/03/2029) **</t>
  </si>
  <si>
    <t>INE053F07BD9</t>
  </si>
  <si>
    <t>FCOI32</t>
  </si>
  <si>
    <t>7.6% Food Corporation Of India (09/01/2030) **</t>
  </si>
  <si>
    <t>INE861G08068</t>
  </si>
  <si>
    <t>NHAI73</t>
  </si>
  <si>
    <t>7.35% National Highways Auth Of Ind (26/04/2030) **</t>
  </si>
  <si>
    <t>INE906B07HP8</t>
  </si>
  <si>
    <t>HDFC1161</t>
  </si>
  <si>
    <t>6.88% Housing Development Finance Corporation Limited (24/09/2031)</t>
  </si>
  <si>
    <t>INE001A07TB5</t>
  </si>
  <si>
    <t>GOI3493</t>
  </si>
  <si>
    <t>6.78% State Government Securities (25/05/2031)</t>
  </si>
  <si>
    <t>IN2220210073</t>
  </si>
  <si>
    <t>FCOI34</t>
  </si>
  <si>
    <t>6.65% Food Corporation Of India (23/10/2030) **</t>
  </si>
  <si>
    <t>INE861G08076</t>
  </si>
  <si>
    <t>ICRA AAA(CE)</t>
  </si>
  <si>
    <t>NBAR602</t>
  </si>
  <si>
    <t>6.44% National Bank For Agriculture and Rural Development (04/12/2030)</t>
  </si>
  <si>
    <t>INE261F08CP8</t>
  </si>
  <si>
    <t>NHPC123</t>
  </si>
  <si>
    <t>7.5% NHPC Limited (07/10/2028) **</t>
  </si>
  <si>
    <t>INE848E07AR7</t>
  </si>
  <si>
    <t>HDFC1118</t>
  </si>
  <si>
    <t>7.25% Housing Development Finance Corporation Limited (17/06/2030) **</t>
  </si>
  <si>
    <t>INE001A07SO0</t>
  </si>
  <si>
    <t>IRLY323</t>
  </si>
  <si>
    <t>8.35% Indian Railway Finance Corporation Limited (13/03/2029) **</t>
  </si>
  <si>
    <t>INE053F07BC1</t>
  </si>
  <si>
    <t>NBAR509</t>
  </si>
  <si>
    <t>8.24% National Bank For Agriculture and Rural Development (22/03/2029) **</t>
  </si>
  <si>
    <t>INE261F08BF1</t>
  </si>
  <si>
    <t>GOI2767</t>
  </si>
  <si>
    <t>6.63% State Government Securities (14/10/2030)</t>
  </si>
  <si>
    <t>IN2220200264</t>
  </si>
  <si>
    <t>POWF462</t>
  </si>
  <si>
    <t>7.75% Power Finance Corporation Limited (11/06/2030) **</t>
  </si>
  <si>
    <t>INE134E08KV1</t>
  </si>
  <si>
    <t>GOI2798</t>
  </si>
  <si>
    <t>6.5% State Government Securities (11/11/2030)</t>
  </si>
  <si>
    <t>IN1520200206</t>
  </si>
  <si>
    <t>HURD211</t>
  </si>
  <si>
    <t>8.37% Housing &amp; Urban Development Corporation Limited (23/03/2029) **</t>
  </si>
  <si>
    <t>INE031A08707</t>
  </si>
  <si>
    <t>NBAR560</t>
  </si>
  <si>
    <t>7.43% National Bank For Agriculture and Rural Development (31/01/2030)</t>
  </si>
  <si>
    <t>INE261F08BX4</t>
  </si>
  <si>
    <t>NTPC166</t>
  </si>
  <si>
    <t>7.32% NTPC Limited (17/07/2029) **</t>
  </si>
  <si>
    <t>INE733E07KL3</t>
  </si>
  <si>
    <t>RECL391</t>
  </si>
  <si>
    <t>7.14% REC Limited (02/03/2030) **</t>
  </si>
  <si>
    <t>INE020B08CO0</t>
  </si>
  <si>
    <t>POWF471</t>
  </si>
  <si>
    <t>7.04% Power Finance Corporation Limited (16/12/2030) **</t>
  </si>
  <si>
    <t>INE134E08LC9</t>
  </si>
  <si>
    <t>GOI3511</t>
  </si>
  <si>
    <t>6.83% State Government Securities (23/06/2031)</t>
  </si>
  <si>
    <t>IN2220210131</t>
  </si>
  <si>
    <t>NTPC222</t>
  </si>
  <si>
    <t>6.69% NTPC Limited (12/09/2031)</t>
  </si>
  <si>
    <t>INE733E08197</t>
  </si>
  <si>
    <t>NBAR606</t>
  </si>
  <si>
    <t>6.49% National Bank For Agriculture and Rural Development (30/12/2030) **</t>
  </si>
  <si>
    <t>INE261F08CQ6</t>
  </si>
  <si>
    <t>RECL406</t>
  </si>
  <si>
    <t>6.80% REC Limited (20/12/2030) **</t>
  </si>
  <si>
    <t>INE020B08DE9</t>
  </si>
  <si>
    <t>GOI2855</t>
  </si>
  <si>
    <t>6.5% State Government Securities (25/11/2030)</t>
  </si>
  <si>
    <t>IN1520200214</t>
  </si>
  <si>
    <t>IRLY346</t>
  </si>
  <si>
    <t>6.41% Indian Railway Finance Corporation Limited (11/04/2031) **</t>
  </si>
  <si>
    <t>INE053F07CR7</t>
  </si>
  <si>
    <t>POWF457</t>
  </si>
  <si>
    <t>7.68% Power Finance Corporation Limited (15/07/2030) **</t>
  </si>
  <si>
    <t>INE134E08KR9</t>
  </si>
  <si>
    <t>GOI2761</t>
  </si>
  <si>
    <t>6.7% State Government Securities (23/09/2030)</t>
  </si>
  <si>
    <t>IN1920200251</t>
  </si>
  <si>
    <t>GOI2932</t>
  </si>
  <si>
    <t>6.53% State Government Securities (02/12/2030)</t>
  </si>
  <si>
    <t>IN1920200459</t>
  </si>
  <si>
    <t>IOIC456</t>
  </si>
  <si>
    <t>7.41% Indian Oil Corporation Limited (22/10/2029) **</t>
  </si>
  <si>
    <t>INE242A08437</t>
  </si>
  <si>
    <t>HURD208</t>
  </si>
  <si>
    <t>8.58% Housing &amp; Urban Development Corporation Limited (14/02/2029) **</t>
  </si>
  <si>
    <t>INE031A08681</t>
  </si>
  <si>
    <t>NHPC117</t>
  </si>
  <si>
    <t>8.12% NHPC Limited (22/03/2029) **</t>
  </si>
  <si>
    <t>INE848E08136</t>
  </si>
  <si>
    <t>NTPC146</t>
  </si>
  <si>
    <t>8.3% NTPC Limited (15/01/2029) **</t>
  </si>
  <si>
    <t>INE733E07KJ7</t>
  </si>
  <si>
    <t>GOI2543</t>
  </si>
  <si>
    <t>7.04% State Government Securities (18/03/2030)</t>
  </si>
  <si>
    <t>IN1520190217</t>
  </si>
  <si>
    <t>NHAI62</t>
  </si>
  <si>
    <t>8.27% National Highways Auth Of Ind (28/03/2029) **</t>
  </si>
  <si>
    <t>INE906B07GP0</t>
  </si>
  <si>
    <t>GOI2517</t>
  </si>
  <si>
    <t>7.78% State Government Securities (24/03/2029)</t>
  </si>
  <si>
    <t>IN2220190143</t>
  </si>
  <si>
    <t>IRLY334</t>
  </si>
  <si>
    <t>7.55% Indian Railway Finance Corporation Limited (06/11/2029) **</t>
  </si>
  <si>
    <t>INE053F07BX7</t>
  </si>
  <si>
    <t>HDFC1107</t>
  </si>
  <si>
    <t>7.40% Housing Development Finance Corporation Limited (28/02/2030) **</t>
  </si>
  <si>
    <t>INE001A07SI2</t>
  </si>
  <si>
    <t>NBAR636</t>
  </si>
  <si>
    <t>6.97% National Bank For Agriculture and Rural Development (17/03/2031) **</t>
  </si>
  <si>
    <t>INE261F08CZ7</t>
  </si>
  <si>
    <t>HDFC1068</t>
  </si>
  <si>
    <t>8.55% Housing Development Finance Corporation Limited (27/03/2029) **</t>
  </si>
  <si>
    <t>INE001A07RT1</t>
  </si>
  <si>
    <t>HDFC1038</t>
  </si>
  <si>
    <t>9% Housing Development Finance Corporation Limited (29/11/2028) **</t>
  </si>
  <si>
    <t>INE001A07RK0</t>
  </si>
  <si>
    <t>NBAR488</t>
  </si>
  <si>
    <t>8.42% National Bank For Agriculture and Rural Development (13/02/2029) **</t>
  </si>
  <si>
    <t>INE261F08BA2</t>
  </si>
  <si>
    <t>PGCI398</t>
  </si>
  <si>
    <t>8.13% Power Grid Corporation of India Limited (25/04/2031) **</t>
  </si>
  <si>
    <t>INE752E07NX2</t>
  </si>
  <si>
    <t>RECL367</t>
  </si>
  <si>
    <t>8.85% REC Limited (16/04/2029) **</t>
  </si>
  <si>
    <t>INE020B08BQ7</t>
  </si>
  <si>
    <t>GOI2734</t>
  </si>
  <si>
    <t>IN1520200156</t>
  </si>
  <si>
    <t>NHAI61</t>
  </si>
  <si>
    <t>8.49% National Highways Auth Of Ind (05/02/2029) **</t>
  </si>
  <si>
    <t>INE906B07GO3</t>
  </si>
  <si>
    <t>HDFC1031</t>
  </si>
  <si>
    <t>9.05% Housing Development Finance Corporation Limited (16/10/2028) **</t>
  </si>
  <si>
    <t>INE001A07RG8</t>
  </si>
  <si>
    <t>POWF441</t>
  </si>
  <si>
    <t>8.85% Power Finance Corporation Limited (25/05/2029) **</t>
  </si>
  <si>
    <t>INE134E08KC1</t>
  </si>
  <si>
    <t>RECL370</t>
  </si>
  <si>
    <t>8.80% REC Limited (14/05/2029) **</t>
  </si>
  <si>
    <t>INE020B08BS3</t>
  </si>
  <si>
    <t>NBAR516</t>
  </si>
  <si>
    <t>8.5% National Bank For Agriculture and Rural Development (27/02/2029) **</t>
  </si>
  <si>
    <t>INE261F08BC8</t>
  </si>
  <si>
    <t>HURD210</t>
  </si>
  <si>
    <t>8.41% Housing &amp; Urban Development Corporation Limited (15/03/2029) **</t>
  </si>
  <si>
    <t>INE031A08699</t>
  </si>
  <si>
    <t>IRLY325</t>
  </si>
  <si>
    <t>8.23% Indian Railway Finance Corporation Limited (29/03/2029) **</t>
  </si>
  <si>
    <t>INE053F07BE7</t>
  </si>
  <si>
    <t>PGCI366</t>
  </si>
  <si>
    <t>8.15% Power Grid Corporation of India Limited (09/03/2030) **</t>
  </si>
  <si>
    <t>INE752E07MK1</t>
  </si>
  <si>
    <t>NBAR511</t>
  </si>
  <si>
    <t>8.15% National Bank For Agriculture and Rural Development (28/03/2029) **</t>
  </si>
  <si>
    <t>INE261F08BH7</t>
  </si>
  <si>
    <t>HDFC1093</t>
  </si>
  <si>
    <t>8.05% Housing Development Finance Corporation Limited (22/10/2029) **</t>
  </si>
  <si>
    <t>INE001A07SB7</t>
  </si>
  <si>
    <t>NHPC124</t>
  </si>
  <si>
    <t>7.5% NHPC Limited (07/10/2027) **</t>
  </si>
  <si>
    <t>INE848E07AQ9</t>
  </si>
  <si>
    <t>GOI2446</t>
  </si>
  <si>
    <t>7.83% State Government Securities (08/04/2030)</t>
  </si>
  <si>
    <t>IN2220200017</t>
  </si>
  <si>
    <t>PGCI403</t>
  </si>
  <si>
    <t>7.55% Power Grid Corporation of India Limited (20/09/2031) **</t>
  </si>
  <si>
    <t>INE752E07OB6</t>
  </si>
  <si>
    <t>NHPC122</t>
  </si>
  <si>
    <t>7.5% NHPC Limited (06/10/2029) **</t>
  </si>
  <si>
    <t>INE848E07AS5</t>
  </si>
  <si>
    <t>POWF460</t>
  </si>
  <si>
    <t>7.79% Power Finance Corporation Limited (22/07/2030) **</t>
  </si>
  <si>
    <t>INE134E08KU3</t>
  </si>
  <si>
    <t>NHAI65</t>
  </si>
  <si>
    <t>7.49% National Highways Auth Of Ind (01/08/2029) **</t>
  </si>
  <si>
    <t>INE906B07HG7</t>
  </si>
  <si>
    <t>POWF464</t>
  </si>
  <si>
    <t>7.4% Power Finance Corporation Limited (08/05/2030) **</t>
  </si>
  <si>
    <t>INE134E08KQ1</t>
  </si>
  <si>
    <t>PGCI363</t>
  </si>
  <si>
    <t>8.20% Power Grid Corporation of India Limited (23/01/2030) **</t>
  </si>
  <si>
    <t>INE752E07MH7</t>
  </si>
  <si>
    <t>IRLY330</t>
  </si>
  <si>
    <t>7.48% Indian Railway Finance Corporation Limited (13/08/2029) **</t>
  </si>
  <si>
    <t>INE053F07BU3</t>
  </si>
  <si>
    <t>IIFC28</t>
  </si>
  <si>
    <t>9.41% India Infrastructure Fin Co Ltd (27/07/2037) **</t>
  </si>
  <si>
    <t>INE787H07057</t>
  </si>
  <si>
    <t>RECL353</t>
  </si>
  <si>
    <t>8.56% REC Limited (29/11/2028)</t>
  </si>
  <si>
    <t>INE020B08BG8</t>
  </si>
  <si>
    <t>GOI1197</t>
  </si>
  <si>
    <t>8.60% Government of India (02/06/2028)</t>
  </si>
  <si>
    <t>IN0020140011</t>
  </si>
  <si>
    <t>IPPL01</t>
  </si>
  <si>
    <t>Indigo Paints Limited</t>
  </si>
  <si>
    <t>INE09VQ01012</t>
  </si>
  <si>
    <t>COAL01</t>
  </si>
  <si>
    <t>Coal India Limited</t>
  </si>
  <si>
    <t>INE522F01014</t>
  </si>
  <si>
    <t>Minerals/Mining</t>
  </si>
  <si>
    <t>MUND02</t>
  </si>
  <si>
    <t>Adani Ports and Special Economic Zone Limited</t>
  </si>
  <si>
    <t>INE742F01042</t>
  </si>
  <si>
    <t>ROLR01</t>
  </si>
  <si>
    <t>Rolex Rings Limited</t>
  </si>
  <si>
    <t>INE645S01016</t>
  </si>
  <si>
    <t>TELC03</t>
  </si>
  <si>
    <t>Tata Motors Limited</t>
  </si>
  <si>
    <t>INE155A01022</t>
  </si>
  <si>
    <t>SAIL01</t>
  </si>
  <si>
    <t>Steel Authority of India Limited</t>
  </si>
  <si>
    <t>INE114A01011</t>
  </si>
  <si>
    <t>TPOW02</t>
  </si>
  <si>
    <t>Tata Power Company Limited</t>
  </si>
  <si>
    <t>INE245A01021</t>
  </si>
  <si>
    <t>Power</t>
  </si>
  <si>
    <t>DRRL02</t>
  </si>
  <si>
    <t>Dr. Reddy's Laboratories Limited</t>
  </si>
  <si>
    <t>INE089A01023</t>
  </si>
  <si>
    <t>NMDC01</t>
  </si>
  <si>
    <t>NMDC Limited</t>
  </si>
  <si>
    <t>INE584A01023</t>
  </si>
  <si>
    <t>BPCL01</t>
  </si>
  <si>
    <t>Bharat Petroleum Corporation Limited</t>
  </si>
  <si>
    <t>INE029A01011</t>
  </si>
  <si>
    <t>IGAS02</t>
  </si>
  <si>
    <t>Indraprastha Gas Limited</t>
  </si>
  <si>
    <t>INE203G01027</t>
  </si>
  <si>
    <t>Gas</t>
  </si>
  <si>
    <t>GAIL01</t>
  </si>
  <si>
    <t>GAIL (India) Limited</t>
  </si>
  <si>
    <t>INE129A01019</t>
  </si>
  <si>
    <t>JSPL03</t>
  </si>
  <si>
    <t>Jindal Steel &amp; Power Limited</t>
  </si>
  <si>
    <t>INE749A01030</t>
  </si>
  <si>
    <t>ADAN02</t>
  </si>
  <si>
    <t>Adani Enterprises Limited</t>
  </si>
  <si>
    <t>INE423A01024</t>
  </si>
  <si>
    <t>SHTR01</t>
  </si>
  <si>
    <t>Shriram Transport Finance Company Limited</t>
  </si>
  <si>
    <t>INE721A01013</t>
  </si>
  <si>
    <t>BATA02</t>
  </si>
  <si>
    <t>Bata India Limited</t>
  </si>
  <si>
    <t>INE176A01028</t>
  </si>
  <si>
    <t>STAR01</t>
  </si>
  <si>
    <t>Strides Pharma Science Limited</t>
  </si>
  <si>
    <t>INE939A01011</t>
  </si>
  <si>
    <t>BHFO02</t>
  </si>
  <si>
    <t>Bharat Forge Limited</t>
  </si>
  <si>
    <t>INE465A01025</t>
  </si>
  <si>
    <t>CANB01</t>
  </si>
  <si>
    <t>Canara Bank</t>
  </si>
  <si>
    <t>INE476A01014</t>
  </si>
  <si>
    <t>LICH02</t>
  </si>
  <si>
    <t>LIC Housing Finance Limited</t>
  </si>
  <si>
    <t>INE115A01026</t>
  </si>
  <si>
    <t>SESA02</t>
  </si>
  <si>
    <t>Vedanta Limited</t>
  </si>
  <si>
    <t>INE205A01025</t>
  </si>
  <si>
    <t>Non - Ferrous Metals</t>
  </si>
  <si>
    <t>Index / Stock Futures</t>
  </si>
  <si>
    <t>SESAOCT21</t>
  </si>
  <si>
    <t>Vedanta Limited October 2021 Future</t>
  </si>
  <si>
    <t>LICHOCT21</t>
  </si>
  <si>
    <t>LIC Housing Finance Limited October 2021 Future</t>
  </si>
  <si>
    <t>CANBOCT21</t>
  </si>
  <si>
    <t>Canara Bank October 2021 Future</t>
  </si>
  <si>
    <t>HDFCOCT21</t>
  </si>
  <si>
    <t>Housing Development Finance Corporation Limited October 2021 Future</t>
  </si>
  <si>
    <t>BHFOOCT21</t>
  </si>
  <si>
    <t>Bharat Forge Limited October 2021 Future</t>
  </si>
  <si>
    <t>STAROCT21</t>
  </si>
  <si>
    <t>Strides Pharma Science Limited October 2021 Future</t>
  </si>
  <si>
    <t>ULCCOCT21</t>
  </si>
  <si>
    <t>UltraTech Cement Limited October 2021 Future</t>
  </si>
  <si>
    <t>BATAOCT21</t>
  </si>
  <si>
    <t>Bata India Limited October 2021 Future</t>
  </si>
  <si>
    <t>MAUDOCT21</t>
  </si>
  <si>
    <t>Maruti Suzuki India Limited October 2021 Future</t>
  </si>
  <si>
    <t>SHTROCT21</t>
  </si>
  <si>
    <t>Shriram Transport Finance Company Limited October 2021 Future</t>
  </si>
  <si>
    <t>ADANOCT21</t>
  </si>
  <si>
    <t>Adani Enterprises Limited October 2021 Future</t>
  </si>
  <si>
    <t>JSPLOCT21</t>
  </si>
  <si>
    <t>Jindal Steel &amp; Power Limited October 2021 Future</t>
  </si>
  <si>
    <t>TTEAOCT21</t>
  </si>
  <si>
    <t>Tata Consumer Products Limited October 2021 Future</t>
  </si>
  <si>
    <t>GAILOCT21</t>
  </si>
  <si>
    <t>GAIL (India) Limited October 2021 Future</t>
  </si>
  <si>
    <t>IGASOCT21</t>
  </si>
  <si>
    <t>Indraprastha Gas Limited October 2021 Future</t>
  </si>
  <si>
    <t>BPCLOCT21</t>
  </si>
  <si>
    <t>Bharat Petroleum Corporation Limited October 2021 Future</t>
  </si>
  <si>
    <t>NMDCOCT21</t>
  </si>
  <si>
    <t>NMDC Limited October 2021 Future</t>
  </si>
  <si>
    <t>CHOLOCT21</t>
  </si>
  <si>
    <t>Cholamandalam Investment and Finance Company Limited October 2021 Future</t>
  </si>
  <si>
    <t>DABUOCT21</t>
  </si>
  <si>
    <t>Dabur India Limited October 2021 Future</t>
  </si>
  <si>
    <t>DRRLOCT21</t>
  </si>
  <si>
    <t>Dr. Reddy's Laboratories Limited October 2021 Future</t>
  </si>
  <si>
    <t>PEFROCT21</t>
  </si>
  <si>
    <t>Aditya Birla Fashion and Retail Limited October 2021 Future</t>
  </si>
  <si>
    <t>KMBKOCT21</t>
  </si>
  <si>
    <t>Kotak Mahindra Bank Limited October 2021 Future</t>
  </si>
  <si>
    <t>TWATOCT21</t>
  </si>
  <si>
    <t>Titan Company Limited October 2021 Future</t>
  </si>
  <si>
    <t>TPOWOCT21</t>
  </si>
  <si>
    <t>Tata Power Company Limited October 2021 Future</t>
  </si>
  <si>
    <t>TISCOCT21</t>
  </si>
  <si>
    <t>Tata Steel Limited October 2021 Future</t>
  </si>
  <si>
    <t>SAILOCT21</t>
  </si>
  <si>
    <t>Steel Authority of India Limited October 2021 Future</t>
  </si>
  <si>
    <t>TELCOCT21</t>
  </si>
  <si>
    <t>Tata Motors Limited October 2021 Future</t>
  </si>
  <si>
    <t>TEMAOCT21</t>
  </si>
  <si>
    <t>Tech Mahindra Limited October 2021 Future</t>
  </si>
  <si>
    <t>MAHIOCT21</t>
  </si>
  <si>
    <t>Mahindra &amp; Mahindra Limited October 2021 Future</t>
  </si>
  <si>
    <t>GUAMOCT21</t>
  </si>
  <si>
    <t>Ambuja Cements Limited October 2021 Future</t>
  </si>
  <si>
    <t>MUNDOCT21</t>
  </si>
  <si>
    <t>Adani Ports and Special Economic Zone Limited October 2021 Future</t>
  </si>
  <si>
    <t>HLELOCT21</t>
  </si>
  <si>
    <t>Hindustan Unilever Limited October 2021 Future</t>
  </si>
  <si>
    <t>DIVIOCT21</t>
  </si>
  <si>
    <t>Divi's Laboratories Limited October 2021 Future</t>
  </si>
  <si>
    <t>COALOCT21</t>
  </si>
  <si>
    <t>Coal India Limited October 2021 Future</t>
  </si>
  <si>
    <t>HAILOCT21</t>
  </si>
  <si>
    <t>Havells India Limited October 2021 Future</t>
  </si>
  <si>
    <t>INFSOCT21</t>
  </si>
  <si>
    <t>Infosys Limited October 2021 Future</t>
  </si>
  <si>
    <t>IBCLOCT21</t>
  </si>
  <si>
    <t>ICICI Bank Limited October 2021 Future</t>
  </si>
  <si>
    <t>ASPAOCT21</t>
  </si>
  <si>
    <t>Asian Paints Limited October 2021 Future</t>
  </si>
  <si>
    <t>BAFLOCT21</t>
  </si>
  <si>
    <t>Bajaj Finance Limited October 2021 Future</t>
  </si>
  <si>
    <t>TCSLOCT21</t>
  </si>
  <si>
    <t>Tata Consultancy Services Limited October 2021 Future</t>
  </si>
  <si>
    <t>RINDOCT21</t>
  </si>
  <si>
    <t>Reliance Industries Limited October 2021 Future</t>
  </si>
  <si>
    <t>NIFYOCT21</t>
  </si>
  <si>
    <t>Nifty 50 Index October 2021 Future</t>
  </si>
  <si>
    <t>N21L15500P</t>
  </si>
  <si>
    <t>Nifty 50 Index 15500 Put December 2021 Option</t>
  </si>
  <si>
    <t>POWF452</t>
  </si>
  <si>
    <t>7.86% Power Finance Corporation Limited (12/04/2030) **</t>
  </si>
  <si>
    <t>INE134E08KK4</t>
  </si>
  <si>
    <t>NIMA338</t>
  </si>
  <si>
    <t>9.5% Nirma Limited (06/07/2077) **</t>
  </si>
  <si>
    <t>INE091A08149</t>
  </si>
  <si>
    <t>CRISIL AA-</t>
  </si>
  <si>
    <t>IRLY317</t>
  </si>
  <si>
    <t>8.45% Indian Railway Finance Corporation Limited (04/12/2028) **</t>
  </si>
  <si>
    <t>INE053F07AY7</t>
  </si>
  <si>
    <t>NHPC126</t>
  </si>
  <si>
    <t>7.5% NHPC Limited (07/10/2025) **</t>
  </si>
  <si>
    <t>INE848E07AO4</t>
  </si>
  <si>
    <t>IBCL1054</t>
  </si>
  <si>
    <t>9.15% ICICI Bank Limited (20/06/2023) **</t>
  </si>
  <si>
    <t>INE090A08UB4</t>
  </si>
  <si>
    <t>ICRA AA+</t>
  </si>
  <si>
    <t>NBAR351</t>
  </si>
  <si>
    <t>7.69% National Bank For Agriculture and Rural Development (31/03/2032) **</t>
  </si>
  <si>
    <t>INE261F08832</t>
  </si>
  <si>
    <t>CGPO20</t>
  </si>
  <si>
    <t>9.70% Coastal Gujarat Power Limited (25/08/2023) **</t>
  </si>
  <si>
    <t>INE295J08014</t>
  </si>
  <si>
    <t>CARE AA(CE)</t>
  </si>
  <si>
    <t>FDUT897</t>
  </si>
  <si>
    <t>3% Axis Bank Limited (22/07/2022)</t>
  </si>
  <si>
    <t>371</t>
  </si>
  <si>
    <t>FDUT858</t>
  </si>
  <si>
    <t>3% Axis Bank Limited (03/03/2022)</t>
  </si>
  <si>
    <t>366</t>
  </si>
  <si>
    <t>FDUT899</t>
  </si>
  <si>
    <t>3% Axis Bank Limited (28/07/2022)</t>
  </si>
  <si>
    <t>FDUT906</t>
  </si>
  <si>
    <t>3% Axis Bank Limited (22/08/2022)</t>
  </si>
  <si>
    <t>370</t>
  </si>
  <si>
    <t>DLFL01</t>
  </si>
  <si>
    <t>DLF Limited</t>
  </si>
  <si>
    <t>INE271C01023</t>
  </si>
  <si>
    <t>PIDI02</t>
  </si>
  <si>
    <t>Pidilite Industries Limited</t>
  </si>
  <si>
    <t>INE318A01026</t>
  </si>
  <si>
    <t>CIPL03</t>
  </si>
  <si>
    <t>Cipla Limited</t>
  </si>
  <si>
    <t>INE059A01026</t>
  </si>
  <si>
    <t>CHEL02</t>
  </si>
  <si>
    <t>Cadila Healthcare Limited</t>
  </si>
  <si>
    <t>INE010B01027</t>
  </si>
  <si>
    <t>HDLI01</t>
  </si>
  <si>
    <t>HDFC Life Insurance Company Limited</t>
  </si>
  <si>
    <t>INE795G01014</t>
  </si>
  <si>
    <t>ACCL02</t>
  </si>
  <si>
    <t>ACC Limited</t>
  </si>
  <si>
    <t>INE012A01025</t>
  </si>
  <si>
    <t>NACL03</t>
  </si>
  <si>
    <t>National Aluminium Company Limited</t>
  </si>
  <si>
    <t>INE139A01034</t>
  </si>
  <si>
    <t>NICH02</t>
  </si>
  <si>
    <t>Piramal Enterprises Limited</t>
  </si>
  <si>
    <t>INE140A01024</t>
  </si>
  <si>
    <t>BALI02</t>
  </si>
  <si>
    <t>Balkrishna Industries Limited</t>
  </si>
  <si>
    <t>INE787D01026</t>
  </si>
  <si>
    <t>AUPH03</t>
  </si>
  <si>
    <t>Aurobindo Pharma Limited</t>
  </si>
  <si>
    <t>INE406A01037</t>
  </si>
  <si>
    <t>JVSL04</t>
  </si>
  <si>
    <t>JSW Steel Limited</t>
  </si>
  <si>
    <t>INE019A01038</t>
  </si>
  <si>
    <t>HINI02</t>
  </si>
  <si>
    <t>Hindalco Industries Limited</t>
  </si>
  <si>
    <t>INE038A01020</t>
  </si>
  <si>
    <t>SECH03</t>
  </si>
  <si>
    <t>UPL Limited</t>
  </si>
  <si>
    <t>INE628A01036</t>
  </si>
  <si>
    <t>ESCO01</t>
  </si>
  <si>
    <t>Escorts Limited</t>
  </si>
  <si>
    <t>INE042A01014</t>
  </si>
  <si>
    <t>GLPH03</t>
  </si>
  <si>
    <t>Glenmark Pharmaceuticals Limited</t>
  </si>
  <si>
    <t>INE935A01035</t>
  </si>
  <si>
    <t>HCLT02</t>
  </si>
  <si>
    <t>HCL Technologies Limited</t>
  </si>
  <si>
    <t>INE860A01027</t>
  </si>
  <si>
    <t>GRAS02</t>
  </si>
  <si>
    <t>Grasim Industries Limited</t>
  </si>
  <si>
    <t>INE047A01021</t>
  </si>
  <si>
    <t>BIOC01</t>
  </si>
  <si>
    <t>Biocon Limited</t>
  </si>
  <si>
    <t>INE376G01013</t>
  </si>
  <si>
    <t>BKBA02</t>
  </si>
  <si>
    <t>Bank of Baroda</t>
  </si>
  <si>
    <t>INE028A01039</t>
  </si>
  <si>
    <t>HPEC01</t>
  </si>
  <si>
    <t>Hindustan Petroleum Corporation Limited</t>
  </si>
  <si>
    <t>INE094A01015</t>
  </si>
  <si>
    <t>KCUL02</t>
  </si>
  <si>
    <t>Cummins India Limited</t>
  </si>
  <si>
    <t>INE298A01020</t>
  </si>
  <si>
    <t>MAFS02</t>
  </si>
  <si>
    <t>Mahindra &amp; Mahindra Financial Services Limited</t>
  </si>
  <si>
    <t>INE774D01024</t>
  </si>
  <si>
    <t>IFEL01</t>
  </si>
  <si>
    <t>Oracle Financial Services Software Limited</t>
  </si>
  <si>
    <t>INE881D01027</t>
  </si>
  <si>
    <t>MUFL01</t>
  </si>
  <si>
    <t>Muthoot Finance Limited</t>
  </si>
  <si>
    <t>INE414G01012</t>
  </si>
  <si>
    <t>CANH02</t>
  </si>
  <si>
    <t>Can Fin Homes Limited</t>
  </si>
  <si>
    <t>INE477A01020</t>
  </si>
  <si>
    <t>LTFL01</t>
  </si>
  <si>
    <t>L&amp;T Finance Holdings Limited</t>
  </si>
  <si>
    <t>INE498L01015</t>
  </si>
  <si>
    <t>RELC01</t>
  </si>
  <si>
    <t>REC Limited</t>
  </si>
  <si>
    <t>INE020B01018</t>
  </si>
  <si>
    <t>CHLO02</t>
  </si>
  <si>
    <t>Exide Industries Limited</t>
  </si>
  <si>
    <t>INE302A01020</t>
  </si>
  <si>
    <t>GRAN02</t>
  </si>
  <si>
    <t>Granules India Limited</t>
  </si>
  <si>
    <t>INE101D01020</t>
  </si>
  <si>
    <t>PLNG01</t>
  </si>
  <si>
    <t>Petronet LNG Limited</t>
  </si>
  <si>
    <t>INE347G01014</t>
  </si>
  <si>
    <t>AMRA03</t>
  </si>
  <si>
    <t>Amara Raja Batteries Limited</t>
  </si>
  <si>
    <t>INE885A01032</t>
  </si>
  <si>
    <t>ALKE01</t>
  </si>
  <si>
    <t>Alkem Laboratories Limited</t>
  </si>
  <si>
    <t>INE540L01014</t>
  </si>
  <si>
    <t>MRFL01</t>
  </si>
  <si>
    <t>MRF Limited</t>
  </si>
  <si>
    <t>INE883A01011</t>
  </si>
  <si>
    <t>SYNI01</t>
  </si>
  <si>
    <t>Syngene International Limited</t>
  </si>
  <si>
    <t>INE398R01022</t>
  </si>
  <si>
    <t>POCA01</t>
  </si>
  <si>
    <t>Polycab India Limited</t>
  </si>
  <si>
    <t>INE455K01017</t>
  </si>
  <si>
    <t>PFIZ01</t>
  </si>
  <si>
    <t>Pfizer Limited</t>
  </si>
  <si>
    <t>INE182A01018</t>
  </si>
  <si>
    <t>TOPH02</t>
  </si>
  <si>
    <t>Torrent Pharmaceuticals Limited</t>
  </si>
  <si>
    <t>INE685A01028</t>
  </si>
  <si>
    <t>GGLT02</t>
  </si>
  <si>
    <t>Gujarat Gas Limited</t>
  </si>
  <si>
    <t>INE844O01030</t>
  </si>
  <si>
    <t>TCHE01</t>
  </si>
  <si>
    <t>Tata Chemicals Limited</t>
  </si>
  <si>
    <t>INE092A01019</t>
  </si>
  <si>
    <t>SUNT02</t>
  </si>
  <si>
    <t>Sun TV Network Limited</t>
  </si>
  <si>
    <t>INE424H01027</t>
  </si>
  <si>
    <t>BHAH02</t>
  </si>
  <si>
    <t>Bharat Heavy Electricals Limited</t>
  </si>
  <si>
    <t>INE257A01026</t>
  </si>
  <si>
    <t>DENI02</t>
  </si>
  <si>
    <t>Deepak Nitrite Limited</t>
  </si>
  <si>
    <t>INE288B01029</t>
  </si>
  <si>
    <t>ALPM01</t>
  </si>
  <si>
    <t>Alembic Pharmaceuticals Limited</t>
  </si>
  <si>
    <t>INE901L01018</t>
  </si>
  <si>
    <t>MAGL01</t>
  </si>
  <si>
    <t>Mahanagar Gas Limited</t>
  </si>
  <si>
    <t>INE002S01010</t>
  </si>
  <si>
    <t>LUPL02</t>
  </si>
  <si>
    <t>Lupin Limited</t>
  </si>
  <si>
    <t>INE326A01037</t>
  </si>
  <si>
    <t>TOPL01</t>
  </si>
  <si>
    <t>Torrent Power Limited</t>
  </si>
  <si>
    <t>INE813H01021</t>
  </si>
  <si>
    <t>SIEM02</t>
  </si>
  <si>
    <t>Siemens Limited</t>
  </si>
  <si>
    <t>INE003A01024</t>
  </si>
  <si>
    <t>LTIL01</t>
  </si>
  <si>
    <t>Larsen &amp; Toubro Infotech Limited</t>
  </si>
  <si>
    <t>INE214T01019</t>
  </si>
  <si>
    <t>LTILOCT21</t>
  </si>
  <si>
    <t>Larsen &amp; Toubro Infotech Limited October 2021 Future</t>
  </si>
  <si>
    <t>SIEMOCT21</t>
  </si>
  <si>
    <t>Siemens Limited October 2021 Future</t>
  </si>
  <si>
    <t>LARSOCT21</t>
  </si>
  <si>
    <t>Larsen &amp; Toubro Limited October 2021 Future</t>
  </si>
  <si>
    <t>TOPLOCT21</t>
  </si>
  <si>
    <t>Torrent Power Limited October 2021 Future</t>
  </si>
  <si>
    <t>LUPLOCT21</t>
  </si>
  <si>
    <t>Lupin Limited October 2021 Future</t>
  </si>
  <si>
    <t>MAGLOCT21</t>
  </si>
  <si>
    <t>Mahanagar Gas Limited October 2021 Future</t>
  </si>
  <si>
    <t>ALPMOCT21</t>
  </si>
  <si>
    <t>Alembic Pharmaceuticals Limited October 2021 Future</t>
  </si>
  <si>
    <t>DENIOCT21</t>
  </si>
  <si>
    <t>Deepak Nitrite Limited October 2021 Future</t>
  </si>
  <si>
    <t>LAKMOCT21</t>
  </si>
  <si>
    <t>Trent Limited October 2021 Future</t>
  </si>
  <si>
    <t>BRITOCT21</t>
  </si>
  <si>
    <t>Britannia Industries Limited October 2021 Future</t>
  </si>
  <si>
    <t>IEINOCT21</t>
  </si>
  <si>
    <t>Info Edge (India) Limited October 2021 Future</t>
  </si>
  <si>
    <t>BHAHOCT21</t>
  </si>
  <si>
    <t>Bharat Heavy Electricals Limited October 2021 Future</t>
  </si>
  <si>
    <t>SUNTOCT21</t>
  </si>
  <si>
    <t>Sun TV Network Limited October 2021 Future</t>
  </si>
  <si>
    <t>TCHEOCT21</t>
  </si>
  <si>
    <t>Tata Chemicals Limited October 2021 Future</t>
  </si>
  <si>
    <t>GGLTOCT21</t>
  </si>
  <si>
    <t>Gujarat Gas Limited October 2021 Future</t>
  </si>
  <si>
    <t>AFPLOCT21</t>
  </si>
  <si>
    <t>AU Small Finance Bank Limited October 2021 Future</t>
  </si>
  <si>
    <t>MCELOCT21</t>
  </si>
  <si>
    <t>The Ramco Cements Limited October 2021 Future</t>
  </si>
  <si>
    <t>IIBLOCT21</t>
  </si>
  <si>
    <t>IndusInd Bank Limited October 2021 Future</t>
  </si>
  <si>
    <t>TOPHOCT21</t>
  </si>
  <si>
    <t>Torrent Pharmaceuticals Limited October 2021 Future</t>
  </si>
  <si>
    <t>PFIZOCT21</t>
  </si>
  <si>
    <t>Pfizer Limited October 2021 Future</t>
  </si>
  <si>
    <t>SRFLOCT21</t>
  </si>
  <si>
    <t>SRF Limited October 2021 Future</t>
  </si>
  <si>
    <t>POCAOCT21</t>
  </si>
  <si>
    <t>Polycab India Limited October 2021 Future</t>
  </si>
  <si>
    <t>SYNIOCT21</t>
  </si>
  <si>
    <t>Syngene International Limited October 2021 Future</t>
  </si>
  <si>
    <t>MRFLOCT21</t>
  </si>
  <si>
    <t>MRF Limited October 2021 Future</t>
  </si>
  <si>
    <t>ALKEOCT21</t>
  </si>
  <si>
    <t>Alkem Laboratories Limited October 2021 Future</t>
  </si>
  <si>
    <t>AMRAOCT21</t>
  </si>
  <si>
    <t>Amara Raja Batteries Limited October 2021 Future</t>
  </si>
  <si>
    <t>PLNGOCT21</t>
  </si>
  <si>
    <t>Petronet LNG Limited October 2021 Future</t>
  </si>
  <si>
    <t>PIDIOCT21</t>
  </si>
  <si>
    <t>Pidilite Industries Limited October 2021 Future</t>
  </si>
  <si>
    <t>GRANOCT21</t>
  </si>
  <si>
    <t>Granules India Limited October 2021 Future</t>
  </si>
  <si>
    <t>CHLOOCT21</t>
  </si>
  <si>
    <t>Exide Industries Limited October 2021 Future</t>
  </si>
  <si>
    <t>RELCOCT21</t>
  </si>
  <si>
    <t>REC Limited October 2021 Future</t>
  </si>
  <si>
    <t>CCOIOCT21</t>
  </si>
  <si>
    <t>Container Corporation of India Limited October 2021 Future</t>
  </si>
  <si>
    <t>LTFHOCT21</t>
  </si>
  <si>
    <t>L&amp;T Finance Holdings Limited October 2021 Future</t>
  </si>
  <si>
    <t>CANHOCT21</t>
  </si>
  <si>
    <t>Can Fin Homes Limited October 2021 Future</t>
  </si>
  <si>
    <t>HEROOCT21</t>
  </si>
  <si>
    <t>Hero MotoCorp Limited October 2021 Future</t>
  </si>
  <si>
    <t>MUFLOCT21</t>
  </si>
  <si>
    <t>Muthoot Finance Limited October 2021 Future</t>
  </si>
  <si>
    <t>IFELOCT21</t>
  </si>
  <si>
    <t>Oracle Financial Services Software Limited October 2021 Future</t>
  </si>
  <si>
    <t>MMFSOCT21</t>
  </si>
  <si>
    <t>Mahindra &amp; Mahindra Financial Services Limited October 2021 Future</t>
  </si>
  <si>
    <t>FEBAOCT21</t>
  </si>
  <si>
    <t>The Federal Bank  Limited October 2021 Future</t>
  </si>
  <si>
    <t>KCULOCT21</t>
  </si>
  <si>
    <t>Cummins India Limited October 2021 Future</t>
  </si>
  <si>
    <t>HPECOCT21</t>
  </si>
  <si>
    <t>Hindustan Petroleum Corporation Limited October 2021 Future</t>
  </si>
  <si>
    <t>BKBAOCT21</t>
  </si>
  <si>
    <t>Bank of Baroda October 2021 Future</t>
  </si>
  <si>
    <t>PUBAOCT21</t>
  </si>
  <si>
    <t>Punjab National Bank October 2021 Future</t>
  </si>
  <si>
    <t>BIOCOCT21</t>
  </si>
  <si>
    <t>Biocon Limited October 2021 Future</t>
  </si>
  <si>
    <t>GRASOCT21</t>
  </si>
  <si>
    <t>Grasim Industries Limited October 2021 Future</t>
  </si>
  <si>
    <t>IRCTOCT21</t>
  </si>
  <si>
    <t>Indian Railway Catering And Tourism Corporation Limited October 2021 Future</t>
  </si>
  <si>
    <t>APOLOCT21</t>
  </si>
  <si>
    <t>Apollo Hospitals Enterprise Limited October 2021 Future</t>
  </si>
  <si>
    <t>HCLTOCT21</t>
  </si>
  <si>
    <t>HCL Technologies Limited October 2021 Future</t>
  </si>
  <si>
    <t>GLPHOCT21</t>
  </si>
  <si>
    <t>Glenmark Pharmaceuticals Limited October 2021 Future</t>
  </si>
  <si>
    <t>ESCOOCT21</t>
  </si>
  <si>
    <t>Escorts Limited October 2021 Future</t>
  </si>
  <si>
    <t>MARCOCT21</t>
  </si>
  <si>
    <t>Marico Limited October 2021 Future</t>
  </si>
  <si>
    <t>SECHOCT21</t>
  </si>
  <si>
    <t>UPL Limited October 2021 Future</t>
  </si>
  <si>
    <t>SHCEOCT21</t>
  </si>
  <si>
    <t>Shree Cement Limited October 2021 Future</t>
  </si>
  <si>
    <t>ITCLOCT21</t>
  </si>
  <si>
    <t>ITC Limited October 2021 Future</t>
  </si>
  <si>
    <t>HINIOCT21</t>
  </si>
  <si>
    <t>Hindalco Industries Limited October 2021 Future</t>
  </si>
  <si>
    <t>JVSLOCT21</t>
  </si>
  <si>
    <t>JSW Steel Limited October 2021 Future</t>
  </si>
  <si>
    <t>SPILOCT21</t>
  </si>
  <si>
    <t>Sun Pharmaceutical Industries Limited October 2021 Future</t>
  </si>
  <si>
    <t>AUPHOCT21</t>
  </si>
  <si>
    <t>Aurobindo Pharma Limited October 2021 Future</t>
  </si>
  <si>
    <t>NITLOCT21</t>
  </si>
  <si>
    <t>Coforge Limited October 2021 Future</t>
  </si>
  <si>
    <t>BALIOCT21</t>
  </si>
  <si>
    <t>Balkrishna Industries Limited October 2021 Future</t>
  </si>
  <si>
    <t>NICHOCT21</t>
  </si>
  <si>
    <t>Piramal Enterprises Limited October 2021 Future</t>
  </si>
  <si>
    <t>BALNOCT21</t>
  </si>
  <si>
    <t>Bajaj Auto Limited October 2021 Future</t>
  </si>
  <si>
    <t>NACLOCT21</t>
  </si>
  <si>
    <t>National Aluminium Company Limited October 2021 Future</t>
  </si>
  <si>
    <t>ACCLOCT21</t>
  </si>
  <si>
    <t>ACC Limited October 2021 Future</t>
  </si>
  <si>
    <t>BFSLOCT21</t>
  </si>
  <si>
    <t>Bajaj Finserv Limited October 2021 Future</t>
  </si>
  <si>
    <t>MCSPOCT21</t>
  </si>
  <si>
    <t>United Spirits Limited October 2021 Future</t>
  </si>
  <si>
    <t>MOSUOCT21</t>
  </si>
  <si>
    <t>Motherson Sumi Systems Limited October 2021 Future</t>
  </si>
  <si>
    <t>ZEETOCT21</t>
  </si>
  <si>
    <t>Zee Entertainment Enterprises Limited October 2021 Future</t>
  </si>
  <si>
    <t>HDLIOCT21</t>
  </si>
  <si>
    <t>HDFC Life Insurance Company Limited October 2021 Future</t>
  </si>
  <si>
    <t>CHELOCT21</t>
  </si>
  <si>
    <t>Cadila Healthcare Limited October 2021 Future</t>
  </si>
  <si>
    <t>SBAIOCT21</t>
  </si>
  <si>
    <t>State Bank of India October 2021 Future</t>
  </si>
  <si>
    <t>MMFS1133</t>
  </si>
  <si>
    <t>6.95% Mahindra &amp; Mahindra Financial Services Limited (16/06/2022) **</t>
  </si>
  <si>
    <t>INE774D07TR7</t>
  </si>
  <si>
    <t>KMIL361</t>
  </si>
  <si>
    <t>7.71% Kotak Mahindra Investments Limited (21/12/2021) **</t>
  </si>
  <si>
    <t>INE975F07GZ5</t>
  </si>
  <si>
    <t>AFGL299</t>
  </si>
  <si>
    <t>L&amp;T Finance Limited (22/12/2021) **</t>
  </si>
  <si>
    <t>INE027E14LE9</t>
  </si>
  <si>
    <t>AFGL295</t>
  </si>
  <si>
    <t>L&amp;T Finance Limited (07/12/2021) **</t>
  </si>
  <si>
    <t>INE027E14KX1</t>
  </si>
  <si>
    <t>SKFS59</t>
  </si>
  <si>
    <t>Sharekhan BNP Paribas Financial Services Limited (03/11/2021) **</t>
  </si>
  <si>
    <t>INE550X14664</t>
  </si>
  <si>
    <t>ICBR335</t>
  </si>
  <si>
    <t>ICICI Securities Limited (27/05/2022) **</t>
  </si>
  <si>
    <t>INE763G14KW8</t>
  </si>
  <si>
    <t>TBIL1906</t>
  </si>
  <si>
    <t>182 Days Tbill (MD 02/12/2021)</t>
  </si>
  <si>
    <t>IN002021Y098</t>
  </si>
  <si>
    <t>144754</t>
  </si>
  <si>
    <t>Axis Ultra Short Term Fund - Direct Plan Growth</t>
  </si>
  <si>
    <t>INF846K01F40</t>
  </si>
  <si>
    <t>120389</t>
  </si>
  <si>
    <t>Axis Liquid Fund - Direct Plan - Growth Option</t>
  </si>
  <si>
    <t>INF846K01CX4</t>
  </si>
  <si>
    <t>GRIN02</t>
  </si>
  <si>
    <t>Grindwell Norton Limited</t>
  </si>
  <si>
    <t>INE536A01023</t>
  </si>
  <si>
    <t>SMFP01L</t>
  </si>
  <si>
    <t>Suryoday Small Finance Bank Limited</t>
  </si>
  <si>
    <t>INE428Q01011</t>
  </si>
  <si>
    <t>AIAH21</t>
  </si>
  <si>
    <t>7.39% Air India Assets Holding Limited (22/10/2029) **</t>
  </si>
  <si>
    <t>INE0AED08037</t>
  </si>
  <si>
    <t>TMLF452</t>
  </si>
  <si>
    <t>TMF Holdings Limited (11/11/2022) (ZCB) **</t>
  </si>
  <si>
    <t>INE909H08287</t>
  </si>
  <si>
    <t>ICRA AA-</t>
  </si>
  <si>
    <t>BKBA281</t>
  </si>
  <si>
    <t>9.14% Bank of Baroda (22/03/2022) **</t>
  </si>
  <si>
    <t>INE028A08091</t>
  </si>
  <si>
    <t>PUBA951</t>
  </si>
  <si>
    <t>7.25% Punjab National Bank (29/07/2030) **</t>
  </si>
  <si>
    <t>INE160A08159</t>
  </si>
  <si>
    <t>DLFL37</t>
  </si>
  <si>
    <t>8.25% DLF Limited (25/03/2024) **</t>
  </si>
  <si>
    <t>INE271C07202</t>
  </si>
  <si>
    <t>ICRA A+</t>
  </si>
  <si>
    <t>TPOW45</t>
  </si>
  <si>
    <t>10.75% Tata Power Company Limited (21/08/2072) **</t>
  </si>
  <si>
    <t>INE245A08042</t>
  </si>
  <si>
    <t>CRISIL AA</t>
  </si>
  <si>
    <t>NBAR471</t>
  </si>
  <si>
    <t>8.22% National Bank For Agriculture and Rural Development (13/12/2028) **</t>
  </si>
  <si>
    <t>INE261F08AV0</t>
  </si>
  <si>
    <t>BHAT38</t>
  </si>
  <si>
    <t>8.90% Bharti Telecom Limited (17/02/2022) **</t>
  </si>
  <si>
    <t>INE403D08066</t>
  </si>
  <si>
    <t>SESA507</t>
  </si>
  <si>
    <t>8.75% Vedanta Limited (30/06/2022) **</t>
  </si>
  <si>
    <t>INE205A07188</t>
  </si>
  <si>
    <t>MMFS731</t>
  </si>
  <si>
    <t>10.50% Mahindra &amp; Mahindra Financial Services Limited (13/12/2021) **</t>
  </si>
  <si>
    <t>INE774D08KX2</t>
  </si>
  <si>
    <t>FDUT880</t>
  </si>
  <si>
    <t>3% Axis Bank Limited (17/05/2022)</t>
  </si>
  <si>
    <t>372</t>
  </si>
  <si>
    <t>WIPR02</t>
  </si>
  <si>
    <t>Wipro Limited</t>
  </si>
  <si>
    <t>INE075A01022</t>
  </si>
  <si>
    <t>BTVL03RF</t>
  </si>
  <si>
    <t>INE397D20024</t>
  </si>
  <si>
    <t>FDUT901</t>
  </si>
  <si>
    <t>3% Axis Bank Limited (01/08/2022)</t>
  </si>
  <si>
    <t>FDUT900</t>
  </si>
  <si>
    <t>3% Axis Bank Limited (29/07/2022)</t>
  </si>
  <si>
    <t>FDUT907</t>
  </si>
  <si>
    <t>3% Axis Bank Limited (24/08/2022)</t>
  </si>
  <si>
    <t>FDUT905</t>
  </si>
  <si>
    <t>3% Axis Bank Limited (19/08/2022)</t>
  </si>
  <si>
    <t>ASHL02</t>
  </si>
  <si>
    <t>Ashok Leyland Limited</t>
  </si>
  <si>
    <t>INE208A01029</t>
  </si>
  <si>
    <t>IDBKOCT21</t>
  </si>
  <si>
    <t>IDFC First Bank Limited October 2021 Future</t>
  </si>
  <si>
    <t>HDFBOCT21</t>
  </si>
  <si>
    <t>HDFC Bank Limited October 2021 Future</t>
  </si>
  <si>
    <t>ASHLOCT21</t>
  </si>
  <si>
    <t>Ashok Leyland Limited October 2021 Future</t>
  </si>
  <si>
    <t>RECL355</t>
  </si>
  <si>
    <t>8.37% REC Limited (07/12/2028) **</t>
  </si>
  <si>
    <t>INE020B08BH6</t>
  </si>
  <si>
    <t>SBAI200</t>
  </si>
  <si>
    <t>8.5% State Bank of India (22/11/2024) **</t>
  </si>
  <si>
    <t>INE062A08223</t>
  </si>
  <si>
    <t>TPOW109</t>
  </si>
  <si>
    <t>7.99% Tata Power Company Limited (16/11/2021) **</t>
  </si>
  <si>
    <t>INE245A08109</t>
  </si>
  <si>
    <t>PUBA928</t>
  </si>
  <si>
    <t>8.95% Punjab National Bank (03/03/2022) **</t>
  </si>
  <si>
    <t>INE160A08100</t>
  </si>
  <si>
    <t>GOI2511</t>
  </si>
  <si>
    <t>6.54% State Government Securities (01/07/2030)</t>
  </si>
  <si>
    <t>IN1520200073</t>
  </si>
  <si>
    <t>IBCL1000</t>
  </si>
  <si>
    <t>9.2% ICICI Bank Limited (17/03/2022) **</t>
  </si>
  <si>
    <t>INE090A08TW2</t>
  </si>
  <si>
    <t>GOI2179</t>
  </si>
  <si>
    <t>7.26% Government of India (14/01/2029)</t>
  </si>
  <si>
    <t>IN0020180454</t>
  </si>
  <si>
    <t>GOI1389</t>
  </si>
  <si>
    <t>7.72% Government of India (26/10/2055)</t>
  </si>
  <si>
    <t>IN0020150077</t>
  </si>
  <si>
    <t>FDUT895</t>
  </si>
  <si>
    <t>3% Axis Bank Limited (18/07/2022)</t>
  </si>
  <si>
    <t>FDUT908</t>
  </si>
  <si>
    <t>2.6% Axis Bank Limited (03/12/2021)</t>
  </si>
  <si>
    <t>93</t>
  </si>
  <si>
    <t>FDUT912</t>
  </si>
  <si>
    <t>2.6% Axis Bank Limited (27/12/2021)</t>
  </si>
  <si>
    <t>94</t>
  </si>
  <si>
    <t>FDUT913</t>
  </si>
  <si>
    <t>2.6% Axis Bank Limited (03/01/2022)</t>
  </si>
  <si>
    <t>95</t>
  </si>
  <si>
    <t>FDUT875</t>
  </si>
  <si>
    <t>3% Axis Bank Limited (05/05/2022)</t>
  </si>
  <si>
    <t>FDUT871</t>
  </si>
  <si>
    <t>3% Axis Bank Limited (26/04/2022)</t>
  </si>
  <si>
    <t>368</t>
  </si>
  <si>
    <t>FDUT870</t>
  </si>
  <si>
    <t>3% Axis Bank Limited (25/04/2022)</t>
  </si>
  <si>
    <t>FDUT861</t>
  </si>
  <si>
    <t>3% Axis Bank Limited (07/03/2022)</t>
  </si>
  <si>
    <t>FDUT856</t>
  </si>
  <si>
    <t>3% Axis Bank Limited (01/03/2022)</t>
  </si>
  <si>
    <t>FDUT862</t>
  </si>
  <si>
    <t>3% Axis Bank Limited (08/03/2022)</t>
  </si>
  <si>
    <t>FDUT855</t>
  </si>
  <si>
    <t>4% Axis Bank Limited (28/02/2022)</t>
  </si>
  <si>
    <t>Equity &amp; Equity related Foreign Investments</t>
  </si>
  <si>
    <t>951692USD</t>
  </si>
  <si>
    <t>Microsoft Corp</t>
  </si>
  <si>
    <t>US5949181045</t>
  </si>
  <si>
    <t>Systems Software</t>
  </si>
  <si>
    <t>29798540USD</t>
  </si>
  <si>
    <t>Alphabet Inc A</t>
  </si>
  <si>
    <t>US02079K3059</t>
  </si>
  <si>
    <t>Interactive Media &amp; Services</t>
  </si>
  <si>
    <t>36959534USD</t>
  </si>
  <si>
    <t>Recruit Holdings Co. Ltd</t>
  </si>
  <si>
    <t>US75629J1016</t>
  </si>
  <si>
    <t>Human Resource &amp; Employment Services</t>
  </si>
  <si>
    <t>40656108USD</t>
  </si>
  <si>
    <t>Booking Holdings Inc</t>
  </si>
  <si>
    <t>US09857L1089</t>
  </si>
  <si>
    <t>Hotels, Resorts &amp; Cruise Lines</t>
  </si>
  <si>
    <t>976910USD</t>
  </si>
  <si>
    <t>Texas Instruments Inc</t>
  </si>
  <si>
    <t>US8825081040</t>
  </si>
  <si>
    <t>Semiconductors</t>
  </si>
  <si>
    <t>977576USD</t>
  </si>
  <si>
    <t>Thermo Fisher Scientific Inc</t>
  </si>
  <si>
    <t>US8835561023</t>
  </si>
  <si>
    <t>Life Sciences Tools &amp; Services</t>
  </si>
  <si>
    <t>724641USD</t>
  </si>
  <si>
    <t>Taiwan Semiconductor Manufacturing Co Ltd</t>
  </si>
  <si>
    <t>US8740391003</t>
  </si>
  <si>
    <t>13194392USD</t>
  </si>
  <si>
    <t>AIA Group Ltd</t>
  </si>
  <si>
    <t>US0013172053</t>
  </si>
  <si>
    <t>Life &amp; Health Insurance</t>
  </si>
  <si>
    <t>701890USD</t>
  </si>
  <si>
    <t>The Toronto-Dominion Bank</t>
  </si>
  <si>
    <t>CA8911605092</t>
  </si>
  <si>
    <t>Diversified Banks</t>
  </si>
  <si>
    <t>213743USD</t>
  </si>
  <si>
    <t>Nestle Ltd</t>
  </si>
  <si>
    <t>US6410694060</t>
  </si>
  <si>
    <t>Packaged Foods &amp; Meats</t>
  </si>
  <si>
    <t>2162847GBP</t>
  </si>
  <si>
    <t>Bunzl PLC</t>
  </si>
  <si>
    <t>GB00B0744B38</t>
  </si>
  <si>
    <t>Trading Companies &amp; Distributors</t>
  </si>
  <si>
    <t>4210789USD</t>
  </si>
  <si>
    <t>Schneider Electric SE</t>
  </si>
  <si>
    <t>US80687P1066</t>
  </si>
  <si>
    <t>Electrical Components &amp; Equipment</t>
  </si>
  <si>
    <t>10271877USD</t>
  </si>
  <si>
    <t>Bank Central Asia</t>
  </si>
  <si>
    <t>US69368G1058</t>
  </si>
  <si>
    <t>3826452USD</t>
  </si>
  <si>
    <t>Visa Inc</t>
  </si>
  <si>
    <t>US92826C8394</t>
  </si>
  <si>
    <t>Data Processing &amp; Outsourced Services</t>
  </si>
  <si>
    <t>2282206USD</t>
  </si>
  <si>
    <t>Mastercard Incorporated</t>
  </si>
  <si>
    <t>US57636Q1040</t>
  </si>
  <si>
    <t>52755147USD</t>
  </si>
  <si>
    <t>Trane Technologies Plc</t>
  </si>
  <si>
    <t>IE00BK9ZQ967</t>
  </si>
  <si>
    <t>Building Products</t>
  </si>
  <si>
    <t>224184USD</t>
  </si>
  <si>
    <t>Roche Holding Ltd</t>
  </si>
  <si>
    <t>US7711951043</t>
  </si>
  <si>
    <t>4210801USD</t>
  </si>
  <si>
    <t>Assa Abloy Ab</t>
  </si>
  <si>
    <t>US0453871073</t>
  </si>
  <si>
    <t>1078451USD</t>
  </si>
  <si>
    <t>Unitedhealth Group Inc</t>
  </si>
  <si>
    <t>US91324P1021</t>
  </si>
  <si>
    <t>Managed Health Care</t>
  </si>
  <si>
    <t>2036588USD</t>
  </si>
  <si>
    <t>Adidas</t>
  </si>
  <si>
    <t>US00687A1079</t>
  </si>
  <si>
    <t>Apparel, Accessories and Luxury Goods</t>
  </si>
  <si>
    <t>2888512USD</t>
  </si>
  <si>
    <t>Vestas Wind Systems AS</t>
  </si>
  <si>
    <t>US9254581013</t>
  </si>
  <si>
    <t>Heavy Electrical Equipment</t>
  </si>
  <si>
    <t>52408119USD</t>
  </si>
  <si>
    <t>Vertiv Holdings Co</t>
  </si>
  <si>
    <t>US92537N1081</t>
  </si>
  <si>
    <t>903472USD</t>
  </si>
  <si>
    <t>Adobe Inc</t>
  </si>
  <si>
    <t>US00724F1012</t>
  </si>
  <si>
    <t>Application Software</t>
  </si>
  <si>
    <t>26124340USD</t>
  </si>
  <si>
    <t>Anthem Inc</t>
  </si>
  <si>
    <t>US0367521038</t>
  </si>
  <si>
    <t>20085930USD</t>
  </si>
  <si>
    <t>ASML Holding NV</t>
  </si>
  <si>
    <t>USN070592100</t>
  </si>
  <si>
    <t>Semiconductor Equipment</t>
  </si>
  <si>
    <t>1042296USD</t>
  </si>
  <si>
    <t>Banco Bilbao Vizcaya Argentaria</t>
  </si>
  <si>
    <t>US05946K1016</t>
  </si>
  <si>
    <t>2477074GBP</t>
  </si>
  <si>
    <t>Unilever PLC</t>
  </si>
  <si>
    <t>GB00B10RZP78</t>
  </si>
  <si>
    <t>Personal Products</t>
  </si>
  <si>
    <t>1626624GBP</t>
  </si>
  <si>
    <t>Kingfisher PLC</t>
  </si>
  <si>
    <t>GB0033195214</t>
  </si>
  <si>
    <t>Home Improvement Retail</t>
  </si>
  <si>
    <t>2107726USD</t>
  </si>
  <si>
    <t>Dexcom Inc</t>
  </si>
  <si>
    <t>US2521311074</t>
  </si>
  <si>
    <t>Health Care Equipment</t>
  </si>
  <si>
    <t>2588454USD</t>
  </si>
  <si>
    <t>Husqvarna AB</t>
  </si>
  <si>
    <t>US4481031015</t>
  </si>
  <si>
    <t>Household Appliances</t>
  </si>
  <si>
    <t>12082173USD</t>
  </si>
  <si>
    <t>First Republic Bank</t>
  </si>
  <si>
    <t>US33616C1009</t>
  </si>
  <si>
    <t>Regional Banks</t>
  </si>
  <si>
    <t>31976317USD</t>
  </si>
  <si>
    <t>Raia Drogasil</t>
  </si>
  <si>
    <t>US7507231089</t>
  </si>
  <si>
    <t>Drug Retail</t>
  </si>
  <si>
    <t>27712419GBP</t>
  </si>
  <si>
    <t>Spirax-Sarco Engineering PLC</t>
  </si>
  <si>
    <t>GB00BWFGQN14</t>
  </si>
  <si>
    <t>Industrial Machinery</t>
  </si>
  <si>
    <t>399526USD</t>
  </si>
  <si>
    <t>Tomra Systems ASA</t>
  </si>
  <si>
    <t>US8899052042</t>
  </si>
  <si>
    <t>Environmental &amp; Facilities Services</t>
  </si>
  <si>
    <t>56044337USD</t>
  </si>
  <si>
    <t>Oak Street Health Inc</t>
  </si>
  <si>
    <t>US67181A1079</t>
  </si>
  <si>
    <t>Health Care Services</t>
  </si>
  <si>
    <t>10020730GBP</t>
  </si>
  <si>
    <t>Greggs PLC</t>
  </si>
  <si>
    <t>GB00B63QSB39</t>
  </si>
  <si>
    <t>Restaurants</t>
  </si>
  <si>
    <t>MINTOCT21</t>
  </si>
  <si>
    <t>MindTree Limited October 2021 Future</t>
  </si>
  <si>
    <t>DLFLOCT21</t>
  </si>
  <si>
    <t>DLF Limited October 2021 Future</t>
  </si>
  <si>
    <t>PIINOCT21</t>
  </si>
  <si>
    <t>PI Industries Limited October 2021 Future</t>
  </si>
  <si>
    <t>FDUT877</t>
  </si>
  <si>
    <t>3% Axis Bank Limited (10/05/2022)</t>
  </si>
  <si>
    <t>FDUT883</t>
  </si>
  <si>
    <t>3% Axis Bank Limited (24/05/2022)</t>
  </si>
  <si>
    <t>FDUT884</t>
  </si>
  <si>
    <t>3% Axis Bank Limited (25/05/2022)</t>
  </si>
  <si>
    <t>FDUT911</t>
  </si>
  <si>
    <t>2.6% Axis Bank Limited (24/12/2021)</t>
  </si>
  <si>
    <t>92</t>
  </si>
  <si>
    <t>FDUT872</t>
  </si>
  <si>
    <t>3% Axis Bank Limited (29/04/2022)</t>
  </si>
  <si>
    <t>FDUT873</t>
  </si>
  <si>
    <t>3% Axis Bank Limited (02/05/2022)</t>
  </si>
  <si>
    <t>FDUT882</t>
  </si>
  <si>
    <t>3% Axis Bank Limited (19/05/2022)</t>
  </si>
  <si>
    <t>FDUT885</t>
  </si>
  <si>
    <t>3% Axis Bank Limited (26/05/2022)</t>
  </si>
  <si>
    <t>IRS582255FX</t>
  </si>
  <si>
    <t>IRS597348FX</t>
  </si>
  <si>
    <t>IRS602482FX</t>
  </si>
  <si>
    <t>IRS578583FX</t>
  </si>
  <si>
    <t>IRS580774FX</t>
  </si>
  <si>
    <t>IRS580885FX</t>
  </si>
  <si>
    <t>IRS596048FX</t>
  </si>
  <si>
    <t>IRS596070FX</t>
  </si>
  <si>
    <t>IRS596046FX</t>
  </si>
  <si>
    <t>IRS596307FX</t>
  </si>
  <si>
    <t>IRS580004FX</t>
  </si>
  <si>
    <t>IRS579541FX</t>
  </si>
  <si>
    <t>IRS598644FX</t>
  </si>
  <si>
    <t>IRS598686FX</t>
  </si>
  <si>
    <t>IRS598914FX</t>
  </si>
  <si>
    <t>MUFL355</t>
  </si>
  <si>
    <t>7.1% Muthoot Finance Limited (20/06/2024) **</t>
  </si>
  <si>
    <t>INE414G07FT8</t>
  </si>
  <si>
    <t>GOI2040</t>
  </si>
  <si>
    <t>7.37% Government of India (16/04/2023)</t>
  </si>
  <si>
    <t>IN0020180025</t>
  </si>
  <si>
    <t>LICH559</t>
  </si>
  <si>
    <t>7.45% LIC Housing Finance Limited (10/02/2023)</t>
  </si>
  <si>
    <t>INE115A07OQ2</t>
  </si>
  <si>
    <t>POWF453</t>
  </si>
  <si>
    <t>6.98% Power Finance Corporation Limited (20/04/2023) **</t>
  </si>
  <si>
    <t>INE134E08KN8</t>
  </si>
  <si>
    <t>TCFS604</t>
  </si>
  <si>
    <t>4.67% Tata Capital Financial Services Limited (02/08/2024) (FRN) **</t>
  </si>
  <si>
    <t>INE306N07MJ9</t>
  </si>
  <si>
    <t>GOI3574</t>
  </si>
  <si>
    <t>4.45% Government of India (30/10/2034)</t>
  </si>
  <si>
    <t>IN0020210137</t>
  </si>
  <si>
    <t>SWPL20</t>
  </si>
  <si>
    <t>6.1% Sundew Properties Limited (28/06/2024) **</t>
  </si>
  <si>
    <t>INE424L07018</t>
  </si>
  <si>
    <t>SHEB132</t>
  </si>
  <si>
    <t>6.3% Tata Motors Finance Limited (31/05/2024) (FRN) **</t>
  </si>
  <si>
    <t>INE601U08234</t>
  </si>
  <si>
    <t>BHHX33</t>
  </si>
  <si>
    <t>5.9% Bharti Hexacom Limited (30/04/2024) **</t>
  </si>
  <si>
    <t>INE343G08026</t>
  </si>
  <si>
    <t>MRHF91</t>
  </si>
  <si>
    <t>5.55% Mahindra Rural Housing Finance Limited (17/06/2024) (FRN) **</t>
  </si>
  <si>
    <t>INE950O08246</t>
  </si>
  <si>
    <t>GOI3096</t>
  </si>
  <si>
    <t>6.69% State Government Securities (17/03/2025)</t>
  </si>
  <si>
    <t>IN2120200273</t>
  </si>
  <si>
    <t>HLFL70</t>
  </si>
  <si>
    <t>7.8% Hinduja Leyland Finance Limited (29/12/2023) **</t>
  </si>
  <si>
    <t>INE146O07466</t>
  </si>
  <si>
    <t>CARE AA-</t>
  </si>
  <si>
    <t>POWF455</t>
  </si>
  <si>
    <t>6.83% Power Finance Corporation Limited (24/04/2023) **</t>
  </si>
  <si>
    <t>INE134E08KO6</t>
  </si>
  <si>
    <t>GOI3194</t>
  </si>
  <si>
    <t>8.06% State Government Securities (11/02/2025)</t>
  </si>
  <si>
    <t>IN2920140232</t>
  </si>
  <si>
    <t>NBAR642</t>
  </si>
  <si>
    <t>5.27% National Bank For Agriculture and Rural Development (23/07/2024)</t>
  </si>
  <si>
    <t>INE261F08DF7</t>
  </si>
  <si>
    <t>FBRT28</t>
  </si>
  <si>
    <t>First Business Receivables Trust (01/04/2022) **</t>
  </si>
  <si>
    <t>INE0BTV15097</t>
  </si>
  <si>
    <t>FBRT30</t>
  </si>
  <si>
    <t>First Business Receivables Trust (01/10/2022) **</t>
  </si>
  <si>
    <t>INE0BTV15113</t>
  </si>
  <si>
    <t>AFGL304</t>
  </si>
  <si>
    <t>L&amp;T Finance Limited (02/09/2022) **</t>
  </si>
  <si>
    <t>INE027E14LO8</t>
  </si>
  <si>
    <t>DIIP178</t>
  </si>
  <si>
    <t>Deutsche Investments India Pvt Limited (04/02/2022) **</t>
  </si>
  <si>
    <t>INE144H14ET8</t>
  </si>
  <si>
    <t>PHFL82</t>
  </si>
  <si>
    <t>Piramal Capital &amp; Housing Finance Limited (16/03/2022) **</t>
  </si>
  <si>
    <t>INE516Y14BD2</t>
  </si>
  <si>
    <t>RPAT34</t>
  </si>
  <si>
    <t>Sikka Ports and Terminals Limited (23/02/2022) **</t>
  </si>
  <si>
    <t>INE941D14113</t>
  </si>
  <si>
    <t>KMIL419</t>
  </si>
  <si>
    <t>Kotak Mahindra Investments Limited (03/03/2022) **</t>
  </si>
  <si>
    <t>INE975F14VS5</t>
  </si>
  <si>
    <t>HDFC1156</t>
  </si>
  <si>
    <t>Housing Development Finance Corporation Limited (22/08/2022) **</t>
  </si>
  <si>
    <t>INE001A14XS7</t>
  </si>
  <si>
    <t>HUTE30</t>
  </si>
  <si>
    <t>Tata Teleservices (Maharashtra) Limited (22/11/2021) **</t>
  </si>
  <si>
    <t>INE037E14969</t>
  </si>
  <si>
    <t>MFPL162</t>
  </si>
  <si>
    <t>Infina Finance Private Limited (11/02/2022) **</t>
  </si>
  <si>
    <t>INE879F14ET3</t>
  </si>
  <si>
    <t>ICBR314</t>
  </si>
  <si>
    <t>ICICI Securities Limited (11/03/2022) **</t>
  </si>
  <si>
    <t>INE763G14JZ3</t>
  </si>
  <si>
    <t>TBIL1913</t>
  </si>
  <si>
    <t>182 Days Tbill (MD 16/12/2021)</t>
  </si>
  <si>
    <t>IN002021Y114</t>
  </si>
  <si>
    <t>CDR0804</t>
  </si>
  <si>
    <t>CDR0744</t>
  </si>
  <si>
    <t>International  Mutual Fund Units</t>
  </si>
  <si>
    <t>110017585USD</t>
  </si>
  <si>
    <t>Schroder ISF Greater China Class X Acc</t>
  </si>
  <si>
    <t>LU2289884996</t>
  </si>
  <si>
    <t>SCHR01USD</t>
  </si>
  <si>
    <t>Schroder ISF Global Equity Alpha Class X1 Acc</t>
  </si>
  <si>
    <t>LU2225036040</t>
  </si>
  <si>
    <t>Gold</t>
  </si>
  <si>
    <t>GOLD100</t>
  </si>
  <si>
    <t>GOLD .995 1KG BAR</t>
  </si>
  <si>
    <t>111854105USD</t>
  </si>
  <si>
    <t>Schroder ISF Global Disruption Class X Acc</t>
  </si>
  <si>
    <t>LU2340194146</t>
  </si>
  <si>
    <t>Exchange Traded Funds</t>
  </si>
  <si>
    <t>AXGE02</t>
  </si>
  <si>
    <t>INF846K01W80</t>
  </si>
  <si>
    <t>TAEL01</t>
  </si>
  <si>
    <t>Tata Elxsi Limited</t>
  </si>
  <si>
    <t>INE670A01012</t>
  </si>
  <si>
    <t>IHOT02</t>
  </si>
  <si>
    <t>The Indian Hotels Company Limited</t>
  </si>
  <si>
    <t>INE053A01029</t>
  </si>
  <si>
    <t>AVHF01</t>
  </si>
  <si>
    <t>Aptus Value Housing Finance India Limited</t>
  </si>
  <si>
    <t>INE852O01025</t>
  </si>
  <si>
    <t>TLSL01</t>
  </si>
  <si>
    <t>TeamLease Services Limited</t>
  </si>
  <si>
    <t>INE985S01024</t>
  </si>
  <si>
    <t>Commercial Services</t>
  </si>
  <si>
    <t>MASP01</t>
  </si>
  <si>
    <t>Vardhman Textiles Limited</t>
  </si>
  <si>
    <t>INE825A01012</t>
  </si>
  <si>
    <t>Textiles - Cotton</t>
  </si>
  <si>
    <t>BALC02</t>
  </si>
  <si>
    <t>Balrampur Chini Mills Limited</t>
  </si>
  <si>
    <t>INE119A01028</t>
  </si>
  <si>
    <t>CDSL01</t>
  </si>
  <si>
    <t>Central Depository Services (India) Limited</t>
  </si>
  <si>
    <t>INE736A01011</t>
  </si>
  <si>
    <t>ICBR01</t>
  </si>
  <si>
    <t>ICICI Securities Limited</t>
  </si>
  <si>
    <t>INE763G01038</t>
  </si>
  <si>
    <t>CROM02</t>
  </si>
  <si>
    <t>CG Power and Industrial Solutions Limited</t>
  </si>
  <si>
    <t>INE067A01029</t>
  </si>
  <si>
    <t>CSBL01</t>
  </si>
  <si>
    <t>CSB Bank Limited</t>
  </si>
  <si>
    <t>INE679A01013</t>
  </si>
  <si>
    <t>BLDA01</t>
  </si>
  <si>
    <t>Blue Dart Express Limited</t>
  </si>
  <si>
    <t>INE233B01017</t>
  </si>
  <si>
    <t>DIXO02</t>
  </si>
  <si>
    <t>Dixon Technologies (India) Limited</t>
  </si>
  <si>
    <t>INE935N01020</t>
  </si>
  <si>
    <t>645156USD</t>
  </si>
  <si>
    <t>Amazon Com Inc</t>
  </si>
  <si>
    <t>US0231351067</t>
  </si>
  <si>
    <t>Internet &amp; Direct Marketing Retail</t>
  </si>
  <si>
    <t>14971609USD</t>
  </si>
  <si>
    <t>Facebook Inc</t>
  </si>
  <si>
    <t>US30303M1027</t>
  </si>
  <si>
    <t>1161460USD</t>
  </si>
  <si>
    <t>JP Morgan Chase &amp; Co</t>
  </si>
  <si>
    <t>US46625H1005</t>
  </si>
  <si>
    <t>963896USD</t>
  </si>
  <si>
    <t>Procter &amp; Gamble Co</t>
  </si>
  <si>
    <t>US7427181091</t>
  </si>
  <si>
    <t>Household Products</t>
  </si>
  <si>
    <t>910125USD</t>
  </si>
  <si>
    <t>Autozone Inc</t>
  </si>
  <si>
    <t>US0533321024</t>
  </si>
  <si>
    <t>Automotive Retail</t>
  </si>
  <si>
    <t>948564USD</t>
  </si>
  <si>
    <t>Lowes Cos Inc</t>
  </si>
  <si>
    <t>US5486611073</t>
  </si>
  <si>
    <t>906153USD</t>
  </si>
  <si>
    <t>American Express Co</t>
  </si>
  <si>
    <t>US0258161092</t>
  </si>
  <si>
    <t>Consumer Finance</t>
  </si>
  <si>
    <t>1508590USD</t>
  </si>
  <si>
    <t>Comcast Corp - Class A</t>
  </si>
  <si>
    <t>US20030N1019</t>
  </si>
  <si>
    <t>Cable &amp; Satellite</t>
  </si>
  <si>
    <t>1065343USD</t>
  </si>
  <si>
    <t>Edwards Lifesciences Corp</t>
  </si>
  <si>
    <t>US28176E1082</t>
  </si>
  <si>
    <t>3754629USD</t>
  </si>
  <si>
    <t>Philip Morris International Ord</t>
  </si>
  <si>
    <t>US7181721090</t>
  </si>
  <si>
    <t>Tobacco</t>
  </si>
  <si>
    <t>10683053USD</t>
  </si>
  <si>
    <t>Merck &amp; Co. Inc</t>
  </si>
  <si>
    <t>US58933Y1055</t>
  </si>
  <si>
    <t>837159GBP</t>
  </si>
  <si>
    <t>Diageo PLC</t>
  </si>
  <si>
    <t>GB0002374006</t>
  </si>
  <si>
    <t>Distillers &amp; Vintners</t>
  </si>
  <si>
    <t>32786609USD</t>
  </si>
  <si>
    <t>Fortive Corp</t>
  </si>
  <si>
    <t>US34959J1088</t>
  </si>
  <si>
    <t>979840USD</t>
  </si>
  <si>
    <t>Union Pacific Ord</t>
  </si>
  <si>
    <t>US9078181081</t>
  </si>
  <si>
    <t>Railroads</t>
  </si>
  <si>
    <t>24409862USD</t>
  </si>
  <si>
    <t>Alibaba Group Holding Ltd</t>
  </si>
  <si>
    <t>US01609W1027</t>
  </si>
  <si>
    <t>LAUR02</t>
  </si>
  <si>
    <t>Laurus Labs Limited</t>
  </si>
  <si>
    <t>INE947Q01028</t>
  </si>
  <si>
    <t>DLPL01</t>
  </si>
  <si>
    <t>Dr. Lal Path Labs Limited</t>
  </si>
  <si>
    <t>INE600L01024</t>
  </si>
  <si>
    <t>METR01</t>
  </si>
  <si>
    <t>Metropolis Healthcare Limited</t>
  </si>
  <si>
    <t>INE112L01020</t>
  </si>
  <si>
    <t>FRHL01</t>
  </si>
  <si>
    <t>Fortis Healthcare Limited</t>
  </si>
  <si>
    <t>INE061F01013</t>
  </si>
  <si>
    <t>BOOT01</t>
  </si>
  <si>
    <t>Abbott India Limited</t>
  </si>
  <si>
    <t>INE358A01014</t>
  </si>
  <si>
    <t>NAPH02</t>
  </si>
  <si>
    <t>Natco Pharma Limited</t>
  </si>
  <si>
    <t>INE987B01026</t>
  </si>
  <si>
    <t>HOCH01</t>
  </si>
  <si>
    <t>Sanofi India Limited</t>
  </si>
  <si>
    <t>INE058A01010</t>
  </si>
  <si>
    <t>IRS815FX</t>
  </si>
  <si>
    <t>GODP178</t>
  </si>
  <si>
    <t>7.5% Godrej Properties Limited (31/07/2023) **</t>
  </si>
  <si>
    <t>INE484J08022</t>
  </si>
  <si>
    <t>ICRA AA</t>
  </si>
  <si>
    <t>GRIF30</t>
  </si>
  <si>
    <t>7.27% G R Infraprojects Limited (05/12/2025) **</t>
  </si>
  <si>
    <t>INE201P08134</t>
  </si>
  <si>
    <t>BHHX27</t>
  </si>
  <si>
    <t>6% Bharti Hexacom Limited (19/01/2024) **</t>
  </si>
  <si>
    <t>INE343G08018</t>
  </si>
  <si>
    <t>TENL20</t>
  </si>
  <si>
    <t>5.35% Telesonic Networks Limited (28/04/2023) **</t>
  </si>
  <si>
    <t>INE308O08015</t>
  </si>
  <si>
    <t>ICFP127</t>
  </si>
  <si>
    <t>6.5% IndoStar Capital Finance Limited (04/07/2022) (FRN) **</t>
  </si>
  <si>
    <t>INE896L08031</t>
  </si>
  <si>
    <t>JFCS90</t>
  </si>
  <si>
    <t>10% JM Financial Credit Solution Limited (23/07/2024) (FRN)</t>
  </si>
  <si>
    <t>INE651J07739</t>
  </si>
  <si>
    <t>PSEP22</t>
  </si>
  <si>
    <t>8.41% Pune Solapur Expressway Pvt Ltd (30/03/2029) **</t>
  </si>
  <si>
    <t>INE598K08019</t>
  </si>
  <si>
    <t>ICRA AA(CE)</t>
  </si>
  <si>
    <t>NBAR633</t>
  </si>
  <si>
    <t>6.85% National Bank For Agriculture and Rural Development (21/03/2031)</t>
  </si>
  <si>
    <t>INE261F08DA8</t>
  </si>
  <si>
    <t>NCCL29</t>
  </si>
  <si>
    <t>7.25% Nuvoco Vistas Corporation Limited (25/09/2023) **</t>
  </si>
  <si>
    <t>INE118D07179</t>
  </si>
  <si>
    <t>JKCE46</t>
  </si>
  <si>
    <t>7.36% JK Cement Limited (23/07/2024) **</t>
  </si>
  <si>
    <t>INE823G07201</t>
  </si>
  <si>
    <t>CARE AA+</t>
  </si>
  <si>
    <t>FIPL20</t>
  </si>
  <si>
    <t>7.15% Flometallic India Private Limited (20/06/2025) **</t>
  </si>
  <si>
    <t>INE0I3K07044</t>
  </si>
  <si>
    <t>PUBA952</t>
  </si>
  <si>
    <t>7.25% Punjab National Bank (14/10/2030) **</t>
  </si>
  <si>
    <t>INE160A08167</t>
  </si>
  <si>
    <t>INDI22</t>
  </si>
  <si>
    <t>6.5% IndInfravit Trust (09/03/2038) **</t>
  </si>
  <si>
    <t>INE790Z07046</t>
  </si>
  <si>
    <t>VIVL21</t>
  </si>
  <si>
    <t>10.7085% Vivriti Capital Private Limited (05/07/2022) **</t>
  </si>
  <si>
    <t>INE01HV07163</t>
  </si>
  <si>
    <t>ICRA A-</t>
  </si>
  <si>
    <t>MUFL367</t>
  </si>
  <si>
    <t>5.35% Muthoot Finance Limited (26/08/2024) (FRN) **</t>
  </si>
  <si>
    <t>INE414G07FZ5</t>
  </si>
  <si>
    <t>GOI3102</t>
  </si>
  <si>
    <t>6.64% Government of India (16/06/2035)</t>
  </si>
  <si>
    <t>IN0020210020</t>
  </si>
  <si>
    <t>ONBH34</t>
  </si>
  <si>
    <t>8.28% Oriental Nagpur Betul Highway Limited (30/03/2024) **</t>
  </si>
  <si>
    <t>INE105N07159</t>
  </si>
  <si>
    <t>MSPG20</t>
  </si>
  <si>
    <t>6.49% Malwa Solar Power Generation Private Limited (01/07/2024) **</t>
  </si>
  <si>
    <t>INE999X07014</t>
  </si>
  <si>
    <t>GOSL237</t>
  </si>
  <si>
    <t>6.92% Godrej Industries Limited (14/05/2025) **</t>
  </si>
  <si>
    <t>INE233A08048</t>
  </si>
  <si>
    <t>INBK355</t>
  </si>
  <si>
    <t>8.44% Indian Bank (08/12/2025) **</t>
  </si>
  <si>
    <t>INE562A08057</t>
  </si>
  <si>
    <t>GRIF31</t>
  </si>
  <si>
    <t>7.15% G R Infraprojects Limited (31/05/2024) **</t>
  </si>
  <si>
    <t>INE201P08142</t>
  </si>
  <si>
    <t>VEFP22</t>
  </si>
  <si>
    <t>10.58% Veritas Finance Private Limited (25/01/2024) **</t>
  </si>
  <si>
    <t>INE448U07174</t>
  </si>
  <si>
    <t>CARE A-</t>
  </si>
  <si>
    <t>AAHF81</t>
  </si>
  <si>
    <t>8.2% Aadhar Housing Finance Limited (01/09/2023) **</t>
  </si>
  <si>
    <t>INE883F07199</t>
  </si>
  <si>
    <t>CARE AA</t>
  </si>
  <si>
    <t>KOGT24</t>
  </si>
  <si>
    <t>11.07% Kogta Financial (India) Limited (18/08/2023) **</t>
  </si>
  <si>
    <t>INE192U07152</t>
  </si>
  <si>
    <t>TRIF90</t>
  </si>
  <si>
    <t>8.4% TATA Realty &amp; Infrastructure Limited (06/06/2022) **</t>
  </si>
  <si>
    <t>INE371K08144</t>
  </si>
  <si>
    <t>ESSP34</t>
  </si>
  <si>
    <t>6.5% EPL Limited (14/06/2023) **</t>
  </si>
  <si>
    <t>INE255A08AY7</t>
  </si>
  <si>
    <t>RSOP20</t>
  </si>
  <si>
    <t>6.49% RattanIndia Solar 2 Private Limited (01/07/2024) **</t>
  </si>
  <si>
    <t>INE935V07012</t>
  </si>
  <si>
    <t>ONBH35</t>
  </si>
  <si>
    <t>8.28% Oriental Nagpur Betul Highway Limited (30/09/2024) **</t>
  </si>
  <si>
    <t>INE105N07167</t>
  </si>
  <si>
    <t>ESSP35</t>
  </si>
  <si>
    <t>6.5% EPL Limited (14/06/2022) **</t>
  </si>
  <si>
    <t>INE255A08AW1</t>
  </si>
  <si>
    <t>NHAI60</t>
  </si>
  <si>
    <t>8.37% National Highways Auth Of Ind (20/01/2029) **</t>
  </si>
  <si>
    <t>INE906B07GN5</t>
  </si>
  <si>
    <t>NHPC125</t>
  </si>
  <si>
    <t>7.5% NHPC Limited (07/10/2026) **</t>
  </si>
  <si>
    <t>INE848E07AP1</t>
  </si>
  <si>
    <t>ICFP125</t>
  </si>
  <si>
    <t>9.1% IndoStar Capital Finance Limited (02/05/2023) (FRN) **</t>
  </si>
  <si>
    <t>INE896L07561</t>
  </si>
  <si>
    <t>INBK357</t>
  </si>
  <si>
    <t>8.44% Indian Bank (30/12/2025)</t>
  </si>
  <si>
    <t>INE562A08073</t>
  </si>
  <si>
    <t>ESSP33</t>
  </si>
  <si>
    <t>6.5% EPL Limited (14/12/2022) **</t>
  </si>
  <si>
    <t>INE255A08AX9</t>
  </si>
  <si>
    <t>RECL272</t>
  </si>
  <si>
    <t>8.57% REC Limited (21/12/2024) **</t>
  </si>
  <si>
    <t>INE020B08880</t>
  </si>
  <si>
    <t>POWF286</t>
  </si>
  <si>
    <t>9.39% Power Finance Corporation Limited (27/08/2024) **</t>
  </si>
  <si>
    <t>INE134E08GG0</t>
  </si>
  <si>
    <t>HINI107</t>
  </si>
  <si>
    <t>9.60% Hindalco Industries Limited (02/08/2022) **</t>
  </si>
  <si>
    <t>INE038A07274</t>
  </si>
  <si>
    <t>TAPR26</t>
  </si>
  <si>
    <t>8.45% Tata Power Renewable Energy Limited (25/05/2022) **</t>
  </si>
  <si>
    <t>INE607M08048</t>
  </si>
  <si>
    <t>GOI1291</t>
  </si>
  <si>
    <t>7.88% Government of India (19/03/2030)</t>
  </si>
  <si>
    <t>IN0020150028</t>
  </si>
  <si>
    <t>BDTC23</t>
  </si>
  <si>
    <t>7.85% Bhopal Dhule Transmission Company Limited (31/12/2021) **</t>
  </si>
  <si>
    <t>INE774N07079</t>
  </si>
  <si>
    <t>GOI1252</t>
  </si>
  <si>
    <t>8.15% Government of India (24/11/2026)</t>
  </si>
  <si>
    <t>IN0020140060</t>
  </si>
  <si>
    <t>GOI1380</t>
  </si>
  <si>
    <t>7.59% Government of India (20/03/2029)</t>
  </si>
  <si>
    <t>IN0020150069</t>
  </si>
  <si>
    <t>NWEL21</t>
  </si>
  <si>
    <t>9.95% Narmada Wind Energy Private Limited (31/03/2023) ** #</t>
  </si>
  <si>
    <t>INE209W07028</t>
  </si>
  <si>
    <t>CARE A+(CE)</t>
  </si>
  <si>
    <t>SHMT34</t>
  </si>
  <si>
    <t>Shining Metal Trust (15/02/2022) **</t>
  </si>
  <si>
    <t>INE0GZI15017</t>
  </si>
  <si>
    <t>FBRT38</t>
  </si>
  <si>
    <t>First Business Receivables Trust (01/10/2024) **</t>
  </si>
  <si>
    <t>INE0BTV15196</t>
  </si>
  <si>
    <t>PLST20</t>
  </si>
  <si>
    <t>PL Securitization Trust (10/11/2024) **</t>
  </si>
  <si>
    <t>INE0BZ115015</t>
  </si>
  <si>
    <t>BWR AAA(SO)</t>
  </si>
  <si>
    <t>PHFL80</t>
  </si>
  <si>
    <t>Piramal Capital &amp; Housing Finance Limited (10/03/2022) **</t>
  </si>
  <si>
    <t>INE516Y14BG5</t>
  </si>
  <si>
    <t>PEFR111</t>
  </si>
  <si>
    <t>Aditya Birla Fashion and Retail Limited (11/11/2022) (ZCB) **</t>
  </si>
  <si>
    <t>INE647O08081</t>
  </si>
  <si>
    <t>BCIP66</t>
  </si>
  <si>
    <t>9% Bahadur Chand Investments Pvt Limited (01/03/2024) **</t>
  </si>
  <si>
    <t>INE087M08050</t>
  </si>
  <si>
    <t>SCOL20</t>
  </si>
  <si>
    <t>6.49% Sepset Constructions Limited (01/07/2024) **</t>
  </si>
  <si>
    <t>INE961M07017</t>
  </si>
  <si>
    <t>SHEB136</t>
  </si>
  <si>
    <t>7.15% Tata Motors Finance Limited (25/06/2024) **</t>
  </si>
  <si>
    <t>INE601U08259</t>
  </si>
  <si>
    <t>ONBH31</t>
  </si>
  <si>
    <t>8.28% Oriental Nagpur Betul Highway Limited (30/09/2022) **</t>
  </si>
  <si>
    <t>INE105N07126</t>
  </si>
  <si>
    <t>AAHF82</t>
  </si>
  <si>
    <t>7.35% Aadhar Housing Finance Limited (28/02/2022) **</t>
  </si>
  <si>
    <t>INE883F07207</t>
  </si>
  <si>
    <t>MFLS24</t>
  </si>
  <si>
    <t>MFL Securitisation Trust (28/09/2023) ** #</t>
  </si>
  <si>
    <t>INE07IJ15018</t>
  </si>
  <si>
    <t>LTIF362</t>
  </si>
  <si>
    <t>8.1% L&amp;T Finance Limited (17/02/2022) **</t>
  </si>
  <si>
    <t>INE691I07EN3</t>
  </si>
  <si>
    <t>SIDB438</t>
  </si>
  <si>
    <t>4.58% Small Industries Dev Bank of India (18/12/2023) **</t>
  </si>
  <si>
    <t>INE556F08JR2</t>
  </si>
  <si>
    <t>GOI2491</t>
  </si>
  <si>
    <t>5.22% Government of India (15/06/2025)</t>
  </si>
  <si>
    <t>IN0020200112</t>
  </si>
  <si>
    <t>GOI1437</t>
  </si>
  <si>
    <t>8.29% State Government Securities (13/01/2026)</t>
  </si>
  <si>
    <t>IN1020150117</t>
  </si>
  <si>
    <t>GOI1468</t>
  </si>
  <si>
    <t>8.76% State Government Securities (24/02/2026)</t>
  </si>
  <si>
    <t>IN2120150106</t>
  </si>
  <si>
    <t>BKBA286</t>
  </si>
  <si>
    <t>8.99% Bank of Baroda (18/12/2024) **</t>
  </si>
  <si>
    <t>INE028A08182</t>
  </si>
  <si>
    <t>RECL201</t>
  </si>
  <si>
    <t>9.02% REC Limited (19/11/2022) **</t>
  </si>
  <si>
    <t>INE020B08807</t>
  </si>
  <si>
    <t>POWF409</t>
  </si>
  <si>
    <t>7.99% Power Finance Corporation Limited (20/12/2022) **</t>
  </si>
  <si>
    <t>INE134E08JO8</t>
  </si>
  <si>
    <t>HDFC1081</t>
  </si>
  <si>
    <t>8.05% Housing Development Finance Corporation Limited (20/06/2022) **</t>
  </si>
  <si>
    <t>INE001A07RU9</t>
  </si>
  <si>
    <t>MRHF87</t>
  </si>
  <si>
    <t>7.35% Mahindra Rural Housing Finance Limited (12/08/2022) **</t>
  </si>
  <si>
    <t>INE950O08170</t>
  </si>
  <si>
    <t>SIDB445</t>
  </si>
  <si>
    <t>5.24% Small Industries Dev Bank of India (26/03/2024) **</t>
  </si>
  <si>
    <t>INE556F08JS0</t>
  </si>
  <si>
    <t>CHOL946</t>
  </si>
  <si>
    <t>5.8539% Cholamandalam Investment and Finance Company Limited (21/03/2023) **</t>
  </si>
  <si>
    <t>INE121A07PO2</t>
  </si>
  <si>
    <t>HDFC1134</t>
  </si>
  <si>
    <t>5.78% Housing Development Finance Corporation Limited (25/11/2025) **</t>
  </si>
  <si>
    <t>INE001A07ST9</t>
  </si>
  <si>
    <t>MUFL187</t>
  </si>
  <si>
    <t>9% Muthoot Finance Limited (24/04/2022) **</t>
  </si>
  <si>
    <t>INE414G07CD9</t>
  </si>
  <si>
    <t>FRN - Floating Rate Note</t>
  </si>
  <si>
    <t>GOI825</t>
  </si>
  <si>
    <t>8.79% Government of India (08/11/2021)</t>
  </si>
  <si>
    <t>IN0020110030</t>
  </si>
  <si>
    <t>HDBF265</t>
  </si>
  <si>
    <t>7.49% HDB Financial Services Limited (18/11/2021) **</t>
  </si>
  <si>
    <t>INE756I07CV1</t>
  </si>
  <si>
    <t>Bills Rediscounting</t>
  </si>
  <si>
    <t>UBIL777</t>
  </si>
  <si>
    <t>ICICI Bank Limited (08/10/2021) ** #</t>
  </si>
  <si>
    <t>RTBK441</t>
  </si>
  <si>
    <t>RBL Bank Limited (01/12/2021) ** #</t>
  </si>
  <si>
    <t>INE976G16MK2</t>
  </si>
  <si>
    <t>IIBL912</t>
  </si>
  <si>
    <t>IndusInd Bank Limited (15/11/2021) ** #</t>
  </si>
  <si>
    <t>INE095A16M54</t>
  </si>
  <si>
    <t>IIBL903</t>
  </si>
  <si>
    <t>IndusInd Bank Limited (14/10/2021) ** #</t>
  </si>
  <si>
    <t>INE095A16L14</t>
  </si>
  <si>
    <t>NBAR645</t>
  </si>
  <si>
    <t>National Bank For Agriculture and Rural Development (25/10/2021) **</t>
  </si>
  <si>
    <t>INE261F14IF4</t>
  </si>
  <si>
    <t>IOIC589</t>
  </si>
  <si>
    <t>Indian Oil Corporation Limited (18/10/2021)</t>
  </si>
  <si>
    <t>INE242A14US3</t>
  </si>
  <si>
    <t>RRVL44</t>
  </si>
  <si>
    <t>Reliance Retail Ventures Limited (08/11/2021) **</t>
  </si>
  <si>
    <t>INE929O14347</t>
  </si>
  <si>
    <t>BTVL41</t>
  </si>
  <si>
    <t>Bharti Airtel Limited (01/11/2021)</t>
  </si>
  <si>
    <t>INE397D14316</t>
  </si>
  <si>
    <t>TISC198</t>
  </si>
  <si>
    <t>Tata Steel Limited (03/11/2021) **</t>
  </si>
  <si>
    <t>INE081A14BL0</t>
  </si>
  <si>
    <t>RIND414</t>
  </si>
  <si>
    <t>Reliance Industries Limited (17/11/2021) **</t>
  </si>
  <si>
    <t>INE002A14IV0</t>
  </si>
  <si>
    <t>HDFC1155</t>
  </si>
  <si>
    <t>Housing Development Finance Corporation Limited (18/10/2021) **</t>
  </si>
  <si>
    <t>INE001A14XR9</t>
  </si>
  <si>
    <t>MREL195</t>
  </si>
  <si>
    <t>Chennai Petroleum Corporation Limited (18/11/2021) **</t>
  </si>
  <si>
    <t>INE178A14GX8</t>
  </si>
  <si>
    <t>ULCC137</t>
  </si>
  <si>
    <t>UltraTech Cement Limited (18/11/2021) **</t>
  </si>
  <si>
    <t>INE481G14DD2</t>
  </si>
  <si>
    <t>ICBR331</t>
  </si>
  <si>
    <t>ICICI Securities Limited (10/11/2021) **</t>
  </si>
  <si>
    <t>INE763G14KQ0</t>
  </si>
  <si>
    <t>RIND413</t>
  </si>
  <si>
    <t>Reliance Industries Limited (03/11/2021) **</t>
  </si>
  <si>
    <t>INE002A14IS6</t>
  </si>
  <si>
    <t>KOSE188</t>
  </si>
  <si>
    <t>Kotak Securities Limited (22/11/2021) **</t>
  </si>
  <si>
    <t>INE028E14IS3</t>
  </si>
  <si>
    <t>MREL196</t>
  </si>
  <si>
    <t>Chennai Petroleum Corporation Limited (03/12/2021) **</t>
  </si>
  <si>
    <t>INE178A14GY6</t>
  </si>
  <si>
    <t>BELM20</t>
  </si>
  <si>
    <t>Bharti Enterprises Limited (30/11/2021) **</t>
  </si>
  <si>
    <t>INE396J14018</t>
  </si>
  <si>
    <t>KMIL424</t>
  </si>
  <si>
    <t>Kotak Mahindra Investments Limited (29/10/2021) **</t>
  </si>
  <si>
    <t>INE975F14WE3</t>
  </si>
  <si>
    <t>RIND408</t>
  </si>
  <si>
    <t>Reliance Industries Limited (14/10/2021) **</t>
  </si>
  <si>
    <t>INE002A14IK3</t>
  </si>
  <si>
    <t>KOSE185</t>
  </si>
  <si>
    <t>Kotak Securities Limited (14/10/2021) **</t>
  </si>
  <si>
    <t>INE028E14IN4</t>
  </si>
  <si>
    <t>INBS416</t>
  </si>
  <si>
    <t>Reliance Jio Infocomm Limited (18/10/2021) **</t>
  </si>
  <si>
    <t>INE110L14PM2</t>
  </si>
  <si>
    <t>MREL193</t>
  </si>
  <si>
    <t>Chennai Petroleum Corporation Limited (18/10/2021) **</t>
  </si>
  <si>
    <t>INE178A14GV2</t>
  </si>
  <si>
    <t>INBS419</t>
  </si>
  <si>
    <t>Reliance Jio Infocomm Limited (10/11/2021) **</t>
  </si>
  <si>
    <t>INE110L14PQ3</t>
  </si>
  <si>
    <t>RIND417</t>
  </si>
  <si>
    <t>Reliance Industries Limited (25/11/2021) **</t>
  </si>
  <si>
    <t>INE002A14IW8</t>
  </si>
  <si>
    <t>TVCS86</t>
  </si>
  <si>
    <t>TVS Credit Services Limited (17/11/2021) **</t>
  </si>
  <si>
    <t>INE729N14FS3</t>
  </si>
  <si>
    <t>IOIC588</t>
  </si>
  <si>
    <t>Indian Oil Corporation Limited (11/10/2021) **</t>
  </si>
  <si>
    <t>INE242A14UR5</t>
  </si>
  <si>
    <t>RRVL43</t>
  </si>
  <si>
    <t>Reliance Retail Ventures Limited (03/11/2021) **</t>
  </si>
  <si>
    <t>INE929O14339</t>
  </si>
  <si>
    <t>BGHP61</t>
  </si>
  <si>
    <t>Birla Group Holdings Private Limited (17/12/2021) **</t>
  </si>
  <si>
    <t>INE09OL14847</t>
  </si>
  <si>
    <t>RRVL42</t>
  </si>
  <si>
    <t>Reliance Retail Ventures Limited (22/10/2021) **</t>
  </si>
  <si>
    <t>INE929O14321</t>
  </si>
  <si>
    <t>RRVL45</t>
  </si>
  <si>
    <t>Reliance Retail Ventures Limited (16/11/2021) **</t>
  </si>
  <si>
    <t>INE929O14354</t>
  </si>
  <si>
    <t>NBAR644</t>
  </si>
  <si>
    <t>National Bank For Agriculture and Rural Development (22/11/2021) **</t>
  </si>
  <si>
    <t>INE261F14IE7</t>
  </si>
  <si>
    <t>DALM132</t>
  </si>
  <si>
    <t>Dalmia Cement (Bharat) Limited (23/11/2021) **</t>
  </si>
  <si>
    <t>INE755K14DU5</t>
  </si>
  <si>
    <t>BGHP59</t>
  </si>
  <si>
    <t>Birla Group Holdings Private Limited (06/12/2021) **</t>
  </si>
  <si>
    <t>INE09OL14813</t>
  </si>
  <si>
    <t>NAPL139</t>
  </si>
  <si>
    <t>Nabha Power Limited (28/10/2021) **</t>
  </si>
  <si>
    <t>INE445L14BY7</t>
  </si>
  <si>
    <t>SHCE187</t>
  </si>
  <si>
    <t>Shree Cement Limited (10/11/2021) **</t>
  </si>
  <si>
    <t>INE070A14513</t>
  </si>
  <si>
    <t>CARE A1+</t>
  </si>
  <si>
    <t>SCIN261</t>
  </si>
  <si>
    <t>Standard Chartered Invest &amp; Loans Limited (30/11/2021) **</t>
  </si>
  <si>
    <t>INE403G14NZ8</t>
  </si>
  <si>
    <t>GOSL241</t>
  </si>
  <si>
    <t>Godrej Industries Limited (08/10/2021) **</t>
  </si>
  <si>
    <t>INE233A14SH9</t>
  </si>
  <si>
    <t>GOSL244</t>
  </si>
  <si>
    <t>Godrej Industries Limited (25/10/2021) **</t>
  </si>
  <si>
    <t>INE233A14SL1</t>
  </si>
  <si>
    <t>JBCI85</t>
  </si>
  <si>
    <t>Julius Baer Capital India Pvt Ltd. (16/12/2021) **</t>
  </si>
  <si>
    <t>INE824H14FJ3</t>
  </si>
  <si>
    <t>GOSL245</t>
  </si>
  <si>
    <t>Godrej Industries Limited (16/11/2021) **</t>
  </si>
  <si>
    <t>INE233A14SR8</t>
  </si>
  <si>
    <t>IRLY357</t>
  </si>
  <si>
    <t>Indian Railway Finance Corporation Limited (22/10/2021)</t>
  </si>
  <si>
    <t>INE053F14211</t>
  </si>
  <si>
    <t>JBCI78</t>
  </si>
  <si>
    <t>Julius Baer Capital India Pvt Ltd. (27/10/2021) **</t>
  </si>
  <si>
    <t>INE824H14EY5</t>
  </si>
  <si>
    <t>CEAT39</t>
  </si>
  <si>
    <t>CEAT Limited (11/11/2021) **</t>
  </si>
  <si>
    <t>INE482A14AL2</t>
  </si>
  <si>
    <t>ICBR333</t>
  </si>
  <si>
    <t>ICICI Securities Limited (16/11/2021) **</t>
  </si>
  <si>
    <t>INE763G14KS6</t>
  </si>
  <si>
    <t>NAPL140</t>
  </si>
  <si>
    <t>Nabha Power Limited (26/11/2021) **</t>
  </si>
  <si>
    <t>INE445L14BZ4</t>
  </si>
  <si>
    <t>JBCI84</t>
  </si>
  <si>
    <t>Julius Baer Capital India Pvt Ltd. (23/11/2021) **</t>
  </si>
  <si>
    <t>INE824H14FH7</t>
  </si>
  <si>
    <t>JBCI83</t>
  </si>
  <si>
    <t>Julius Baer Capital India Pvt Ltd. (06/12/2021) **</t>
  </si>
  <si>
    <t>INE824H14FI5</t>
  </si>
  <si>
    <t>HDFC1149</t>
  </si>
  <si>
    <t>Housing Development Finance Corporation Limited (25/10/2021) **</t>
  </si>
  <si>
    <t>INE001A14XB3</t>
  </si>
  <si>
    <t>AFGL290</t>
  </si>
  <si>
    <t>L&amp;T Finance Limited (08/11/2021) **</t>
  </si>
  <si>
    <t>INE027E14KS1</t>
  </si>
  <si>
    <t>TBIL1942</t>
  </si>
  <si>
    <t>91 Days Tbill (MD 16/12/2021)</t>
  </si>
  <si>
    <t>IN002021X272</t>
  </si>
  <si>
    <t>TBIL1929</t>
  </si>
  <si>
    <t>91 Days Tbill (MD 04/11/2021)</t>
  </si>
  <si>
    <t>IN002021X215</t>
  </si>
  <si>
    <t>TBIL1927</t>
  </si>
  <si>
    <t>91 Days Tbill (MD 28/10/2021)</t>
  </si>
  <si>
    <t>IN002021X173</t>
  </si>
  <si>
    <t>TBIL1917</t>
  </si>
  <si>
    <t>182 Days Tbill (MD 30/12/2021)</t>
  </si>
  <si>
    <t>IN002021Y130</t>
  </si>
  <si>
    <t>TBIL1935</t>
  </si>
  <si>
    <t>364 Days Tbill (MD 18/11/2021)</t>
  </si>
  <si>
    <t>IN002020Z329</t>
  </si>
  <si>
    <t>TBIL1938</t>
  </si>
  <si>
    <t>91 Days Tbill (MD 02/12/2021)</t>
  </si>
  <si>
    <t>IN002021X256</t>
  </si>
  <si>
    <t>TBIL1931</t>
  </si>
  <si>
    <t>91 Days Tbill (MD 11/11/2021)</t>
  </si>
  <si>
    <t>IN002021X223</t>
  </si>
  <si>
    <t>TBIL1940</t>
  </si>
  <si>
    <t>91 Days Tbill (MD 09/12/2021)</t>
  </si>
  <si>
    <t>IN002021X264</t>
  </si>
  <si>
    <t>REP_27187</t>
  </si>
  <si>
    <t>CDR0746</t>
  </si>
  <si>
    <t>CDR0803</t>
  </si>
  <si>
    <t>CDR0753</t>
  </si>
  <si>
    <t>CDR0754</t>
  </si>
  <si>
    <t>CDR0749</t>
  </si>
  <si>
    <t>CDR0752</t>
  </si>
  <si>
    <t>CDR0745</t>
  </si>
  <si>
    <t>CDR0747</t>
  </si>
  <si>
    <t>GOI2787</t>
  </si>
  <si>
    <t>6.67% Government of India (17/12/2050)</t>
  </si>
  <si>
    <t>IN0020200252</t>
  </si>
  <si>
    <t>JKCE01</t>
  </si>
  <si>
    <t>JK Cement Limited</t>
  </si>
  <si>
    <t>INE823G01014</t>
  </si>
  <si>
    <t>COFE03</t>
  </si>
  <si>
    <t>Coromandel International Limited</t>
  </si>
  <si>
    <t>INE169A01031</t>
  </si>
  <si>
    <t>Fertilisers</t>
  </si>
  <si>
    <t>VSNL01</t>
  </si>
  <si>
    <t>Tata Communications Limited</t>
  </si>
  <si>
    <t>INE151A01013</t>
  </si>
  <si>
    <t>GSPL01</t>
  </si>
  <si>
    <t>Gujarat State Petronet Limited</t>
  </si>
  <si>
    <t>INE246F01010</t>
  </si>
  <si>
    <t>BIRM01</t>
  </si>
  <si>
    <t>3M India Limited</t>
  </si>
  <si>
    <t>INE470A01017</t>
  </si>
  <si>
    <t>KELV01</t>
  </si>
  <si>
    <t>Whirlpool of India Limited</t>
  </si>
  <si>
    <t>INE716A01013</t>
  </si>
  <si>
    <t>NCCL01</t>
  </si>
  <si>
    <t>Nuvoco Vistas Corporation Limited</t>
  </si>
  <si>
    <t>INE118D01016</t>
  </si>
  <si>
    <t>FAGP01</t>
  </si>
  <si>
    <t>Schaeffler India Limited</t>
  </si>
  <si>
    <t>INE513A01014</t>
  </si>
  <si>
    <t>FDUT869</t>
  </si>
  <si>
    <t>3% Axis Bank Limited (22/04/2022)</t>
  </si>
  <si>
    <t>FDUT896</t>
  </si>
  <si>
    <t>3% Axis Bank Limited (19/07/2022)</t>
  </si>
  <si>
    <t>FDUT893</t>
  </si>
  <si>
    <t>3% Axis Bank Limited (06/07/2022)</t>
  </si>
  <si>
    <t>FDUT898</t>
  </si>
  <si>
    <t>3% Axis Bank Limited (25/07/2022)</t>
  </si>
  <si>
    <t>FDUT894</t>
  </si>
  <si>
    <t>3% Axis Bank Limited (12/07/2022)</t>
  </si>
  <si>
    <t>NAHR01</t>
  </si>
  <si>
    <t>Narayana Hrudayalaya Limited</t>
  </si>
  <si>
    <t>INE410P01011</t>
  </si>
  <si>
    <t>TATC01</t>
  </si>
  <si>
    <t>Tatva Chintan Pharma Chem Limited</t>
  </si>
  <si>
    <t>INE0GK401011</t>
  </si>
  <si>
    <t>FDUT902</t>
  </si>
  <si>
    <t>3% Axis Bank Limited (04/08/2022)</t>
  </si>
  <si>
    <t>FDUT904</t>
  </si>
  <si>
    <t>3% Axis Bank Limited (18/08/2022)</t>
  </si>
  <si>
    <t>GOI561</t>
  </si>
  <si>
    <t>8.20% Government of India (15/02/2022)</t>
  </si>
  <si>
    <t>IN0020060037</t>
  </si>
  <si>
    <t>GOI820</t>
  </si>
  <si>
    <t>8.89% State Government Securities (05/10/2021)</t>
  </si>
  <si>
    <t>IN2220110059</t>
  </si>
  <si>
    <t>GOI2048</t>
  </si>
  <si>
    <t>8.88% State Government Securities (05/10/2021)</t>
  </si>
  <si>
    <t>IN1520110082</t>
  </si>
  <si>
    <t>EXIM690</t>
  </si>
  <si>
    <t>Export Import Bank of India (14/12/2021) ** #</t>
  </si>
  <si>
    <t>INE514E16BV6</t>
  </si>
  <si>
    <t>IDBK419</t>
  </si>
  <si>
    <t>IDFC First Bank Limited (11/03/2022) ** #</t>
  </si>
  <si>
    <t>INE092T16QN6</t>
  </si>
  <si>
    <t>IIBL905</t>
  </si>
  <si>
    <t>IndusInd Bank Limited (09/03/2022) ** #</t>
  </si>
  <si>
    <t>INE095A16L22</t>
  </si>
  <si>
    <t>IIBL910</t>
  </si>
  <si>
    <t>IndusInd Bank Limited (25/01/2022) #</t>
  </si>
  <si>
    <t>INE095A16L97</t>
  </si>
  <si>
    <t>SIDB444</t>
  </si>
  <si>
    <t>Small Industries Dev Bank of India (25/03/2022) #</t>
  </si>
  <si>
    <t>INE556F16861</t>
  </si>
  <si>
    <t>EXIM709</t>
  </si>
  <si>
    <t>Export Import Bank of India (29/12/2021) **</t>
  </si>
  <si>
    <t>INE514E14PV1</t>
  </si>
  <si>
    <t>RPAT33</t>
  </si>
  <si>
    <t>Sikka Ports and Terminals Limited (30/12/2021) **</t>
  </si>
  <si>
    <t>INE941D14105</t>
  </si>
  <si>
    <t>ICBR334</t>
  </si>
  <si>
    <t>ICICI Securities Limited (19/04/2022) **</t>
  </si>
  <si>
    <t>INE763G14KV0</t>
  </si>
  <si>
    <t>NBAR643</t>
  </si>
  <si>
    <t>National Bank For Agriculture and Rural Development (31/01/2022) **</t>
  </si>
  <si>
    <t>INE261F14IC1</t>
  </si>
  <si>
    <t>SUHF233</t>
  </si>
  <si>
    <t>Sundaram Home Finance Limited (28/04/2022) **</t>
  </si>
  <si>
    <t>INE667F14FP7</t>
  </si>
  <si>
    <t>MMFS1144</t>
  </si>
  <si>
    <t>Mahindra &amp; Mahindra Financial Services Limited (25/05/2022) **</t>
  </si>
  <si>
    <t>INE774D14QY5</t>
  </si>
  <si>
    <t>TELC615</t>
  </si>
  <si>
    <t>Tata Motors Limited (31/05/2022) **</t>
  </si>
  <si>
    <t>INE155A14SI2</t>
  </si>
  <si>
    <t>HUTE27</t>
  </si>
  <si>
    <t>Tata Teleservices (Maharashtra) Limited (11/03/2022) **</t>
  </si>
  <si>
    <t>INE517B14800</t>
  </si>
  <si>
    <t>LICH594</t>
  </si>
  <si>
    <t>LIC Housing Finance Limited (30/11/2021) **</t>
  </si>
  <si>
    <t>INE115A14CV3</t>
  </si>
  <si>
    <t>SKFS54</t>
  </si>
  <si>
    <t>Sharekhan BNP Paribas Financial Services Limited (30/12/2021) **</t>
  </si>
  <si>
    <t>INE550X14607</t>
  </si>
  <si>
    <t>RICL139</t>
  </si>
  <si>
    <t>Barclays Investments &amp; Loans (India) Private Limited (28/01/2022) **</t>
  </si>
  <si>
    <t>INE704I14EP5</t>
  </si>
  <si>
    <t>DIIP177</t>
  </si>
  <si>
    <t>Deutsche Investments India Pvt Limited (21/02/2022) **</t>
  </si>
  <si>
    <t>INE144H14ER2</t>
  </si>
  <si>
    <t>BHHX30</t>
  </si>
  <si>
    <t>Bharti Hexacom Limited (17/11/2021) **</t>
  </si>
  <si>
    <t>INE343G14313</t>
  </si>
  <si>
    <t>NICH966</t>
  </si>
  <si>
    <t>Piramal Enterprises Limited (10/12/2021) **</t>
  </si>
  <si>
    <t>INE140A14N43</t>
  </si>
  <si>
    <t>HHFL165</t>
  </si>
  <si>
    <t>Hero Fincorp Limited (18/02/2022) **</t>
  </si>
  <si>
    <t>INE957N14EO2</t>
  </si>
  <si>
    <t>BHHX32</t>
  </si>
  <si>
    <t>Bharti Hexacom Limited (21/03/2022) **</t>
  </si>
  <si>
    <t>INE343G14339</t>
  </si>
  <si>
    <t>CHOL961</t>
  </si>
  <si>
    <t>Cholamandalam Investment and Finance Company Limited (27/04/2022) **</t>
  </si>
  <si>
    <t>INE121A14TI2</t>
  </si>
  <si>
    <t>BHFL65</t>
  </si>
  <si>
    <t>Bajaj Housing Finance Limited (29/10/2021) **</t>
  </si>
  <si>
    <t>INE377Y14744</t>
  </si>
  <si>
    <t>HZIN61</t>
  </si>
  <si>
    <t>Hindustan Zinc Limited (09/11/2021) **</t>
  </si>
  <si>
    <t>INE267A14465</t>
  </si>
  <si>
    <t>MFPL143</t>
  </si>
  <si>
    <t>Infina Finance Private Limited (10/03/2022) **</t>
  </si>
  <si>
    <t>INE879F14DK4</t>
  </si>
  <si>
    <t>MFPL146</t>
  </si>
  <si>
    <t>Infina Finance Private Limited (13/05/2022) **</t>
  </si>
  <si>
    <t>INE879F14DT5</t>
  </si>
  <si>
    <t>HUTE28</t>
  </si>
  <si>
    <t>Tata Teleservices (Maharashtra) Limited (18/05/2022) **</t>
  </si>
  <si>
    <t>INE517B14826</t>
  </si>
  <si>
    <t>TBIL1910</t>
  </si>
  <si>
    <t>182 Days Tbill (MD 09/12/2021)</t>
  </si>
  <si>
    <t>IN002021Y106</t>
  </si>
  <si>
    <t>TBIL1891</t>
  </si>
  <si>
    <t>182 Days Tbill (MD 04/11/2021)</t>
  </si>
  <si>
    <t>IN002021Y056</t>
  </si>
  <si>
    <t>TBIL1916</t>
  </si>
  <si>
    <t>182 Days Tbill (MD 23/12/2021)</t>
  </si>
  <si>
    <t>IN002021Y122</t>
  </si>
  <si>
    <t>TBIL1883</t>
  </si>
  <si>
    <t>182 Days Tbill (MD 14/10/2021)</t>
  </si>
  <si>
    <t>IN002021Y023</t>
  </si>
  <si>
    <t>CDR0748</t>
  </si>
  <si>
    <t>CDR0743</t>
  </si>
  <si>
    <t>NTPC01</t>
  </si>
  <si>
    <t>NTPC Limited</t>
  </si>
  <si>
    <t>INE733E01010</t>
  </si>
  <si>
    <t>PGCI01</t>
  </si>
  <si>
    <t>Power Grid Corporation of India Limited</t>
  </si>
  <si>
    <t>INE752E01010</t>
  </si>
  <si>
    <t>ONGC02</t>
  </si>
  <si>
    <t>Oil &amp; Natural Gas Corporation Limited</t>
  </si>
  <si>
    <t>INE213A01029</t>
  </si>
  <si>
    <t>Oil</t>
  </si>
  <si>
    <t>IOIC01</t>
  </si>
  <si>
    <t>Indian Oil Corporation Limited</t>
  </si>
  <si>
    <t>INE242A01010</t>
  </si>
  <si>
    <t>YESB03A</t>
  </si>
  <si>
    <t>BRIT32</t>
  </si>
  <si>
    <t>5.50% Britannia Industries Limited (03/06/2024) **</t>
  </si>
  <si>
    <t>INE216A08027</t>
  </si>
  <si>
    <t>AGEL01</t>
  </si>
  <si>
    <t>Adani Green Energy Limited</t>
  </si>
  <si>
    <t>INE364U01010</t>
  </si>
  <si>
    <t>ADTL01</t>
  </si>
  <si>
    <t>Adani Transmission Limited</t>
  </si>
  <si>
    <t>INE931S01010</t>
  </si>
  <si>
    <t>ILOM01</t>
  </si>
  <si>
    <t>ICICI Lombard General Insurance Company Limited</t>
  </si>
  <si>
    <t>INE765G01017</t>
  </si>
  <si>
    <t>IPLI01</t>
  </si>
  <si>
    <t>ICICI Prudential Life Insurance Company Limited</t>
  </si>
  <si>
    <t>INE726G01019</t>
  </si>
  <si>
    <t>BINL01</t>
  </si>
  <si>
    <t>Indus Towers Limited</t>
  </si>
  <si>
    <t>INE121J01017</t>
  </si>
  <si>
    <t>BAJA01</t>
  </si>
  <si>
    <t>Bajaj Holdings &amp; Investment Limited</t>
  </si>
  <si>
    <t>INE118A01012</t>
  </si>
  <si>
    <t>SBCP01</t>
  </si>
  <si>
    <t>SBI Cards and Payment Services Limited</t>
  </si>
  <si>
    <t>INE018E01016</t>
  </si>
  <si>
    <t>HDAM01</t>
  </si>
  <si>
    <t>HDFC Asset Management Company Limited</t>
  </si>
  <si>
    <t>INE127D01025</t>
  </si>
  <si>
    <t>YESB03</t>
  </si>
  <si>
    <t>Yes Bank Limited</t>
  </si>
  <si>
    <t>INE528G01035</t>
  </si>
  <si>
    <t>MOTI02</t>
  </si>
  <si>
    <t>Bosch Limited</t>
  </si>
  <si>
    <t>INE323A01026</t>
  </si>
  <si>
    <t>PROG01</t>
  </si>
  <si>
    <t>Procter &amp; Gamble Hygiene and Health Care Limited</t>
  </si>
  <si>
    <t>INE179A01014</t>
  </si>
  <si>
    <t>BHEL02</t>
  </si>
  <si>
    <t>Bharat Electronics Limited</t>
  </si>
  <si>
    <t>INE263A01024</t>
  </si>
  <si>
    <t>KPEL01</t>
  </si>
  <si>
    <t>KPIT Technologies Limited</t>
  </si>
  <si>
    <t>INE04I401011</t>
  </si>
  <si>
    <t>INEN02</t>
  </si>
  <si>
    <t>Cyient Limited</t>
  </si>
  <si>
    <t>INE136B01020</t>
  </si>
  <si>
    <t>EMAM02</t>
  </si>
  <si>
    <t>Emami Limited</t>
  </si>
  <si>
    <t>INE548C01032</t>
  </si>
  <si>
    <t>MOFS03</t>
  </si>
  <si>
    <t>Motilal Oswal Financial Services Limited</t>
  </si>
  <si>
    <t>INE338I01027</t>
  </si>
  <si>
    <t>RELA02</t>
  </si>
  <si>
    <t>Relaxo Footwears Limited</t>
  </si>
  <si>
    <t>INE131B01039</t>
  </si>
  <si>
    <t>SOSO03</t>
  </si>
  <si>
    <t>Sonata Software Limited</t>
  </si>
  <si>
    <t>INE269A01021</t>
  </si>
  <si>
    <t>VGIL02</t>
  </si>
  <si>
    <t>V-Guard Industries Limited</t>
  </si>
  <si>
    <t>INE951I01027</t>
  </si>
  <si>
    <t>JBCH02</t>
  </si>
  <si>
    <t>JB Chemicals &amp; Pharmaceuticals Limited</t>
  </si>
  <si>
    <t>INE572A01028</t>
  </si>
  <si>
    <t>BTUL02</t>
  </si>
  <si>
    <t>APL Apollo Tubes Limited</t>
  </si>
  <si>
    <t>INE702C01027</t>
  </si>
  <si>
    <t>CARU03</t>
  </si>
  <si>
    <t>Carborundum Universal Limited</t>
  </si>
  <si>
    <t>INE120A01034</t>
  </si>
  <si>
    <t>TLFH01</t>
  </si>
  <si>
    <t>Tube Investments of India Limited</t>
  </si>
  <si>
    <t>INE974X01010</t>
  </si>
  <si>
    <t>SKFB02</t>
  </si>
  <si>
    <t>SKF India Limited</t>
  </si>
  <si>
    <t>INE640A01023</t>
  </si>
  <si>
    <t>ECLE01</t>
  </si>
  <si>
    <t>eClerx Services Limited</t>
  </si>
  <si>
    <t>INE738I01010</t>
  </si>
  <si>
    <t>BKBA322</t>
  </si>
  <si>
    <t>7.84% Bank of Baroda (15/01/2035) **</t>
  </si>
  <si>
    <t>INE028A08208</t>
  </si>
  <si>
    <t>BKBA316</t>
  </si>
  <si>
    <t>7.75% Bank of Baroda (11/09/2034) **</t>
  </si>
  <si>
    <t>INE028A08166</t>
  </si>
  <si>
    <t>HZIN02</t>
  </si>
  <si>
    <t>Hindustan Zinc Limited</t>
  </si>
  <si>
    <t>INE267A01025</t>
  </si>
  <si>
    <t>N21K17000P</t>
  </si>
  <si>
    <t>Nifty 50 Index 17000 Put November 2021 Option</t>
  </si>
  <si>
    <t>N21J15800P</t>
  </si>
  <si>
    <t>Nifty 50 Index 15800 Put October 2021 Option</t>
  </si>
  <si>
    <t>FOIL01</t>
  </si>
  <si>
    <t>Fine Organic Industries Limited</t>
  </si>
  <si>
    <t>INE686Y01026</t>
  </si>
  <si>
    <t>PNCI02</t>
  </si>
  <si>
    <t>PNC Infratech Limited</t>
  </si>
  <si>
    <t>INE195J01029</t>
  </si>
  <si>
    <t>KPIT03</t>
  </si>
  <si>
    <t>Birlasoft Limited</t>
  </si>
  <si>
    <t>INE836A01035</t>
  </si>
  <si>
    <t>OREL01</t>
  </si>
  <si>
    <t>Orient Electric Limited</t>
  </si>
  <si>
    <t>INE142Z01019</t>
  </si>
  <si>
    <t>ORRE01</t>
  </si>
  <si>
    <t>RHI Magnesita India Limited</t>
  </si>
  <si>
    <t>INE743M01012</t>
  </si>
  <si>
    <t>AHCO01</t>
  </si>
  <si>
    <t>Ahluwalia Contracts (India) Limited</t>
  </si>
  <si>
    <t>INE758C01029</t>
  </si>
  <si>
    <t>BLUS03</t>
  </si>
  <si>
    <t>Blue Star Limited</t>
  </si>
  <si>
    <t>INE472A01039</t>
  </si>
  <si>
    <t>KNRC02</t>
  </si>
  <si>
    <t>KNR Constructions Limited</t>
  </si>
  <si>
    <t>INE634I01029</t>
  </si>
  <si>
    <t>MFSL01</t>
  </si>
  <si>
    <t>Mas Financial Services Limited</t>
  </si>
  <si>
    <t>INE348L01012</t>
  </si>
  <si>
    <t>VESU01</t>
  </si>
  <si>
    <t>Vesuvius India Limited</t>
  </si>
  <si>
    <t>INE386A01015</t>
  </si>
  <si>
    <t>EMCL02</t>
  </si>
  <si>
    <t>Alicon Castalloy Limited</t>
  </si>
  <si>
    <t>INE062D01024</t>
  </si>
  <si>
    <t>MYCE01</t>
  </si>
  <si>
    <t>HeidelbergCement India Limited</t>
  </si>
  <si>
    <t>INE578A01017</t>
  </si>
  <si>
    <t>JMFL02</t>
  </si>
  <si>
    <t>JM Financial Limited</t>
  </si>
  <si>
    <t>INE780C01023</t>
  </si>
  <si>
    <t>VSTI01</t>
  </si>
  <si>
    <t>VST Industries Limited</t>
  </si>
  <si>
    <t>INE710A01016</t>
  </si>
  <si>
    <t>MTAR01</t>
  </si>
  <si>
    <t>SMFP01</t>
  </si>
  <si>
    <t>MCEX01</t>
  </si>
  <si>
    <t>Multi Commodity Exchange of India Limited</t>
  </si>
  <si>
    <t>INE745G01035</t>
  </si>
  <si>
    <t>CAMS01</t>
  </si>
  <si>
    <t>Computer Age Management Services Limited</t>
  </si>
  <si>
    <t>INE596I01012</t>
  </si>
  <si>
    <t>ESSP02</t>
  </si>
  <si>
    <t>EPL Limited</t>
  </si>
  <si>
    <t>INE255A01020</t>
  </si>
  <si>
    <t>BEFS01</t>
  </si>
  <si>
    <t>Mrs. Bectors Food Specialities Limited</t>
  </si>
  <si>
    <t>INE495P01012</t>
  </si>
  <si>
    <t>CGIM01</t>
  </si>
  <si>
    <t>Igarashi Motors India Limited</t>
  </si>
  <si>
    <t>INE188B01013</t>
  </si>
  <si>
    <t>JAAU03</t>
  </si>
  <si>
    <t>Jamna Auto Industries Limited</t>
  </si>
  <si>
    <t>INE039C01032</t>
  </si>
  <si>
    <t>MFOR01</t>
  </si>
  <si>
    <t>MM Forgings Limited</t>
  </si>
  <si>
    <t>INE227C01017</t>
  </si>
  <si>
    <t>ASEA02</t>
  </si>
  <si>
    <t>ABB India Limited</t>
  </si>
  <si>
    <t>INE117A01022</t>
  </si>
  <si>
    <t>NAZT02</t>
  </si>
  <si>
    <t>Nazara Technologies Limited</t>
  </si>
  <si>
    <t>INE418L01021</t>
  </si>
  <si>
    <t>903618USD</t>
  </si>
  <si>
    <t>Costco Wholesale Corp</t>
  </si>
  <si>
    <t>US22160K1051</t>
  </si>
  <si>
    <t>Hypermarkets and Supercenters</t>
  </si>
  <si>
    <t>1005182USD</t>
  </si>
  <si>
    <t>Blackrock Inc</t>
  </si>
  <si>
    <t>US09247X1019</t>
  </si>
  <si>
    <t>Asset Management &amp; Custody Banks</t>
  </si>
  <si>
    <t>37962490USD</t>
  </si>
  <si>
    <t>Linde PLC</t>
  </si>
  <si>
    <t>IE00BZ12WP82</t>
  </si>
  <si>
    <t>Industrial Gases</t>
  </si>
  <si>
    <t>647943USD</t>
  </si>
  <si>
    <t>Amphenol Corp</t>
  </si>
  <si>
    <t>US0320951017</t>
  </si>
  <si>
    <t>Electronic Components</t>
  </si>
  <si>
    <t>112491USD</t>
  </si>
  <si>
    <t>West Pharmaceutical Services Inc</t>
  </si>
  <si>
    <t>US9553061055</t>
  </si>
  <si>
    <t>Health Care Supplies</t>
  </si>
  <si>
    <t>908440USD</t>
  </si>
  <si>
    <t>Apple Inc</t>
  </si>
  <si>
    <t>US0378331005</t>
  </si>
  <si>
    <t>Technology Hardware, Storage &amp; Peripherals</t>
  </si>
  <si>
    <t>11363205USD</t>
  </si>
  <si>
    <t>NextEra Energy Inc</t>
  </si>
  <si>
    <t>US65339F1012</t>
  </si>
  <si>
    <t>Electric Utilities</t>
  </si>
  <si>
    <t>38497535USD</t>
  </si>
  <si>
    <t>Sea Ltd</t>
  </si>
  <si>
    <t>US81141R1005</t>
  </si>
  <si>
    <t>Interactive Home Entertainment</t>
  </si>
  <si>
    <t>3518624USD</t>
  </si>
  <si>
    <t>MSCI Inc</t>
  </si>
  <si>
    <t>US55354G1004</t>
  </si>
  <si>
    <t>Financial Exchanges &amp; Data</t>
  </si>
  <si>
    <t>58382412USD</t>
  </si>
  <si>
    <t>Airbnb Inc</t>
  </si>
  <si>
    <t>US0090661010</t>
  </si>
  <si>
    <t>60141USD</t>
  </si>
  <si>
    <t>Intuit Inc</t>
  </si>
  <si>
    <t>US4612021034</t>
  </si>
  <si>
    <t>555100USD</t>
  </si>
  <si>
    <t>Schlumberger Ltd</t>
  </si>
  <si>
    <t>AN8068571086</t>
  </si>
  <si>
    <t>Oil &amp; Gas Equipment &amp; Services</t>
  </si>
  <si>
    <t>923916USD</t>
  </si>
  <si>
    <t>Danaher Corp</t>
  </si>
  <si>
    <t>US2358511028</t>
  </si>
  <si>
    <t>40434003USD</t>
  </si>
  <si>
    <t>Sensata Technologies Holding PLC</t>
  </si>
  <si>
    <t>GB00BFMBMT84</t>
  </si>
  <si>
    <t>940695USD</t>
  </si>
  <si>
    <t>IDEXX Laboratories Inc</t>
  </si>
  <si>
    <t>US45168D1046</t>
  </si>
  <si>
    <t>22241960USD</t>
  </si>
  <si>
    <t>Globant S.A.</t>
  </si>
  <si>
    <t>LU0974299876</t>
  </si>
  <si>
    <t>IT Consulting &amp; Other Services</t>
  </si>
  <si>
    <t>947556USD</t>
  </si>
  <si>
    <t>Eli Lilly 
&amp; Co</t>
  </si>
  <si>
    <t>US5324571083</t>
  </si>
  <si>
    <t>1111080USD</t>
  </si>
  <si>
    <t>Illumina Inc</t>
  </si>
  <si>
    <t>US4523271090</t>
  </si>
  <si>
    <t>30143936USD</t>
  </si>
  <si>
    <t>Square Inc</t>
  </si>
  <si>
    <t>US8522341036</t>
  </si>
  <si>
    <t>40562757USD</t>
  </si>
  <si>
    <t>Zscaler Inc</t>
  </si>
  <si>
    <t>US98980G1022</t>
  </si>
  <si>
    <t>27212611USD</t>
  </si>
  <si>
    <t>Solaredge Technologies Inc</t>
  </si>
  <si>
    <t>US83417M1045</t>
  </si>
  <si>
    <t>28467085USD</t>
  </si>
  <si>
    <t>Paypal Holdings Inc</t>
  </si>
  <si>
    <t>US70450Y1038</t>
  </si>
  <si>
    <t>3971431USD</t>
  </si>
  <si>
    <t>Activision Blizzard Inc</t>
  </si>
  <si>
    <t>US00507V1098</t>
  </si>
  <si>
    <t>22339711USD</t>
  </si>
  <si>
    <t>Intercontinental Exchange Inc</t>
  </si>
  <si>
    <t>US45866F1049</t>
  </si>
  <si>
    <t>994529USD</t>
  </si>
  <si>
    <t>Nvidia Corp Com</t>
  </si>
  <si>
    <t>US67066G1040</t>
  </si>
  <si>
    <t>13748167USD</t>
  </si>
  <si>
    <t>Fortune Brands Home &amp; Security Inc</t>
  </si>
  <si>
    <t>US34964C1062</t>
  </si>
  <si>
    <t>41774718USD</t>
  </si>
  <si>
    <t>Wyndham Hotels &amp; Resorts Inc</t>
  </si>
  <si>
    <t>US98311A1051</t>
  </si>
  <si>
    <t>FDUT891</t>
  </si>
  <si>
    <t>3% Axis Bank Limited (20/06/2022)</t>
  </si>
  <si>
    <t>IRS595521FX</t>
  </si>
  <si>
    <t>IRS810FX</t>
  </si>
  <si>
    <t>IRS813FX</t>
  </si>
  <si>
    <t>IRS589750FX</t>
  </si>
  <si>
    <t>IRS587764FX</t>
  </si>
  <si>
    <t>IRS583576FX</t>
  </si>
  <si>
    <t>IRS584175FX</t>
  </si>
  <si>
    <t>IRS820FX</t>
  </si>
  <si>
    <t>IRS592622FX</t>
  </si>
  <si>
    <t>IRS837FX</t>
  </si>
  <si>
    <t>IRS591608FX</t>
  </si>
  <si>
    <t>IRS592620FX</t>
  </si>
  <si>
    <t>MRHF90</t>
  </si>
  <si>
    <t>6.7% Mahindra Rural Housing Finance Limited (28/05/2024) **</t>
  </si>
  <si>
    <t>INE950O08238</t>
  </si>
  <si>
    <t>HHFL170</t>
  </si>
  <si>
    <t>5.31% Hero Fincorp Limited (20/05/2024) (FRN) **</t>
  </si>
  <si>
    <t>INE957N07609</t>
  </si>
  <si>
    <t>CHOL966</t>
  </si>
  <si>
    <t>5.7% Cholamandalam Investment and Finance Company Limited (11/05/2023) **</t>
  </si>
  <si>
    <t>INE121A07QA9</t>
  </si>
  <si>
    <t>HHFL172</t>
  </si>
  <si>
    <t>5.16% Hero Fincorp Limited (19/07/2024) (FRN) **</t>
  </si>
  <si>
    <t>INE957N07625</t>
  </si>
  <si>
    <t>LICH587</t>
  </si>
  <si>
    <t>5.35% LIC Housing Finance Limited (20/03/2023) **</t>
  </si>
  <si>
    <t>INE115A07PC9</t>
  </si>
  <si>
    <t>GOI1865</t>
  </si>
  <si>
    <t>7.42% State Government Securities (11/05/2022)</t>
  </si>
  <si>
    <t>IN2220170012</t>
  </si>
  <si>
    <t>SUFI687</t>
  </si>
  <si>
    <t>7.50% Sundaram Finance Limited (07/11/2022) **</t>
  </si>
  <si>
    <t>INE660A07QE8</t>
  </si>
  <si>
    <t>GOI1456</t>
  </si>
  <si>
    <t>8.51% State Government Securities (10/02/2026)</t>
  </si>
  <si>
    <t>IN1620150137</t>
  </si>
  <si>
    <t>HDFC1138</t>
  </si>
  <si>
    <t>4.50% Housing Development Finance Corporation Limited (14/12/2022) **</t>
  </si>
  <si>
    <t>INE001A07SU7</t>
  </si>
  <si>
    <t>HDFC1106</t>
  </si>
  <si>
    <t>6.99% Housing Development Finance Corporation Limited (13/02/2023)</t>
  </si>
  <si>
    <t>INE001A07SH4</t>
  </si>
  <si>
    <t>GOI521</t>
  </si>
  <si>
    <t>8.13% Government of India (16/10/2021)</t>
  </si>
  <si>
    <t>IN0020060094</t>
  </si>
  <si>
    <t>GOI2147</t>
  </si>
  <si>
    <t>8.5% State Government Securities (28/11/2028)</t>
  </si>
  <si>
    <t>IN1520180200</t>
  </si>
  <si>
    <t>GOI2850</t>
  </si>
  <si>
    <t>8.14% State Government Securities (13/11/2025)</t>
  </si>
  <si>
    <t>IN2920150207</t>
  </si>
  <si>
    <t>GOI2333</t>
  </si>
  <si>
    <t>7.97% State Government Securities (05/12/2022)</t>
  </si>
  <si>
    <t>IN1920180099</t>
  </si>
  <si>
    <t>LICH431</t>
  </si>
  <si>
    <t>7.45% LIC Housing Finance Limited (17/10/2022) **</t>
  </si>
  <si>
    <t>INE115A07MO1</t>
  </si>
  <si>
    <t>GOI3519</t>
  </si>
  <si>
    <t>6.79% State Government Securities (30/06/2028)</t>
  </si>
  <si>
    <t>IN3420210046</t>
  </si>
  <si>
    <t>MMFS1134</t>
  </si>
  <si>
    <t>6.55% Mahindra &amp; Mahindra Financial Services Limited (28/06/2022) **</t>
  </si>
  <si>
    <t>INE774D07TT3</t>
  </si>
  <si>
    <t>GOI3555</t>
  </si>
  <si>
    <t>6.97% State Government Securities (28/07/2031)</t>
  </si>
  <si>
    <t>IN3120210148</t>
  </si>
  <si>
    <t>GOI3538</t>
  </si>
  <si>
    <t>6.27% State Government Securities (20/07/2026)</t>
  </si>
  <si>
    <t>IN2920210241</t>
  </si>
  <si>
    <t>BAFL760</t>
  </si>
  <si>
    <t>5.05% Bajaj Finance Limited (10/05/2023) **</t>
  </si>
  <si>
    <t>INE296A07RT7</t>
  </si>
  <si>
    <t>GOI2007</t>
  </si>
  <si>
    <t>8.43% State Government Securities (07/03/2028)</t>
  </si>
  <si>
    <t>IN3120170144</t>
  </si>
  <si>
    <t>SUFI671</t>
  </si>
  <si>
    <t>Sundaram Finance Limited (10/06/2022) (ZCB) **</t>
  </si>
  <si>
    <t>INE660A07PR2</t>
  </si>
  <si>
    <t>GOI2425</t>
  </si>
  <si>
    <t>7.18% State Government Securities (27/03/2022)</t>
  </si>
  <si>
    <t>IN2120180129</t>
  </si>
  <si>
    <t>GOI1469</t>
  </si>
  <si>
    <t>8.69% State Government Securities (24/02/2026)</t>
  </si>
  <si>
    <t>IN2020150164</t>
  </si>
  <si>
    <t>RUPL24</t>
  </si>
  <si>
    <t>7.7% Jamnagar Utilities &amp; Power Private Limited (29/06/2023) **</t>
  </si>
  <si>
    <t>INE936D07166</t>
  </si>
  <si>
    <t>TCFS571</t>
  </si>
  <si>
    <t>Tata Capital Financial Services Limited (26/10/2021) (ZCB) **</t>
  </si>
  <si>
    <t>INE306N07KH7</t>
  </si>
  <si>
    <t>GOI1433</t>
  </si>
  <si>
    <t>8.27% State Government Securities (13/01/2026)</t>
  </si>
  <si>
    <t>IN3120150179</t>
  </si>
  <si>
    <t>YIPL20</t>
  </si>
  <si>
    <t>6.49% Yarrow Infrastructure Private Limited (01/07/2024) **</t>
  </si>
  <si>
    <t>INE001W07011</t>
  </si>
  <si>
    <t>POWF478</t>
  </si>
  <si>
    <t>6.35% Power Finance Corporation Limited (30/06/2026) **</t>
  </si>
  <si>
    <t>INE134E08LG0</t>
  </si>
  <si>
    <t>LICH495</t>
  </si>
  <si>
    <t>9.19% LIC Housing Finance Limited (06/06/2023) **</t>
  </si>
  <si>
    <t>INE115A07NI1</t>
  </si>
  <si>
    <t>RECL382</t>
  </si>
  <si>
    <t>7.4% REC Limited (26/11/2024) **</t>
  </si>
  <si>
    <t>INE020B08CF8</t>
  </si>
  <si>
    <t>HDFC1104</t>
  </si>
  <si>
    <t>7.35% Housing Development Finance Corporation Limited (10/02/2025) **</t>
  </si>
  <si>
    <t>INE001A07SG6</t>
  </si>
  <si>
    <t>IBCL1100</t>
  </si>
  <si>
    <t>8.55% ICICI Bank Limited (04/10/2022) **</t>
  </si>
  <si>
    <t>INE090A08UA6</t>
  </si>
  <si>
    <t>MMFS1132</t>
  </si>
  <si>
    <t>7.25% Mahindra &amp; Mahindra Financial Services Limited (16/06/2023) **</t>
  </si>
  <si>
    <t>INE774D07TS5</t>
  </si>
  <si>
    <t>RECL404</t>
  </si>
  <si>
    <t>5.69% REC Limited (30/09/2023) **</t>
  </si>
  <si>
    <t>INE020B08DC3</t>
  </si>
  <si>
    <t>GOI1885</t>
  </si>
  <si>
    <t>8.71% State Government Securities (25/01/2022)</t>
  </si>
  <si>
    <t>IN1620110065</t>
  </si>
  <si>
    <t>LTIF366</t>
  </si>
  <si>
    <t>7.6653% L&amp;T Finance Limited (18/03/2022) **</t>
  </si>
  <si>
    <t>INE691I07EQ6</t>
  </si>
  <si>
    <t>LARS375</t>
  </si>
  <si>
    <t>7% Larsen &amp; Toubro Limited (25/04/2022) **</t>
  </si>
  <si>
    <t>INE018A08AX1</t>
  </si>
  <si>
    <t>ULCC68</t>
  </si>
  <si>
    <t>6.93% UltraTech Cement Limited (25/11/2021) **</t>
  </si>
  <si>
    <t>INE481G08032</t>
  </si>
  <si>
    <t>LICH581</t>
  </si>
  <si>
    <t>5.23% LIC Housing Finance Limited (26/07/2023) **</t>
  </si>
  <si>
    <t>INE115A07PA3</t>
  </si>
  <si>
    <t>MRHF89</t>
  </si>
  <si>
    <t>5.95% Mahindra Rural Housing Finance Limited (19/05/2023) (FRN) **</t>
  </si>
  <si>
    <t>INE950O08212</t>
  </si>
  <si>
    <t>GOI2927</t>
  </si>
  <si>
    <t>6.80% Government of India (15/12/2022)</t>
  </si>
  <si>
    <t>IN001222C057</t>
  </si>
  <si>
    <t>POWF479</t>
  </si>
  <si>
    <t>6.35% Power Finance Corporation Limited (30/06/2025) **</t>
  </si>
  <si>
    <t>INE134E08LF2</t>
  </si>
  <si>
    <t>KMIL414</t>
  </si>
  <si>
    <t>Kotak Mahindra Investments Limited (19/10/2023) (ZCB) **</t>
  </si>
  <si>
    <t>INE975F07HI9</t>
  </si>
  <si>
    <t>POWF477</t>
  </si>
  <si>
    <t>6.35% Power Finance Corporation Limited (30/06/2027) **</t>
  </si>
  <si>
    <t>INE134E08LH8</t>
  </si>
  <si>
    <t>GOI1999</t>
  </si>
  <si>
    <t>8.34% State Government Securities (28/02/2028)</t>
  </si>
  <si>
    <t>IN3120170136</t>
  </si>
  <si>
    <t>GOI2025</t>
  </si>
  <si>
    <t>8.15% State Government Securities (27/03/2028)</t>
  </si>
  <si>
    <t>IN3520170090</t>
  </si>
  <si>
    <t>GOI2383</t>
  </si>
  <si>
    <t>6.80% Government of India (15/06/2025)</t>
  </si>
  <si>
    <t>IN000625C052</t>
  </si>
  <si>
    <t>BAFL724</t>
  </si>
  <si>
    <t>7.35% Bajaj Finance Limited (10/11/2022) **</t>
  </si>
  <si>
    <t>INE296A07QX1</t>
  </si>
  <si>
    <t>LARS348</t>
  </si>
  <si>
    <t>7.87% Larsen &amp; Toubro Limited (18/04/2022)</t>
  </si>
  <si>
    <t>INE018A08AR3</t>
  </si>
  <si>
    <t>GOI1578</t>
  </si>
  <si>
    <t>8.05% State Government Securities (15/06/2026)</t>
  </si>
  <si>
    <t>IN1520160053</t>
  </si>
  <si>
    <t>GOI3479</t>
  </si>
  <si>
    <t>8.22% State Government Securities (13/05/2025)</t>
  </si>
  <si>
    <t>IN3120150039</t>
  </si>
  <si>
    <t>RECL379</t>
  </si>
  <si>
    <t>7.55% REC Limited (26/09/2023) **</t>
  </si>
  <si>
    <t>INE020B08CC5</t>
  </si>
  <si>
    <t>GOI3522</t>
  </si>
  <si>
    <t>6.24% State Government Securities (30/06/2026)</t>
  </si>
  <si>
    <t>IN2920210183</t>
  </si>
  <si>
    <t>RUPL25</t>
  </si>
  <si>
    <t>7.65% Jamnagar Utilities &amp; Power Private Limited (29/12/2022) **</t>
  </si>
  <si>
    <t>INE936D07141</t>
  </si>
  <si>
    <t>RIND200</t>
  </si>
  <si>
    <t>7.17% Reliance Industries Limited (08/11/2022) **</t>
  </si>
  <si>
    <t>INE002A08500</t>
  </si>
  <si>
    <t>LICH519</t>
  </si>
  <si>
    <t>8.595% LIC Housing Finance Limited (14/01/2022) **</t>
  </si>
  <si>
    <t>INE115A07NZ5</t>
  </si>
  <si>
    <t>GOI1308</t>
  </si>
  <si>
    <t>8.13% Government of India (22/06/2045)</t>
  </si>
  <si>
    <t>IN0020150044</t>
  </si>
  <si>
    <t>GOI1448</t>
  </si>
  <si>
    <t>8.38% State Government Securities (27/01/2026)</t>
  </si>
  <si>
    <t>IN3120150187</t>
  </si>
  <si>
    <t>GOI1434</t>
  </si>
  <si>
    <t>IN1520150104</t>
  </si>
  <si>
    <t>GOI848</t>
  </si>
  <si>
    <t>8.66% State Government Securities (25/01/2022)</t>
  </si>
  <si>
    <t>IN2220110091</t>
  </si>
  <si>
    <t>GOI2335</t>
  </si>
  <si>
    <t>6.45% Government of India (07/10/2029)</t>
  </si>
  <si>
    <t>IN0020190362</t>
  </si>
  <si>
    <t>GOI3499</t>
  </si>
  <si>
    <t>8.83% Government of India (12/12/2022)</t>
  </si>
  <si>
    <t>IN001222C040</t>
  </si>
  <si>
    <t>GOI3077</t>
  </si>
  <si>
    <t>9.23% Government of India (23/12/2022)</t>
  </si>
  <si>
    <t>IN001222C065</t>
  </si>
  <si>
    <t>GOI3564</t>
  </si>
  <si>
    <t>6.43% State Government Securities (18/08/2027)</t>
  </si>
  <si>
    <t>IN2220210222</t>
  </si>
  <si>
    <t>EXIM515</t>
  </si>
  <si>
    <t>8.18% Export Import Bank of India (07/12/2025) **</t>
  </si>
  <si>
    <t>INE514E08EU9</t>
  </si>
  <si>
    <t>GOI1089</t>
  </si>
  <si>
    <t>9.20% Government of India (30/09/2030)</t>
  </si>
  <si>
    <t>IN0020130053</t>
  </si>
  <si>
    <t>IOIC535</t>
  </si>
  <si>
    <t>5.50% Indian Oil Corporation Limited (20/10/2025) **</t>
  </si>
  <si>
    <t>INE242A08486</t>
  </si>
  <si>
    <t>RECL407</t>
  </si>
  <si>
    <t>5.81% REC Limited (31/12/2025) **</t>
  </si>
  <si>
    <t>INE020B08DH2</t>
  </si>
  <si>
    <t>GOI1453</t>
  </si>
  <si>
    <t>8.39% State Government Securities (27/01/2026)</t>
  </si>
  <si>
    <t>IN2120150098</t>
  </si>
  <si>
    <t>GOI2231</t>
  </si>
  <si>
    <t>8.05% State Government Securities (27/03/2029)</t>
  </si>
  <si>
    <t>IN1520180341</t>
  </si>
  <si>
    <t>LICH267</t>
  </si>
  <si>
    <t>8.5% LIC Housing Finance Limited (24/02/2025) **</t>
  </si>
  <si>
    <t>INE115A07GS4</t>
  </si>
  <si>
    <t>GOI1370</t>
  </si>
  <si>
    <t>7.98% State Government Securities (14/10/2025)</t>
  </si>
  <si>
    <t>IN1920150019</t>
  </si>
  <si>
    <t>GOI2186</t>
  </si>
  <si>
    <t>7.32% Government of India (28/01/2024)</t>
  </si>
  <si>
    <t>IN0020180488</t>
  </si>
  <si>
    <t>GOI2947</t>
  </si>
  <si>
    <t>6.99% State Government Securities (31/03/2026)</t>
  </si>
  <si>
    <t>IN1520190233</t>
  </si>
  <si>
    <t>RUPL26</t>
  </si>
  <si>
    <t>7.67% Jamnagar Utilities &amp; Power Private Limited (28/02/2023) **</t>
  </si>
  <si>
    <t>INE936D07158</t>
  </si>
  <si>
    <t>GOI2738</t>
  </si>
  <si>
    <t>6.69% State Government Securities (23/09/2030)</t>
  </si>
  <si>
    <t>IN3120200297</t>
  </si>
  <si>
    <t>GOI1364</t>
  </si>
  <si>
    <t>7.73% Government of India (19/12/2034)</t>
  </si>
  <si>
    <t>IN0020150051</t>
  </si>
  <si>
    <t>GOI1584</t>
  </si>
  <si>
    <t>8.27% State Government Securities (23/06/2022)</t>
  </si>
  <si>
    <t>IN2920160081</t>
  </si>
  <si>
    <t>GOI849</t>
  </si>
  <si>
    <t>IN3120110116</t>
  </si>
  <si>
    <t>GOI2470</t>
  </si>
  <si>
    <t>5.95% State Government Securities (13/05/2025)</t>
  </si>
  <si>
    <t>IN3120200057</t>
  </si>
  <si>
    <t>GOI1627</t>
  </si>
  <si>
    <t>7.98% State Government Securities (25/05/2026)</t>
  </si>
  <si>
    <t>IN1520160046</t>
  </si>
  <si>
    <t>GOI1531</t>
  </si>
  <si>
    <t>7.98% State Government Securities (11/05/2026)</t>
  </si>
  <si>
    <t>IN1520160038</t>
  </si>
  <si>
    <t>NTPC206</t>
  </si>
  <si>
    <t>5.45% NTPC Limited (15/10/2025) **</t>
  </si>
  <si>
    <t>INE733E08163</t>
  </si>
  <si>
    <t>GOI1290</t>
  </si>
  <si>
    <t>7.68% Government of India (15/12/2023)</t>
  </si>
  <si>
    <t>IN0020150010</t>
  </si>
  <si>
    <t>GOI1694</t>
  </si>
  <si>
    <t>6.92% State Government Securities (11/01/2022)</t>
  </si>
  <si>
    <t>IN2220160146</t>
  </si>
  <si>
    <t>GOI279</t>
  </si>
  <si>
    <t>8.35% Government of India (14/05/2022)</t>
  </si>
  <si>
    <t>IN0020020072</t>
  </si>
  <si>
    <t>RECL411</t>
  </si>
  <si>
    <t>5.94% REC Limited (31/01/2026) **</t>
  </si>
  <si>
    <t>INE020B08DK6</t>
  </si>
  <si>
    <t>GOI860</t>
  </si>
  <si>
    <t>8.94% State Government Securities (07/03/2022)</t>
  </si>
  <si>
    <t>IN1520110124</t>
  </si>
  <si>
    <t>GOI1673</t>
  </si>
  <si>
    <t>6.79% Government of India (26/12/2029)</t>
  </si>
  <si>
    <t>IN0020160118</t>
  </si>
  <si>
    <t>GOI922</t>
  </si>
  <si>
    <t>8.20% Government of India (24/09/2025)</t>
  </si>
  <si>
    <t>IN0020120047</t>
  </si>
  <si>
    <t>GOI1747</t>
  </si>
  <si>
    <t>8.61% State Government Securities (21/03/2022)</t>
  </si>
  <si>
    <t>IN3320150540</t>
  </si>
  <si>
    <t>GOI886</t>
  </si>
  <si>
    <t>9.12% State Government Securities (23/05/2022)</t>
  </si>
  <si>
    <t>IN1520120024</t>
  </si>
  <si>
    <t>GOI966</t>
  </si>
  <si>
    <t>8.90% State Government Securities (19/12/2022)</t>
  </si>
  <si>
    <t>IN1920120079</t>
  </si>
  <si>
    <t>GOI1532</t>
  </si>
  <si>
    <t>8.65% State Government Securities (25/01/2022)</t>
  </si>
  <si>
    <t>IN1920110039</t>
  </si>
  <si>
    <t>GOI838</t>
  </si>
  <si>
    <t>8.97% Government of India (05/12/2030)</t>
  </si>
  <si>
    <t>IN0020110055</t>
  </si>
  <si>
    <t>GOI892</t>
  </si>
  <si>
    <t>8.15% Government of India (11/06/2022)</t>
  </si>
  <si>
    <t>IN0020120013</t>
  </si>
  <si>
    <t>GOI869</t>
  </si>
  <si>
    <t>9.23% State Government Securities (30/03/2022)</t>
  </si>
  <si>
    <t>IN1520110140</t>
  </si>
  <si>
    <t>FBRT36</t>
  </si>
  <si>
    <t>First Business Receivables Trust (01/04/2024) **</t>
  </si>
  <si>
    <t>INE0BTV15170</t>
  </si>
  <si>
    <t>FBRT37</t>
  </si>
  <si>
    <t>First Business Receivables Trust (01/07/2024) **</t>
  </si>
  <si>
    <t>INE0BTV15188</t>
  </si>
  <si>
    <t>FBRT32</t>
  </si>
  <si>
    <t>First Business Receivables Trust (01/04/2023) **</t>
  </si>
  <si>
    <t>INE0BTV15139</t>
  </si>
  <si>
    <t>FBRT33</t>
  </si>
  <si>
    <t>First Business Receivables Trust (01/07/2023) **</t>
  </si>
  <si>
    <t>INE0BTV15147</t>
  </si>
  <si>
    <t>FBRT29</t>
  </si>
  <si>
    <t>First Business Receivables Trust (01/07/2022) **</t>
  </si>
  <si>
    <t>INE0BTV15105</t>
  </si>
  <si>
    <t>NBAR614</t>
  </si>
  <si>
    <t>National Bank For Agriculture and Rural Development (08/02/2022) ** #</t>
  </si>
  <si>
    <t>INE261F16587</t>
  </si>
  <si>
    <t>IND A1+</t>
  </si>
  <si>
    <t>KMIL392</t>
  </si>
  <si>
    <t>Kotak Mahindra Investments Limited (04/02/2022) **</t>
  </si>
  <si>
    <t>INE975F14UD9</t>
  </si>
  <si>
    <t>CHOL963</t>
  </si>
  <si>
    <t>Cholamandalam Investment and Finance Company Limited (28/01/2022)</t>
  </si>
  <si>
    <t>INE121A14TM4</t>
  </si>
  <si>
    <t>IRS814FX</t>
  </si>
  <si>
    <t>IRS803FX</t>
  </si>
  <si>
    <t>HLFL69</t>
  </si>
  <si>
    <t>7.95% Hinduja Leyland Finance Limited (14/02/2023) **</t>
  </si>
  <si>
    <t>INE146O07441</t>
  </si>
  <si>
    <t>CIFI406</t>
  </si>
  <si>
    <t>4.23% Citicorp Finance India Limited (27/10/2022) **</t>
  </si>
  <si>
    <t>INE915D08CE8</t>
  </si>
  <si>
    <t>MUFL333</t>
  </si>
  <si>
    <t>7.15% Muthoot Finance Limited (25/11/2022) **</t>
  </si>
  <si>
    <t>INE414G07EZ8</t>
  </si>
  <si>
    <t>SHEB129</t>
  </si>
  <si>
    <t>7% Tata Motors Finance Limited (27/02/2023) **</t>
  </si>
  <si>
    <t>INE601U08200</t>
  </si>
  <si>
    <t>SHEB123</t>
  </si>
  <si>
    <t>6.75% Tata Motors Finance Limited (28/04/2022) **</t>
  </si>
  <si>
    <t>INE601U07236</t>
  </si>
  <si>
    <t>HDFC1117</t>
  </si>
  <si>
    <t>6.22% Housing Development Finance Corporation Limited (10/12/2021)</t>
  </si>
  <si>
    <t>INE001A07SN2</t>
  </si>
  <si>
    <t>MUFL354</t>
  </si>
  <si>
    <t>6.6% Muthoot Finance Limited (20/06/2023) **</t>
  </si>
  <si>
    <t>INE414G07FS0</t>
  </si>
  <si>
    <t>GOI1049</t>
  </si>
  <si>
    <t>8.62% State Government Securities (06/03/2023)</t>
  </si>
  <si>
    <t>IN2220120116</t>
  </si>
  <si>
    <t>NBAR625</t>
  </si>
  <si>
    <t>5% National Bank For Agriculture and Rural Development (11/03/2024) **</t>
  </si>
  <si>
    <t>INE261F08CY0</t>
  </si>
  <si>
    <t>SHTR467</t>
  </si>
  <si>
    <t>6.75% Shriram Transport Finance Company Limited (28/04/2023) **</t>
  </si>
  <si>
    <t>INE721A07QH1</t>
  </si>
  <si>
    <t>GOI2994</t>
  </si>
  <si>
    <t>4.45% State Government Securities (10/06/2022)</t>
  </si>
  <si>
    <t>IN2220200066</t>
  </si>
  <si>
    <t>IILD61</t>
  </si>
  <si>
    <t>5.75% India Infradebt Limited (15/09/2023) **</t>
  </si>
  <si>
    <t>INE537P07604</t>
  </si>
  <si>
    <t>POWF301</t>
  </si>
  <si>
    <t>8.55% Power Finance Corporation Limited (09/12/2021) **</t>
  </si>
  <si>
    <t>INE134E08GT3</t>
  </si>
  <si>
    <t>TMLF457</t>
  </si>
  <si>
    <t>TMF Holdings Limited (28/03/2022) (ZCB) **</t>
  </si>
  <si>
    <t>INE909H08279</t>
  </si>
  <si>
    <t>GOI1537</t>
  </si>
  <si>
    <t>8.21% State Government Securities (31/03/2022)</t>
  </si>
  <si>
    <t>IN2920150413</t>
  </si>
  <si>
    <t>CHOL964</t>
  </si>
  <si>
    <t>7.2% Cholamandalam Investment and Finance Company Limited (17/06/2022) **</t>
  </si>
  <si>
    <t>INE121A07PK0</t>
  </si>
  <si>
    <t>HDFC1113</t>
  </si>
  <si>
    <t>7.06% Housing Development Finance Corporation Limited (13/12/2021)</t>
  </si>
  <si>
    <t>INE001A07SL6</t>
  </si>
  <si>
    <t>GOI1023</t>
  </si>
  <si>
    <t>8.56% State Government Securities (23/01/2023)</t>
  </si>
  <si>
    <t>IN2920120135</t>
  </si>
  <si>
    <t>RECL368</t>
  </si>
  <si>
    <t>8.5% REC Limited (20/12/2021) **</t>
  </si>
  <si>
    <t>INE020B08BR5</t>
  </si>
  <si>
    <t>MRHF88</t>
  </si>
  <si>
    <t>7.15% Mahindra Rural Housing Finance Limited (15/09/2023) **</t>
  </si>
  <si>
    <t>INE950O07370</t>
  </si>
  <si>
    <t>LTIF355</t>
  </si>
  <si>
    <t>8.4% L&amp;T Finance Limited (29/11/2021) **</t>
  </si>
  <si>
    <t>INE691I07EG7</t>
  </si>
  <si>
    <t>ULCC67</t>
  </si>
  <si>
    <t>6.99% UltraTech Cement Limited (24/11/2021) **</t>
  </si>
  <si>
    <t>INE481G08024</t>
  </si>
  <si>
    <t>GOI2393</t>
  </si>
  <si>
    <t>6.80% Government of India (15/12/2023)</t>
  </si>
  <si>
    <t>IN001223C055</t>
  </si>
  <si>
    <t>GOI3584</t>
  </si>
  <si>
    <t>8.83% Government of India (12/12/2023)</t>
  </si>
  <si>
    <t>IN001223C048</t>
  </si>
  <si>
    <t>GOI853</t>
  </si>
  <si>
    <t>8.69% State Government Securities (08/02/2022)</t>
  </si>
  <si>
    <t>IN1920110047</t>
  </si>
  <si>
    <t>TCFS505</t>
  </si>
  <si>
    <t>9.4756% Tata Capital Financial Services Limited (08/04/2022) **</t>
  </si>
  <si>
    <t>INE306N07KG9</t>
  </si>
  <si>
    <t>GOI861</t>
  </si>
  <si>
    <t>8.95% State Government Securities (07/03/2022)</t>
  </si>
  <si>
    <t>IN2220110117</t>
  </si>
  <si>
    <t>GOI827</t>
  </si>
  <si>
    <t>9.19% State Government Securities (09/11/2021)</t>
  </si>
  <si>
    <t>IN1920110013</t>
  </si>
  <si>
    <t>GOI832</t>
  </si>
  <si>
    <t>IN3120110082</t>
  </si>
  <si>
    <t>GOI831</t>
  </si>
  <si>
    <t>9.17% State Government Securities (09/11/2021)</t>
  </si>
  <si>
    <t>IN1020110095</t>
  </si>
  <si>
    <t>GOI3075</t>
  </si>
  <si>
    <t>9.23% Government of India (23/12/2023)</t>
  </si>
  <si>
    <t>IN001223C063</t>
  </si>
  <si>
    <t>PGCI201</t>
  </si>
  <si>
    <t>9.2% Power Grid Corporation of India Limited (12/03/2022) **</t>
  </si>
  <si>
    <t>INE752E07FP4</t>
  </si>
  <si>
    <t>GOI2108</t>
  </si>
  <si>
    <t>9.09% State Government Securities (19/10/2021)</t>
  </si>
  <si>
    <t>IN3120110074</t>
  </si>
  <si>
    <t>FBRT26</t>
  </si>
  <si>
    <t>First Business Receivables Trust (01/10/2021) **</t>
  </si>
  <si>
    <t>INE0BTV15071</t>
  </si>
  <si>
    <t>FBRT27</t>
  </si>
  <si>
    <t>First Business Receivables Trust (01/01/2022) **</t>
  </si>
  <si>
    <t>INE0BTV15089</t>
  </si>
  <si>
    <t>IIBL911</t>
  </si>
  <si>
    <t>IndusInd Bank Limited (08/11/2021) ** #</t>
  </si>
  <si>
    <t>INE095A16M47</t>
  </si>
  <si>
    <t>IDBK432</t>
  </si>
  <si>
    <t>IDFC First Bank Limited (12/08/2022) ** #</t>
  </si>
  <si>
    <t>INE092T16QX5</t>
  </si>
  <si>
    <t>NBAR611</t>
  </si>
  <si>
    <t>National Bank For Agriculture and Rural Development (27/01/2022) ** #</t>
  </si>
  <si>
    <t>INE261F16579</t>
  </si>
  <si>
    <t>RIND410</t>
  </si>
  <si>
    <t>Reliance Industries Limited (14/03/2022) **</t>
  </si>
  <si>
    <t>INE002A14IQ0</t>
  </si>
  <si>
    <t>KMIL411</t>
  </si>
  <si>
    <t>Kotak Mahindra Investments Limited (11/04/2022) **</t>
  </si>
  <si>
    <t>INE975F14VH8</t>
  </si>
  <si>
    <t>MFPL163</t>
  </si>
  <si>
    <t>Infina Finance Private Limited (23/02/2022) **</t>
  </si>
  <si>
    <t>INE879F14EW7</t>
  </si>
  <si>
    <t>GODP192</t>
  </si>
  <si>
    <t>Godrej Properties Limited (29/10/2021) **</t>
  </si>
  <si>
    <t>INE484J14MC3</t>
  </si>
  <si>
    <t>ICBR332</t>
  </si>
  <si>
    <t>ICICI Securities Limited (16/03/2022) **</t>
  </si>
  <si>
    <t>INE763G14KO5</t>
  </si>
  <si>
    <t>MFPL155</t>
  </si>
  <si>
    <t>Infina Finance Private Limited (28/06/2022) **</t>
  </si>
  <si>
    <t>INE879F14EE5</t>
  </si>
  <si>
    <t>HDFC1158</t>
  </si>
  <si>
    <t>Housing Development Finance Corporation Limited (24/08/2022) **</t>
  </si>
  <si>
    <t>INE001A14XT5</t>
  </si>
  <si>
    <t>ICBR324</t>
  </si>
  <si>
    <t>ICICI Securities Limited (10/12/2021) **</t>
  </si>
  <si>
    <t>INE763G14JK5</t>
  </si>
  <si>
    <t>MFPL147</t>
  </si>
  <si>
    <t>Infina Finance Private Limited (09/12/2021) **</t>
  </si>
  <si>
    <t>INE879F14DW9</t>
  </si>
  <si>
    <t>TATE54</t>
  </si>
  <si>
    <t>Tata Teleservices Limited (11/03/2022) **</t>
  </si>
  <si>
    <t>INE037E14AC5</t>
  </si>
  <si>
    <t>HDFC1152</t>
  </si>
  <si>
    <t>Housing Development Finance Corporation Limited (10/06/2022) **</t>
  </si>
  <si>
    <t>INE001A14XP3</t>
  </si>
  <si>
    <t>TBIL1904</t>
  </si>
  <si>
    <t>182 Days Tbill (MD 25/11/2021)</t>
  </si>
  <si>
    <t>IN002021Y080</t>
  </si>
  <si>
    <t>TBIL1839</t>
  </si>
  <si>
    <t>364 Days Tbill (MD 30/12/2021)</t>
  </si>
  <si>
    <t>IN002020Z394</t>
  </si>
  <si>
    <t>TBIL1899</t>
  </si>
  <si>
    <t>182 Days Tbill (MD 18/11/2021)</t>
  </si>
  <si>
    <t>IN002021Y072</t>
  </si>
  <si>
    <t>CDR0805</t>
  </si>
  <si>
    <t>FDUT903</t>
  </si>
  <si>
    <t>3% Axis Bank Limited (16/08/2022)</t>
  </si>
  <si>
    <t>GODP02</t>
  </si>
  <si>
    <t>Godrej Properties Limited</t>
  </si>
  <si>
    <t>INE484J01027</t>
  </si>
  <si>
    <t>TTKH01</t>
  </si>
  <si>
    <t>TTK Healthcare Limited</t>
  </si>
  <si>
    <t>INE910C01018</t>
  </si>
  <si>
    <t>ICFP126</t>
  </si>
  <si>
    <t>8.3% IndoStar Capital Finance Limited (13/04/2022) **</t>
  </si>
  <si>
    <t>INE896L07751</t>
  </si>
  <si>
    <t>TRIF92</t>
  </si>
  <si>
    <t>6.5% TATA Realty &amp; Infrastructure Limited (23/09/2022) **</t>
  </si>
  <si>
    <t>INE371K08177</t>
  </si>
  <si>
    <t>MUFL307</t>
  </si>
  <si>
    <t>9.5% Muthoot Finance Limited (11/03/2022) **</t>
  </si>
  <si>
    <t>INE414G07EP9</t>
  </si>
  <si>
    <t>GOI3030</t>
  </si>
  <si>
    <t>8.73% State Government Securities (08/02/2022)</t>
  </si>
  <si>
    <t>IN1720110056</t>
  </si>
  <si>
    <t>GOI841</t>
  </si>
  <si>
    <t>8.79% State Government Securities (21/12/2021)</t>
  </si>
  <si>
    <t>IN2220110075</t>
  </si>
  <si>
    <t>GOI1020</t>
  </si>
  <si>
    <t>9.22% State Government Securities (23/11/2021)</t>
  </si>
  <si>
    <t>IN3120110090</t>
  </si>
  <si>
    <t>GOI2358</t>
  </si>
  <si>
    <t>7.03% State Government Securities (26/10/2021)</t>
  </si>
  <si>
    <t>IN1520160129</t>
  </si>
  <si>
    <t>KMIL405</t>
  </si>
  <si>
    <t>Kotak Mahindra Investments Limited (23/11/2021) **</t>
  </si>
  <si>
    <t>INE975F14UW9</t>
  </si>
  <si>
    <t>JMFP854</t>
  </si>
  <si>
    <t>JM Financial Products  Limited (27/12/2021) **</t>
  </si>
  <si>
    <t>INE523H14Y08</t>
  </si>
  <si>
    <t>BHFL75</t>
  </si>
  <si>
    <t>Bajaj Housing Finance Limited (28/01/2022) **</t>
  </si>
  <si>
    <t>INE377Y14884</t>
  </si>
  <si>
    <t>NICH965</t>
  </si>
  <si>
    <t>Piramal Enterprises Limited (31/01/2022) **</t>
  </si>
  <si>
    <t>INE140A14N50</t>
  </si>
  <si>
    <t>TATE55</t>
  </si>
  <si>
    <t>Tata Teleservices Limited (01/12/2021) **</t>
  </si>
  <si>
    <t>INE037E14985</t>
  </si>
  <si>
    <t/>
  </si>
  <si>
    <t>GOI1478</t>
  </si>
  <si>
    <t>8.57% State Government Securities (09/03/2026)</t>
  </si>
  <si>
    <t>IN3420150168</t>
  </si>
  <si>
    <t>GOI1415</t>
  </si>
  <si>
    <t>8.24% State Government Securities (09/09/2025)</t>
  </si>
  <si>
    <t>IN3120150104</t>
  </si>
  <si>
    <t>GOI1636</t>
  </si>
  <si>
    <t>8.03% State Government Securities (11/05/2026)</t>
  </si>
  <si>
    <t>IN3320160028</t>
  </si>
  <si>
    <t>GOI1604</t>
  </si>
  <si>
    <t>7.96% State Government Securities (29/06/2026)</t>
  </si>
  <si>
    <t>IN2220160021</t>
  </si>
  <si>
    <t>GOI1464</t>
  </si>
  <si>
    <t>8.83% State Government Securities (24/02/2026)</t>
  </si>
  <si>
    <t>IN3320150383</t>
  </si>
  <si>
    <t>GOI1475</t>
  </si>
  <si>
    <t>8.88% State Government Securities (24/02/2026)</t>
  </si>
  <si>
    <t>IN3420150150</t>
  </si>
  <si>
    <t>GOI3573</t>
  </si>
  <si>
    <t>8.1% State Government Securities (23/03/2026)</t>
  </si>
  <si>
    <t>IN3420150176</t>
  </si>
  <si>
    <t>GOI1462</t>
  </si>
  <si>
    <t>8.67% State Government Securities (24/02/2026)</t>
  </si>
  <si>
    <t>IN2220150196</t>
  </si>
  <si>
    <t>ICRA A1+(SO)</t>
  </si>
  <si>
    <t>Interest Rate Swaps</t>
  </si>
  <si>
    <t>INE090A1BRD4</t>
  </si>
  <si>
    <t>MTAR Technologies Limited - Lock in Shares</t>
  </si>
  <si>
    <t>Suryoday Small Finance Bank Limited - Lock in Shares</t>
  </si>
  <si>
    <t>Reliance Industries Limited - Partly Paid shares</t>
  </si>
  <si>
    <t xml:space="preserve">Yes Bank Limited (Reconstituted Portfolio - Lock in for 3 years)* </t>
  </si>
  <si>
    <t>*Any realisation beyond the carrying value shall be distributed to the set of investors existing the unit holders’ register /BENPOS as on March 13, 2020.</t>
  </si>
  <si>
    <t>Bharti Airtel Limited **  -  Rights Entitlement</t>
  </si>
  <si>
    <t>Bharti Airtel Limited ** - Rights Entitlement</t>
  </si>
  <si>
    <t>Bharti Airtel Limited ** -  Rights Entitlement</t>
  </si>
  <si>
    <t>Aditya Birla Sun Life AMC Limited</t>
  </si>
  <si>
    <t>7.70% L&amp;T Finance Limited (12/06/2023) **</t>
  </si>
  <si>
    <t>Axis Balanced Advantage Fund</t>
  </si>
  <si>
    <t>Scheme Risk-O-Meter</t>
  </si>
  <si>
    <t>Benchmark Risk-O-Meter</t>
  </si>
  <si>
    <t>Benchmark Name - 50% CRISIL COMPOSITE BOND FUND INDEX + 50% CRISIL SHORT TERM BOND FUND INDEX</t>
  </si>
  <si>
    <t>Benchmark Name - NIFTY COMPOSITE DEBT INDEX</t>
  </si>
  <si>
    <t>Benchmark Name - NIFTY BANKING &amp; PSU DEBT INDEX</t>
  </si>
  <si>
    <t>Benchmark Name - NIFTY BANK TRI</t>
  </si>
  <si>
    <t>Benchmark Name - NIFTY 500 INDEX</t>
  </si>
  <si>
    <t>Benchmark Name - NIFTY INDIA CONSUMPTION TRI INDEX</t>
  </si>
  <si>
    <t>Benchmark Name - NIFTY 50 HYBRID COMPOSITE DEBT 65:35 INDEX</t>
  </si>
  <si>
    <t>Benchmark Name - NIFTY CORPORATE BOND INDEX</t>
  </si>
  <si>
    <t>Benchmark Name - NIFTY 50 HYBRID COMPOSITE DEBT 50:50 INDEX</t>
  </si>
  <si>
    <t>Benchmark Name - 75% NIFTY 50 TRI + 25% CRISIL COMPOSITE BOND FUND INDEX</t>
  </si>
  <si>
    <t>Benchmark Name - NIFTY 50 ARBITRAGE INDEX</t>
  </si>
  <si>
    <t>Benchmark Name - CRISIL HYBRID 35+65 - AGGRESSIVE INDEX</t>
  </si>
  <si>
    <t>Benchmark Name - NIFTY 50 TRI</t>
  </si>
  <si>
    <t>Benchmark Name - NIFTY EQUITY SAVINGS INDEX</t>
  </si>
  <si>
    <t>Benchmark Name - NIFTY 100 ESG TRI</t>
  </si>
  <si>
    <t>Benchmark Name - NIFTY ULTRA SHORT DURATION DEBT INDEX</t>
  </si>
  <si>
    <t>Benchmark Name - MSCI GOLDEN DRAGON (INR)</t>
  </si>
  <si>
    <t>Benchmark Name - MSCI WORLD INR</t>
  </si>
  <si>
    <t>Benchmark Name - DOMESTIC PRICE OF GOLD</t>
  </si>
  <si>
    <t>Benchmark Name - MSCI ACWI INDEX (INR)</t>
  </si>
  <si>
    <t>Benchmark Name - NIFTY LARGE MIDCAP 250 TRI</t>
  </si>
  <si>
    <t>Benchmark Name - NIFTY HEALTHCARE TRI</t>
  </si>
  <si>
    <t>Benchmark Name - NIFTY MEDIUM DURATION DEBT INDEX</t>
  </si>
  <si>
    <t>Benchmark Name - NIFTY CREDIT RISK BOND INDEX</t>
  </si>
  <si>
    <t>Benchmark Name - NIFTY 50 HYBRID SHORT DURATION DEBT 25:75 INDEX</t>
  </si>
  <si>
    <t>Benchmark Name - NIFTY LIQUID INDEX</t>
  </si>
  <si>
    <t>Benchmark Name - NIFTY ALL DURATION G-SEC INDEX</t>
  </si>
  <si>
    <t>Benchmark Name - S&amp;P BSE MIDCAP TRI</t>
  </si>
  <si>
    <t>Benchmark Name - NIFTY 500 TRI</t>
  </si>
  <si>
    <t>Benchmark Name - NIFTY MONEY MARKET INDEX</t>
  </si>
  <si>
    <t>Benchmark Name - NIFTY 100 TRI</t>
  </si>
  <si>
    <t>Benchmark Name - NIFTY 1D RATE INDEX</t>
  </si>
  <si>
    <t>Benchmark Name - S&amp;P BSE 200 TRI</t>
  </si>
  <si>
    <t>Benchmark Name - NIFTY 50 HYBRID COMPOSITE DEBT 70:30 INDEX</t>
  </si>
  <si>
    <t>Benchmark Name - CRISIL COMPOSITE BOND FUND INDEX</t>
  </si>
  <si>
    <t>Benchmark Name - NIFTY SMALLCAP 100 TRI</t>
  </si>
  <si>
    <t>Benchmark Name - NIFTY AAA BOND PLUS SDL APR 2026 50:50 INDEX</t>
  </si>
  <si>
    <t>Benchmark Name - NIFTY SHORT DURATION DEBT INDEX</t>
  </si>
  <si>
    <t>Benchmark Name - NIFTY LOW DURATION DEBT INDEX</t>
  </si>
  <si>
    <t>Benchmark Name - 65% OF NIFTY 50 TRI + 20% OF NIFTY COMPOSITE DEBT INDEX + 15% OF INR PRICE OF GOLD</t>
  </si>
  <si>
    <t>Benchmark Name - NIFTY IT TRI</t>
  </si>
  <si>
    <t>Industry/Rating</t>
  </si>
  <si>
    <t>Axis Credit Risk Fund - Direct Plan - Growth Option</t>
  </si>
  <si>
    <t>IDFC Gilt 2027 Index Fund - Direct Plan - Growth Option</t>
  </si>
  <si>
    <t>HDFC Credit Risk Debt Fund- Direct Plan - Growth Option</t>
  </si>
  <si>
    <t>Axis Strategic Bond Fund-Direct Plan - Growth Option</t>
  </si>
  <si>
    <t>ICICI Prudential Gilt Fund - Direct Plan - Growth Option</t>
  </si>
  <si>
    <t>Axis Floater Fund - Direct Plan - Growth Option</t>
  </si>
  <si>
    <t>HDFC Medium Term Debt Fund-Direct Plan - Growth Option</t>
  </si>
  <si>
    <t>ICICI Prudential Credit Risk Fund - Direct Plan - Growth Option</t>
  </si>
  <si>
    <t>ICICI Prudential Floating Interest F-Direct Plan - Growth Option</t>
  </si>
  <si>
    <t>ICICI Pru Medium Term Bond Fund - Direct Plan - Growth Option</t>
  </si>
  <si>
    <t>SBI Credit Risk Fund -Direct Plan - Growth Option</t>
  </si>
  <si>
    <t>$$0.00</t>
  </si>
  <si>
    <t>$$  Less Than Re. 0.005</t>
  </si>
  <si>
    <t>$$  Less Than Re.0.005</t>
  </si>
  <si>
    <t>Scheme Risk-O-Meter (As on August 31, 2021)</t>
  </si>
  <si>
    <t>Interest Rate Swaps Pay Fix Receive Floating - ICICI Bank (27/08/2023) (FV 2500 Lacs)</t>
  </si>
  <si>
    <t>Interest Rate Swaps Pay Fix Receive Floating - ICICI SECPD.(25/08/2022) (FV 5000 Lacs)</t>
  </si>
  <si>
    <t>Interest Rate Swaps Pay Fix Receive Floating - IDFC Bank (25/08/2022) (FV 10000 Lacs)</t>
  </si>
  <si>
    <t>Interest Rate Swaps Pay Fix Receive Floating - HSBC Bank (05/08/2023) (FV 2500 Lacs)</t>
  </si>
  <si>
    <t>Interest Rate Swaps Pay Fix Receive Floating - Axis Bank (01/09/2023) (FV 4000 Lacs)</t>
  </si>
  <si>
    <t>Interest Rate Swaps Pay Fix Receive Floating - ICICI SECPD.(14/09/2023) (FV 5000 Lacs)</t>
  </si>
  <si>
    <t>Interest Rate Swaps Pay Fix Receive Floating - ICICI Bank (29/07/2022) (FV 5000 Lacs)</t>
  </si>
  <si>
    <t>Interest Rate Swaps Pay Fix Receive Floating - HSBC Bank(03/05/2022) (FV 5000 Lacs)</t>
  </si>
  <si>
    <t>Interest Rate Swaps Pay Fix Receive Floating - Axis Bank (03/05/2022) (FV 5000 Lacs)</t>
  </si>
  <si>
    <t>Interest Rate Swaps Pay Fix Receive Floating - IDFC Bank (28/02/2022) (FV 5000 Lacs)</t>
  </si>
  <si>
    <t>Interest Rate Swaps Pay Fix Receive Floating - HSBC Bank (28/02/2022) (FV 5000 Lacs)</t>
  </si>
  <si>
    <t>Interest Rate Swaps Pay Fix Receive Floating - ICICI SECPD. (28/02/2022) (FV 5000 Lacs)</t>
  </si>
  <si>
    <t>Interest Rate Swaps Pay Fix Receive Floating - IDFC Bank (30/07/2022) (FV 7500 Lacs)</t>
  </si>
  <si>
    <t>Interest Rate Swaps Pay Fix Receive Floating - HSBC Bank (06/12/2021) (FV 7500 Lacs)</t>
  </si>
  <si>
    <t>Interest Rate Swaps Pay Fix Receive Floating - Axis Bank (06/12/2021) (FV 7500 Lacs)</t>
  </si>
  <si>
    <t>Interest Rate Swaps Pay Fix Receive Floating - ICICI Bank (06/12/2021) (FV 7500 Lacs)</t>
  </si>
  <si>
    <t>Interest Rate Swaps Pay Fix Receive Floating - ICICI Bank (28/02/2022)  (FV 5000 Lacs)</t>
  </si>
  <si>
    <t>Interest Rate Swaps Pay Fix Receive Floating - HSBC Bank (29/06/2023) (FV 7500 Lacs)</t>
  </si>
  <si>
    <t>Interest Rate Swaps Pay Fix Receive Floating - IDFC Bank (28/06/2023) (FV 2500 Lacs)</t>
  </si>
  <si>
    <t>Interest Rate Swaps Pay Fix Receive Floating - HSBC Bank (29/06/2023) (FV 2500 Lacs)</t>
  </si>
  <si>
    <t>Interest Rate Swaps Pay Fix Receive Floating - ICICI SECPD. (20/08/2026) (FV 5000 Lacs)</t>
  </si>
  <si>
    <t>Interest Rate Swaps Pay Fix Receive Floating - HSBC Bank (17/08/2026) (FV 5000 Lacs)</t>
  </si>
  <si>
    <t>Interest Rate Swaps Pay Fix Receive Floating - ICICI SECPD. (09/08/2026) (FV 5000 Lacs)</t>
  </si>
  <si>
    <t>Interest Rate Swaps Pay Fix Receive Floating - ICICI SECPD. (10/08/2026) (FV 5000 Lacs)</t>
  </si>
  <si>
    <t>Interest Rate Swaps Pay Fix Receive Floating - ICICI Bank (06/07/2023) (FV 5000 Lacs)</t>
  </si>
  <si>
    <t>Interest Rate Swaps Pay Fix Receive Floating - ICICI Bank (25/08/2022) (FV 10000 Lacs)</t>
  </si>
  <si>
    <t>Interest Rate Swaps Pay Fix Receive Floating - ICICI SECPD. (22/07/2022) (FV 20000 Lacs)</t>
  </si>
  <si>
    <t>Interest Rate Swaps Pay Fix Receive Floating - ICICI SECPD. (24/08/2022) (FV 20000 Lacs)</t>
  </si>
  <si>
    <t>Interest Rate Swaps Pay Fix Receive Floating - HSBC Bank (25/08/2022) (FV 20000 Lacs)</t>
  </si>
  <si>
    <t>Interest Rate Swaps Pay Fix Receive Floating - HSBC Bank (29/06/2023) (FV 5000 Lacs)</t>
  </si>
  <si>
    <t>Interest Rate Swaps Pay Fix Receive Floating - HSBC Bank (18/12/2021) (FV 10000 Lacs)</t>
  </si>
  <si>
    <t>Interest Rate Swaps Pay Fix Receive Floating - IDFC Bank (24/08/2022) (FV 5000 Lacs)</t>
  </si>
  <si>
    <t>Interest Rate Swaps Pay Fix Receive Floating - ICICI SECPD (02/08/2022) (FV 7500 Lacs)</t>
  </si>
  <si>
    <t>^ YTC represents Yield to Call provided by valuation agencies as on September 30, 2021. It is disclosed for Perpetual Bond issued by Banks (i.e. AT-1 Bond / Tier 1 Bond / Tier 2 Bond), as per AMFI Best Practices Guidelines Circular no. 135/BP/91/2020-21 read with SEBI circular No. SEBI/HO/IMD/DF4/CIR/P/2021/034 on Valuation of AT-1 Bonds and Tier 2 Bonds.</t>
  </si>
  <si>
    <t>Axis Balanced Advantage Fund (Formerly known as Axis Dynamic Equity Fund)^^^</t>
  </si>
  <si>
    <t xml:space="preserve"> ^^^Name of Axis Dynamic Equity Fund has been changed to Axis Balanced Advantage Fund w.e.f. September 30, 2021.</t>
  </si>
  <si>
    <t>The Board of Directors of Axis Asset Management Limited and Axis Mutual Fund Trustee Limited, had approved the merger of Axis Equity Advantage Fund - Series 1 into Axis FLEXI CAP Fund on July 03, 2021 followed by consent from SEBI on August 12, 2021. Accordingly, Axis Equity Advantage Fund - Series 1 was merged with Axis FLEXI CAP Fund effective of close of business hours of September 30, 2021 and corresponding balances of assets and liabilities were transferred to Axis FLEXI CAP on October 01, 2021.</t>
  </si>
  <si>
    <t>Aggregate Investments by other schemes as on September 30, 2021 Rs. 10,088.65 Lakh's</t>
  </si>
  <si>
    <t>Aggregate Investments by other schemes as on September 30, 2021 Rs. 37,723.07 Lakh's</t>
  </si>
  <si>
    <t>Aggregate Investments by other schemes as on September 30, 2021 Rs. 1,778.56 Lakh's</t>
  </si>
  <si>
    <t>Aggregate Investments by other schemes as on September 30, 2021 Rs. 1,985.53 Lakh's</t>
  </si>
  <si>
    <t>Aggregate Investments by other schemes as on September 30, 2021 Rs. 37,765.47 Lakh's</t>
  </si>
  <si>
    <t>Aggregate Investments by other schemes as on September 30, 2021 Rs. 37,848.66 Lakh's</t>
  </si>
  <si>
    <t>Monthly Portfolio Statement as on September 30,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</si>
</sst>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 #,##0.00_-;_-* &quot;-&quot;??_-;_-@_-"/>
    <numFmt numFmtId="165" formatCode="#,##0.00;\(#,##0.00\)"/>
    <numFmt numFmtId="166" formatCode="#,##0.00%;\(#,##0.00\)%"/>
    <numFmt numFmtId="167" formatCode="#,##0.00%"/>
    <numFmt numFmtId="168" formatCode="#,##0.000"/>
    <numFmt numFmtId="177" formatCode="0.0000%"/>
  </numFmts>
  <fonts count="24">
    <font>
      <sz val="11"/>
      <color theme="1"/>
      <name val="Calibri"/>
      <family val="2"/>
      <scheme val="minor"/>
    </font>
    <font>
      <sz val="9"/>
      <color rgb="FF000000"/>
      <name val="Arial"/>
      <family val="2"/>
    </font>
    <font>
      <b/>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0"/>
      <name val="Arial"/>
      <family val="2"/>
    </font>
    <font>
      <sz val="9"/>
      <color indexed="72"/>
      <name val="Arial"/>
      <family val="2"/>
    </font>
    <font>
      <u/>
      <sz val="10"/>
      <color theme="10"/>
      <name val="Arial"/>
      <family val="2"/>
    </font>
    <font>
      <sz val="10"/>
      <name val="Arial"/>
      <family val="2"/>
    </font>
    <font>
      <b/>
      <sz val="9"/>
      <color indexed="72"/>
      <name val="Arial"/>
      <family val="2"/>
    </font>
    <font>
      <sz val="10"/>
      <name val="SansSerif"/>
    </font>
    <font>
      <sz val="10"/>
      <color indexed="9"/>
      <name val="SansSerif"/>
    </font>
    <font>
      <sz val="10"/>
      <color indexed="72"/>
      <name val="SansSerif"/>
    </font>
    <font>
      <sz val="9"/>
      <color indexed="9"/>
      <name val="Arial"/>
      <family val="2"/>
    </font>
    <font>
      <sz val="11"/>
      <color theme="0"/>
      <name val="Calibri"/>
      <family val="2"/>
      <scheme val="minor"/>
    </font>
    <font>
      <sz val="11"/>
      <color theme="1"/>
      <name val="Calibri"/>
      <family val="2"/>
      <scheme val="minor"/>
    </font>
    <font>
      <sz val="9"/>
      <name val="Arial"/>
      <family val="2"/>
    </font>
    <font>
      <b/>
      <sz val="10"/>
      <name val="Arial"/>
      <family val="2"/>
    </font>
    <font>
      <b/>
      <sz val="16"/>
      <color rgb="FF000000"/>
      <name val="Arial"/>
      <family val="2"/>
    </font>
    <font>
      <b/>
      <sz val="16"/>
      <color indexed="72"/>
      <name val="Arial"/>
      <family val="2"/>
    </font>
    <font>
      <b/>
      <sz val="11"/>
      <color theme="1"/>
      <name val="Calibri"/>
      <family val="2"/>
      <scheme val="minor"/>
    </font>
    <font>
      <u/>
      <sz val="10"/>
      <color theme="0"/>
      <name val="Arial"/>
      <family val="2"/>
    </font>
  </fonts>
  <fills count="45">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indexed="22"/>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8"/>
      </left>
      <right style="thin">
        <color indexed="8"/>
      </right>
      <top style="thin">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bottom/>
      <diagonal/>
    </border>
    <border>
      <left style="thin">
        <color indexed="8"/>
      </left>
      <right style="medium">
        <color indexed="64"/>
      </right>
      <top/>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bottom style="medium">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s>
  <cellStyleXfs count="6">
    <xf numFmtId="0" fontId="0" fillId="0" borderId="0"/>
    <xf numFmtId="0" fontId="7" fillId="43" borderId="6" applyNumberFormat="0" applyFont="0" applyFill="0" applyBorder="0" applyAlignment="0" applyProtection="0"/>
    <xf numFmtId="0" fontId="9" fillId="43" borderId="6" applyNumberFormat="0" applyFill="0" applyBorder="0" applyAlignment="0" applyProtection="0"/>
    <xf numFmtId="164" fontId="17" fillId="0" borderId="0" applyFont="0" applyFill="0" applyBorder="0" applyAlignment="0" applyProtection="0"/>
    <xf numFmtId="164" fontId="7" fillId="43" borderId="6" applyFont="0" applyFill="0" applyBorder="0" applyAlignment="0" applyProtection="0"/>
    <xf numFmtId="9" fontId="7" fillId="43" borderId="6" applyFont="0" applyFill="0" applyBorder="0" applyAlignment="0" applyProtection="0"/>
  </cellStyleXfs>
  <cellXfs count="210">
    <xf numFmtId="0" fontId="0" fillId="0" borderId="0" xfId="0"/>
    <xf numFmtId="0" fontId="1" fillId="2" borderId="1" xfId="0" applyNumberFormat="1" applyFont="1" applyFill="1" applyBorder="1" applyAlignment="1" applyProtection="1">
      <alignment horizontal="left" vertical="top" wrapText="1"/>
    </xf>
    <xf numFmtId="0" fontId="0" fillId="3" borderId="0" xfId="0" applyNumberFormat="1" applyFont="1" applyFill="1" applyBorder="1" applyAlignment="1" applyProtection="1">
      <alignment wrapText="1"/>
      <protection locked="0"/>
    </xf>
    <xf numFmtId="0" fontId="2" fillId="4" borderId="2" xfId="0" applyNumberFormat="1" applyFont="1" applyFill="1" applyBorder="1" applyAlignment="1" applyProtection="1">
      <alignment horizontal="left" vertical="top" wrapText="1"/>
    </xf>
    <xf numFmtId="0" fontId="2" fillId="5" borderId="2" xfId="0" applyNumberFormat="1" applyFont="1" applyFill="1" applyBorder="1" applyAlignment="1" applyProtection="1">
      <alignment horizontal="center" vertical="top" wrapText="1"/>
    </xf>
    <xf numFmtId="0" fontId="1" fillId="6" borderId="2" xfId="0" applyNumberFormat="1" applyFont="1" applyFill="1" applyBorder="1" applyAlignment="1" applyProtection="1">
      <alignment horizontal="left" vertical="top" wrapText="1"/>
    </xf>
    <xf numFmtId="0" fontId="3" fillId="7" borderId="2" xfId="0" applyNumberFormat="1" applyFont="1" applyFill="1" applyBorder="1" applyAlignment="1" applyProtection="1">
      <alignment horizontal="left" vertical="top" wrapText="1"/>
    </xf>
    <xf numFmtId="0" fontId="2" fillId="8" borderId="3" xfId="0" applyNumberFormat="1" applyFont="1" applyFill="1" applyBorder="1" applyAlignment="1" applyProtection="1">
      <alignment horizontal="left" vertical="center" wrapText="1"/>
    </xf>
    <xf numFmtId="0" fontId="2" fillId="9" borderId="4" xfId="0" applyNumberFormat="1" applyFont="1" applyFill="1" applyBorder="1" applyAlignment="1" applyProtection="1">
      <alignment horizontal="left" vertical="center" wrapText="1"/>
    </xf>
    <xf numFmtId="0" fontId="2" fillId="10" borderId="4" xfId="0" applyNumberFormat="1" applyFont="1" applyFill="1" applyBorder="1" applyAlignment="1" applyProtection="1">
      <alignment horizontal="center" vertical="center" wrapText="1"/>
    </xf>
    <xf numFmtId="0" fontId="2" fillId="11" borderId="5" xfId="0" applyNumberFormat="1" applyFont="1" applyFill="1" applyBorder="1" applyAlignment="1" applyProtection="1">
      <alignment horizontal="center" vertical="center" wrapText="1"/>
    </xf>
    <xf numFmtId="0" fontId="4" fillId="12" borderId="6" xfId="0" applyNumberFormat="1" applyFont="1" applyFill="1" applyBorder="1" applyAlignment="1" applyProtection="1">
      <alignment horizontal="justify" vertical="top" wrapText="1"/>
    </xf>
    <xf numFmtId="0" fontId="2" fillId="13" borderId="7" xfId="0" applyNumberFormat="1" applyFont="1" applyFill="1" applyBorder="1" applyAlignment="1" applyProtection="1">
      <alignment horizontal="left" vertical="top" wrapText="1"/>
    </xf>
    <xf numFmtId="0" fontId="1" fillId="14" borderId="8" xfId="0" applyNumberFormat="1" applyFont="1" applyFill="1" applyBorder="1" applyAlignment="1" applyProtection="1">
      <alignment horizontal="left" vertical="top" wrapText="1"/>
    </xf>
    <xf numFmtId="0" fontId="5" fillId="15" borderId="9" xfId="0" applyNumberFormat="1" applyFont="1" applyFill="1" applyBorder="1" applyAlignment="1" applyProtection="1">
      <alignment horizontal="right" vertical="top" wrapText="1"/>
    </xf>
    <xf numFmtId="0" fontId="5" fillId="16" borderId="10" xfId="0" applyNumberFormat="1" applyFont="1" applyFill="1" applyBorder="1" applyAlignment="1" applyProtection="1">
      <alignment horizontal="right" vertical="top" wrapText="1"/>
    </xf>
    <xf numFmtId="0" fontId="6" fillId="17" borderId="6" xfId="0" applyNumberFormat="1" applyFont="1" applyFill="1" applyBorder="1" applyAlignment="1" applyProtection="1">
      <alignment horizontal="left" vertical="top" wrapText="1"/>
    </xf>
    <xf numFmtId="0" fontId="1" fillId="18" borderId="7" xfId="0" applyNumberFormat="1" applyFont="1" applyFill="1" applyBorder="1" applyAlignment="1" applyProtection="1">
      <alignment horizontal="left" vertical="top" wrapText="1"/>
    </xf>
    <xf numFmtId="3" fontId="1" fillId="19" borderId="8" xfId="0" applyNumberFormat="1" applyFont="1" applyFill="1" applyBorder="1" applyAlignment="1" applyProtection="1">
      <alignment horizontal="right" vertical="top" wrapText="1"/>
    </xf>
    <xf numFmtId="165" fontId="1" fillId="20" borderId="9" xfId="0" applyNumberFormat="1" applyFont="1" applyFill="1" applyBorder="1" applyAlignment="1" applyProtection="1">
      <alignment horizontal="right" vertical="top" wrapText="1"/>
    </xf>
    <xf numFmtId="166" fontId="1" fillId="21" borderId="8" xfId="0" applyNumberFormat="1" applyFont="1" applyFill="1" applyBorder="1" applyAlignment="1" applyProtection="1">
      <alignment horizontal="right" vertical="top" wrapText="1"/>
    </xf>
    <xf numFmtId="167" fontId="1" fillId="22" borderId="9" xfId="0" applyNumberFormat="1" applyFont="1" applyFill="1" applyBorder="1" applyAlignment="1" applyProtection="1">
      <alignment horizontal="right" vertical="top" wrapText="1"/>
    </xf>
    <xf numFmtId="0" fontId="1" fillId="23" borderId="10" xfId="0" applyNumberFormat="1" applyFont="1" applyFill="1" applyBorder="1" applyAlignment="1" applyProtection="1">
      <alignment horizontal="right" vertical="top" wrapText="1"/>
    </xf>
    <xf numFmtId="165" fontId="2" fillId="24" borderId="11" xfId="0" applyNumberFormat="1" applyFont="1" applyFill="1" applyBorder="1" applyAlignment="1" applyProtection="1">
      <alignment horizontal="right" vertical="top" wrapText="1"/>
    </xf>
    <xf numFmtId="166" fontId="2" fillId="25" borderId="1" xfId="0" applyNumberFormat="1" applyFont="1" applyFill="1" applyBorder="1" applyAlignment="1" applyProtection="1">
      <alignment horizontal="right" vertical="top" wrapText="1"/>
    </xf>
    <xf numFmtId="0" fontId="2" fillId="26" borderId="1" xfId="0" applyNumberFormat="1" applyFont="1" applyFill="1" applyBorder="1" applyAlignment="1" applyProtection="1">
      <alignment horizontal="right" vertical="top" wrapText="1"/>
    </xf>
    <xf numFmtId="0" fontId="2" fillId="27" borderId="12" xfId="0" applyNumberFormat="1" applyFont="1" applyFill="1" applyBorder="1" applyAlignment="1" applyProtection="1">
      <alignment horizontal="right" vertical="top" wrapText="1"/>
    </xf>
    <xf numFmtId="0" fontId="2" fillId="28" borderId="13" xfId="0" applyNumberFormat="1" applyFont="1" applyFill="1" applyBorder="1" applyAlignment="1" applyProtection="1">
      <alignment horizontal="left" vertical="top" wrapText="1"/>
    </xf>
    <xf numFmtId="0" fontId="1" fillId="29" borderId="14" xfId="0" applyNumberFormat="1" applyFont="1" applyFill="1" applyBorder="1" applyAlignment="1" applyProtection="1">
      <alignment horizontal="left" vertical="top" wrapText="1"/>
    </xf>
    <xf numFmtId="165" fontId="2" fillId="30" borderId="1" xfId="0" applyNumberFormat="1" applyFont="1" applyFill="1" applyBorder="1" applyAlignment="1" applyProtection="1">
      <alignment horizontal="right" vertical="top" wrapText="1"/>
    </xf>
    <xf numFmtId="0" fontId="2" fillId="31" borderId="15" xfId="0" applyNumberFormat="1" applyFont="1" applyFill="1" applyBorder="1" applyAlignment="1" applyProtection="1">
      <alignment horizontal="left" vertical="top" wrapText="1"/>
    </xf>
    <xf numFmtId="0" fontId="1" fillId="32" borderId="16" xfId="0" applyNumberFormat="1" applyFont="1" applyFill="1" applyBorder="1" applyAlignment="1" applyProtection="1">
      <alignment horizontal="left" vertical="top" wrapText="1"/>
    </xf>
    <xf numFmtId="165" fontId="2" fillId="33" borderId="17" xfId="0" applyNumberFormat="1" applyFont="1" applyFill="1" applyBorder="1" applyAlignment="1" applyProtection="1">
      <alignment horizontal="right" vertical="top" wrapText="1"/>
    </xf>
    <xf numFmtId="167" fontId="2" fillId="34" borderId="17" xfId="0" applyNumberFormat="1" applyFont="1" applyFill="1" applyBorder="1" applyAlignment="1" applyProtection="1">
      <alignment horizontal="right" vertical="top" wrapText="1"/>
    </xf>
    <xf numFmtId="0" fontId="2" fillId="35" borderId="18" xfId="0" applyNumberFormat="1" applyFont="1" applyFill="1" applyBorder="1" applyAlignment="1" applyProtection="1">
      <alignment horizontal="right" vertical="top" wrapText="1"/>
    </xf>
    <xf numFmtId="0" fontId="2" fillId="36" borderId="19" xfId="0" applyNumberFormat="1" applyFont="1" applyFill="1" applyBorder="1" applyAlignment="1" applyProtection="1">
      <alignment horizontal="right" vertical="top" wrapText="1"/>
    </xf>
    <xf numFmtId="0" fontId="1" fillId="37" borderId="9" xfId="0" applyNumberFormat="1" applyFont="1" applyFill="1" applyBorder="1" applyAlignment="1" applyProtection="1">
      <alignment horizontal="right" vertical="top" wrapText="1"/>
    </xf>
    <xf numFmtId="167" fontId="1" fillId="38" borderId="10" xfId="0" applyNumberFormat="1" applyFont="1" applyFill="1" applyBorder="1" applyAlignment="1" applyProtection="1">
      <alignment horizontal="right" vertical="top" wrapText="1"/>
    </xf>
    <xf numFmtId="0" fontId="2" fillId="39" borderId="9" xfId="0" applyNumberFormat="1" applyFont="1" applyFill="1" applyBorder="1" applyAlignment="1" applyProtection="1">
      <alignment horizontal="left" vertical="top" wrapText="1"/>
    </xf>
    <xf numFmtId="0" fontId="1" fillId="40" borderId="9" xfId="0" applyNumberFormat="1" applyFont="1" applyFill="1" applyBorder="1" applyAlignment="1" applyProtection="1">
      <alignment horizontal="left" vertical="top" wrapText="1"/>
    </xf>
    <xf numFmtId="0" fontId="5" fillId="41" borderId="9" xfId="0" applyNumberFormat="1" applyFont="1" applyFill="1" applyBorder="1" applyAlignment="1" applyProtection="1">
      <alignment horizontal="left" vertical="top" wrapText="1"/>
    </xf>
    <xf numFmtId="0" fontId="1" fillId="42" borderId="8" xfId="0" applyNumberFormat="1" applyFont="1" applyFill="1" applyBorder="1" applyAlignment="1" applyProtection="1">
      <alignment horizontal="right" vertical="top" wrapText="1"/>
    </xf>
    <xf numFmtId="0" fontId="2" fillId="4" borderId="2" xfId="0" applyNumberFormat="1" applyFont="1" applyFill="1" applyBorder="1" applyAlignment="1" applyProtection="1">
      <alignment horizontal="left" vertical="top" wrapText="1"/>
    </xf>
    <xf numFmtId="0" fontId="8" fillId="44" borderId="20" xfId="1" applyNumberFormat="1" applyFont="1" applyFill="1" applyBorder="1" applyAlignment="1" applyProtection="1">
      <alignment horizontal="left" vertical="top" wrapText="1"/>
    </xf>
    <xf numFmtId="0" fontId="7" fillId="43" borderId="6" xfId="1" applyNumberFormat="1" applyFont="1" applyFill="1" applyBorder="1" applyAlignment="1"/>
    <xf numFmtId="0" fontId="8" fillId="43" borderId="20" xfId="1" applyNumberFormat="1" applyFont="1" applyFill="1" applyBorder="1" applyAlignment="1" applyProtection="1">
      <alignment horizontal="left" vertical="top" wrapText="1"/>
    </xf>
    <xf numFmtId="0" fontId="9" fillId="43" borderId="20" xfId="2" applyNumberFormat="1" applyFill="1" applyBorder="1" applyAlignment="1" applyProtection="1">
      <alignment horizontal="left" vertical="top" wrapText="1"/>
    </xf>
    <xf numFmtId="0" fontId="1" fillId="43" borderId="1" xfId="1" applyNumberFormat="1" applyFont="1" applyFill="1" applyBorder="1" applyAlignment="1" applyProtection="1">
      <alignment horizontal="left" vertical="top" wrapText="1"/>
    </xf>
    <xf numFmtId="0" fontId="9" fillId="43" borderId="1" xfId="2" applyNumberFormat="1" applyFill="1" applyBorder="1" applyAlignment="1" applyProtection="1">
      <alignment horizontal="left" vertical="top" wrapText="1"/>
    </xf>
    <xf numFmtId="0" fontId="11" fillId="43" borderId="6" xfId="1" applyNumberFormat="1" applyFont="1" applyFill="1" applyBorder="1" applyAlignment="1" applyProtection="1">
      <alignment horizontal="left" vertical="top" wrapText="1"/>
    </xf>
    <xf numFmtId="0" fontId="12" fillId="43" borderId="6" xfId="1" applyNumberFormat="1" applyFont="1" applyFill="1" applyBorder="1" applyAlignment="1" applyProtection="1">
      <alignment horizontal="left" vertical="top" wrapText="1"/>
    </xf>
    <xf numFmtId="0" fontId="10" fillId="43" borderId="6" xfId="1" applyNumberFormat="1" applyFont="1" applyFill="1" applyBorder="1" applyAlignment="1"/>
    <xf numFmtId="0" fontId="11" fillId="43" borderId="6" xfId="1" applyNumberFormat="1" applyFont="1" applyFill="1" applyBorder="1" applyAlignment="1" applyProtection="1">
      <alignment horizontal="center" vertical="top" wrapText="1"/>
    </xf>
    <xf numFmtId="0" fontId="8" fillId="43" borderId="6" xfId="1" applyNumberFormat="1" applyFont="1" applyFill="1" applyBorder="1" applyAlignment="1" applyProtection="1">
      <alignment horizontal="left" vertical="top" wrapText="1"/>
    </xf>
    <xf numFmtId="0" fontId="13" fillId="43" borderId="6" xfId="1" applyNumberFormat="1" applyFont="1" applyFill="1" applyBorder="1" applyAlignment="1" applyProtection="1">
      <alignment horizontal="justify" vertical="top" wrapText="1"/>
    </xf>
    <xf numFmtId="0" fontId="8" fillId="43" borderId="22" xfId="1" applyNumberFormat="1" applyFont="1" applyFill="1" applyBorder="1" applyAlignment="1" applyProtection="1">
      <alignment horizontal="left" vertical="top" wrapText="1"/>
    </xf>
    <xf numFmtId="0" fontId="14" fillId="43" borderId="23" xfId="1" applyNumberFormat="1" applyFont="1" applyFill="1" applyBorder="1" applyAlignment="1" applyProtection="1">
      <alignment horizontal="right" vertical="top" wrapText="1"/>
    </xf>
    <xf numFmtId="0" fontId="15" fillId="43" borderId="6" xfId="1" applyNumberFormat="1" applyFont="1" applyFill="1" applyBorder="1" applyAlignment="1" applyProtection="1">
      <alignment horizontal="left" vertical="top" wrapText="1"/>
    </xf>
    <xf numFmtId="3" fontId="8" fillId="43" borderId="22" xfId="1" applyNumberFormat="1" applyFont="1" applyFill="1" applyBorder="1" applyAlignment="1" applyProtection="1">
      <alignment horizontal="right" vertical="top" wrapText="1"/>
    </xf>
    <xf numFmtId="165" fontId="8" fillId="43" borderId="23" xfId="1" applyNumberFormat="1" applyFont="1" applyFill="1" applyBorder="1" applyAlignment="1" applyProtection="1">
      <alignment horizontal="right" vertical="top" wrapText="1"/>
    </xf>
    <xf numFmtId="166" fontId="8" fillId="43" borderId="22" xfId="1" applyNumberFormat="1" applyFont="1" applyFill="1" applyBorder="1" applyAlignment="1" applyProtection="1">
      <alignment horizontal="right" vertical="top" wrapText="1"/>
    </xf>
    <xf numFmtId="167" fontId="8" fillId="43" borderId="23" xfId="1" applyNumberFormat="1" applyFont="1" applyFill="1" applyBorder="1" applyAlignment="1" applyProtection="1">
      <alignment horizontal="right" vertical="top" wrapText="1"/>
    </xf>
    <xf numFmtId="165" fontId="11" fillId="43" borderId="24" xfId="1" applyNumberFormat="1" applyFont="1" applyFill="1" applyBorder="1" applyAlignment="1" applyProtection="1">
      <alignment horizontal="right" vertical="top" wrapText="1"/>
    </xf>
    <xf numFmtId="166" fontId="11" fillId="43" borderId="20" xfId="1" applyNumberFormat="1" applyFont="1" applyFill="1" applyBorder="1" applyAlignment="1" applyProtection="1">
      <alignment horizontal="right" vertical="top" wrapText="1"/>
    </xf>
    <xf numFmtId="0" fontId="11" fillId="43" borderId="20" xfId="1" applyNumberFormat="1" applyFont="1" applyFill="1" applyBorder="1" applyAlignment="1" applyProtection="1">
      <alignment horizontal="right" vertical="top" wrapText="1"/>
    </xf>
    <xf numFmtId="0" fontId="8" fillId="43" borderId="25" xfId="1" applyNumberFormat="1" applyFont="1" applyFill="1" applyBorder="1" applyAlignment="1" applyProtection="1">
      <alignment horizontal="left" vertical="top" wrapText="1"/>
    </xf>
    <xf numFmtId="165" fontId="11" fillId="43" borderId="20" xfId="1" applyNumberFormat="1" applyFont="1" applyFill="1" applyBorder="1" applyAlignment="1" applyProtection="1">
      <alignment horizontal="right" vertical="top" wrapText="1"/>
    </xf>
    <xf numFmtId="0" fontId="0" fillId="43" borderId="6" xfId="0" applyNumberFormat="1" applyFont="1" applyFill="1" applyBorder="1" applyAlignment="1" applyProtection="1">
      <alignment wrapText="1"/>
      <protection locked="0"/>
    </xf>
    <xf numFmtId="0" fontId="2" fillId="43" borderId="6" xfId="0" applyNumberFormat="1" applyFont="1" applyFill="1" applyBorder="1" applyAlignment="1" applyProtection="1">
      <alignment horizontal="left" vertical="top" wrapText="1"/>
    </xf>
    <xf numFmtId="0" fontId="2" fillId="43" borderId="6" xfId="0" applyNumberFormat="1" applyFont="1" applyFill="1" applyBorder="1" applyAlignment="1" applyProtection="1">
      <alignment horizontal="center" vertical="top" wrapText="1"/>
    </xf>
    <xf numFmtId="0" fontId="1" fillId="43" borderId="6" xfId="0" applyNumberFormat="1" applyFont="1" applyFill="1" applyBorder="1" applyAlignment="1" applyProtection="1">
      <alignment horizontal="left" vertical="top" wrapText="1"/>
    </xf>
    <xf numFmtId="0" fontId="3" fillId="43" borderId="6" xfId="0" applyNumberFormat="1" applyFont="1" applyFill="1" applyBorder="1" applyAlignment="1" applyProtection="1">
      <alignment horizontal="left" vertical="top" wrapText="1"/>
    </xf>
    <xf numFmtId="0" fontId="2" fillId="43" borderId="3" xfId="0" applyNumberFormat="1" applyFont="1" applyFill="1" applyBorder="1" applyAlignment="1" applyProtection="1">
      <alignment horizontal="left" vertical="center" wrapText="1"/>
    </xf>
    <xf numFmtId="0" fontId="2" fillId="43" borderId="4" xfId="0" applyNumberFormat="1" applyFont="1" applyFill="1" applyBorder="1" applyAlignment="1" applyProtection="1">
      <alignment horizontal="left" vertical="center" wrapText="1"/>
    </xf>
    <xf numFmtId="0" fontId="2" fillId="43" borderId="4" xfId="0" applyNumberFormat="1" applyFont="1" applyFill="1" applyBorder="1" applyAlignment="1" applyProtection="1">
      <alignment horizontal="center" vertical="center" wrapText="1"/>
    </xf>
    <xf numFmtId="0" fontId="2" fillId="43" borderId="5" xfId="0" applyNumberFormat="1" applyFont="1" applyFill="1" applyBorder="1" applyAlignment="1" applyProtection="1">
      <alignment horizontal="center" vertical="center" wrapText="1"/>
    </xf>
    <xf numFmtId="0" fontId="4" fillId="43" borderId="6" xfId="0" applyNumberFormat="1" applyFont="1" applyFill="1" applyBorder="1" applyAlignment="1" applyProtection="1">
      <alignment horizontal="justify" vertical="top" wrapText="1"/>
    </xf>
    <xf numFmtId="0" fontId="2" fillId="43" borderId="7" xfId="0" applyNumberFormat="1" applyFont="1" applyFill="1" applyBorder="1" applyAlignment="1" applyProtection="1">
      <alignment horizontal="left" vertical="top" wrapText="1"/>
    </xf>
    <xf numFmtId="0" fontId="1" fillId="43" borderId="8" xfId="0" applyNumberFormat="1" applyFont="1" applyFill="1" applyBorder="1" applyAlignment="1" applyProtection="1">
      <alignment horizontal="left" vertical="top" wrapText="1"/>
    </xf>
    <xf numFmtId="0" fontId="5" fillId="43" borderId="9" xfId="0" applyNumberFormat="1" applyFont="1" applyFill="1" applyBorder="1" applyAlignment="1" applyProtection="1">
      <alignment horizontal="right" vertical="top" wrapText="1"/>
    </xf>
    <xf numFmtId="0" fontId="5" fillId="43" borderId="10" xfId="0" applyNumberFormat="1" applyFont="1" applyFill="1" applyBorder="1" applyAlignment="1" applyProtection="1">
      <alignment horizontal="right" vertical="top" wrapText="1"/>
    </xf>
    <xf numFmtId="0" fontId="6" fillId="43" borderId="6" xfId="0" applyNumberFormat="1" applyFont="1" applyFill="1" applyBorder="1" applyAlignment="1" applyProtection="1">
      <alignment horizontal="left" vertical="top" wrapText="1"/>
    </xf>
    <xf numFmtId="0" fontId="1" fillId="43" borderId="7" xfId="0" applyNumberFormat="1" applyFont="1" applyFill="1" applyBorder="1" applyAlignment="1" applyProtection="1">
      <alignment horizontal="left" vertical="top" wrapText="1"/>
    </xf>
    <xf numFmtId="3" fontId="1" fillId="43" borderId="8" xfId="0" applyNumberFormat="1" applyFont="1" applyFill="1" applyBorder="1" applyAlignment="1" applyProtection="1">
      <alignment horizontal="right" vertical="top" wrapText="1"/>
    </xf>
    <xf numFmtId="165" fontId="1" fillId="43" borderId="9" xfId="0" applyNumberFormat="1" applyFont="1" applyFill="1" applyBorder="1" applyAlignment="1" applyProtection="1">
      <alignment horizontal="right" vertical="top" wrapText="1"/>
    </xf>
    <xf numFmtId="166" fontId="1" fillId="43" borderId="8" xfId="0" applyNumberFormat="1" applyFont="1" applyFill="1" applyBorder="1" applyAlignment="1" applyProtection="1">
      <alignment horizontal="right" vertical="top" wrapText="1"/>
    </xf>
    <xf numFmtId="0" fontId="1" fillId="43" borderId="9" xfId="0" applyNumberFormat="1" applyFont="1" applyFill="1" applyBorder="1" applyAlignment="1" applyProtection="1">
      <alignment horizontal="right" vertical="top" wrapText="1"/>
    </xf>
    <xf numFmtId="0" fontId="1" fillId="43" borderId="10" xfId="0" applyNumberFormat="1" applyFont="1" applyFill="1" applyBorder="1" applyAlignment="1" applyProtection="1">
      <alignment horizontal="right" vertical="top" wrapText="1"/>
    </xf>
    <xf numFmtId="165" fontId="2" fillId="43" borderId="11" xfId="0" applyNumberFormat="1" applyFont="1" applyFill="1" applyBorder="1" applyAlignment="1" applyProtection="1">
      <alignment horizontal="right" vertical="top" wrapText="1"/>
    </xf>
    <xf numFmtId="166" fontId="2" fillId="43" borderId="1" xfId="0" applyNumberFormat="1" applyFont="1" applyFill="1" applyBorder="1" applyAlignment="1" applyProtection="1">
      <alignment horizontal="right" vertical="top" wrapText="1"/>
    </xf>
    <xf numFmtId="0" fontId="2" fillId="43" borderId="1" xfId="0" applyNumberFormat="1" applyFont="1" applyFill="1" applyBorder="1" applyAlignment="1" applyProtection="1">
      <alignment horizontal="right" vertical="top" wrapText="1"/>
    </xf>
    <xf numFmtId="0" fontId="2" fillId="43" borderId="12" xfId="0" applyNumberFormat="1" applyFont="1" applyFill="1" applyBorder="1" applyAlignment="1" applyProtection="1">
      <alignment horizontal="right" vertical="top" wrapText="1"/>
    </xf>
    <xf numFmtId="0" fontId="2" fillId="43" borderId="13" xfId="0" applyNumberFormat="1" applyFont="1" applyFill="1" applyBorder="1" applyAlignment="1" applyProtection="1">
      <alignment horizontal="left" vertical="top" wrapText="1"/>
    </xf>
    <xf numFmtId="0" fontId="1" fillId="43" borderId="1" xfId="0" applyNumberFormat="1" applyFont="1" applyFill="1" applyBorder="1" applyAlignment="1" applyProtection="1">
      <alignment horizontal="left" vertical="top" wrapText="1"/>
    </xf>
    <xf numFmtId="0" fontId="1" fillId="43" borderId="14" xfId="0" applyNumberFormat="1" applyFont="1" applyFill="1" applyBorder="1" applyAlignment="1" applyProtection="1">
      <alignment horizontal="left" vertical="top" wrapText="1"/>
    </xf>
    <xf numFmtId="167" fontId="1" fillId="43" borderId="9" xfId="0" applyNumberFormat="1" applyFont="1" applyFill="1" applyBorder="1" applyAlignment="1" applyProtection="1">
      <alignment horizontal="right" vertical="top" wrapText="1"/>
    </xf>
    <xf numFmtId="165" fontId="2" fillId="43" borderId="1" xfId="0" applyNumberFormat="1" applyFont="1" applyFill="1" applyBorder="1" applyAlignment="1" applyProtection="1">
      <alignment horizontal="right" vertical="top" wrapText="1"/>
    </xf>
    <xf numFmtId="0" fontId="2" fillId="43" borderId="15" xfId="0" applyNumberFormat="1" applyFont="1" applyFill="1" applyBorder="1" applyAlignment="1" applyProtection="1">
      <alignment horizontal="left" vertical="top" wrapText="1"/>
    </xf>
    <xf numFmtId="0" fontId="1" fillId="43" borderId="16" xfId="0" applyNumberFormat="1" applyFont="1" applyFill="1" applyBorder="1" applyAlignment="1" applyProtection="1">
      <alignment horizontal="left" vertical="top" wrapText="1"/>
    </xf>
    <xf numFmtId="165" fontId="2" fillId="43" borderId="17" xfId="0" applyNumberFormat="1" applyFont="1" applyFill="1" applyBorder="1" applyAlignment="1" applyProtection="1">
      <alignment horizontal="right" vertical="top" wrapText="1"/>
    </xf>
    <xf numFmtId="167" fontId="2" fillId="43" borderId="17" xfId="0" applyNumberFormat="1" applyFont="1" applyFill="1" applyBorder="1" applyAlignment="1" applyProtection="1">
      <alignment horizontal="right" vertical="top" wrapText="1"/>
    </xf>
    <xf numFmtId="0" fontId="2" fillId="43" borderId="18" xfId="0" applyNumberFormat="1" applyFont="1" applyFill="1" applyBorder="1" applyAlignment="1" applyProtection="1">
      <alignment horizontal="right" vertical="top" wrapText="1"/>
    </xf>
    <xf numFmtId="0" fontId="2" fillId="43" borderId="19" xfId="0" applyNumberFormat="1" applyFont="1" applyFill="1" applyBorder="1" applyAlignment="1" applyProtection="1">
      <alignment horizontal="right" vertical="top" wrapText="1"/>
    </xf>
    <xf numFmtId="0" fontId="8" fillId="43" borderId="21" xfId="0" applyNumberFormat="1" applyFont="1" applyFill="1" applyBorder="1" applyAlignment="1" applyProtection="1">
      <alignment horizontal="left" vertical="top" wrapText="1"/>
    </xf>
    <xf numFmtId="0" fontId="11" fillId="43" borderId="21" xfId="0" applyNumberFormat="1" applyFont="1" applyFill="1" applyBorder="1" applyAlignment="1" applyProtection="1">
      <alignment horizontal="left" vertical="top" wrapText="1"/>
    </xf>
    <xf numFmtId="4" fontId="2" fillId="26" borderId="1" xfId="0" applyNumberFormat="1" applyFont="1" applyFill="1" applyBorder="1" applyAlignment="1" applyProtection="1">
      <alignment horizontal="right" vertical="top" wrapText="1"/>
    </xf>
    <xf numFmtId="168" fontId="2" fillId="26" borderId="1" xfId="0" applyNumberFormat="1" applyFont="1" applyFill="1" applyBorder="1" applyAlignment="1" applyProtection="1">
      <alignment horizontal="right" vertical="top" wrapText="1"/>
    </xf>
    <xf numFmtId="165" fontId="2" fillId="26" borderId="1" xfId="0" applyNumberFormat="1" applyFont="1" applyFill="1" applyBorder="1" applyAlignment="1" applyProtection="1">
      <alignment horizontal="right" vertical="top" wrapText="1"/>
    </xf>
    <xf numFmtId="0" fontId="16" fillId="0" borderId="0" xfId="0" applyFont="1"/>
    <xf numFmtId="0" fontId="16" fillId="43" borderId="6" xfId="1" applyNumberFormat="1" applyFont="1" applyFill="1" applyBorder="1" applyAlignment="1"/>
    <xf numFmtId="0" fontId="0" fillId="43" borderId="6" xfId="0" applyNumberFormat="1" applyFont="1" applyFill="1" applyBorder="1" applyAlignment="1"/>
    <xf numFmtId="0" fontId="22" fillId="0" borderId="0" xfId="0" applyFont="1"/>
    <xf numFmtId="0" fontId="19" fillId="43" borderId="6" xfId="1" applyNumberFormat="1" applyFont="1" applyFill="1" applyBorder="1" applyAlignment="1"/>
    <xf numFmtId="0" fontId="2" fillId="4" borderId="2" xfId="0" applyNumberFormat="1" applyFont="1" applyFill="1" applyBorder="1" applyAlignment="1" applyProtection="1">
      <alignment horizontal="left" vertical="top" wrapText="1"/>
    </xf>
    <xf numFmtId="0" fontId="10" fillId="43" borderId="6" xfId="0" applyNumberFormat="1" applyFont="1" applyFill="1" applyBorder="1" applyAlignment="1">
      <alignment horizontal="left" vertical="top" wrapText="1"/>
    </xf>
    <xf numFmtId="177" fontId="0" fillId="3" borderId="0" xfId="0" applyNumberFormat="1" applyFont="1" applyFill="1" applyBorder="1" applyAlignment="1" applyProtection="1">
      <alignment wrapText="1"/>
      <protection locked="0"/>
    </xf>
    <xf numFmtId="0" fontId="0" fillId="3" borderId="6" xfId="0" applyNumberFormat="1" applyFont="1" applyFill="1" applyBorder="1" applyAlignment="1" applyProtection="1">
      <alignment wrapText="1"/>
      <protection locked="0"/>
    </xf>
    <xf numFmtId="0" fontId="11" fillId="43" borderId="29" xfId="1" applyNumberFormat="1" applyFont="1" applyFill="1" applyBorder="1" applyAlignment="1" applyProtection="1">
      <alignment horizontal="left" vertical="center" wrapText="1"/>
    </xf>
    <xf numFmtId="0" fontId="11" fillId="43" borderId="30" xfId="1" applyNumberFormat="1" applyFont="1" applyFill="1" applyBorder="1" applyAlignment="1" applyProtection="1">
      <alignment horizontal="left" vertical="center" wrapText="1"/>
    </xf>
    <xf numFmtId="0" fontId="11" fillId="43" borderId="30" xfId="1" applyNumberFormat="1" applyFont="1" applyFill="1" applyBorder="1" applyAlignment="1" applyProtection="1">
      <alignment horizontal="center" vertical="center" wrapText="1"/>
    </xf>
    <xf numFmtId="0" fontId="11" fillId="43" borderId="31" xfId="1" applyFont="1" applyBorder="1" applyAlignment="1">
      <alignment horizontal="center" vertical="center" wrapText="1"/>
    </xf>
    <xf numFmtId="0" fontId="11" fillId="43" borderId="32" xfId="1" applyNumberFormat="1" applyFont="1" applyFill="1" applyBorder="1" applyAlignment="1" applyProtection="1">
      <alignment horizontal="left" vertical="top" wrapText="1"/>
    </xf>
    <xf numFmtId="0" fontId="14" fillId="43" borderId="33" xfId="1" applyFont="1" applyBorder="1" applyAlignment="1">
      <alignment horizontal="right" vertical="top" wrapText="1"/>
    </xf>
    <xf numFmtId="0" fontId="8" fillId="43" borderId="33" xfId="1" applyFont="1" applyBorder="1" applyAlignment="1">
      <alignment horizontal="right" vertical="top" wrapText="1"/>
    </xf>
    <xf numFmtId="0" fontId="8" fillId="43" borderId="32" xfId="1" applyNumberFormat="1" applyFont="1" applyFill="1" applyBorder="1" applyAlignment="1" applyProtection="1">
      <alignment horizontal="left" vertical="top" wrapText="1"/>
    </xf>
    <xf numFmtId="0" fontId="11" fillId="43" borderId="34" xfId="1" applyFont="1" applyBorder="1" applyAlignment="1">
      <alignment horizontal="right" vertical="top" wrapText="1"/>
    </xf>
    <xf numFmtId="0" fontId="11" fillId="43" borderId="35" xfId="1" applyNumberFormat="1" applyFont="1" applyFill="1" applyBorder="1" applyAlignment="1" applyProtection="1">
      <alignment horizontal="left" vertical="top" wrapText="1"/>
    </xf>
    <xf numFmtId="0" fontId="11" fillId="43" borderId="36" xfId="1" applyNumberFormat="1" applyFont="1" applyFill="1" applyBorder="1" applyAlignment="1" applyProtection="1">
      <alignment horizontal="left" vertical="top" wrapText="1"/>
    </xf>
    <xf numFmtId="0" fontId="8" fillId="43" borderId="37" xfId="1" applyNumberFormat="1" applyFont="1" applyFill="1" applyBorder="1" applyAlignment="1" applyProtection="1">
      <alignment horizontal="left" vertical="top" wrapText="1"/>
    </xf>
    <xf numFmtId="165" fontId="11" fillId="43" borderId="38" xfId="1" applyNumberFormat="1" applyFont="1" applyFill="1" applyBorder="1" applyAlignment="1" applyProtection="1">
      <alignment horizontal="right" vertical="top" wrapText="1"/>
    </xf>
    <xf numFmtId="167" fontId="11" fillId="43" borderId="38" xfId="1" applyNumberFormat="1" applyFont="1" applyFill="1" applyBorder="1" applyAlignment="1" applyProtection="1">
      <alignment horizontal="right" vertical="top" wrapText="1"/>
    </xf>
    <xf numFmtId="0" fontId="11" fillId="43" borderId="39" xfId="1" applyNumberFormat="1" applyFont="1" applyFill="1" applyBorder="1" applyAlignment="1" applyProtection="1">
      <alignment horizontal="right" vertical="top" wrapText="1"/>
    </xf>
    <xf numFmtId="0" fontId="11" fillId="43" borderId="40" xfId="1" applyFont="1" applyBorder="1" applyAlignment="1">
      <alignment horizontal="right" vertical="top" wrapText="1"/>
    </xf>
    <xf numFmtId="0" fontId="8" fillId="43" borderId="21" xfId="0" applyFont="1" applyFill="1" applyBorder="1" applyAlignment="1">
      <alignment horizontal="left" vertical="top" wrapText="1"/>
    </xf>
    <xf numFmtId="0" fontId="1" fillId="43" borderId="7" xfId="0" applyFont="1" applyFill="1" applyBorder="1" applyAlignment="1">
      <alignment horizontal="left" vertical="top" wrapText="1"/>
    </xf>
    <xf numFmtId="0" fontId="23" fillId="3" borderId="0" xfId="2" applyNumberFormat="1" applyFont="1" applyFill="1" applyBorder="1" applyAlignment="1" applyProtection="1">
      <alignment wrapText="1"/>
      <protection locked="0"/>
    </xf>
    <xf numFmtId="0" fontId="16" fillId="0" borderId="0" xfId="0" applyFont="1" applyFill="1"/>
    <xf numFmtId="0" fontId="0" fillId="0" borderId="0" xfId="0" applyFill="1"/>
    <xf numFmtId="0" fontId="23" fillId="0" borderId="0" xfId="2" applyNumberFormat="1" applyFont="1" applyFill="1" applyBorder="1" applyAlignment="1" applyProtection="1">
      <alignment wrapText="1"/>
      <protection locked="0"/>
    </xf>
    <xf numFmtId="0" fontId="0" fillId="0" borderId="0" xfId="0" applyNumberFormat="1" applyFont="1" applyFill="1" applyBorder="1" applyAlignment="1" applyProtection="1">
      <alignment wrapText="1"/>
      <protection locked="0"/>
    </xf>
    <xf numFmtId="0" fontId="2" fillId="0" borderId="2" xfId="0" applyNumberFormat="1" applyFont="1" applyFill="1" applyBorder="1" applyAlignment="1" applyProtection="1">
      <alignment horizontal="center" vertical="top" wrapText="1"/>
    </xf>
    <xf numFmtId="0" fontId="1" fillId="0" borderId="2" xfId="0" applyNumberFormat="1" applyFont="1" applyFill="1" applyBorder="1" applyAlignment="1" applyProtection="1">
      <alignment horizontal="left" vertical="top" wrapText="1"/>
    </xf>
    <xf numFmtId="0" fontId="3" fillId="0" borderId="2" xfId="0" applyNumberFormat="1" applyFont="1" applyFill="1" applyBorder="1" applyAlignment="1" applyProtection="1">
      <alignment horizontal="left" vertical="top" wrapText="1"/>
    </xf>
    <xf numFmtId="0" fontId="2" fillId="0" borderId="3" xfId="0" applyNumberFormat="1" applyFont="1" applyFill="1" applyBorder="1" applyAlignment="1" applyProtection="1">
      <alignment horizontal="left" vertical="center" wrapText="1"/>
    </xf>
    <xf numFmtId="0" fontId="2" fillId="0" borderId="4" xfId="0" applyNumberFormat="1" applyFont="1" applyFill="1" applyBorder="1" applyAlignment="1" applyProtection="1">
      <alignment horizontal="left" vertical="center" wrapText="1"/>
    </xf>
    <xf numFmtId="0" fontId="2" fillId="0" borderId="4" xfId="0" applyNumberFormat="1" applyFont="1" applyFill="1" applyBorder="1" applyAlignment="1" applyProtection="1">
      <alignment horizontal="center" vertical="center" wrapText="1"/>
    </xf>
    <xf numFmtId="0" fontId="2" fillId="0" borderId="5" xfId="0" applyNumberFormat="1" applyFont="1" applyFill="1" applyBorder="1" applyAlignment="1" applyProtection="1">
      <alignment horizontal="center" vertical="center" wrapText="1"/>
    </xf>
    <xf numFmtId="0" fontId="4" fillId="0" borderId="6" xfId="0" applyNumberFormat="1" applyFont="1" applyFill="1" applyBorder="1" applyAlignment="1" applyProtection="1">
      <alignment horizontal="justify" vertical="top" wrapText="1"/>
    </xf>
    <xf numFmtId="0" fontId="2" fillId="0" borderId="7" xfId="0" applyNumberFormat="1" applyFont="1" applyFill="1" applyBorder="1" applyAlignment="1" applyProtection="1">
      <alignment horizontal="left" vertical="top" wrapText="1"/>
    </xf>
    <xf numFmtId="0" fontId="1" fillId="0" borderId="8" xfId="0" applyNumberFormat="1" applyFont="1" applyFill="1" applyBorder="1" applyAlignment="1" applyProtection="1">
      <alignment horizontal="left" vertical="top" wrapText="1"/>
    </xf>
    <xf numFmtId="0" fontId="5" fillId="0" borderId="9" xfId="0" applyNumberFormat="1" applyFont="1" applyFill="1" applyBorder="1" applyAlignment="1" applyProtection="1">
      <alignment horizontal="right" vertical="top" wrapText="1"/>
    </xf>
    <xf numFmtId="0" fontId="5" fillId="0" borderId="10" xfId="0" applyNumberFormat="1" applyFont="1" applyFill="1" applyBorder="1" applyAlignment="1" applyProtection="1">
      <alignment horizontal="right" vertical="top" wrapText="1"/>
    </xf>
    <xf numFmtId="0" fontId="6" fillId="0" borderId="6" xfId="0" applyNumberFormat="1" applyFont="1" applyFill="1" applyBorder="1" applyAlignment="1" applyProtection="1">
      <alignment horizontal="left" vertical="top" wrapText="1"/>
    </xf>
    <xf numFmtId="0" fontId="1" fillId="0" borderId="7" xfId="0" applyNumberFormat="1" applyFont="1" applyFill="1" applyBorder="1" applyAlignment="1" applyProtection="1">
      <alignment horizontal="left" vertical="top" wrapText="1"/>
    </xf>
    <xf numFmtId="3" fontId="1" fillId="0" borderId="8" xfId="0" applyNumberFormat="1" applyFont="1" applyFill="1" applyBorder="1" applyAlignment="1" applyProtection="1">
      <alignment horizontal="right" vertical="top" wrapText="1"/>
    </xf>
    <xf numFmtId="165" fontId="1" fillId="0" borderId="9" xfId="0" applyNumberFormat="1" applyFont="1" applyFill="1" applyBorder="1" applyAlignment="1" applyProtection="1">
      <alignment horizontal="right" vertical="top" wrapText="1"/>
    </xf>
    <xf numFmtId="166" fontId="1" fillId="0" borderId="8" xfId="0" applyNumberFormat="1" applyFont="1" applyFill="1" applyBorder="1" applyAlignment="1" applyProtection="1">
      <alignment horizontal="right" vertical="top" wrapText="1"/>
    </xf>
    <xf numFmtId="0" fontId="1" fillId="0" borderId="9" xfId="0" applyNumberFormat="1" applyFont="1" applyFill="1" applyBorder="1" applyAlignment="1" applyProtection="1">
      <alignment horizontal="right" vertical="top" wrapText="1"/>
    </xf>
    <xf numFmtId="0" fontId="1" fillId="0" borderId="10" xfId="0" applyNumberFormat="1" applyFont="1" applyFill="1" applyBorder="1" applyAlignment="1" applyProtection="1">
      <alignment horizontal="right" vertical="top" wrapText="1"/>
    </xf>
    <xf numFmtId="165" fontId="2" fillId="0" borderId="11" xfId="0" applyNumberFormat="1" applyFont="1" applyFill="1" applyBorder="1" applyAlignment="1" applyProtection="1">
      <alignment horizontal="right" vertical="top" wrapText="1"/>
    </xf>
    <xf numFmtId="166" fontId="2" fillId="0" borderId="1" xfId="0" applyNumberFormat="1" applyFont="1" applyFill="1" applyBorder="1" applyAlignment="1" applyProtection="1">
      <alignment horizontal="right" vertical="top" wrapText="1"/>
    </xf>
    <xf numFmtId="0" fontId="2" fillId="0" borderId="1" xfId="0" applyNumberFormat="1" applyFont="1" applyFill="1" applyBorder="1" applyAlignment="1" applyProtection="1">
      <alignment horizontal="right" vertical="top" wrapText="1"/>
    </xf>
    <xf numFmtId="0" fontId="2" fillId="0" borderId="12" xfId="0" applyNumberFormat="1" applyFont="1" applyFill="1" applyBorder="1" applyAlignment="1" applyProtection="1">
      <alignment horizontal="right" vertical="top" wrapText="1"/>
    </xf>
    <xf numFmtId="0" fontId="2" fillId="0" borderId="13" xfId="0" applyNumberFormat="1" applyFont="1" applyFill="1" applyBorder="1" applyAlignment="1" applyProtection="1">
      <alignment horizontal="left" vertical="top" wrapText="1"/>
    </xf>
    <xf numFmtId="0" fontId="1" fillId="0" borderId="1" xfId="0" applyNumberFormat="1" applyFont="1" applyFill="1" applyBorder="1" applyAlignment="1" applyProtection="1">
      <alignment horizontal="left" vertical="top" wrapText="1"/>
    </xf>
    <xf numFmtId="0" fontId="1" fillId="0" borderId="14" xfId="0" applyNumberFormat="1" applyFont="1" applyFill="1" applyBorder="1" applyAlignment="1" applyProtection="1">
      <alignment horizontal="left" vertical="top" wrapText="1"/>
    </xf>
    <xf numFmtId="167" fontId="1" fillId="0" borderId="9" xfId="0" applyNumberFormat="1" applyFont="1" applyFill="1" applyBorder="1" applyAlignment="1" applyProtection="1">
      <alignment horizontal="right" vertical="top" wrapText="1"/>
    </xf>
    <xf numFmtId="167" fontId="1" fillId="0" borderId="10" xfId="0" applyNumberFormat="1" applyFont="1" applyFill="1" applyBorder="1" applyAlignment="1" applyProtection="1">
      <alignment horizontal="right" vertical="top" wrapText="1"/>
    </xf>
    <xf numFmtId="0" fontId="2" fillId="0" borderId="9" xfId="0" applyNumberFormat="1" applyFont="1" applyFill="1" applyBorder="1" applyAlignment="1" applyProtection="1">
      <alignment horizontal="left" vertical="top" wrapText="1"/>
    </xf>
    <xf numFmtId="0" fontId="1" fillId="0" borderId="9" xfId="0" applyNumberFormat="1" applyFont="1" applyFill="1" applyBorder="1" applyAlignment="1" applyProtection="1">
      <alignment horizontal="left" vertical="top" wrapText="1"/>
    </xf>
    <xf numFmtId="0" fontId="5" fillId="0" borderId="9" xfId="0" applyNumberFormat="1" applyFont="1" applyFill="1" applyBorder="1" applyAlignment="1" applyProtection="1">
      <alignment horizontal="left" vertical="top" wrapText="1"/>
    </xf>
    <xf numFmtId="165" fontId="2" fillId="0" borderId="1" xfId="0" applyNumberFormat="1" applyFont="1" applyFill="1" applyBorder="1" applyAlignment="1" applyProtection="1">
      <alignment horizontal="right" vertical="top" wrapText="1"/>
    </xf>
    <xf numFmtId="0" fontId="2" fillId="0" borderId="15" xfId="0" applyNumberFormat="1" applyFont="1" applyFill="1" applyBorder="1" applyAlignment="1" applyProtection="1">
      <alignment horizontal="left" vertical="top" wrapText="1"/>
    </xf>
    <xf numFmtId="0" fontId="1" fillId="0" borderId="16" xfId="0" applyNumberFormat="1" applyFont="1" applyFill="1" applyBorder="1" applyAlignment="1" applyProtection="1">
      <alignment horizontal="left" vertical="top" wrapText="1"/>
    </xf>
    <xf numFmtId="165" fontId="2" fillId="0" borderId="17" xfId="0" applyNumberFormat="1" applyFont="1" applyFill="1" applyBorder="1" applyAlignment="1" applyProtection="1">
      <alignment horizontal="right" vertical="top" wrapText="1"/>
    </xf>
    <xf numFmtId="167" fontId="2" fillId="0" borderId="17" xfId="0" applyNumberFormat="1" applyFont="1" applyFill="1" applyBorder="1" applyAlignment="1" applyProtection="1">
      <alignment horizontal="right" vertical="top" wrapText="1"/>
    </xf>
    <xf numFmtId="0" fontId="2" fillId="0" borderId="18" xfId="0" applyNumberFormat="1" applyFont="1" applyFill="1" applyBorder="1" applyAlignment="1" applyProtection="1">
      <alignment horizontal="right" vertical="top" wrapText="1"/>
    </xf>
    <xf numFmtId="0" fontId="2" fillId="0" borderId="19" xfId="0" applyNumberFormat="1" applyFont="1" applyFill="1" applyBorder="1" applyAlignment="1" applyProtection="1">
      <alignment horizontal="right" vertical="top" wrapText="1"/>
    </xf>
    <xf numFmtId="0" fontId="2" fillId="0" borderId="2" xfId="0" applyNumberFormat="1" applyFont="1" applyFill="1" applyBorder="1" applyAlignment="1" applyProtection="1">
      <alignment horizontal="left" vertical="top" wrapText="1"/>
    </xf>
    <xf numFmtId="0" fontId="0" fillId="0" borderId="6" xfId="0" applyNumberFormat="1" applyFont="1" applyFill="1" applyBorder="1" applyAlignment="1"/>
    <xf numFmtId="0" fontId="18" fillId="0" borderId="6" xfId="0" applyFont="1" applyFill="1" applyBorder="1"/>
    <xf numFmtId="164" fontId="18" fillId="0" borderId="6" xfId="3" applyFont="1" applyFill="1" applyBorder="1" applyAlignment="1"/>
    <xf numFmtId="0" fontId="22" fillId="0" borderId="0" xfId="0" applyFont="1" applyFill="1"/>
    <xf numFmtId="0" fontId="2" fillId="4" borderId="2" xfId="0" applyNumberFormat="1" applyFont="1" applyFill="1" applyBorder="1" applyAlignment="1" applyProtection="1">
      <alignment horizontal="left" vertical="top" wrapText="1"/>
    </xf>
    <xf numFmtId="0" fontId="0" fillId="43" borderId="6" xfId="0" applyNumberFormat="1" applyFont="1" applyFill="1" applyBorder="1" applyAlignment="1">
      <alignment wrapText="1"/>
    </xf>
    <xf numFmtId="0" fontId="2" fillId="9" borderId="4" xfId="0" applyNumberFormat="1" applyFont="1" applyFill="1" applyBorder="1" applyAlignment="1" applyProtection="1">
      <alignment horizontal="center" vertical="center" wrapText="1"/>
    </xf>
    <xf numFmtId="0" fontId="20" fillId="4" borderId="26" xfId="0" applyNumberFormat="1" applyFont="1" applyFill="1" applyBorder="1" applyAlignment="1" applyProtection="1">
      <alignment horizontal="center" vertical="top" wrapText="1"/>
    </xf>
    <xf numFmtId="0" fontId="20" fillId="4" borderId="27" xfId="0" applyNumberFormat="1" applyFont="1" applyFill="1" applyBorder="1" applyAlignment="1" applyProtection="1">
      <alignment horizontal="center" vertical="top" wrapText="1"/>
    </xf>
    <xf numFmtId="0" fontId="20" fillId="4" borderId="28" xfId="0" applyNumberFormat="1" applyFont="1" applyFill="1" applyBorder="1" applyAlignment="1" applyProtection="1">
      <alignment horizontal="center" vertical="top" wrapText="1"/>
    </xf>
    <xf numFmtId="0" fontId="2" fillId="4" borderId="2" xfId="0" applyNumberFormat="1" applyFont="1" applyFill="1" applyBorder="1" applyAlignment="1" applyProtection="1">
      <alignment horizontal="left" vertical="top" wrapText="1"/>
    </xf>
    <xf numFmtId="0" fontId="20" fillId="0" borderId="26" xfId="0" applyNumberFormat="1" applyFont="1" applyFill="1" applyBorder="1" applyAlignment="1" applyProtection="1">
      <alignment horizontal="center" vertical="top" wrapText="1"/>
    </xf>
    <xf numFmtId="0" fontId="20" fillId="0" borderId="27" xfId="0" applyNumberFormat="1" applyFont="1" applyFill="1" applyBorder="1" applyAlignment="1" applyProtection="1">
      <alignment horizontal="center" vertical="top" wrapText="1"/>
    </xf>
    <xf numFmtId="0" fontId="20" fillId="0" borderId="28" xfId="0" applyNumberFormat="1" applyFont="1" applyFill="1" applyBorder="1" applyAlignment="1" applyProtection="1">
      <alignment horizontal="center" vertical="top" wrapText="1"/>
    </xf>
    <xf numFmtId="0" fontId="10" fillId="43" borderId="6" xfId="0" applyNumberFormat="1" applyFont="1" applyFill="1" applyBorder="1" applyAlignment="1">
      <alignment horizontal="left" vertical="top" wrapText="1"/>
    </xf>
    <xf numFmtId="0" fontId="21" fillId="43" borderId="26" xfId="1" applyNumberFormat="1" applyFont="1" applyFill="1" applyBorder="1" applyAlignment="1" applyProtection="1">
      <alignment horizontal="center" vertical="top" wrapText="1"/>
    </xf>
    <xf numFmtId="0" fontId="21" fillId="43" borderId="27" xfId="1" applyNumberFormat="1" applyFont="1" applyFill="1" applyBorder="1" applyAlignment="1" applyProtection="1">
      <alignment horizontal="center" vertical="top" wrapText="1"/>
    </xf>
    <xf numFmtId="0" fontId="21" fillId="43" borderId="28" xfId="1" applyNumberFormat="1" applyFont="1" applyFill="1" applyBorder="1" applyAlignment="1" applyProtection="1">
      <alignment horizontal="center" vertical="top" wrapText="1"/>
    </xf>
    <xf numFmtId="0" fontId="20" fillId="43" borderId="26" xfId="0" applyNumberFormat="1" applyFont="1" applyFill="1" applyBorder="1" applyAlignment="1" applyProtection="1">
      <alignment horizontal="center" vertical="top" wrapText="1"/>
    </xf>
    <xf numFmtId="0" fontId="20" fillId="43" borderId="27" xfId="0" applyNumberFormat="1" applyFont="1" applyFill="1" applyBorder="1" applyAlignment="1" applyProtection="1">
      <alignment horizontal="center" vertical="top" wrapText="1"/>
    </xf>
    <xf numFmtId="0" fontId="20" fillId="43" borderId="28" xfId="0" applyNumberFormat="1" applyFont="1" applyFill="1" applyBorder="1" applyAlignment="1" applyProtection="1">
      <alignment horizontal="center" vertical="top" wrapText="1"/>
    </xf>
    <xf numFmtId="0" fontId="2" fillId="4" borderId="6" xfId="0" applyNumberFormat="1" applyFont="1" applyFill="1" applyBorder="1" applyAlignment="1" applyProtection="1">
      <alignment horizontal="left" vertical="top" wrapText="1"/>
    </xf>
    <xf numFmtId="0" fontId="7" fillId="0" borderId="6" xfId="0" applyNumberFormat="1" applyFont="1" applyFill="1" applyBorder="1" applyAlignment="1"/>
    <xf numFmtId="0" fontId="2" fillId="0" borderId="2" xfId="0" applyNumberFormat="1" applyFont="1" applyFill="1" applyBorder="1" applyAlignment="1" applyProtection="1">
      <alignment horizontal="left" vertical="top"/>
    </xf>
    <xf numFmtId="0" fontId="18" fillId="0" borderId="6" xfId="0" applyFont="1" applyFill="1" applyBorder="1" applyAlignment="1"/>
    <xf numFmtId="0" fontId="2" fillId="4" borderId="2" xfId="0" applyNumberFormat="1" applyFont="1" applyFill="1" applyBorder="1" applyAlignment="1" applyProtection="1">
      <alignment horizontal="left" vertical="center"/>
    </xf>
    <xf numFmtId="0" fontId="0" fillId="0" borderId="6" xfId="0" applyBorder="1"/>
    <xf numFmtId="0" fontId="2" fillId="4" borderId="2" xfId="0" applyNumberFormat="1" applyFont="1" applyFill="1" applyBorder="1" applyAlignment="1" applyProtection="1">
      <alignment horizontal="left"/>
    </xf>
    <xf numFmtId="0" fontId="0" fillId="3" borderId="6" xfId="0" applyNumberFormat="1" applyFont="1" applyFill="1" applyBorder="1" applyAlignment="1" applyProtection="1">
      <protection locked="0"/>
    </xf>
    <xf numFmtId="0" fontId="0" fillId="3" borderId="0" xfId="0" applyNumberFormat="1" applyFont="1" applyFill="1" applyBorder="1" applyAlignment="1" applyProtection="1">
      <protection locked="0"/>
    </xf>
    <xf numFmtId="0" fontId="2" fillId="4" borderId="6" xfId="0" applyNumberFormat="1" applyFont="1" applyFill="1" applyBorder="1" applyAlignment="1" applyProtection="1">
      <alignment horizontal="left" vertical="center"/>
    </xf>
  </cellXfs>
  <cellStyles count="6">
    <cellStyle name="Comma" xfId="3" builtinId="3"/>
    <cellStyle name="Comma 2" xfId="4"/>
    <cellStyle name="Hyperlink" xfId="2" builtinId="8"/>
    <cellStyle name="Normal" xfId="0" builtinId="0"/>
    <cellStyle name="Normal 2" xfId="1"/>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High.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png" TargetMode="External"/><Relationship Id="rId1" Type="http://schemas.openxmlformats.org/officeDocument/2006/relationships/image" Target="../media/image7.png"/><Relationship Id="rId4" Type="http://schemas.openxmlformats.org/officeDocument/2006/relationships/image" Target="file:///P:\scs\FUNDADM\Mailing%20Tool\Template\RiskoMeter\Benchmark%20Axis%20Moderate.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High.png" TargetMode="External"/><Relationship Id="rId1" Type="http://schemas.openxmlformats.org/officeDocument/2006/relationships/image" Target="../media/image8.png"/><Relationship Id="rId4" Type="http://schemas.openxmlformats.org/officeDocument/2006/relationships/image" Target="file:///P:\scs\FUNDADM\Mailing%20Tool\Template\RiskoMeter\Benchmark%20Axis%20High.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P:\scs\FUNDADM\Mailing%20Tool\Template\RiskoMeter\Low.png" TargetMode="External"/><Relationship Id="rId1" Type="http://schemas.openxmlformats.org/officeDocument/2006/relationships/image" Target="../media/image9.png"/><Relationship Id="rId4" Type="http://schemas.openxmlformats.org/officeDocument/2006/relationships/image" Target="file:///P:\scs\FUNDADM\Mailing%20Tool\Template\RiskoMeter\Benchmark%20Axis%20Low.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ly%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ly%20High.png" TargetMode="External"/></Relationships>
</file>

<file path=xl/drawings/_rels/drawing2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ly%20High.png" TargetMode="External"/></Relationships>
</file>

<file path=xl/drawings/_rels/drawing2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2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3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png" TargetMode="External"/></Relationships>
</file>

<file path=xl/drawings/_rels/drawing3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High.png" TargetMode="External"/></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ly%20High.png" TargetMode="External"/><Relationship Id="rId1" Type="http://schemas.openxmlformats.org/officeDocument/2006/relationships/image" Target="../media/image3.png"/><Relationship Id="rId4" Type="http://schemas.openxmlformats.org/officeDocument/2006/relationships/image" Target="file:///P:\scs\FUNDADM\Mailing%20Tool\Template\RiskoMeter\Benchmark%20Axis%20Moderate.png" TargetMode="External"/></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3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png" TargetMode="External"/><Relationship Id="rId1" Type="http://schemas.openxmlformats.org/officeDocument/2006/relationships/image" Target="../media/image7.png"/><Relationship Id="rId4" Type="http://schemas.openxmlformats.org/officeDocument/2006/relationships/image" Target="file:///P:\scs\FUNDADM\Mailing%20Tool\Template\RiskoMeter\Benchmark%20Axis%20Moderate.png" TargetMode="External"/></Relationships>
</file>

<file path=xl/drawings/_rels/drawing3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3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3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P:\scs\FUNDADM\Mailing%20Tool\Template\RiskoMeter\Moderate.png" TargetMode="External"/><Relationship Id="rId1" Type="http://schemas.openxmlformats.org/officeDocument/2006/relationships/image" Target="../media/image7.png"/><Relationship Id="rId4" Type="http://schemas.openxmlformats.org/officeDocument/2006/relationships/image" Target="file:///P:\scs\FUNDADM\Mailing%20Tool\Template\RiskoMeter\Benchmark%20Axis%20Moderately%20High.png" TargetMode="External"/></Relationships>
</file>

<file path=xl/drawings/_rels/drawing3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3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4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P:\scs\FUNDADM\Mailing%20Tool\Template\RiskoMeter\Low.png" TargetMode="External"/><Relationship Id="rId1" Type="http://schemas.openxmlformats.org/officeDocument/2006/relationships/image" Target="../media/image9.png"/><Relationship Id="rId4" Type="http://schemas.openxmlformats.org/officeDocument/2006/relationships/image" Target="file:///P:\scs\FUNDADM\Mailing%20Tool\Template\RiskoMeter\Benchmark%20Axis%20Low.png" TargetMode="External"/></Relationships>
</file>

<file path=xl/drawings/_rels/drawing4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4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High.png" TargetMode="External"/></Relationships>
</file>

<file path=xl/drawings/_rels/drawing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High.png" TargetMode="External"/><Relationship Id="rId1" Type="http://schemas.openxmlformats.org/officeDocument/2006/relationships/image" Target="../media/image8.png"/><Relationship Id="rId4" Type="http://schemas.openxmlformats.org/officeDocument/2006/relationships/image" Target="file:///P:\scs\FUNDADM\Mailing%20Tool\Template\RiskoMeter\Benchmark%20Axis%20Moderate.png" TargetMode="External"/></Relationships>
</file>

<file path=xl/drawings/_rels/drawing4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High.png" TargetMode="External"/></Relationships>
</file>

<file path=xl/drawings/_rels/drawing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png" TargetMode="External"/><Relationship Id="rId1" Type="http://schemas.openxmlformats.org/officeDocument/2006/relationships/image" Target="../media/image9.png"/><Relationship Id="rId4" Type="http://schemas.openxmlformats.org/officeDocument/2006/relationships/image" Target="file:///P:\scs\FUNDADM\Mailing%20Tool\Template\RiskoMeter\Benchmark%20Axis%20Moderate.png" TargetMode="External"/></Relationships>
</file>

<file path=xl/drawings/_rels/drawing4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png" TargetMode="External"/><Relationship Id="rId1" Type="http://schemas.openxmlformats.org/officeDocument/2006/relationships/image" Target="../media/image9.png"/><Relationship Id="rId4" Type="http://schemas.openxmlformats.org/officeDocument/2006/relationships/image" Target="file:///P:\scs\FUNDADM\Mailing%20Tool\Template\RiskoMeter\Benchmark%20Axis%20Moderate.png" TargetMode="External"/></Relationships>
</file>

<file path=xl/drawings/_rels/drawing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png" TargetMode="External"/><Relationship Id="rId1" Type="http://schemas.openxmlformats.org/officeDocument/2006/relationships/image" Target="../media/image9.png"/><Relationship Id="rId4" Type="http://schemas.openxmlformats.org/officeDocument/2006/relationships/image" Target="file:///P:\scs\FUNDADM\Mailing%20Tool\Template\RiskoMeter\Benchmark%20Axis%20Moderate.png" TargetMode="External"/></Relationships>
</file>

<file path=xl/drawings/_rels/drawing4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Moderate.png" TargetMode="External"/><Relationship Id="rId1" Type="http://schemas.openxmlformats.org/officeDocument/2006/relationships/image" Target="../media/image7.png"/><Relationship Id="rId4" Type="http://schemas.openxmlformats.org/officeDocument/2006/relationships/image" Target="file:///P:\scs\FUNDADM\Mailing%20Tool\Template\RiskoMeter\Benchmark%20Axis%20Moderate.png" TargetMode="External"/></Relationships>
</file>

<file path=xl/drawings/_rels/drawing5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5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png" TargetMode="External"/></Relationships>
</file>

<file path=xl/drawings/_rels/drawing5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High.png" TargetMode="External"/></Relationships>
</file>

<file path=xl/drawings/_rels/drawing5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5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_rels/drawing5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P:\scs\FUNDADM\Mailing%20Tool\Template\RiskoMeter\Low%20to%20Moderate.png" TargetMode="External"/><Relationship Id="rId1" Type="http://schemas.openxmlformats.org/officeDocument/2006/relationships/image" Target="../media/image1.png"/><Relationship Id="rId4" Type="http://schemas.openxmlformats.org/officeDocument/2006/relationships/image" Target="file:///P:\scs\FUNDADM\Mailing%20Tool\Template\RiskoMeter\Benchmark%20Axis%20Moderately%20High.png" TargetMode="External"/></Relationships>
</file>

<file path=xl/drawings/_rels/drawing5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P:\scs\FUNDADM\Mailing%20Tool\Template\RiskoMeter\Very%20High.png" TargetMode="External"/><Relationship Id="rId1" Type="http://schemas.openxmlformats.org/officeDocument/2006/relationships/image" Target="../media/image4.png"/><Relationship Id="rId4" Type="http://schemas.openxmlformats.org/officeDocument/2006/relationships/image" Target="file:///P:\scs\FUNDADM\Mailing%20Tool\Template\RiskoMeter\Benchmark%20Axis%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1</xdr:col>
      <xdr:colOff>2857500</xdr:colOff>
      <xdr:row>51</xdr:row>
      <xdr:rowOff>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10258425"/>
          <a:ext cx="2857500" cy="1905000"/>
        </a:xfrm>
        <a:prstGeom prst="rect">
          <a:avLst/>
        </a:prstGeom>
      </xdr:spPr>
    </xdr:pic>
    <xdr:clientData/>
  </xdr:twoCellAnchor>
  <xdr:twoCellAnchor editAs="oneCell">
    <xdr:from>
      <xdr:col>2</xdr:col>
      <xdr:colOff>0</xdr:colOff>
      <xdr:row>41</xdr:row>
      <xdr:rowOff>0</xdr:rowOff>
    </xdr:from>
    <xdr:to>
      <xdr:col>4</xdr:col>
      <xdr:colOff>95250</xdr:colOff>
      <xdr:row>51</xdr:row>
      <xdr:rowOff>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77400" y="10258425"/>
          <a:ext cx="28575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2857500</xdr:colOff>
      <xdr:row>50</xdr:row>
      <xdr:rowOff>0</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096500"/>
          <a:ext cx="2857500" cy="1905000"/>
        </a:xfrm>
        <a:prstGeom prst="rect">
          <a:avLst/>
        </a:prstGeom>
      </xdr:spPr>
    </xdr:pic>
    <xdr:clientData/>
  </xdr:twoCellAnchor>
  <xdr:twoCellAnchor editAs="oneCell">
    <xdr:from>
      <xdr:col>2</xdr:col>
      <xdr:colOff>0</xdr:colOff>
      <xdr:row>40</xdr:row>
      <xdr:rowOff>0</xdr:rowOff>
    </xdr:from>
    <xdr:to>
      <xdr:col>3</xdr:col>
      <xdr:colOff>1343025</xdr:colOff>
      <xdr:row>50</xdr:row>
      <xdr:rowOff>0</xdr:rowOff>
    </xdr:to>
    <xdr:pic>
      <xdr:nvPicPr>
        <xdr:cNvPr id="3" name="Picture 2">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77400" y="10096500"/>
          <a:ext cx="2857500" cy="190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2857500</xdr:colOff>
      <xdr:row>50</xdr:row>
      <xdr:rowOff>0</xdr:rowOff>
    </xdr:to>
    <xdr:pic>
      <xdr:nvPicPr>
        <xdr:cNvPr id="2" name="Picture 1">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096500"/>
          <a:ext cx="2857500" cy="1905000"/>
        </a:xfrm>
        <a:prstGeom prst="rect">
          <a:avLst/>
        </a:prstGeom>
      </xdr:spPr>
    </xdr:pic>
    <xdr:clientData/>
  </xdr:twoCellAnchor>
  <xdr:twoCellAnchor editAs="oneCell">
    <xdr:from>
      <xdr:col>2</xdr:col>
      <xdr:colOff>0</xdr:colOff>
      <xdr:row>40</xdr:row>
      <xdr:rowOff>0</xdr:rowOff>
    </xdr:from>
    <xdr:to>
      <xdr:col>3</xdr:col>
      <xdr:colOff>1343025</xdr:colOff>
      <xdr:row>50</xdr:row>
      <xdr:rowOff>0</xdr:rowOff>
    </xdr:to>
    <xdr:pic>
      <xdr:nvPicPr>
        <xdr:cNvPr id="3" name="Picture 2">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77400" y="10096500"/>
          <a:ext cx="2857500" cy="190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1</xdr:col>
      <xdr:colOff>2857500</xdr:colOff>
      <xdr:row>54</xdr:row>
      <xdr:rowOff>0</xdr:rowOff>
    </xdr:to>
    <xdr:pic>
      <xdr:nvPicPr>
        <xdr:cNvPr id="2" name="Picture 1">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1315700"/>
          <a:ext cx="2857500" cy="1905000"/>
        </a:xfrm>
        <a:prstGeom prst="rect">
          <a:avLst/>
        </a:prstGeom>
      </xdr:spPr>
    </xdr:pic>
    <xdr:clientData/>
  </xdr:twoCellAnchor>
  <xdr:twoCellAnchor editAs="oneCell">
    <xdr:from>
      <xdr:col>2</xdr:col>
      <xdr:colOff>0</xdr:colOff>
      <xdr:row>44</xdr:row>
      <xdr:rowOff>0</xdr:rowOff>
    </xdr:from>
    <xdr:to>
      <xdr:col>3</xdr:col>
      <xdr:colOff>1343025</xdr:colOff>
      <xdr:row>54</xdr:row>
      <xdr:rowOff>0</xdr:rowOff>
    </xdr:to>
    <xdr:pic>
      <xdr:nvPicPr>
        <xdr:cNvPr id="3" name="Picture 2">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77400" y="11315700"/>
          <a:ext cx="2857500" cy="1905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2857500</xdr:colOff>
      <xdr:row>43</xdr:row>
      <xdr:rowOff>0</xdr:rowOff>
    </xdr:to>
    <xdr:pic>
      <xdr:nvPicPr>
        <xdr:cNvPr id="2" name="Picture 1">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10267950"/>
          <a:ext cx="2857500" cy="1905000"/>
        </a:xfrm>
        <a:prstGeom prst="rect">
          <a:avLst/>
        </a:prstGeom>
        <a:ln>
          <a:solidFill>
            <a:schemeClr val="tx1"/>
          </a:solidFill>
        </a:ln>
      </xdr:spPr>
    </xdr:pic>
    <xdr:clientData/>
  </xdr:twoCellAnchor>
  <xdr:twoCellAnchor editAs="oneCell">
    <xdr:from>
      <xdr:col>3</xdr:col>
      <xdr:colOff>0</xdr:colOff>
      <xdr:row>33</xdr:row>
      <xdr:rowOff>0</xdr:rowOff>
    </xdr:from>
    <xdr:to>
      <xdr:col>4</xdr:col>
      <xdr:colOff>638175</xdr:colOff>
      <xdr:row>43</xdr:row>
      <xdr:rowOff>0</xdr:rowOff>
    </xdr:to>
    <xdr:pic>
      <xdr:nvPicPr>
        <xdr:cNvPr id="3" name="Picture 2">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77400" y="10267950"/>
          <a:ext cx="2857500" cy="1905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1</xdr:col>
      <xdr:colOff>2857500</xdr:colOff>
      <xdr:row>203</xdr:row>
      <xdr:rowOff>0</xdr:rowOff>
    </xdr:to>
    <xdr:pic>
      <xdr:nvPicPr>
        <xdr:cNvPr id="2" name="Picture 1">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7671375"/>
          <a:ext cx="2857500" cy="1905000"/>
        </a:xfrm>
        <a:prstGeom prst="rect">
          <a:avLst/>
        </a:prstGeom>
      </xdr:spPr>
    </xdr:pic>
    <xdr:clientData/>
  </xdr:twoCellAnchor>
  <xdr:twoCellAnchor editAs="oneCell">
    <xdr:from>
      <xdr:col>2</xdr:col>
      <xdr:colOff>0</xdr:colOff>
      <xdr:row>193</xdr:row>
      <xdr:rowOff>0</xdr:rowOff>
    </xdr:from>
    <xdr:to>
      <xdr:col>3</xdr:col>
      <xdr:colOff>1343025</xdr:colOff>
      <xdr:row>203</xdr:row>
      <xdr:rowOff>0</xdr:rowOff>
    </xdr:to>
    <xdr:pic>
      <xdr:nvPicPr>
        <xdr:cNvPr id="3" name="Picture 2">
          <a:extLst>
            <a:ext uri="{FF2B5EF4-FFF2-40B4-BE49-F238E27FC236}">
              <a16:creationId xmlns:a16="http://schemas.microsoft.com/office/drawing/2014/main" id="{00000000-0008-0000-0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77400" y="37671375"/>
          <a:ext cx="2857500" cy="1905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2857500</xdr:colOff>
      <xdr:row>47</xdr:row>
      <xdr:rowOff>0</xdr:rowOff>
    </xdr:to>
    <xdr:pic>
      <xdr:nvPicPr>
        <xdr:cNvPr id="2" name="Picture 1">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8820150"/>
          <a:ext cx="2857500" cy="1905000"/>
        </a:xfrm>
        <a:prstGeom prst="rect">
          <a:avLst/>
        </a:prstGeom>
        <a:ln>
          <a:solidFill>
            <a:schemeClr val="tx1"/>
          </a:solidFill>
        </a:ln>
      </xdr:spPr>
    </xdr:pic>
    <xdr:clientData/>
  </xdr:twoCellAnchor>
  <xdr:twoCellAnchor editAs="oneCell">
    <xdr:from>
      <xdr:col>2</xdr:col>
      <xdr:colOff>0</xdr:colOff>
      <xdr:row>37</xdr:row>
      <xdr:rowOff>0</xdr:rowOff>
    </xdr:from>
    <xdr:to>
      <xdr:col>3</xdr:col>
      <xdr:colOff>1581150</xdr:colOff>
      <xdr:row>47</xdr:row>
      <xdr:rowOff>0</xdr:rowOff>
    </xdr:to>
    <xdr:pic>
      <xdr:nvPicPr>
        <xdr:cNvPr id="3" name="Picture 2">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439275" y="8820150"/>
          <a:ext cx="2857500" cy="1905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1</xdr:col>
      <xdr:colOff>2857500</xdr:colOff>
      <xdr:row>98</xdr:row>
      <xdr:rowOff>0</xdr:rowOff>
    </xdr:to>
    <xdr:pic>
      <xdr:nvPicPr>
        <xdr:cNvPr id="2" name="Picture 1">
          <a:extLst>
            <a:ext uri="{FF2B5EF4-FFF2-40B4-BE49-F238E27FC236}">
              <a16:creationId xmlns:a16="http://schemas.microsoft.com/office/drawing/2014/main" id="{00000000-0008-0000-08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7355800"/>
          <a:ext cx="2857500" cy="1905000"/>
        </a:xfrm>
        <a:prstGeom prst="rect">
          <a:avLst/>
        </a:prstGeom>
        <a:ln>
          <a:solidFill>
            <a:schemeClr val="tx1"/>
          </a:solidFill>
        </a:ln>
      </xdr:spPr>
    </xdr:pic>
    <xdr:clientData/>
  </xdr:twoCellAnchor>
  <xdr:twoCellAnchor editAs="oneCell">
    <xdr:from>
      <xdr:col>2</xdr:col>
      <xdr:colOff>0</xdr:colOff>
      <xdr:row>88</xdr:row>
      <xdr:rowOff>0</xdr:rowOff>
    </xdr:from>
    <xdr:to>
      <xdr:col>3</xdr:col>
      <xdr:colOff>1609725</xdr:colOff>
      <xdr:row>98</xdr:row>
      <xdr:rowOff>0</xdr:rowOff>
    </xdr:to>
    <xdr:pic>
      <xdr:nvPicPr>
        <xdr:cNvPr id="3" name="Picture 2">
          <a:extLst>
            <a:ext uri="{FF2B5EF4-FFF2-40B4-BE49-F238E27FC236}">
              <a16:creationId xmlns:a16="http://schemas.microsoft.com/office/drawing/2014/main" id="{00000000-0008-0000-08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7355800"/>
          <a:ext cx="2857500" cy="1905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1</xdr:col>
      <xdr:colOff>2857500</xdr:colOff>
      <xdr:row>91</xdr:row>
      <xdr:rowOff>0</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6146125"/>
          <a:ext cx="2857500" cy="1905000"/>
        </a:xfrm>
        <a:prstGeom prst="rect">
          <a:avLst/>
        </a:prstGeom>
        <a:ln>
          <a:solidFill>
            <a:schemeClr val="tx1"/>
          </a:solidFill>
        </a:ln>
      </xdr:spPr>
    </xdr:pic>
    <xdr:clientData/>
  </xdr:twoCellAnchor>
  <xdr:twoCellAnchor editAs="oneCell">
    <xdr:from>
      <xdr:col>2</xdr:col>
      <xdr:colOff>0</xdr:colOff>
      <xdr:row>81</xdr:row>
      <xdr:rowOff>0</xdr:rowOff>
    </xdr:from>
    <xdr:to>
      <xdr:col>3</xdr:col>
      <xdr:colOff>1609725</xdr:colOff>
      <xdr:row>91</xdr:row>
      <xdr:rowOff>0</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6146125"/>
          <a:ext cx="2857500" cy="1905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2857500</xdr:colOff>
      <xdr:row>64</xdr:row>
      <xdr:rowOff>0</xdr:rowOff>
    </xdr:to>
    <xdr:pic>
      <xdr:nvPicPr>
        <xdr:cNvPr id="2" name="Picture 1">
          <a:extLst>
            <a:ext uri="{FF2B5EF4-FFF2-40B4-BE49-F238E27FC236}">
              <a16:creationId xmlns:a16="http://schemas.microsoft.com/office/drawing/2014/main" id="{00000000-0008-0000-0A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1734800"/>
          <a:ext cx="2857500" cy="1905000"/>
        </a:xfrm>
        <a:prstGeom prst="rect">
          <a:avLst/>
        </a:prstGeom>
        <a:ln>
          <a:solidFill>
            <a:schemeClr val="tx1"/>
          </a:solidFill>
        </a:ln>
      </xdr:spPr>
    </xdr:pic>
    <xdr:clientData/>
  </xdr:twoCellAnchor>
  <xdr:twoCellAnchor editAs="oneCell">
    <xdr:from>
      <xdr:col>2</xdr:col>
      <xdr:colOff>0</xdr:colOff>
      <xdr:row>54</xdr:row>
      <xdr:rowOff>0</xdr:rowOff>
    </xdr:from>
    <xdr:to>
      <xdr:col>3</xdr:col>
      <xdr:colOff>1485900</xdr:colOff>
      <xdr:row>64</xdr:row>
      <xdr:rowOff>0</xdr:rowOff>
    </xdr:to>
    <xdr:pic>
      <xdr:nvPicPr>
        <xdr:cNvPr id="3" name="Picture 2">
          <a:extLst>
            <a:ext uri="{FF2B5EF4-FFF2-40B4-BE49-F238E27FC236}">
              <a16:creationId xmlns:a16="http://schemas.microsoft.com/office/drawing/2014/main" id="{00000000-0008-0000-0A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34525" y="11734800"/>
          <a:ext cx="2857500" cy="1905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1</xdr:col>
      <xdr:colOff>2857500</xdr:colOff>
      <xdr:row>104</xdr:row>
      <xdr:rowOff>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9365575"/>
          <a:ext cx="2857500" cy="1905000"/>
        </a:xfrm>
        <a:prstGeom prst="rect">
          <a:avLst/>
        </a:prstGeom>
        <a:ln>
          <a:solidFill>
            <a:schemeClr val="tx1"/>
          </a:solidFill>
        </a:ln>
      </xdr:spPr>
    </xdr:pic>
    <xdr:clientData/>
  </xdr:twoCellAnchor>
  <xdr:twoCellAnchor editAs="oneCell">
    <xdr:from>
      <xdr:col>2</xdr:col>
      <xdr:colOff>0</xdr:colOff>
      <xdr:row>94</xdr:row>
      <xdr:rowOff>0</xdr:rowOff>
    </xdr:from>
    <xdr:to>
      <xdr:col>3</xdr:col>
      <xdr:colOff>1343025</xdr:colOff>
      <xdr:row>104</xdr:row>
      <xdr:rowOff>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77400" y="29365575"/>
          <a:ext cx="2857500" cy="1905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1</xdr:col>
      <xdr:colOff>2857500</xdr:colOff>
      <xdr:row>162</xdr:row>
      <xdr:rowOff>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1405175"/>
          <a:ext cx="2857500" cy="1905000"/>
        </a:xfrm>
        <a:prstGeom prst="rect">
          <a:avLst/>
        </a:prstGeom>
      </xdr:spPr>
    </xdr:pic>
    <xdr:clientData/>
  </xdr:twoCellAnchor>
  <xdr:twoCellAnchor editAs="oneCell">
    <xdr:from>
      <xdr:col>2</xdr:col>
      <xdr:colOff>0</xdr:colOff>
      <xdr:row>152</xdr:row>
      <xdr:rowOff>0</xdr:rowOff>
    </xdr:from>
    <xdr:to>
      <xdr:col>3</xdr:col>
      <xdr:colOff>1114425</xdr:colOff>
      <xdr:row>162</xdr:row>
      <xdr:rowOff>0</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41405175"/>
          <a:ext cx="2857500" cy="1905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2857500</xdr:colOff>
      <xdr:row>114</xdr:row>
      <xdr:rowOff>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33642300"/>
          <a:ext cx="2857500" cy="1905000"/>
        </a:xfrm>
        <a:prstGeom prst="rect">
          <a:avLst/>
        </a:prstGeom>
        <a:ln>
          <a:solidFill>
            <a:schemeClr val="tx1"/>
          </a:solidFill>
        </a:ln>
      </xdr:spPr>
    </xdr:pic>
    <xdr:clientData/>
  </xdr:twoCellAnchor>
  <xdr:twoCellAnchor editAs="oneCell">
    <xdr:from>
      <xdr:col>2</xdr:col>
      <xdr:colOff>0</xdr:colOff>
      <xdr:row>104</xdr:row>
      <xdr:rowOff>0</xdr:rowOff>
    </xdr:from>
    <xdr:to>
      <xdr:col>3</xdr:col>
      <xdr:colOff>1609725</xdr:colOff>
      <xdr:row>114</xdr:row>
      <xdr:rowOff>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3642300"/>
          <a:ext cx="2857500" cy="1905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1</xdr:col>
      <xdr:colOff>2857500</xdr:colOff>
      <xdr:row>180</xdr:row>
      <xdr:rowOff>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48206025"/>
          <a:ext cx="2857500" cy="1905000"/>
        </a:xfrm>
        <a:prstGeom prst="rect">
          <a:avLst/>
        </a:prstGeom>
      </xdr:spPr>
    </xdr:pic>
    <xdr:clientData/>
  </xdr:twoCellAnchor>
  <xdr:twoCellAnchor editAs="oneCell">
    <xdr:from>
      <xdr:col>2</xdr:col>
      <xdr:colOff>0</xdr:colOff>
      <xdr:row>170</xdr:row>
      <xdr:rowOff>0</xdr:rowOff>
    </xdr:from>
    <xdr:to>
      <xdr:col>3</xdr:col>
      <xdr:colOff>1609725</xdr:colOff>
      <xdr:row>180</xdr:row>
      <xdr:rowOff>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48206025"/>
          <a:ext cx="2857500" cy="1905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1</xdr:col>
      <xdr:colOff>2857500</xdr:colOff>
      <xdr:row>58</xdr:row>
      <xdr:rowOff>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2402800"/>
          <a:ext cx="2857500" cy="1905000"/>
        </a:xfrm>
        <a:prstGeom prst="rect">
          <a:avLst/>
        </a:prstGeom>
        <a:ln>
          <a:solidFill>
            <a:schemeClr val="tx1"/>
          </a:solidFill>
        </a:ln>
      </xdr:spPr>
    </xdr:pic>
    <xdr:clientData/>
  </xdr:twoCellAnchor>
  <xdr:twoCellAnchor editAs="oneCell">
    <xdr:from>
      <xdr:col>2</xdr:col>
      <xdr:colOff>0</xdr:colOff>
      <xdr:row>48</xdr:row>
      <xdr:rowOff>0</xdr:rowOff>
    </xdr:from>
    <xdr:to>
      <xdr:col>3</xdr:col>
      <xdr:colOff>1609725</xdr:colOff>
      <xdr:row>58</xdr:row>
      <xdr:rowOff>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2402800"/>
          <a:ext cx="2857500" cy="1905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1</xdr:col>
      <xdr:colOff>2857500</xdr:colOff>
      <xdr:row>279</xdr:row>
      <xdr:rowOff>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79200375"/>
          <a:ext cx="2857500" cy="1905000"/>
        </a:xfrm>
        <a:prstGeom prst="rect">
          <a:avLst/>
        </a:prstGeom>
        <a:ln>
          <a:solidFill>
            <a:schemeClr val="tx1"/>
          </a:solidFill>
        </a:ln>
      </xdr:spPr>
    </xdr:pic>
    <xdr:clientData/>
  </xdr:twoCellAnchor>
  <xdr:twoCellAnchor editAs="oneCell">
    <xdr:from>
      <xdr:col>2</xdr:col>
      <xdr:colOff>0</xdr:colOff>
      <xdr:row>269</xdr:row>
      <xdr:rowOff>0</xdr:rowOff>
    </xdr:from>
    <xdr:to>
      <xdr:col>3</xdr:col>
      <xdr:colOff>1114425</xdr:colOff>
      <xdr:row>279</xdr:row>
      <xdr:rowOff>0</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4829175" y="79200375"/>
          <a:ext cx="2857500" cy="1905000"/>
        </a:xfrm>
        <a:prstGeom prst="rect">
          <a:avLst/>
        </a:prstGeom>
        <a:ln>
          <a:solidFill>
            <a:schemeClr val="tx1"/>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1</xdr:col>
      <xdr:colOff>2857500</xdr:colOff>
      <xdr:row>118</xdr:row>
      <xdr:rowOff>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3127950"/>
          <a:ext cx="2857500" cy="1905000"/>
        </a:xfrm>
        <a:prstGeom prst="rect">
          <a:avLst/>
        </a:prstGeom>
        <a:ln>
          <a:solidFill>
            <a:schemeClr val="tx1"/>
          </a:solidFill>
        </a:ln>
      </xdr:spPr>
    </xdr:pic>
    <xdr:clientData/>
  </xdr:twoCellAnchor>
  <xdr:twoCellAnchor editAs="oneCell">
    <xdr:from>
      <xdr:col>2</xdr:col>
      <xdr:colOff>0</xdr:colOff>
      <xdr:row>108</xdr:row>
      <xdr:rowOff>0</xdr:rowOff>
    </xdr:from>
    <xdr:to>
      <xdr:col>3</xdr:col>
      <xdr:colOff>1609725</xdr:colOff>
      <xdr:row>118</xdr:row>
      <xdr:rowOff>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3127950"/>
          <a:ext cx="2857500" cy="1905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2857500</xdr:colOff>
      <xdr:row>83</xdr:row>
      <xdr:rowOff>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5003125"/>
          <a:ext cx="2857500" cy="1905000"/>
        </a:xfrm>
        <a:prstGeom prst="rect">
          <a:avLst/>
        </a:prstGeom>
        <a:ln>
          <a:solidFill>
            <a:schemeClr val="tx1"/>
          </a:solidFill>
        </a:ln>
      </xdr:spPr>
    </xdr:pic>
    <xdr:clientData/>
  </xdr:twoCellAnchor>
  <xdr:twoCellAnchor editAs="oneCell">
    <xdr:from>
      <xdr:col>2</xdr:col>
      <xdr:colOff>0</xdr:colOff>
      <xdr:row>73</xdr:row>
      <xdr:rowOff>0</xdr:rowOff>
    </xdr:from>
    <xdr:to>
      <xdr:col>3</xdr:col>
      <xdr:colOff>1609725</xdr:colOff>
      <xdr:row>83</xdr:row>
      <xdr:rowOff>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5003125"/>
          <a:ext cx="2857500" cy="1905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1</xdr:col>
      <xdr:colOff>2857500</xdr:colOff>
      <xdr:row>201</xdr:row>
      <xdr:rowOff>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7426225"/>
          <a:ext cx="2857500" cy="1905000"/>
        </a:xfrm>
        <a:prstGeom prst="rect">
          <a:avLst/>
        </a:prstGeom>
        <a:ln>
          <a:solidFill>
            <a:schemeClr val="tx1"/>
          </a:solidFill>
        </a:ln>
      </xdr:spPr>
    </xdr:pic>
    <xdr:clientData/>
  </xdr:twoCellAnchor>
  <xdr:twoCellAnchor editAs="oneCell">
    <xdr:from>
      <xdr:col>2</xdr:col>
      <xdr:colOff>0</xdr:colOff>
      <xdr:row>191</xdr:row>
      <xdr:rowOff>0</xdr:rowOff>
    </xdr:from>
    <xdr:to>
      <xdr:col>3</xdr:col>
      <xdr:colOff>1609725</xdr:colOff>
      <xdr:row>201</xdr:row>
      <xdr:rowOff>0</xdr:rowOff>
    </xdr:to>
    <xdr:pic>
      <xdr:nvPicPr>
        <xdr:cNvPr id="4" name="Picture 3">
          <a:extLst>
            <a:ext uri="{FF2B5EF4-FFF2-40B4-BE49-F238E27FC236}">
              <a16:creationId xmlns:a16="http://schemas.microsoft.com/office/drawing/2014/main" id="{00000000-0008-0000-13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55711725"/>
          <a:ext cx="2857500" cy="1905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xdr:col>
      <xdr:colOff>2857500</xdr:colOff>
      <xdr:row>92</xdr:row>
      <xdr:rowOff>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7993975"/>
          <a:ext cx="2857500" cy="1905000"/>
        </a:xfrm>
        <a:prstGeom prst="rect">
          <a:avLst/>
        </a:prstGeom>
        <a:ln>
          <a:solidFill>
            <a:schemeClr val="tx1"/>
          </a:solidFill>
        </a:ln>
      </xdr:spPr>
    </xdr:pic>
    <xdr:clientData/>
  </xdr:twoCellAnchor>
  <xdr:twoCellAnchor editAs="oneCell">
    <xdr:from>
      <xdr:col>2</xdr:col>
      <xdr:colOff>0</xdr:colOff>
      <xdr:row>82</xdr:row>
      <xdr:rowOff>0</xdr:rowOff>
    </xdr:from>
    <xdr:to>
      <xdr:col>3</xdr:col>
      <xdr:colOff>1609725</xdr:colOff>
      <xdr:row>92</xdr:row>
      <xdr:rowOff>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7993975"/>
          <a:ext cx="2857500" cy="1905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2857500</xdr:colOff>
      <xdr:row>84</xdr:row>
      <xdr:rowOff>0</xdr:rowOff>
    </xdr:to>
    <xdr:pic>
      <xdr:nvPicPr>
        <xdr:cNvPr id="2" name="Picture 1">
          <a:extLst>
            <a:ext uri="{FF2B5EF4-FFF2-40B4-BE49-F238E27FC236}">
              <a16:creationId xmlns:a16="http://schemas.microsoft.com/office/drawing/2014/main" id="{00000000-0008-0000-15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8222575"/>
          <a:ext cx="2857500" cy="1905000"/>
        </a:xfrm>
        <a:prstGeom prst="rect">
          <a:avLst/>
        </a:prstGeom>
        <a:ln>
          <a:solidFill>
            <a:schemeClr val="tx1"/>
          </a:solidFill>
        </a:ln>
      </xdr:spPr>
    </xdr:pic>
    <xdr:clientData/>
  </xdr:twoCellAnchor>
  <xdr:twoCellAnchor editAs="oneCell">
    <xdr:from>
      <xdr:col>2</xdr:col>
      <xdr:colOff>0</xdr:colOff>
      <xdr:row>74</xdr:row>
      <xdr:rowOff>0</xdr:rowOff>
    </xdr:from>
    <xdr:to>
      <xdr:col>3</xdr:col>
      <xdr:colOff>1609725</xdr:colOff>
      <xdr:row>84</xdr:row>
      <xdr:rowOff>0</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8222575"/>
          <a:ext cx="2857500" cy="1905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1</xdr:col>
      <xdr:colOff>2857500</xdr:colOff>
      <xdr:row>111</xdr:row>
      <xdr:rowOff>0</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5042475"/>
          <a:ext cx="2857500" cy="1905000"/>
        </a:xfrm>
        <a:prstGeom prst="rect">
          <a:avLst/>
        </a:prstGeom>
      </xdr:spPr>
    </xdr:pic>
    <xdr:clientData/>
  </xdr:twoCellAnchor>
  <xdr:twoCellAnchor editAs="oneCell">
    <xdr:from>
      <xdr:col>2</xdr:col>
      <xdr:colOff>0</xdr:colOff>
      <xdr:row>101</xdr:row>
      <xdr:rowOff>0</xdr:rowOff>
    </xdr:from>
    <xdr:to>
      <xdr:col>3</xdr:col>
      <xdr:colOff>1219200</xdr:colOff>
      <xdr:row>111</xdr:row>
      <xdr:rowOff>0</xdr:rowOff>
    </xdr:to>
    <xdr:pic>
      <xdr:nvPicPr>
        <xdr:cNvPr id="4" name="Picture 3">
          <a:extLst>
            <a:ext uri="{FF2B5EF4-FFF2-40B4-BE49-F238E27FC236}">
              <a16:creationId xmlns:a16="http://schemas.microsoft.com/office/drawing/2014/main" id="{00000000-0008-0000-1600-000004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4829175" y="35042475"/>
          <a:ext cx="2857500" cy="1905000"/>
        </a:xfrm>
        <a:prstGeom prst="rect">
          <a:avLst/>
        </a:prstGeom>
        <a:ln>
          <a:solidFill>
            <a:schemeClr val="tx1"/>
          </a:solid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2857500</xdr:colOff>
      <xdr:row>34</xdr:row>
      <xdr:rowOff>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153275"/>
          <a:ext cx="2857500" cy="1905000"/>
        </a:xfrm>
        <a:prstGeom prst="rect">
          <a:avLst/>
        </a:prstGeom>
        <a:ln>
          <a:solidFill>
            <a:schemeClr val="tx1"/>
          </a:solidFill>
        </a:ln>
      </xdr:spPr>
    </xdr:pic>
    <xdr:clientData/>
  </xdr:twoCellAnchor>
  <xdr:twoCellAnchor editAs="oneCell">
    <xdr:from>
      <xdr:col>2</xdr:col>
      <xdr:colOff>0</xdr:colOff>
      <xdr:row>24</xdr:row>
      <xdr:rowOff>0</xdr:rowOff>
    </xdr:from>
    <xdr:to>
      <xdr:col>3</xdr:col>
      <xdr:colOff>1609725</xdr:colOff>
      <xdr:row>34</xdr:row>
      <xdr:rowOff>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7153275"/>
          <a:ext cx="2857500" cy="1905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2857500</xdr:colOff>
      <xdr:row>34</xdr:row>
      <xdr:rowOff>0</xdr:rowOff>
    </xdr:to>
    <xdr:pic>
      <xdr:nvPicPr>
        <xdr:cNvPr id="2" name="Picture 1">
          <a:extLst>
            <a:ext uri="{FF2B5EF4-FFF2-40B4-BE49-F238E27FC236}">
              <a16:creationId xmlns:a16="http://schemas.microsoft.com/office/drawing/2014/main" id="{00000000-0008-0000-18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153275"/>
          <a:ext cx="2857500" cy="1905000"/>
        </a:xfrm>
        <a:prstGeom prst="rect">
          <a:avLst/>
        </a:prstGeom>
        <a:ln>
          <a:solidFill>
            <a:schemeClr val="tx1"/>
          </a:solidFill>
        </a:ln>
      </xdr:spPr>
    </xdr:pic>
    <xdr:clientData/>
  </xdr:twoCellAnchor>
  <xdr:twoCellAnchor editAs="oneCell">
    <xdr:from>
      <xdr:col>2</xdr:col>
      <xdr:colOff>0</xdr:colOff>
      <xdr:row>24</xdr:row>
      <xdr:rowOff>0</xdr:rowOff>
    </xdr:from>
    <xdr:to>
      <xdr:col>3</xdr:col>
      <xdr:colOff>1609725</xdr:colOff>
      <xdr:row>34</xdr:row>
      <xdr:rowOff>0</xdr:rowOff>
    </xdr:to>
    <xdr:pic>
      <xdr:nvPicPr>
        <xdr:cNvPr id="3" name="Picture 2">
          <a:extLst>
            <a:ext uri="{FF2B5EF4-FFF2-40B4-BE49-F238E27FC236}">
              <a16:creationId xmlns:a16="http://schemas.microsoft.com/office/drawing/2014/main" id="{00000000-0008-0000-18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886825" y="7153275"/>
          <a:ext cx="2857500" cy="1905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2857500</xdr:colOff>
      <xdr:row>34</xdr:row>
      <xdr:rowOff>0</xdr:rowOff>
    </xdr:to>
    <xdr:pic>
      <xdr:nvPicPr>
        <xdr:cNvPr id="2" name="Picture 1">
          <a:extLst>
            <a:ext uri="{FF2B5EF4-FFF2-40B4-BE49-F238E27FC236}">
              <a16:creationId xmlns:a16="http://schemas.microsoft.com/office/drawing/2014/main" id="{00000000-0008-0000-1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781800"/>
          <a:ext cx="2857500" cy="1905000"/>
        </a:xfrm>
        <a:prstGeom prst="rect">
          <a:avLst/>
        </a:prstGeom>
        <a:ln>
          <a:solidFill>
            <a:schemeClr val="tx1"/>
          </a:solidFill>
        </a:ln>
      </xdr:spPr>
    </xdr:pic>
    <xdr:clientData/>
  </xdr:twoCellAnchor>
  <xdr:twoCellAnchor editAs="oneCell">
    <xdr:from>
      <xdr:col>2</xdr:col>
      <xdr:colOff>0</xdr:colOff>
      <xdr:row>24</xdr:row>
      <xdr:rowOff>0</xdr:rowOff>
    </xdr:from>
    <xdr:to>
      <xdr:col>3</xdr:col>
      <xdr:colOff>1609725</xdr:colOff>
      <xdr:row>34</xdr:row>
      <xdr:rowOff>0</xdr:rowOff>
    </xdr:to>
    <xdr:pic>
      <xdr:nvPicPr>
        <xdr:cNvPr id="3" name="Picture 2">
          <a:extLst>
            <a:ext uri="{FF2B5EF4-FFF2-40B4-BE49-F238E27FC236}">
              <a16:creationId xmlns:a16="http://schemas.microsoft.com/office/drawing/2014/main" id="{00000000-0008-0000-1900-000003000000}"/>
            </a:ext>
          </a:extLst>
        </xdr:cNvPr>
        <xdr:cNvPicPr>
          <a:picLocks/>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l="1" r="662"/>
        <a:stretch/>
      </xdr:blipFill>
      <xdr:spPr>
        <a:xfrm>
          <a:off x="9410700" y="6781800"/>
          <a:ext cx="2857500" cy="1905000"/>
        </a:xfrm>
        <a:prstGeom prst="rect">
          <a:avLst/>
        </a:prstGeom>
        <a:ln>
          <a:solidFill>
            <a:schemeClr val="tx1"/>
          </a:solid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2857500</xdr:colOff>
      <xdr:row>34</xdr:row>
      <xdr:rowOff>0</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962900"/>
          <a:ext cx="2857500" cy="1905000"/>
        </a:xfrm>
        <a:prstGeom prst="rect">
          <a:avLst/>
        </a:prstGeom>
        <a:ln>
          <a:solidFill>
            <a:schemeClr val="tx1"/>
          </a:solidFill>
        </a:ln>
      </xdr:spPr>
    </xdr:pic>
    <xdr:clientData/>
  </xdr:twoCellAnchor>
  <xdr:twoCellAnchor editAs="oneCell">
    <xdr:from>
      <xdr:col>2</xdr:col>
      <xdr:colOff>0</xdr:colOff>
      <xdr:row>24</xdr:row>
      <xdr:rowOff>0</xdr:rowOff>
    </xdr:from>
    <xdr:to>
      <xdr:col>4</xdr:col>
      <xdr:colOff>95250</xdr:colOff>
      <xdr:row>34</xdr:row>
      <xdr:rowOff>0</xdr:rowOff>
    </xdr:to>
    <xdr:pic>
      <xdr:nvPicPr>
        <xdr:cNvPr id="4" name="Picture 3">
          <a:extLst>
            <a:ext uri="{FF2B5EF4-FFF2-40B4-BE49-F238E27FC236}">
              <a16:creationId xmlns:a16="http://schemas.microsoft.com/office/drawing/2014/main" id="{00000000-0008-0000-1A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7153275"/>
          <a:ext cx="2857500" cy="1905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2857500</xdr:colOff>
      <xdr:row>34</xdr:row>
      <xdr:rowOff>0</xdr:rowOff>
    </xdr:to>
    <xdr:pic>
      <xdr:nvPicPr>
        <xdr:cNvPr id="2" name="Picture 1">
          <a:extLst>
            <a:ext uri="{FF2B5EF4-FFF2-40B4-BE49-F238E27FC236}">
              <a16:creationId xmlns:a16="http://schemas.microsoft.com/office/drawing/2014/main" id="{00000000-0008-0000-1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162800"/>
          <a:ext cx="2857500" cy="1905000"/>
        </a:xfrm>
        <a:prstGeom prst="rect">
          <a:avLst/>
        </a:prstGeom>
        <a:ln>
          <a:solidFill>
            <a:schemeClr val="tx1"/>
          </a:solidFill>
        </a:ln>
      </xdr:spPr>
    </xdr:pic>
    <xdr:clientData/>
  </xdr:twoCellAnchor>
  <xdr:twoCellAnchor editAs="oneCell">
    <xdr:from>
      <xdr:col>2</xdr:col>
      <xdr:colOff>0</xdr:colOff>
      <xdr:row>24</xdr:row>
      <xdr:rowOff>0</xdr:rowOff>
    </xdr:from>
    <xdr:to>
      <xdr:col>4</xdr:col>
      <xdr:colOff>95250</xdr:colOff>
      <xdr:row>34</xdr:row>
      <xdr:rowOff>0</xdr:rowOff>
    </xdr:to>
    <xdr:pic>
      <xdr:nvPicPr>
        <xdr:cNvPr id="3" name="Picture 2">
          <a:extLst>
            <a:ext uri="{FF2B5EF4-FFF2-40B4-BE49-F238E27FC236}">
              <a16:creationId xmlns:a16="http://schemas.microsoft.com/office/drawing/2014/main" id="{00000000-0008-0000-1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7162800"/>
          <a:ext cx="2857500" cy="1905000"/>
        </a:xfrm>
        <a:prstGeom prst="rect">
          <a:avLst/>
        </a:prstGeom>
        <a:ln>
          <a:solidFill>
            <a:schemeClr val="tx1"/>
          </a:solid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1</xdr:col>
      <xdr:colOff>2857500</xdr:colOff>
      <xdr:row>107</xdr:row>
      <xdr:rowOff>0</xdr:rowOff>
    </xdr:to>
    <xdr:pic>
      <xdr:nvPicPr>
        <xdr:cNvPr id="2" name="Picture 1">
          <a:extLst>
            <a:ext uri="{FF2B5EF4-FFF2-40B4-BE49-F238E27FC236}">
              <a16:creationId xmlns:a16="http://schemas.microsoft.com/office/drawing/2014/main" id="{00000000-0008-0000-1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8765500"/>
          <a:ext cx="2857500" cy="1905000"/>
        </a:xfrm>
        <a:prstGeom prst="rect">
          <a:avLst/>
        </a:prstGeom>
        <a:ln>
          <a:solidFill>
            <a:schemeClr val="tx1"/>
          </a:solidFill>
        </a:ln>
      </xdr:spPr>
    </xdr:pic>
    <xdr:clientData/>
  </xdr:twoCellAnchor>
  <xdr:twoCellAnchor editAs="oneCell">
    <xdr:from>
      <xdr:col>2</xdr:col>
      <xdr:colOff>0</xdr:colOff>
      <xdr:row>97</xdr:row>
      <xdr:rowOff>0</xdr:rowOff>
    </xdr:from>
    <xdr:to>
      <xdr:col>3</xdr:col>
      <xdr:colOff>1609725</xdr:colOff>
      <xdr:row>107</xdr:row>
      <xdr:rowOff>0</xdr:rowOff>
    </xdr:to>
    <xdr:pic>
      <xdr:nvPicPr>
        <xdr:cNvPr id="3" name="Picture 2">
          <a:extLst>
            <a:ext uri="{FF2B5EF4-FFF2-40B4-BE49-F238E27FC236}">
              <a16:creationId xmlns:a16="http://schemas.microsoft.com/office/drawing/2014/main" id="{00000000-0008-0000-1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8765500"/>
          <a:ext cx="2857500" cy="1905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2857500</xdr:colOff>
      <xdr:row>59</xdr:row>
      <xdr:rowOff>0</xdr:rowOff>
    </xdr:to>
    <xdr:pic>
      <xdr:nvPicPr>
        <xdr:cNvPr id="2" name="Picture 1">
          <a:extLst>
            <a:ext uri="{FF2B5EF4-FFF2-40B4-BE49-F238E27FC236}">
              <a16:creationId xmlns:a16="http://schemas.microsoft.com/office/drawing/2014/main" id="{00000000-0008-0000-1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820400"/>
          <a:ext cx="2857500" cy="1905000"/>
        </a:xfrm>
        <a:prstGeom prst="rect">
          <a:avLst/>
        </a:prstGeom>
        <a:ln>
          <a:solidFill>
            <a:schemeClr val="tx1"/>
          </a:solidFill>
        </a:ln>
      </xdr:spPr>
    </xdr:pic>
    <xdr:clientData/>
  </xdr:twoCellAnchor>
  <xdr:twoCellAnchor editAs="oneCell">
    <xdr:from>
      <xdr:col>2</xdr:col>
      <xdr:colOff>0</xdr:colOff>
      <xdr:row>49</xdr:row>
      <xdr:rowOff>0</xdr:rowOff>
    </xdr:from>
    <xdr:to>
      <xdr:col>3</xdr:col>
      <xdr:colOff>1447800</xdr:colOff>
      <xdr:row>59</xdr:row>
      <xdr:rowOff>0</xdr:rowOff>
    </xdr:to>
    <xdr:pic>
      <xdr:nvPicPr>
        <xdr:cNvPr id="3" name="Picture 2">
          <a:extLst>
            <a:ext uri="{FF2B5EF4-FFF2-40B4-BE49-F238E27FC236}">
              <a16:creationId xmlns:a16="http://schemas.microsoft.com/office/drawing/2014/main" id="{00000000-0008-0000-1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72625" y="10820400"/>
          <a:ext cx="2857500" cy="1905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1</xdr:col>
      <xdr:colOff>2857500</xdr:colOff>
      <xdr:row>135</xdr:row>
      <xdr:rowOff>0</xdr:rowOff>
    </xdr:to>
    <xdr:pic>
      <xdr:nvPicPr>
        <xdr:cNvPr id="2" name="Picture 1">
          <a:extLst>
            <a:ext uri="{FF2B5EF4-FFF2-40B4-BE49-F238E27FC236}">
              <a16:creationId xmlns:a16="http://schemas.microsoft.com/office/drawing/2014/main" id="{00000000-0008-0000-1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6204525"/>
          <a:ext cx="2857500" cy="1905000"/>
        </a:xfrm>
        <a:prstGeom prst="rect">
          <a:avLst/>
        </a:prstGeom>
        <a:ln>
          <a:solidFill>
            <a:schemeClr val="tx1"/>
          </a:solidFill>
        </a:ln>
      </xdr:spPr>
    </xdr:pic>
    <xdr:clientData/>
  </xdr:twoCellAnchor>
  <xdr:twoCellAnchor editAs="oneCell">
    <xdr:from>
      <xdr:col>2</xdr:col>
      <xdr:colOff>0</xdr:colOff>
      <xdr:row>125</xdr:row>
      <xdr:rowOff>0</xdr:rowOff>
    </xdr:from>
    <xdr:to>
      <xdr:col>3</xdr:col>
      <xdr:colOff>1609725</xdr:colOff>
      <xdr:row>135</xdr:row>
      <xdr:rowOff>0</xdr:rowOff>
    </xdr:to>
    <xdr:pic>
      <xdr:nvPicPr>
        <xdr:cNvPr id="3" name="Picture 2">
          <a:extLst>
            <a:ext uri="{FF2B5EF4-FFF2-40B4-BE49-F238E27FC236}">
              <a16:creationId xmlns:a16="http://schemas.microsoft.com/office/drawing/2014/main" id="{00000000-0008-0000-1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953500" y="36204525"/>
          <a:ext cx="2857500" cy="1905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1</xdr:col>
      <xdr:colOff>2857500</xdr:colOff>
      <xdr:row>93</xdr:row>
      <xdr:rowOff>0</xdr:rowOff>
    </xdr:to>
    <xdr:pic>
      <xdr:nvPicPr>
        <xdr:cNvPr id="2" name="Picture 1">
          <a:extLst>
            <a:ext uri="{FF2B5EF4-FFF2-40B4-BE49-F238E27FC236}">
              <a16:creationId xmlns:a16="http://schemas.microsoft.com/office/drawing/2014/main" id="{00000000-0008-0000-1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9459575"/>
          <a:ext cx="2857500" cy="1905000"/>
        </a:xfrm>
        <a:prstGeom prst="rect">
          <a:avLst/>
        </a:prstGeom>
        <a:ln>
          <a:solidFill>
            <a:schemeClr val="tx1"/>
          </a:solidFill>
        </a:ln>
      </xdr:spPr>
    </xdr:pic>
    <xdr:clientData/>
  </xdr:twoCellAnchor>
  <xdr:twoCellAnchor editAs="oneCell">
    <xdr:from>
      <xdr:col>2</xdr:col>
      <xdr:colOff>0</xdr:colOff>
      <xdr:row>83</xdr:row>
      <xdr:rowOff>0</xdr:rowOff>
    </xdr:from>
    <xdr:to>
      <xdr:col>3</xdr:col>
      <xdr:colOff>1609725</xdr:colOff>
      <xdr:row>93</xdr:row>
      <xdr:rowOff>0</xdr:rowOff>
    </xdr:to>
    <xdr:pic>
      <xdr:nvPicPr>
        <xdr:cNvPr id="3" name="Picture 2">
          <a:extLst>
            <a:ext uri="{FF2B5EF4-FFF2-40B4-BE49-F238E27FC236}">
              <a16:creationId xmlns:a16="http://schemas.microsoft.com/office/drawing/2014/main" id="{00000000-0008-0000-1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19459575"/>
          <a:ext cx="2857500" cy="1905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2857500</xdr:colOff>
      <xdr:row>120</xdr:row>
      <xdr:rowOff>0</xdr:rowOff>
    </xdr:to>
    <xdr:pic>
      <xdr:nvPicPr>
        <xdr:cNvPr id="2" name="Picture 1">
          <a:extLst>
            <a:ext uri="{FF2B5EF4-FFF2-40B4-BE49-F238E27FC236}">
              <a16:creationId xmlns:a16="http://schemas.microsoft.com/office/drawing/2014/main" id="{00000000-0008-0000-2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5004375"/>
          <a:ext cx="2857500" cy="1905000"/>
        </a:xfrm>
        <a:prstGeom prst="rect">
          <a:avLst/>
        </a:prstGeom>
        <a:ln>
          <a:solidFill>
            <a:schemeClr val="tx1"/>
          </a:solidFill>
        </a:ln>
      </xdr:spPr>
    </xdr:pic>
    <xdr:clientData/>
  </xdr:twoCellAnchor>
  <xdr:twoCellAnchor editAs="oneCell">
    <xdr:from>
      <xdr:col>2</xdr:col>
      <xdr:colOff>0</xdr:colOff>
      <xdr:row>110</xdr:row>
      <xdr:rowOff>0</xdr:rowOff>
    </xdr:from>
    <xdr:to>
      <xdr:col>3</xdr:col>
      <xdr:colOff>1609725</xdr:colOff>
      <xdr:row>120</xdr:row>
      <xdr:rowOff>0</xdr:rowOff>
    </xdr:to>
    <xdr:pic>
      <xdr:nvPicPr>
        <xdr:cNvPr id="3" name="Picture 2">
          <a:extLst>
            <a:ext uri="{FF2B5EF4-FFF2-40B4-BE49-F238E27FC236}">
              <a16:creationId xmlns:a16="http://schemas.microsoft.com/office/drawing/2014/main" id="{00000000-0008-0000-2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5004375"/>
          <a:ext cx="2857500" cy="1905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66675</xdr:colOff>
      <xdr:row>110</xdr:row>
      <xdr:rowOff>0</xdr:rowOff>
    </xdr:from>
    <xdr:to>
      <xdr:col>1</xdr:col>
      <xdr:colOff>2924175</xdr:colOff>
      <xdr:row>120</xdr:row>
      <xdr:rowOff>0</xdr:rowOff>
    </xdr:to>
    <xdr:pic>
      <xdr:nvPicPr>
        <xdr:cNvPr id="2" name="Picture 1">
          <a:extLst>
            <a:ext uri="{FF2B5EF4-FFF2-40B4-BE49-F238E27FC236}">
              <a16:creationId xmlns:a16="http://schemas.microsoft.com/office/drawing/2014/main" id="{00000000-0008-0000-2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85750" y="33261300"/>
          <a:ext cx="2857500" cy="1905000"/>
        </a:xfrm>
        <a:prstGeom prst="rect">
          <a:avLst/>
        </a:prstGeom>
      </xdr:spPr>
    </xdr:pic>
    <xdr:clientData/>
  </xdr:twoCellAnchor>
  <xdr:twoCellAnchor editAs="oneCell">
    <xdr:from>
      <xdr:col>2</xdr:col>
      <xdr:colOff>0</xdr:colOff>
      <xdr:row>110</xdr:row>
      <xdr:rowOff>0</xdr:rowOff>
    </xdr:from>
    <xdr:to>
      <xdr:col>3</xdr:col>
      <xdr:colOff>895350</xdr:colOff>
      <xdr:row>120</xdr:row>
      <xdr:rowOff>0</xdr:rowOff>
    </xdr:to>
    <xdr:pic>
      <xdr:nvPicPr>
        <xdr:cNvPr id="3" name="Picture 2">
          <a:extLst>
            <a:ext uri="{FF2B5EF4-FFF2-40B4-BE49-F238E27FC236}">
              <a16:creationId xmlns:a16="http://schemas.microsoft.com/office/drawing/2014/main" id="{00000000-0008-0000-2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125075" y="33118425"/>
          <a:ext cx="2857500" cy="1905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1</xdr:col>
      <xdr:colOff>2857500</xdr:colOff>
      <xdr:row>46</xdr:row>
      <xdr:rowOff>0</xdr:rowOff>
    </xdr:to>
    <xdr:pic>
      <xdr:nvPicPr>
        <xdr:cNvPr id="2" name="Picture 1">
          <a:extLst>
            <a:ext uri="{FF2B5EF4-FFF2-40B4-BE49-F238E27FC236}">
              <a16:creationId xmlns:a16="http://schemas.microsoft.com/office/drawing/2014/main" id="{00000000-0008-0000-2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1077575"/>
          <a:ext cx="2857500" cy="1905000"/>
        </a:xfrm>
        <a:prstGeom prst="rect">
          <a:avLst/>
        </a:prstGeom>
        <a:ln>
          <a:solidFill>
            <a:schemeClr val="tx1"/>
          </a:solidFill>
        </a:ln>
      </xdr:spPr>
    </xdr:pic>
    <xdr:clientData/>
  </xdr:twoCellAnchor>
  <xdr:twoCellAnchor editAs="oneCell">
    <xdr:from>
      <xdr:col>2</xdr:col>
      <xdr:colOff>0</xdr:colOff>
      <xdr:row>36</xdr:row>
      <xdr:rowOff>0</xdr:rowOff>
    </xdr:from>
    <xdr:to>
      <xdr:col>4</xdr:col>
      <xdr:colOff>95250</xdr:colOff>
      <xdr:row>46</xdr:row>
      <xdr:rowOff>0</xdr:rowOff>
    </xdr:to>
    <xdr:pic>
      <xdr:nvPicPr>
        <xdr:cNvPr id="4" name="Picture 3">
          <a:extLst>
            <a:ext uri="{FF2B5EF4-FFF2-40B4-BE49-F238E27FC236}">
              <a16:creationId xmlns:a16="http://schemas.microsoft.com/office/drawing/2014/main" id="{00000000-0008-0000-22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11077575"/>
          <a:ext cx="2857500" cy="19050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1</xdr:col>
      <xdr:colOff>2857500</xdr:colOff>
      <xdr:row>109</xdr:row>
      <xdr:rowOff>0</xdr:rowOff>
    </xdr:to>
    <xdr:pic>
      <xdr:nvPicPr>
        <xdr:cNvPr id="2" name="Picture 1">
          <a:extLst>
            <a:ext uri="{FF2B5EF4-FFF2-40B4-BE49-F238E27FC236}">
              <a16:creationId xmlns:a16="http://schemas.microsoft.com/office/drawing/2014/main" id="{00000000-0008-0000-2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9622750"/>
          <a:ext cx="2857500" cy="1905000"/>
        </a:xfrm>
        <a:prstGeom prst="rect">
          <a:avLst/>
        </a:prstGeom>
        <a:ln>
          <a:solidFill>
            <a:schemeClr val="tx1"/>
          </a:solidFill>
        </a:ln>
      </xdr:spPr>
    </xdr:pic>
    <xdr:clientData/>
  </xdr:twoCellAnchor>
  <xdr:twoCellAnchor editAs="oneCell">
    <xdr:from>
      <xdr:col>2</xdr:col>
      <xdr:colOff>0</xdr:colOff>
      <xdr:row>99</xdr:row>
      <xdr:rowOff>0</xdr:rowOff>
    </xdr:from>
    <xdr:to>
      <xdr:col>3</xdr:col>
      <xdr:colOff>1609725</xdr:colOff>
      <xdr:row>109</xdr:row>
      <xdr:rowOff>0</xdr:rowOff>
    </xdr:to>
    <xdr:pic>
      <xdr:nvPicPr>
        <xdr:cNvPr id="3" name="Picture 2">
          <a:extLst>
            <a:ext uri="{FF2B5EF4-FFF2-40B4-BE49-F238E27FC236}">
              <a16:creationId xmlns:a16="http://schemas.microsoft.com/office/drawing/2014/main" id="{00000000-0008-0000-2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9622750"/>
          <a:ext cx="2857500" cy="19050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xdr:col>
      <xdr:colOff>2857500</xdr:colOff>
      <xdr:row>96</xdr:row>
      <xdr:rowOff>0</xdr:rowOff>
    </xdr:to>
    <xdr:pic>
      <xdr:nvPicPr>
        <xdr:cNvPr id="2" name="Picture 1">
          <a:extLst>
            <a:ext uri="{FF2B5EF4-FFF2-40B4-BE49-F238E27FC236}">
              <a16:creationId xmlns:a16="http://schemas.microsoft.com/office/drawing/2014/main" id="{00000000-0008-0000-2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7593925"/>
          <a:ext cx="2857500" cy="1905000"/>
        </a:xfrm>
        <a:prstGeom prst="rect">
          <a:avLst/>
        </a:prstGeom>
        <a:ln>
          <a:solidFill>
            <a:schemeClr val="tx1"/>
          </a:solidFill>
        </a:ln>
      </xdr:spPr>
    </xdr:pic>
    <xdr:clientData/>
  </xdr:twoCellAnchor>
  <xdr:twoCellAnchor editAs="oneCell">
    <xdr:from>
      <xdr:col>2</xdr:col>
      <xdr:colOff>0</xdr:colOff>
      <xdr:row>86</xdr:row>
      <xdr:rowOff>0</xdr:rowOff>
    </xdr:from>
    <xdr:to>
      <xdr:col>3</xdr:col>
      <xdr:colOff>1609725</xdr:colOff>
      <xdr:row>96</xdr:row>
      <xdr:rowOff>0</xdr:rowOff>
    </xdr:to>
    <xdr:pic>
      <xdr:nvPicPr>
        <xdr:cNvPr id="3" name="Picture 2">
          <a:extLst>
            <a:ext uri="{FF2B5EF4-FFF2-40B4-BE49-F238E27FC236}">
              <a16:creationId xmlns:a16="http://schemas.microsoft.com/office/drawing/2014/main" id="{00000000-0008-0000-2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7593925"/>
          <a:ext cx="2857500" cy="19050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1</xdr:col>
      <xdr:colOff>2857500</xdr:colOff>
      <xdr:row>95</xdr:row>
      <xdr:rowOff>0</xdr:rowOff>
    </xdr:to>
    <xdr:pic>
      <xdr:nvPicPr>
        <xdr:cNvPr id="2" name="Picture 1">
          <a:extLst>
            <a:ext uri="{FF2B5EF4-FFF2-40B4-BE49-F238E27FC236}">
              <a16:creationId xmlns:a16="http://schemas.microsoft.com/office/drawing/2014/main" id="{00000000-0008-0000-25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2421850"/>
          <a:ext cx="2857500" cy="1905000"/>
        </a:xfrm>
        <a:prstGeom prst="rect">
          <a:avLst/>
        </a:prstGeom>
        <a:ln>
          <a:solidFill>
            <a:schemeClr val="tx1"/>
          </a:solidFill>
        </a:ln>
      </xdr:spPr>
    </xdr:pic>
    <xdr:clientData/>
  </xdr:twoCellAnchor>
  <xdr:twoCellAnchor editAs="oneCell">
    <xdr:from>
      <xdr:col>2</xdr:col>
      <xdr:colOff>0</xdr:colOff>
      <xdr:row>85</xdr:row>
      <xdr:rowOff>0</xdr:rowOff>
    </xdr:from>
    <xdr:to>
      <xdr:col>3</xdr:col>
      <xdr:colOff>876300</xdr:colOff>
      <xdr:row>95</xdr:row>
      <xdr:rowOff>0</xdr:rowOff>
    </xdr:to>
    <xdr:pic>
      <xdr:nvPicPr>
        <xdr:cNvPr id="3" name="Picture 2">
          <a:extLst>
            <a:ext uri="{FF2B5EF4-FFF2-40B4-BE49-F238E27FC236}">
              <a16:creationId xmlns:a16="http://schemas.microsoft.com/office/drawing/2014/main" id="{00000000-0008-0000-2500-000003000000}"/>
            </a:ext>
          </a:extLst>
        </xdr:cNvPr>
        <xdr:cNvPicPr>
          <a:picLocks/>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l="1" r="1650"/>
        <a:stretch/>
      </xdr:blipFill>
      <xdr:spPr>
        <a:xfrm>
          <a:off x="4829175" y="14487525"/>
          <a:ext cx="2838450" cy="1905000"/>
        </a:xfrm>
        <a:prstGeom prst="rect">
          <a:avLst/>
        </a:prstGeom>
        <a:ln>
          <a:solidFill>
            <a:schemeClr val="tx1"/>
          </a:solid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xdr:col>
      <xdr:colOff>2857500</xdr:colOff>
      <xdr:row>96</xdr:row>
      <xdr:rowOff>0</xdr:rowOff>
    </xdr:to>
    <xdr:pic>
      <xdr:nvPicPr>
        <xdr:cNvPr id="2" name="Picture 1">
          <a:extLst>
            <a:ext uri="{FF2B5EF4-FFF2-40B4-BE49-F238E27FC236}">
              <a16:creationId xmlns:a16="http://schemas.microsoft.com/office/drawing/2014/main" id="{00000000-0008-0000-2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6250900"/>
          <a:ext cx="2857500" cy="1905000"/>
        </a:xfrm>
        <a:prstGeom prst="rect">
          <a:avLst/>
        </a:prstGeom>
        <a:ln>
          <a:solidFill>
            <a:schemeClr val="tx1"/>
          </a:solidFill>
        </a:ln>
      </xdr:spPr>
    </xdr:pic>
    <xdr:clientData/>
  </xdr:twoCellAnchor>
  <xdr:twoCellAnchor editAs="oneCell">
    <xdr:from>
      <xdr:col>2</xdr:col>
      <xdr:colOff>0</xdr:colOff>
      <xdr:row>86</xdr:row>
      <xdr:rowOff>0</xdr:rowOff>
    </xdr:from>
    <xdr:to>
      <xdr:col>3</xdr:col>
      <xdr:colOff>1609725</xdr:colOff>
      <xdr:row>96</xdr:row>
      <xdr:rowOff>0</xdr:rowOff>
    </xdr:to>
    <xdr:pic>
      <xdr:nvPicPr>
        <xdr:cNvPr id="3" name="Picture 2">
          <a:extLst>
            <a:ext uri="{FF2B5EF4-FFF2-40B4-BE49-F238E27FC236}">
              <a16:creationId xmlns:a16="http://schemas.microsoft.com/office/drawing/2014/main" id="{00000000-0008-0000-2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6250900"/>
          <a:ext cx="2857500" cy="19050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1</xdr:col>
      <xdr:colOff>2857500</xdr:colOff>
      <xdr:row>146</xdr:row>
      <xdr:rowOff>0</xdr:rowOff>
    </xdr:to>
    <xdr:pic>
      <xdr:nvPicPr>
        <xdr:cNvPr id="2" name="Picture 1">
          <a:extLst>
            <a:ext uri="{FF2B5EF4-FFF2-40B4-BE49-F238E27FC236}">
              <a16:creationId xmlns:a16="http://schemas.microsoft.com/office/drawing/2014/main" id="{00000000-0008-0000-2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4918650"/>
          <a:ext cx="2857500" cy="1905000"/>
        </a:xfrm>
        <a:prstGeom prst="rect">
          <a:avLst/>
        </a:prstGeom>
        <a:ln>
          <a:solidFill>
            <a:schemeClr val="tx1"/>
          </a:solidFill>
        </a:ln>
      </xdr:spPr>
    </xdr:pic>
    <xdr:clientData/>
  </xdr:twoCellAnchor>
  <xdr:twoCellAnchor editAs="oneCell">
    <xdr:from>
      <xdr:col>2</xdr:col>
      <xdr:colOff>0</xdr:colOff>
      <xdr:row>136</xdr:row>
      <xdr:rowOff>0</xdr:rowOff>
    </xdr:from>
    <xdr:to>
      <xdr:col>3</xdr:col>
      <xdr:colOff>1609725</xdr:colOff>
      <xdr:row>146</xdr:row>
      <xdr:rowOff>0</xdr:rowOff>
    </xdr:to>
    <xdr:pic>
      <xdr:nvPicPr>
        <xdr:cNvPr id="3" name="Picture 2">
          <a:extLst>
            <a:ext uri="{FF2B5EF4-FFF2-40B4-BE49-F238E27FC236}">
              <a16:creationId xmlns:a16="http://schemas.microsoft.com/office/drawing/2014/main" id="{00000000-0008-0000-2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4918650"/>
          <a:ext cx="2857500" cy="1905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2857500</xdr:colOff>
      <xdr:row>29</xdr:row>
      <xdr:rowOff>0</xdr:rowOff>
    </xdr:to>
    <xdr:pic>
      <xdr:nvPicPr>
        <xdr:cNvPr id="2" name="Picture 1">
          <a:extLst>
            <a:ext uri="{FF2B5EF4-FFF2-40B4-BE49-F238E27FC236}">
              <a16:creationId xmlns:a16="http://schemas.microsoft.com/office/drawing/2014/main" id="{00000000-0008-0000-28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8120300"/>
          <a:ext cx="2857500" cy="1905000"/>
        </a:xfrm>
        <a:prstGeom prst="rect">
          <a:avLst/>
        </a:prstGeom>
        <a:ln>
          <a:solidFill>
            <a:schemeClr val="tx1"/>
          </a:solidFill>
        </a:ln>
      </xdr:spPr>
    </xdr:pic>
    <xdr:clientData/>
  </xdr:twoCellAnchor>
  <xdr:twoCellAnchor editAs="oneCell">
    <xdr:from>
      <xdr:col>2</xdr:col>
      <xdr:colOff>0</xdr:colOff>
      <xdr:row>19</xdr:row>
      <xdr:rowOff>0</xdr:rowOff>
    </xdr:from>
    <xdr:to>
      <xdr:col>3</xdr:col>
      <xdr:colOff>971550</xdr:colOff>
      <xdr:row>29</xdr:row>
      <xdr:rowOff>0</xdr:rowOff>
    </xdr:to>
    <xdr:pic>
      <xdr:nvPicPr>
        <xdr:cNvPr id="3" name="Picture 2">
          <a:extLst>
            <a:ext uri="{FF2B5EF4-FFF2-40B4-BE49-F238E27FC236}">
              <a16:creationId xmlns:a16="http://schemas.microsoft.com/office/drawing/2014/main" id="{00000000-0008-0000-28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048875" y="48120300"/>
          <a:ext cx="2857500" cy="19050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xdr:col>
      <xdr:colOff>2857500</xdr:colOff>
      <xdr:row>92</xdr:row>
      <xdr:rowOff>0</xdr:rowOff>
    </xdr:to>
    <xdr:pic>
      <xdr:nvPicPr>
        <xdr:cNvPr id="2" name="Picture 1">
          <a:extLst>
            <a:ext uri="{FF2B5EF4-FFF2-40B4-BE49-F238E27FC236}">
              <a16:creationId xmlns:a16="http://schemas.microsoft.com/office/drawing/2014/main" id="{00000000-0008-0000-2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6336625"/>
          <a:ext cx="2857500" cy="1905000"/>
        </a:xfrm>
        <a:prstGeom prst="rect">
          <a:avLst/>
        </a:prstGeom>
        <a:ln>
          <a:solidFill>
            <a:schemeClr val="tx1"/>
          </a:solidFill>
        </a:ln>
      </xdr:spPr>
    </xdr:pic>
    <xdr:clientData/>
  </xdr:twoCellAnchor>
  <xdr:twoCellAnchor editAs="oneCell">
    <xdr:from>
      <xdr:col>2</xdr:col>
      <xdr:colOff>0</xdr:colOff>
      <xdr:row>82</xdr:row>
      <xdr:rowOff>0</xdr:rowOff>
    </xdr:from>
    <xdr:to>
      <xdr:col>3</xdr:col>
      <xdr:colOff>1447800</xdr:colOff>
      <xdr:row>92</xdr:row>
      <xdr:rowOff>0</xdr:rowOff>
    </xdr:to>
    <xdr:pic>
      <xdr:nvPicPr>
        <xdr:cNvPr id="3" name="Picture 2">
          <a:extLst>
            <a:ext uri="{FF2B5EF4-FFF2-40B4-BE49-F238E27FC236}">
              <a16:creationId xmlns:a16="http://schemas.microsoft.com/office/drawing/2014/main" id="{00000000-0008-0000-2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72625" y="26336625"/>
          <a:ext cx="2857500" cy="19050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1</xdr:col>
      <xdr:colOff>2857500</xdr:colOff>
      <xdr:row>70</xdr:row>
      <xdr:rowOff>0</xdr:rowOff>
    </xdr:to>
    <xdr:pic>
      <xdr:nvPicPr>
        <xdr:cNvPr id="2" name="Picture 1">
          <a:extLst>
            <a:ext uri="{FF2B5EF4-FFF2-40B4-BE49-F238E27FC236}">
              <a16:creationId xmlns:a16="http://schemas.microsoft.com/office/drawing/2014/main" id="{00000000-0008-0000-2A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2745700"/>
          <a:ext cx="2857500" cy="1905000"/>
        </a:xfrm>
        <a:prstGeom prst="rect">
          <a:avLst/>
        </a:prstGeom>
        <a:ln>
          <a:solidFill>
            <a:schemeClr val="tx1"/>
          </a:solidFill>
        </a:ln>
      </xdr:spPr>
    </xdr:pic>
    <xdr:clientData/>
  </xdr:twoCellAnchor>
  <xdr:twoCellAnchor editAs="oneCell">
    <xdr:from>
      <xdr:col>2</xdr:col>
      <xdr:colOff>0</xdr:colOff>
      <xdr:row>60</xdr:row>
      <xdr:rowOff>0</xdr:rowOff>
    </xdr:from>
    <xdr:to>
      <xdr:col>3</xdr:col>
      <xdr:colOff>1609725</xdr:colOff>
      <xdr:row>70</xdr:row>
      <xdr:rowOff>0</xdr:rowOff>
    </xdr:to>
    <xdr:pic>
      <xdr:nvPicPr>
        <xdr:cNvPr id="3" name="Picture 2">
          <a:extLst>
            <a:ext uri="{FF2B5EF4-FFF2-40B4-BE49-F238E27FC236}">
              <a16:creationId xmlns:a16="http://schemas.microsoft.com/office/drawing/2014/main" id="{00000000-0008-0000-2A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2745700"/>
          <a:ext cx="2857500" cy="19050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2857500</xdr:colOff>
      <xdr:row>78</xdr:row>
      <xdr:rowOff>0</xdr:rowOff>
    </xdr:to>
    <xdr:pic>
      <xdr:nvPicPr>
        <xdr:cNvPr id="2" name="Picture 1">
          <a:extLst>
            <a:ext uri="{FF2B5EF4-FFF2-40B4-BE49-F238E27FC236}">
              <a16:creationId xmlns:a16="http://schemas.microsoft.com/office/drawing/2014/main" id="{00000000-0008-0000-2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4439900"/>
          <a:ext cx="2857500" cy="1905000"/>
        </a:xfrm>
        <a:prstGeom prst="rect">
          <a:avLst/>
        </a:prstGeom>
      </xdr:spPr>
    </xdr:pic>
    <xdr:clientData/>
  </xdr:twoCellAnchor>
  <xdr:twoCellAnchor editAs="oneCell">
    <xdr:from>
      <xdr:col>2</xdr:col>
      <xdr:colOff>0</xdr:colOff>
      <xdr:row>68</xdr:row>
      <xdr:rowOff>0</xdr:rowOff>
    </xdr:from>
    <xdr:to>
      <xdr:col>4</xdr:col>
      <xdr:colOff>95250</xdr:colOff>
      <xdr:row>78</xdr:row>
      <xdr:rowOff>0</xdr:rowOff>
    </xdr:to>
    <xdr:pic>
      <xdr:nvPicPr>
        <xdr:cNvPr id="3" name="Picture 2">
          <a:extLst>
            <a:ext uri="{FF2B5EF4-FFF2-40B4-BE49-F238E27FC236}">
              <a16:creationId xmlns:a16="http://schemas.microsoft.com/office/drawing/2014/main" id="{00000000-0008-0000-2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14439900"/>
          <a:ext cx="2857500" cy="19050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2857500</xdr:colOff>
      <xdr:row>71</xdr:row>
      <xdr:rowOff>0</xdr:rowOff>
    </xdr:to>
    <xdr:pic>
      <xdr:nvPicPr>
        <xdr:cNvPr id="2" name="Picture 1">
          <a:extLst>
            <a:ext uri="{FF2B5EF4-FFF2-40B4-BE49-F238E27FC236}">
              <a16:creationId xmlns:a16="http://schemas.microsoft.com/office/drawing/2014/main" id="{00000000-0008-0000-2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3288625"/>
          <a:ext cx="2857500" cy="1905000"/>
        </a:xfrm>
        <a:prstGeom prst="rect">
          <a:avLst/>
        </a:prstGeom>
        <a:ln>
          <a:solidFill>
            <a:schemeClr val="tx1"/>
          </a:solidFill>
        </a:ln>
      </xdr:spPr>
    </xdr:pic>
    <xdr:clientData/>
  </xdr:twoCellAnchor>
  <xdr:twoCellAnchor editAs="oneCell">
    <xdr:from>
      <xdr:col>2</xdr:col>
      <xdr:colOff>0</xdr:colOff>
      <xdr:row>61</xdr:row>
      <xdr:rowOff>0</xdr:rowOff>
    </xdr:from>
    <xdr:to>
      <xdr:col>3</xdr:col>
      <xdr:colOff>1609725</xdr:colOff>
      <xdr:row>71</xdr:row>
      <xdr:rowOff>0</xdr:rowOff>
    </xdr:to>
    <xdr:pic>
      <xdr:nvPicPr>
        <xdr:cNvPr id="3" name="Picture 2">
          <a:extLst>
            <a:ext uri="{FF2B5EF4-FFF2-40B4-BE49-F238E27FC236}">
              <a16:creationId xmlns:a16="http://schemas.microsoft.com/office/drawing/2014/main" id="{00000000-0008-0000-2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363075" y="23288625"/>
          <a:ext cx="2857500" cy="19050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2857500</xdr:colOff>
      <xdr:row>29</xdr:row>
      <xdr:rowOff>0</xdr:rowOff>
    </xdr:to>
    <xdr:pic>
      <xdr:nvPicPr>
        <xdr:cNvPr id="2" name="Picture 1">
          <a:extLst>
            <a:ext uri="{FF2B5EF4-FFF2-40B4-BE49-F238E27FC236}">
              <a16:creationId xmlns:a16="http://schemas.microsoft.com/office/drawing/2014/main" id="{00000000-0008-0000-2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a:ln>
          <a:solidFill>
            <a:schemeClr val="tx1"/>
          </a:solidFill>
        </a:ln>
      </xdr:spPr>
    </xdr:pic>
    <xdr:clientData/>
  </xdr:twoCellAnchor>
  <xdr:twoCellAnchor editAs="oneCell">
    <xdr:from>
      <xdr:col>2</xdr:col>
      <xdr:colOff>0</xdr:colOff>
      <xdr:row>19</xdr:row>
      <xdr:rowOff>0</xdr:rowOff>
    </xdr:from>
    <xdr:to>
      <xdr:col>4</xdr:col>
      <xdr:colOff>95250</xdr:colOff>
      <xdr:row>29</xdr:row>
      <xdr:rowOff>0</xdr:rowOff>
    </xdr:to>
    <xdr:pic>
      <xdr:nvPicPr>
        <xdr:cNvPr id="3" name="Picture 2">
          <a:extLst>
            <a:ext uri="{FF2B5EF4-FFF2-40B4-BE49-F238E27FC236}">
              <a16:creationId xmlns:a16="http://schemas.microsoft.com/office/drawing/2014/main" id="{00000000-0008-0000-2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8220075"/>
          <a:ext cx="2857500" cy="19050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2857500</xdr:colOff>
      <xdr:row>29</xdr:row>
      <xdr:rowOff>0</xdr:rowOff>
    </xdr:to>
    <xdr:pic>
      <xdr:nvPicPr>
        <xdr:cNvPr id="2" name="Picture 1">
          <a:extLst>
            <a:ext uri="{FF2B5EF4-FFF2-40B4-BE49-F238E27FC236}">
              <a16:creationId xmlns:a16="http://schemas.microsoft.com/office/drawing/2014/main" id="{00000000-0008-0000-2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696075"/>
          <a:ext cx="2857500" cy="1905000"/>
        </a:xfrm>
        <a:prstGeom prst="rect">
          <a:avLst/>
        </a:prstGeom>
        <a:ln>
          <a:solidFill>
            <a:schemeClr val="tx1"/>
          </a:solidFill>
        </a:ln>
      </xdr:spPr>
    </xdr:pic>
    <xdr:clientData/>
  </xdr:twoCellAnchor>
  <xdr:twoCellAnchor editAs="oneCell">
    <xdr:from>
      <xdr:col>2</xdr:col>
      <xdr:colOff>0</xdr:colOff>
      <xdr:row>19</xdr:row>
      <xdr:rowOff>0</xdr:rowOff>
    </xdr:from>
    <xdr:to>
      <xdr:col>3</xdr:col>
      <xdr:colOff>1609725</xdr:colOff>
      <xdr:row>29</xdr:row>
      <xdr:rowOff>0</xdr:rowOff>
    </xdr:to>
    <xdr:pic>
      <xdr:nvPicPr>
        <xdr:cNvPr id="3" name="Picture 2">
          <a:extLst>
            <a:ext uri="{FF2B5EF4-FFF2-40B4-BE49-F238E27FC236}">
              <a16:creationId xmlns:a16="http://schemas.microsoft.com/office/drawing/2014/main" id="{00000000-0008-0000-2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6696075"/>
          <a:ext cx="2857500" cy="19050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xdr:col>
      <xdr:colOff>2857500</xdr:colOff>
      <xdr:row>29</xdr:row>
      <xdr:rowOff>0</xdr:rowOff>
    </xdr:to>
    <xdr:pic>
      <xdr:nvPicPr>
        <xdr:cNvPr id="2" name="Picture 1">
          <a:extLst>
            <a:ext uri="{FF2B5EF4-FFF2-40B4-BE49-F238E27FC236}">
              <a16:creationId xmlns:a16="http://schemas.microsoft.com/office/drawing/2014/main" id="{00000000-0008-0000-2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048500"/>
          <a:ext cx="2857500" cy="1905000"/>
        </a:xfrm>
        <a:prstGeom prst="rect">
          <a:avLst/>
        </a:prstGeom>
        <a:ln>
          <a:solidFill>
            <a:schemeClr val="tx1"/>
          </a:solidFill>
        </a:ln>
      </xdr:spPr>
    </xdr:pic>
    <xdr:clientData/>
  </xdr:twoCellAnchor>
  <xdr:twoCellAnchor editAs="oneCell">
    <xdr:from>
      <xdr:col>2</xdr:col>
      <xdr:colOff>0</xdr:colOff>
      <xdr:row>19</xdr:row>
      <xdr:rowOff>0</xdr:rowOff>
    </xdr:from>
    <xdr:to>
      <xdr:col>4</xdr:col>
      <xdr:colOff>95250</xdr:colOff>
      <xdr:row>29</xdr:row>
      <xdr:rowOff>0</xdr:rowOff>
    </xdr:to>
    <xdr:pic>
      <xdr:nvPicPr>
        <xdr:cNvPr id="4" name="Picture 3">
          <a:extLst>
            <a:ext uri="{FF2B5EF4-FFF2-40B4-BE49-F238E27FC236}">
              <a16:creationId xmlns:a16="http://schemas.microsoft.com/office/drawing/2014/main" id="{00000000-0008-0000-2F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7048500"/>
          <a:ext cx="2857500" cy="1905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1</xdr:col>
      <xdr:colOff>2857500</xdr:colOff>
      <xdr:row>93</xdr:row>
      <xdr:rowOff>0</xdr:rowOff>
    </xdr:to>
    <xdr:pic>
      <xdr:nvPicPr>
        <xdr:cNvPr id="2" name="Picture 1">
          <a:extLst>
            <a:ext uri="{FF2B5EF4-FFF2-40B4-BE49-F238E27FC236}">
              <a16:creationId xmlns:a16="http://schemas.microsoft.com/office/drawing/2014/main" id="{00000000-0008-0000-3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6441400"/>
          <a:ext cx="2857500" cy="1905000"/>
        </a:xfrm>
        <a:prstGeom prst="rect">
          <a:avLst/>
        </a:prstGeom>
        <a:ln>
          <a:solidFill>
            <a:schemeClr val="tx1"/>
          </a:solidFill>
        </a:ln>
      </xdr:spPr>
    </xdr:pic>
    <xdr:clientData/>
  </xdr:twoCellAnchor>
  <xdr:twoCellAnchor editAs="oneCell">
    <xdr:from>
      <xdr:col>2</xdr:col>
      <xdr:colOff>0</xdr:colOff>
      <xdr:row>83</xdr:row>
      <xdr:rowOff>0</xdr:rowOff>
    </xdr:from>
    <xdr:to>
      <xdr:col>3</xdr:col>
      <xdr:colOff>1609725</xdr:colOff>
      <xdr:row>93</xdr:row>
      <xdr:rowOff>0</xdr:rowOff>
    </xdr:to>
    <xdr:pic>
      <xdr:nvPicPr>
        <xdr:cNvPr id="3" name="Picture 2">
          <a:extLst>
            <a:ext uri="{FF2B5EF4-FFF2-40B4-BE49-F238E27FC236}">
              <a16:creationId xmlns:a16="http://schemas.microsoft.com/office/drawing/2014/main" id="{00000000-0008-0000-3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26441400"/>
          <a:ext cx="2857500" cy="1905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1</xdr:col>
      <xdr:colOff>2857500</xdr:colOff>
      <xdr:row>59</xdr:row>
      <xdr:rowOff>123825</xdr:rowOff>
    </xdr:to>
    <xdr:pic>
      <xdr:nvPicPr>
        <xdr:cNvPr id="2" name="Picture 1">
          <a:extLst>
            <a:ext uri="{FF2B5EF4-FFF2-40B4-BE49-F238E27FC236}">
              <a16:creationId xmlns:a16="http://schemas.microsoft.com/office/drawing/2014/main" id="{00000000-0008-0000-3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571500" y="10229850"/>
          <a:ext cx="2857500" cy="1905000"/>
        </a:xfrm>
        <a:prstGeom prst="rect">
          <a:avLst/>
        </a:prstGeom>
        <a:ln>
          <a:solidFill>
            <a:schemeClr val="tx1"/>
          </a:solidFill>
        </a:ln>
      </xdr:spPr>
    </xdr:pic>
    <xdr:clientData/>
  </xdr:twoCellAnchor>
  <xdr:twoCellAnchor editAs="oneCell">
    <xdr:from>
      <xdr:col>2</xdr:col>
      <xdr:colOff>0</xdr:colOff>
      <xdr:row>48</xdr:row>
      <xdr:rowOff>0</xdr:rowOff>
    </xdr:from>
    <xdr:to>
      <xdr:col>3</xdr:col>
      <xdr:colOff>1447800</xdr:colOff>
      <xdr:row>59</xdr:row>
      <xdr:rowOff>123825</xdr:rowOff>
    </xdr:to>
    <xdr:pic>
      <xdr:nvPicPr>
        <xdr:cNvPr id="3" name="Picture 2">
          <a:extLst>
            <a:ext uri="{FF2B5EF4-FFF2-40B4-BE49-F238E27FC236}">
              <a16:creationId xmlns:a16="http://schemas.microsoft.com/office/drawing/2014/main" id="{00000000-0008-0000-3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991725" y="10229850"/>
          <a:ext cx="2857500" cy="19050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1</xdr:col>
      <xdr:colOff>2857500</xdr:colOff>
      <xdr:row>122</xdr:row>
      <xdr:rowOff>0</xdr:rowOff>
    </xdr:to>
    <xdr:pic>
      <xdr:nvPicPr>
        <xdr:cNvPr id="2" name="Picture 1">
          <a:extLst>
            <a:ext uri="{FF2B5EF4-FFF2-40B4-BE49-F238E27FC236}">
              <a16:creationId xmlns:a16="http://schemas.microsoft.com/office/drawing/2014/main" id="{00000000-0008-0000-3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1137225"/>
          <a:ext cx="2857500" cy="1905000"/>
        </a:xfrm>
        <a:prstGeom prst="rect">
          <a:avLst/>
        </a:prstGeom>
        <a:ln>
          <a:solidFill>
            <a:schemeClr val="tx1"/>
          </a:solidFill>
        </a:ln>
      </xdr:spPr>
    </xdr:pic>
    <xdr:clientData/>
  </xdr:twoCellAnchor>
  <xdr:twoCellAnchor editAs="oneCell">
    <xdr:from>
      <xdr:col>2</xdr:col>
      <xdr:colOff>0</xdr:colOff>
      <xdr:row>112</xdr:row>
      <xdr:rowOff>0</xdr:rowOff>
    </xdr:from>
    <xdr:to>
      <xdr:col>3</xdr:col>
      <xdr:colOff>1609725</xdr:colOff>
      <xdr:row>122</xdr:row>
      <xdr:rowOff>0</xdr:rowOff>
    </xdr:to>
    <xdr:pic>
      <xdr:nvPicPr>
        <xdr:cNvPr id="3" name="Picture 2">
          <a:extLst>
            <a:ext uri="{FF2B5EF4-FFF2-40B4-BE49-F238E27FC236}">
              <a16:creationId xmlns:a16="http://schemas.microsoft.com/office/drawing/2014/main" id="{00000000-0008-0000-3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1137225"/>
          <a:ext cx="2857500" cy="19050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298</xdr:row>
      <xdr:rowOff>0</xdr:rowOff>
    </xdr:from>
    <xdr:to>
      <xdr:col>1</xdr:col>
      <xdr:colOff>2857500</xdr:colOff>
      <xdr:row>308</xdr:row>
      <xdr:rowOff>0</xdr:rowOff>
    </xdr:to>
    <xdr:pic>
      <xdr:nvPicPr>
        <xdr:cNvPr id="2" name="Picture 1">
          <a:extLst>
            <a:ext uri="{FF2B5EF4-FFF2-40B4-BE49-F238E27FC236}">
              <a16:creationId xmlns:a16="http://schemas.microsoft.com/office/drawing/2014/main" id="{00000000-0008-0000-3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7294125"/>
          <a:ext cx="2857500" cy="1905000"/>
        </a:xfrm>
        <a:prstGeom prst="rect">
          <a:avLst/>
        </a:prstGeom>
      </xdr:spPr>
    </xdr:pic>
    <xdr:clientData/>
  </xdr:twoCellAnchor>
  <xdr:twoCellAnchor editAs="oneCell">
    <xdr:from>
      <xdr:col>2</xdr:col>
      <xdr:colOff>0</xdr:colOff>
      <xdr:row>298</xdr:row>
      <xdr:rowOff>0</xdr:rowOff>
    </xdr:from>
    <xdr:to>
      <xdr:col>3</xdr:col>
      <xdr:colOff>876300</xdr:colOff>
      <xdr:row>308</xdr:row>
      <xdr:rowOff>0</xdr:rowOff>
    </xdr:to>
    <xdr:pic>
      <xdr:nvPicPr>
        <xdr:cNvPr id="4" name="Picture 3">
          <a:extLst>
            <a:ext uri="{FF2B5EF4-FFF2-40B4-BE49-F238E27FC236}">
              <a16:creationId xmlns:a16="http://schemas.microsoft.com/office/drawing/2014/main" id="{00000000-0008-0000-33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67294125"/>
          <a:ext cx="2857500" cy="19050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1</xdr:col>
      <xdr:colOff>2857500</xdr:colOff>
      <xdr:row>198</xdr:row>
      <xdr:rowOff>0</xdr:rowOff>
    </xdr:to>
    <xdr:pic>
      <xdr:nvPicPr>
        <xdr:cNvPr id="2" name="Picture 1">
          <a:extLst>
            <a:ext uri="{FF2B5EF4-FFF2-40B4-BE49-F238E27FC236}">
              <a16:creationId xmlns:a16="http://schemas.microsoft.com/office/drawing/2014/main" id="{00000000-0008-0000-3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1625500"/>
          <a:ext cx="2857500" cy="1905000"/>
        </a:xfrm>
        <a:prstGeom prst="rect">
          <a:avLst/>
        </a:prstGeom>
      </xdr:spPr>
    </xdr:pic>
    <xdr:clientData/>
  </xdr:twoCellAnchor>
  <xdr:twoCellAnchor editAs="oneCell">
    <xdr:from>
      <xdr:col>2</xdr:col>
      <xdr:colOff>0</xdr:colOff>
      <xdr:row>188</xdr:row>
      <xdr:rowOff>0</xdr:rowOff>
    </xdr:from>
    <xdr:to>
      <xdr:col>3</xdr:col>
      <xdr:colOff>971550</xdr:colOff>
      <xdr:row>198</xdr:row>
      <xdr:rowOff>0</xdr:rowOff>
    </xdr:to>
    <xdr:pic>
      <xdr:nvPicPr>
        <xdr:cNvPr id="3" name="Picture 2">
          <a:extLst>
            <a:ext uri="{FF2B5EF4-FFF2-40B4-BE49-F238E27FC236}">
              <a16:creationId xmlns:a16="http://schemas.microsoft.com/office/drawing/2014/main" id="{00000000-0008-0000-3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048875" y="51625500"/>
          <a:ext cx="2857500" cy="19050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1</xdr:col>
      <xdr:colOff>2857500</xdr:colOff>
      <xdr:row>111</xdr:row>
      <xdr:rowOff>0</xdr:rowOff>
    </xdr:to>
    <xdr:pic>
      <xdr:nvPicPr>
        <xdr:cNvPr id="2" name="Picture 1">
          <a:extLst>
            <a:ext uri="{FF2B5EF4-FFF2-40B4-BE49-F238E27FC236}">
              <a16:creationId xmlns:a16="http://schemas.microsoft.com/office/drawing/2014/main" id="{00000000-0008-0000-35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1041975"/>
          <a:ext cx="2857500" cy="1905000"/>
        </a:xfrm>
        <a:prstGeom prst="rect">
          <a:avLst/>
        </a:prstGeom>
        <a:ln>
          <a:solidFill>
            <a:schemeClr val="tx1"/>
          </a:solidFill>
        </a:ln>
      </xdr:spPr>
    </xdr:pic>
    <xdr:clientData/>
  </xdr:twoCellAnchor>
  <xdr:twoCellAnchor editAs="oneCell">
    <xdr:from>
      <xdr:col>2</xdr:col>
      <xdr:colOff>0</xdr:colOff>
      <xdr:row>101</xdr:row>
      <xdr:rowOff>0</xdr:rowOff>
    </xdr:from>
    <xdr:to>
      <xdr:col>3</xdr:col>
      <xdr:colOff>1609725</xdr:colOff>
      <xdr:row>111</xdr:row>
      <xdr:rowOff>0</xdr:rowOff>
    </xdr:to>
    <xdr:pic>
      <xdr:nvPicPr>
        <xdr:cNvPr id="3" name="Picture 2">
          <a:extLst>
            <a:ext uri="{FF2B5EF4-FFF2-40B4-BE49-F238E27FC236}">
              <a16:creationId xmlns:a16="http://schemas.microsoft.com/office/drawing/2014/main" id="{00000000-0008-0000-3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31041975"/>
          <a:ext cx="2857500" cy="19050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2857500</xdr:colOff>
      <xdr:row>45</xdr:row>
      <xdr:rowOff>0</xdr:rowOff>
    </xdr:to>
    <xdr:pic>
      <xdr:nvPicPr>
        <xdr:cNvPr id="2" name="Picture 1">
          <a:extLst>
            <a:ext uri="{FF2B5EF4-FFF2-40B4-BE49-F238E27FC236}">
              <a16:creationId xmlns:a16="http://schemas.microsoft.com/office/drawing/2014/main" id="{00000000-0008-0000-3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467725"/>
          <a:ext cx="2857500" cy="1905000"/>
        </a:xfrm>
        <a:prstGeom prst="rect">
          <a:avLst/>
        </a:prstGeom>
        <a:ln>
          <a:solidFill>
            <a:schemeClr val="tx1"/>
          </a:solidFill>
        </a:ln>
      </xdr:spPr>
    </xdr:pic>
    <xdr:clientData/>
  </xdr:twoCellAnchor>
  <xdr:twoCellAnchor editAs="oneCell">
    <xdr:from>
      <xdr:col>2</xdr:col>
      <xdr:colOff>0</xdr:colOff>
      <xdr:row>35</xdr:row>
      <xdr:rowOff>0</xdr:rowOff>
    </xdr:from>
    <xdr:to>
      <xdr:col>3</xdr:col>
      <xdr:colOff>1609725</xdr:colOff>
      <xdr:row>45</xdr:row>
      <xdr:rowOff>0</xdr:rowOff>
    </xdr:to>
    <xdr:pic>
      <xdr:nvPicPr>
        <xdr:cNvPr id="3" name="Picture 2">
          <a:extLst>
            <a:ext uri="{FF2B5EF4-FFF2-40B4-BE49-F238E27FC236}">
              <a16:creationId xmlns:a16="http://schemas.microsoft.com/office/drawing/2014/main" id="{00000000-0008-0000-3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410700" y="8467725"/>
          <a:ext cx="2857500" cy="19050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2857500</xdr:colOff>
      <xdr:row>71</xdr:row>
      <xdr:rowOff>0</xdr:rowOff>
    </xdr:to>
    <xdr:pic>
      <xdr:nvPicPr>
        <xdr:cNvPr id="2" name="Picture 1">
          <a:extLst>
            <a:ext uri="{FF2B5EF4-FFF2-40B4-BE49-F238E27FC236}">
              <a16:creationId xmlns:a16="http://schemas.microsoft.com/office/drawing/2014/main" id="{00000000-0008-0000-3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468350"/>
          <a:ext cx="2857500" cy="1905000"/>
        </a:xfrm>
        <a:prstGeom prst="rect">
          <a:avLst/>
        </a:prstGeom>
        <a:ln>
          <a:solidFill>
            <a:schemeClr val="tx1"/>
          </a:solidFill>
        </a:ln>
      </xdr:spPr>
    </xdr:pic>
    <xdr:clientData/>
  </xdr:twoCellAnchor>
  <xdr:twoCellAnchor editAs="oneCell">
    <xdr:from>
      <xdr:col>2</xdr:col>
      <xdr:colOff>0</xdr:colOff>
      <xdr:row>61</xdr:row>
      <xdr:rowOff>0</xdr:rowOff>
    </xdr:from>
    <xdr:to>
      <xdr:col>4</xdr:col>
      <xdr:colOff>180975</xdr:colOff>
      <xdr:row>71</xdr:row>
      <xdr:rowOff>0</xdr:rowOff>
    </xdr:to>
    <xdr:pic>
      <xdr:nvPicPr>
        <xdr:cNvPr id="3" name="Picture 2">
          <a:extLst>
            <a:ext uri="{FF2B5EF4-FFF2-40B4-BE49-F238E27FC236}">
              <a16:creationId xmlns:a16="http://schemas.microsoft.com/office/drawing/2014/main" id="{00000000-0008-0000-3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277350" y="13468350"/>
          <a:ext cx="2857500" cy="1905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1</xdr:col>
      <xdr:colOff>2857500</xdr:colOff>
      <xdr:row>135</xdr:row>
      <xdr:rowOff>0</xdr:rowOff>
    </xdr:to>
    <xdr:pic>
      <xdr:nvPicPr>
        <xdr:cNvPr id="2" name="Picture 1">
          <a:extLst>
            <a:ext uri="{FF2B5EF4-FFF2-40B4-BE49-F238E27FC236}">
              <a16:creationId xmlns:a16="http://schemas.microsoft.com/office/drawing/2014/main" id="{00000000-0008-0000-38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9527500"/>
          <a:ext cx="2857500" cy="1905000"/>
        </a:xfrm>
        <a:prstGeom prst="rect">
          <a:avLst/>
        </a:prstGeom>
      </xdr:spPr>
    </xdr:pic>
    <xdr:clientData/>
  </xdr:twoCellAnchor>
  <xdr:twoCellAnchor editAs="oneCell">
    <xdr:from>
      <xdr:col>2</xdr:col>
      <xdr:colOff>0</xdr:colOff>
      <xdr:row>125</xdr:row>
      <xdr:rowOff>0</xdr:rowOff>
    </xdr:from>
    <xdr:to>
      <xdr:col>3</xdr:col>
      <xdr:colOff>971550</xdr:colOff>
      <xdr:row>135</xdr:row>
      <xdr:rowOff>0</xdr:rowOff>
    </xdr:to>
    <xdr:pic>
      <xdr:nvPicPr>
        <xdr:cNvPr id="4" name="Picture 3">
          <a:extLst>
            <a:ext uri="{FF2B5EF4-FFF2-40B4-BE49-F238E27FC236}">
              <a16:creationId xmlns:a16="http://schemas.microsoft.com/office/drawing/2014/main" id="{00000000-0008-0000-3800-000004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4829175" y="29527500"/>
          <a:ext cx="2857500" cy="1905000"/>
        </a:xfrm>
        <a:prstGeom prst="rect">
          <a:avLst/>
        </a:prstGeom>
        <a:ln>
          <a:solidFill>
            <a:schemeClr val="tx1"/>
          </a:solidFill>
        </a:ln>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1</xdr:col>
      <xdr:colOff>2857500</xdr:colOff>
      <xdr:row>49</xdr:row>
      <xdr:rowOff>0</xdr:rowOff>
    </xdr:to>
    <xdr:pic>
      <xdr:nvPicPr>
        <xdr:cNvPr id="2" name="Picture 1">
          <a:extLst>
            <a:ext uri="{FF2B5EF4-FFF2-40B4-BE49-F238E27FC236}">
              <a16:creationId xmlns:a16="http://schemas.microsoft.com/office/drawing/2014/main" id="{00000000-0008-0000-3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906000"/>
          <a:ext cx="2857500" cy="1905000"/>
        </a:xfrm>
        <a:prstGeom prst="rect">
          <a:avLst/>
        </a:prstGeom>
        <a:ln>
          <a:solidFill>
            <a:schemeClr val="tx1"/>
          </a:solidFill>
        </a:ln>
      </xdr:spPr>
    </xdr:pic>
    <xdr:clientData/>
  </xdr:twoCellAnchor>
  <xdr:twoCellAnchor editAs="oneCell">
    <xdr:from>
      <xdr:col>2</xdr:col>
      <xdr:colOff>0</xdr:colOff>
      <xdr:row>39</xdr:row>
      <xdr:rowOff>0</xdr:rowOff>
    </xdr:from>
    <xdr:to>
      <xdr:col>3</xdr:col>
      <xdr:colOff>1447800</xdr:colOff>
      <xdr:row>49</xdr:row>
      <xdr:rowOff>0</xdr:rowOff>
    </xdr:to>
    <xdr:pic>
      <xdr:nvPicPr>
        <xdr:cNvPr id="3" name="Picture 2">
          <a:extLst>
            <a:ext uri="{FF2B5EF4-FFF2-40B4-BE49-F238E27FC236}">
              <a16:creationId xmlns:a16="http://schemas.microsoft.com/office/drawing/2014/main" id="{00000000-0008-0000-3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72625" y="99060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30.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tabSelected="1" zoomScaleNormal="100" workbookViewId="0"/>
  </sheetViews>
  <sheetFormatPr defaultRowHeight="12.75"/>
  <cols>
    <col min="1" max="1" width="5.85546875" style="44" bestFit="1" customWidth="1"/>
    <col min="2" max="2" width="10.42578125" style="44" bestFit="1" customWidth="1"/>
    <col min="3" max="3" width="41" style="44" bestFit="1" customWidth="1"/>
    <col min="4" max="255" width="9.140625" style="44"/>
    <col min="256" max="256" width="7" style="44" bestFit="1" customWidth="1"/>
    <col min="257" max="257" width="16.85546875" style="44" bestFit="1" customWidth="1"/>
    <col min="258" max="258" width="42" style="44" bestFit="1" customWidth="1"/>
    <col min="259" max="259" width="16.42578125" style="44" bestFit="1" customWidth="1"/>
    <col min="260" max="511" width="9.140625" style="44"/>
    <col min="512" max="512" width="7" style="44" bestFit="1" customWidth="1"/>
    <col min="513" max="513" width="16.85546875" style="44" bestFit="1" customWidth="1"/>
    <col min="514" max="514" width="42" style="44" bestFit="1" customWidth="1"/>
    <col min="515" max="515" width="16.42578125" style="44" bestFit="1" customWidth="1"/>
    <col min="516" max="767" width="9.140625" style="44"/>
    <col min="768" max="768" width="7" style="44" bestFit="1" customWidth="1"/>
    <col min="769" max="769" width="16.85546875" style="44" bestFit="1" customWidth="1"/>
    <col min="770" max="770" width="42" style="44" bestFit="1" customWidth="1"/>
    <col min="771" max="771" width="16.42578125" style="44" bestFit="1" customWidth="1"/>
    <col min="772" max="1023" width="9.140625" style="44"/>
    <col min="1024" max="1024" width="7" style="44" bestFit="1" customWidth="1"/>
    <col min="1025" max="1025" width="16.85546875" style="44" bestFit="1" customWidth="1"/>
    <col min="1026" max="1026" width="42" style="44" bestFit="1" customWidth="1"/>
    <col min="1027" max="1027" width="16.42578125" style="44" bestFit="1" customWidth="1"/>
    <col min="1028" max="1279" width="9.140625" style="44"/>
    <col min="1280" max="1280" width="7" style="44" bestFit="1" customWidth="1"/>
    <col min="1281" max="1281" width="16.85546875" style="44" bestFit="1" customWidth="1"/>
    <col min="1282" max="1282" width="42" style="44" bestFit="1" customWidth="1"/>
    <col min="1283" max="1283" width="16.42578125" style="44" bestFit="1" customWidth="1"/>
    <col min="1284" max="1535" width="9.140625" style="44"/>
    <col min="1536" max="1536" width="7" style="44" bestFit="1" customWidth="1"/>
    <col min="1537" max="1537" width="16.85546875" style="44" bestFit="1" customWidth="1"/>
    <col min="1538" max="1538" width="42" style="44" bestFit="1" customWidth="1"/>
    <col min="1539" max="1539" width="16.42578125" style="44" bestFit="1" customWidth="1"/>
    <col min="1540" max="1791" width="9.140625" style="44"/>
    <col min="1792" max="1792" width="7" style="44" bestFit="1" customWidth="1"/>
    <col min="1793" max="1793" width="16.85546875" style="44" bestFit="1" customWidth="1"/>
    <col min="1794" max="1794" width="42" style="44" bestFit="1" customWidth="1"/>
    <col min="1795" max="1795" width="16.42578125" style="44" bestFit="1" customWidth="1"/>
    <col min="1796" max="2047" width="9.140625" style="44"/>
    <col min="2048" max="2048" width="7" style="44" bestFit="1" customWidth="1"/>
    <col min="2049" max="2049" width="16.85546875" style="44" bestFit="1" customWidth="1"/>
    <col min="2050" max="2050" width="42" style="44" bestFit="1" customWidth="1"/>
    <col min="2051" max="2051" width="16.42578125" style="44" bestFit="1" customWidth="1"/>
    <col min="2052" max="2303" width="9.140625" style="44"/>
    <col min="2304" max="2304" width="7" style="44" bestFit="1" customWidth="1"/>
    <col min="2305" max="2305" width="16.85546875" style="44" bestFit="1" customWidth="1"/>
    <col min="2306" max="2306" width="42" style="44" bestFit="1" customWidth="1"/>
    <col min="2307" max="2307" width="16.42578125" style="44" bestFit="1" customWidth="1"/>
    <col min="2308" max="2559" width="9.140625" style="44"/>
    <col min="2560" max="2560" width="7" style="44" bestFit="1" customWidth="1"/>
    <col min="2561" max="2561" width="16.85546875" style="44" bestFit="1" customWidth="1"/>
    <col min="2562" max="2562" width="42" style="44" bestFit="1" customWidth="1"/>
    <col min="2563" max="2563" width="16.42578125" style="44" bestFit="1" customWidth="1"/>
    <col min="2564" max="2815" width="9.140625" style="44"/>
    <col min="2816" max="2816" width="7" style="44" bestFit="1" customWidth="1"/>
    <col min="2817" max="2817" width="16.85546875" style="44" bestFit="1" customWidth="1"/>
    <col min="2818" max="2818" width="42" style="44" bestFit="1" customWidth="1"/>
    <col min="2819" max="2819" width="16.42578125" style="44" bestFit="1" customWidth="1"/>
    <col min="2820" max="3071" width="9.140625" style="44"/>
    <col min="3072" max="3072" width="7" style="44" bestFit="1" customWidth="1"/>
    <col min="3073" max="3073" width="16.85546875" style="44" bestFit="1" customWidth="1"/>
    <col min="3074" max="3074" width="42" style="44" bestFit="1" customWidth="1"/>
    <col min="3075" max="3075" width="16.42578125" style="44" bestFit="1" customWidth="1"/>
    <col min="3076" max="3327" width="9.140625" style="44"/>
    <col min="3328" max="3328" width="7" style="44" bestFit="1" customWidth="1"/>
    <col min="3329" max="3329" width="16.85546875" style="44" bestFit="1" customWidth="1"/>
    <col min="3330" max="3330" width="42" style="44" bestFit="1" customWidth="1"/>
    <col min="3331" max="3331" width="16.42578125" style="44" bestFit="1" customWidth="1"/>
    <col min="3332" max="3583" width="9.140625" style="44"/>
    <col min="3584" max="3584" width="7" style="44" bestFit="1" customWidth="1"/>
    <col min="3585" max="3585" width="16.85546875" style="44" bestFit="1" customWidth="1"/>
    <col min="3586" max="3586" width="42" style="44" bestFit="1" customWidth="1"/>
    <col min="3587" max="3587" width="16.42578125" style="44" bestFit="1" customWidth="1"/>
    <col min="3588" max="3839" width="9.140625" style="44"/>
    <col min="3840" max="3840" width="7" style="44" bestFit="1" customWidth="1"/>
    <col min="3841" max="3841" width="16.85546875" style="44" bestFit="1" customWidth="1"/>
    <col min="3842" max="3842" width="42" style="44" bestFit="1" customWidth="1"/>
    <col min="3843" max="3843" width="16.42578125" style="44" bestFit="1" customWidth="1"/>
    <col min="3844" max="4095" width="9.140625" style="44"/>
    <col min="4096" max="4096" width="7" style="44" bestFit="1" customWidth="1"/>
    <col min="4097" max="4097" width="16.85546875" style="44" bestFit="1" customWidth="1"/>
    <col min="4098" max="4098" width="42" style="44" bestFit="1" customWidth="1"/>
    <col min="4099" max="4099" width="16.42578125" style="44" bestFit="1" customWidth="1"/>
    <col min="4100" max="4351" width="9.140625" style="44"/>
    <col min="4352" max="4352" width="7" style="44" bestFit="1" customWidth="1"/>
    <col min="4353" max="4353" width="16.85546875" style="44" bestFit="1" customWidth="1"/>
    <col min="4354" max="4354" width="42" style="44" bestFit="1" customWidth="1"/>
    <col min="4355" max="4355" width="16.42578125" style="44" bestFit="1" customWidth="1"/>
    <col min="4356" max="4607" width="9.140625" style="44"/>
    <col min="4608" max="4608" width="7" style="44" bestFit="1" customWidth="1"/>
    <col min="4609" max="4609" width="16.85546875" style="44" bestFit="1" customWidth="1"/>
    <col min="4610" max="4610" width="42" style="44" bestFit="1" customWidth="1"/>
    <col min="4611" max="4611" width="16.42578125" style="44" bestFit="1" customWidth="1"/>
    <col min="4612" max="4863" width="9.140625" style="44"/>
    <col min="4864" max="4864" width="7" style="44" bestFit="1" customWidth="1"/>
    <col min="4865" max="4865" width="16.85546875" style="44" bestFit="1" customWidth="1"/>
    <col min="4866" max="4866" width="42" style="44" bestFit="1" customWidth="1"/>
    <col min="4867" max="4867" width="16.42578125" style="44" bestFit="1" customWidth="1"/>
    <col min="4868" max="5119" width="9.140625" style="44"/>
    <col min="5120" max="5120" width="7" style="44" bestFit="1" customWidth="1"/>
    <col min="5121" max="5121" width="16.85546875" style="44" bestFit="1" customWidth="1"/>
    <col min="5122" max="5122" width="42" style="44" bestFit="1" customWidth="1"/>
    <col min="5123" max="5123" width="16.42578125" style="44" bestFit="1" customWidth="1"/>
    <col min="5124" max="5375" width="9.140625" style="44"/>
    <col min="5376" max="5376" width="7" style="44" bestFit="1" customWidth="1"/>
    <col min="5377" max="5377" width="16.85546875" style="44" bestFit="1" customWidth="1"/>
    <col min="5378" max="5378" width="42" style="44" bestFit="1" customWidth="1"/>
    <col min="5379" max="5379" width="16.42578125" style="44" bestFit="1" customWidth="1"/>
    <col min="5380" max="5631" width="9.140625" style="44"/>
    <col min="5632" max="5632" width="7" style="44" bestFit="1" customWidth="1"/>
    <col min="5633" max="5633" width="16.85546875" style="44" bestFit="1" customWidth="1"/>
    <col min="5634" max="5634" width="42" style="44" bestFit="1" customWidth="1"/>
    <col min="5635" max="5635" width="16.42578125" style="44" bestFit="1" customWidth="1"/>
    <col min="5636" max="5887" width="9.140625" style="44"/>
    <col min="5888" max="5888" width="7" style="44" bestFit="1" customWidth="1"/>
    <col min="5889" max="5889" width="16.85546875" style="44" bestFit="1" customWidth="1"/>
    <col min="5890" max="5890" width="42" style="44" bestFit="1" customWidth="1"/>
    <col min="5891" max="5891" width="16.42578125" style="44" bestFit="1" customWidth="1"/>
    <col min="5892" max="6143" width="9.140625" style="44"/>
    <col min="6144" max="6144" width="7" style="44" bestFit="1" customWidth="1"/>
    <col min="6145" max="6145" width="16.85546875" style="44" bestFit="1" customWidth="1"/>
    <col min="6146" max="6146" width="42" style="44" bestFit="1" customWidth="1"/>
    <col min="6147" max="6147" width="16.42578125" style="44" bestFit="1" customWidth="1"/>
    <col min="6148" max="6399" width="9.140625" style="44"/>
    <col min="6400" max="6400" width="7" style="44" bestFit="1" customWidth="1"/>
    <col min="6401" max="6401" width="16.85546875" style="44" bestFit="1" customWidth="1"/>
    <col min="6402" max="6402" width="42" style="44" bestFit="1" customWidth="1"/>
    <col min="6403" max="6403" width="16.42578125" style="44" bestFit="1" customWidth="1"/>
    <col min="6404" max="6655" width="9.140625" style="44"/>
    <col min="6656" max="6656" width="7" style="44" bestFit="1" customWidth="1"/>
    <col min="6657" max="6657" width="16.85546875" style="44" bestFit="1" customWidth="1"/>
    <col min="6658" max="6658" width="42" style="44" bestFit="1" customWidth="1"/>
    <col min="6659" max="6659" width="16.42578125" style="44" bestFit="1" customWidth="1"/>
    <col min="6660" max="6911" width="9.140625" style="44"/>
    <col min="6912" max="6912" width="7" style="44" bestFit="1" customWidth="1"/>
    <col min="6913" max="6913" width="16.85546875" style="44" bestFit="1" customWidth="1"/>
    <col min="6914" max="6914" width="42" style="44" bestFit="1" customWidth="1"/>
    <col min="6915" max="6915" width="16.42578125" style="44" bestFit="1" customWidth="1"/>
    <col min="6916" max="7167" width="9.140625" style="44"/>
    <col min="7168" max="7168" width="7" style="44" bestFit="1" customWidth="1"/>
    <col min="7169" max="7169" width="16.85546875" style="44" bestFit="1" customWidth="1"/>
    <col min="7170" max="7170" width="42" style="44" bestFit="1" customWidth="1"/>
    <col min="7171" max="7171" width="16.42578125" style="44" bestFit="1" customWidth="1"/>
    <col min="7172" max="7423" width="9.140625" style="44"/>
    <col min="7424" max="7424" width="7" style="44" bestFit="1" customWidth="1"/>
    <col min="7425" max="7425" width="16.85546875" style="44" bestFit="1" customWidth="1"/>
    <col min="7426" max="7426" width="42" style="44" bestFit="1" customWidth="1"/>
    <col min="7427" max="7427" width="16.42578125" style="44" bestFit="1" customWidth="1"/>
    <col min="7428" max="7679" width="9.140625" style="44"/>
    <col min="7680" max="7680" width="7" style="44" bestFit="1" customWidth="1"/>
    <col min="7681" max="7681" width="16.85546875" style="44" bestFit="1" customWidth="1"/>
    <col min="7682" max="7682" width="42" style="44" bestFit="1" customWidth="1"/>
    <col min="7683" max="7683" width="16.42578125" style="44" bestFit="1" customWidth="1"/>
    <col min="7684" max="7935" width="9.140625" style="44"/>
    <col min="7936" max="7936" width="7" style="44" bestFit="1" customWidth="1"/>
    <col min="7937" max="7937" width="16.85546875" style="44" bestFit="1" customWidth="1"/>
    <col min="7938" max="7938" width="42" style="44" bestFit="1" customWidth="1"/>
    <col min="7939" max="7939" width="16.42578125" style="44" bestFit="1" customWidth="1"/>
    <col min="7940" max="8191" width="9.140625" style="44"/>
    <col min="8192" max="8192" width="7" style="44" bestFit="1" customWidth="1"/>
    <col min="8193" max="8193" width="16.85546875" style="44" bestFit="1" customWidth="1"/>
    <col min="8194" max="8194" width="42" style="44" bestFit="1" customWidth="1"/>
    <col min="8195" max="8195" width="16.42578125" style="44" bestFit="1" customWidth="1"/>
    <col min="8196" max="8447" width="9.140625" style="44"/>
    <col min="8448" max="8448" width="7" style="44" bestFit="1" customWidth="1"/>
    <col min="8449" max="8449" width="16.85546875" style="44" bestFit="1" customWidth="1"/>
    <col min="8450" max="8450" width="42" style="44" bestFit="1" customWidth="1"/>
    <col min="8451" max="8451" width="16.42578125" style="44" bestFit="1" customWidth="1"/>
    <col min="8452" max="8703" width="9.140625" style="44"/>
    <col min="8704" max="8704" width="7" style="44" bestFit="1" customWidth="1"/>
    <col min="8705" max="8705" width="16.85546875" style="44" bestFit="1" customWidth="1"/>
    <col min="8706" max="8706" width="42" style="44" bestFit="1" customWidth="1"/>
    <col min="8707" max="8707" width="16.42578125" style="44" bestFit="1" customWidth="1"/>
    <col min="8708" max="8959" width="9.140625" style="44"/>
    <col min="8960" max="8960" width="7" style="44" bestFit="1" customWidth="1"/>
    <col min="8961" max="8961" width="16.85546875" style="44" bestFit="1" customWidth="1"/>
    <col min="8962" max="8962" width="42" style="44" bestFit="1" customWidth="1"/>
    <col min="8963" max="8963" width="16.42578125" style="44" bestFit="1" customWidth="1"/>
    <col min="8964" max="9215" width="9.140625" style="44"/>
    <col min="9216" max="9216" width="7" style="44" bestFit="1" customWidth="1"/>
    <col min="9217" max="9217" width="16.85546875" style="44" bestFit="1" customWidth="1"/>
    <col min="9218" max="9218" width="42" style="44" bestFit="1" customWidth="1"/>
    <col min="9219" max="9219" width="16.42578125" style="44" bestFit="1" customWidth="1"/>
    <col min="9220" max="9471" width="9.140625" style="44"/>
    <col min="9472" max="9472" width="7" style="44" bestFit="1" customWidth="1"/>
    <col min="9473" max="9473" width="16.85546875" style="44" bestFit="1" customWidth="1"/>
    <col min="9474" max="9474" width="42" style="44" bestFit="1" customWidth="1"/>
    <col min="9475" max="9475" width="16.42578125" style="44" bestFit="1" customWidth="1"/>
    <col min="9476" max="9727" width="9.140625" style="44"/>
    <col min="9728" max="9728" width="7" style="44" bestFit="1" customWidth="1"/>
    <col min="9729" max="9729" width="16.85546875" style="44" bestFit="1" customWidth="1"/>
    <col min="9730" max="9730" width="42" style="44" bestFit="1" customWidth="1"/>
    <col min="9731" max="9731" width="16.42578125" style="44" bestFit="1" customWidth="1"/>
    <col min="9732" max="9983" width="9.140625" style="44"/>
    <col min="9984" max="9984" width="7" style="44" bestFit="1" customWidth="1"/>
    <col min="9985" max="9985" width="16.85546875" style="44" bestFit="1" customWidth="1"/>
    <col min="9986" max="9986" width="42" style="44" bestFit="1" customWidth="1"/>
    <col min="9987" max="9987" width="16.42578125" style="44" bestFit="1" customWidth="1"/>
    <col min="9988" max="10239" width="9.140625" style="44"/>
    <col min="10240" max="10240" width="7" style="44" bestFit="1" customWidth="1"/>
    <col min="10241" max="10241" width="16.85546875" style="44" bestFit="1" customWidth="1"/>
    <col min="10242" max="10242" width="42" style="44" bestFit="1" customWidth="1"/>
    <col min="10243" max="10243" width="16.42578125" style="44" bestFit="1" customWidth="1"/>
    <col min="10244" max="10495" width="9.140625" style="44"/>
    <col min="10496" max="10496" width="7" style="44" bestFit="1" customWidth="1"/>
    <col min="10497" max="10497" width="16.85546875" style="44" bestFit="1" customWidth="1"/>
    <col min="10498" max="10498" width="42" style="44" bestFit="1" customWidth="1"/>
    <col min="10499" max="10499" width="16.42578125" style="44" bestFit="1" customWidth="1"/>
    <col min="10500" max="10751" width="9.140625" style="44"/>
    <col min="10752" max="10752" width="7" style="44" bestFit="1" customWidth="1"/>
    <col min="10753" max="10753" width="16.85546875" style="44" bestFit="1" customWidth="1"/>
    <col min="10754" max="10754" width="42" style="44" bestFit="1" customWidth="1"/>
    <col min="10755" max="10755" width="16.42578125" style="44" bestFit="1" customWidth="1"/>
    <col min="10756" max="11007" width="9.140625" style="44"/>
    <col min="11008" max="11008" width="7" style="44" bestFit="1" customWidth="1"/>
    <col min="11009" max="11009" width="16.85546875" style="44" bestFit="1" customWidth="1"/>
    <col min="11010" max="11010" width="42" style="44" bestFit="1" customWidth="1"/>
    <col min="11011" max="11011" width="16.42578125" style="44" bestFit="1" customWidth="1"/>
    <col min="11012" max="11263" width="9.140625" style="44"/>
    <col min="11264" max="11264" width="7" style="44" bestFit="1" customWidth="1"/>
    <col min="11265" max="11265" width="16.85546875" style="44" bestFit="1" customWidth="1"/>
    <col min="11266" max="11266" width="42" style="44" bestFit="1" customWidth="1"/>
    <col min="11267" max="11267" width="16.42578125" style="44" bestFit="1" customWidth="1"/>
    <col min="11268" max="11519" width="9.140625" style="44"/>
    <col min="11520" max="11520" width="7" style="44" bestFit="1" customWidth="1"/>
    <col min="11521" max="11521" width="16.85546875" style="44" bestFit="1" customWidth="1"/>
    <col min="11522" max="11522" width="42" style="44" bestFit="1" customWidth="1"/>
    <col min="11523" max="11523" width="16.42578125" style="44" bestFit="1" customWidth="1"/>
    <col min="11524" max="11775" width="9.140625" style="44"/>
    <col min="11776" max="11776" width="7" style="44" bestFit="1" customWidth="1"/>
    <col min="11777" max="11777" width="16.85546875" style="44" bestFit="1" customWidth="1"/>
    <col min="11778" max="11778" width="42" style="44" bestFit="1" customWidth="1"/>
    <col min="11779" max="11779" width="16.42578125" style="44" bestFit="1" customWidth="1"/>
    <col min="11780" max="12031" width="9.140625" style="44"/>
    <col min="12032" max="12032" width="7" style="44" bestFit="1" customWidth="1"/>
    <col min="12033" max="12033" width="16.85546875" style="44" bestFit="1" customWidth="1"/>
    <col min="12034" max="12034" width="42" style="44" bestFit="1" customWidth="1"/>
    <col min="12035" max="12035" width="16.42578125" style="44" bestFit="1" customWidth="1"/>
    <col min="12036" max="12287" width="9.140625" style="44"/>
    <col min="12288" max="12288" width="7" style="44" bestFit="1" customWidth="1"/>
    <col min="12289" max="12289" width="16.85546875" style="44" bestFit="1" customWidth="1"/>
    <col min="12290" max="12290" width="42" style="44" bestFit="1" customWidth="1"/>
    <col min="12291" max="12291" width="16.42578125" style="44" bestFit="1" customWidth="1"/>
    <col min="12292" max="12543" width="9.140625" style="44"/>
    <col min="12544" max="12544" width="7" style="44" bestFit="1" customWidth="1"/>
    <col min="12545" max="12545" width="16.85546875" style="44" bestFit="1" customWidth="1"/>
    <col min="12546" max="12546" width="42" style="44" bestFit="1" customWidth="1"/>
    <col min="12547" max="12547" width="16.42578125" style="44" bestFit="1" customWidth="1"/>
    <col min="12548" max="12799" width="9.140625" style="44"/>
    <col min="12800" max="12800" width="7" style="44" bestFit="1" customWidth="1"/>
    <col min="12801" max="12801" width="16.85546875" style="44" bestFit="1" customWidth="1"/>
    <col min="12802" max="12802" width="42" style="44" bestFit="1" customWidth="1"/>
    <col min="12803" max="12803" width="16.42578125" style="44" bestFit="1" customWidth="1"/>
    <col min="12804" max="13055" width="9.140625" style="44"/>
    <col min="13056" max="13056" width="7" style="44" bestFit="1" customWidth="1"/>
    <col min="13057" max="13057" width="16.85546875" style="44" bestFit="1" customWidth="1"/>
    <col min="13058" max="13058" width="42" style="44" bestFit="1" customWidth="1"/>
    <col min="13059" max="13059" width="16.42578125" style="44" bestFit="1" customWidth="1"/>
    <col min="13060" max="13311" width="9.140625" style="44"/>
    <col min="13312" max="13312" width="7" style="44" bestFit="1" customWidth="1"/>
    <col min="13313" max="13313" width="16.85546875" style="44" bestFit="1" customWidth="1"/>
    <col min="13314" max="13314" width="42" style="44" bestFit="1" customWidth="1"/>
    <col min="13315" max="13315" width="16.42578125" style="44" bestFit="1" customWidth="1"/>
    <col min="13316" max="13567" width="9.140625" style="44"/>
    <col min="13568" max="13568" width="7" style="44" bestFit="1" customWidth="1"/>
    <col min="13569" max="13569" width="16.85546875" style="44" bestFit="1" customWidth="1"/>
    <col min="13570" max="13570" width="42" style="44" bestFit="1" customWidth="1"/>
    <col min="13571" max="13571" width="16.42578125" style="44" bestFit="1" customWidth="1"/>
    <col min="13572" max="13823" width="9.140625" style="44"/>
    <col min="13824" max="13824" width="7" style="44" bestFit="1" customWidth="1"/>
    <col min="13825" max="13825" width="16.85546875" style="44" bestFit="1" customWidth="1"/>
    <col min="13826" max="13826" width="42" style="44" bestFit="1" customWidth="1"/>
    <col min="13827" max="13827" width="16.42578125" style="44" bestFit="1" customWidth="1"/>
    <col min="13828" max="14079" width="9.140625" style="44"/>
    <col min="14080" max="14080" width="7" style="44" bestFit="1" customWidth="1"/>
    <col min="14081" max="14081" width="16.85546875" style="44" bestFit="1" customWidth="1"/>
    <col min="14082" max="14082" width="42" style="44" bestFit="1" customWidth="1"/>
    <col min="14083" max="14083" width="16.42578125" style="44" bestFit="1" customWidth="1"/>
    <col min="14084" max="14335" width="9.140625" style="44"/>
    <col min="14336" max="14336" width="7" style="44" bestFit="1" customWidth="1"/>
    <col min="14337" max="14337" width="16.85546875" style="44" bestFit="1" customWidth="1"/>
    <col min="14338" max="14338" width="42" style="44" bestFit="1" customWidth="1"/>
    <col min="14339" max="14339" width="16.42578125" style="44" bestFit="1" customWidth="1"/>
    <col min="14340" max="14591" width="9.140625" style="44"/>
    <col min="14592" max="14592" width="7" style="44" bestFit="1" customWidth="1"/>
    <col min="14593" max="14593" width="16.85546875" style="44" bestFit="1" customWidth="1"/>
    <col min="14594" max="14594" width="42" style="44" bestFit="1" customWidth="1"/>
    <col min="14595" max="14595" width="16.42578125" style="44" bestFit="1" customWidth="1"/>
    <col min="14596" max="14847" width="9.140625" style="44"/>
    <col min="14848" max="14848" width="7" style="44" bestFit="1" customWidth="1"/>
    <col min="14849" max="14849" width="16.85546875" style="44" bestFit="1" customWidth="1"/>
    <col min="14850" max="14850" width="42" style="44" bestFit="1" customWidth="1"/>
    <col min="14851" max="14851" width="16.42578125" style="44" bestFit="1" customWidth="1"/>
    <col min="14852" max="15103" width="9.140625" style="44"/>
    <col min="15104" max="15104" width="7" style="44" bestFit="1" customWidth="1"/>
    <col min="15105" max="15105" width="16.85546875" style="44" bestFit="1" customWidth="1"/>
    <col min="15106" max="15106" width="42" style="44" bestFit="1" customWidth="1"/>
    <col min="15107" max="15107" width="16.42578125" style="44" bestFit="1" customWidth="1"/>
    <col min="15108" max="15359" width="9.140625" style="44"/>
    <col min="15360" max="15360" width="7" style="44" bestFit="1" customWidth="1"/>
    <col min="15361" max="15361" width="16.85546875" style="44" bestFit="1" customWidth="1"/>
    <col min="15362" max="15362" width="42" style="44" bestFit="1" customWidth="1"/>
    <col min="15363" max="15363" width="16.42578125" style="44" bestFit="1" customWidth="1"/>
    <col min="15364" max="15615" width="9.140625" style="44"/>
    <col min="15616" max="15616" width="7" style="44" bestFit="1" customWidth="1"/>
    <col min="15617" max="15617" width="16.85546875" style="44" bestFit="1" customWidth="1"/>
    <col min="15618" max="15618" width="42" style="44" bestFit="1" customWidth="1"/>
    <col min="15619" max="15619" width="16.42578125" style="44" bestFit="1" customWidth="1"/>
    <col min="15620" max="15871" width="9.140625" style="44"/>
    <col min="15872" max="15872" width="7" style="44" bestFit="1" customWidth="1"/>
    <col min="15873" max="15873" width="16.85546875" style="44" bestFit="1" customWidth="1"/>
    <col min="15874" max="15874" width="42" style="44" bestFit="1" customWidth="1"/>
    <col min="15875" max="15875" width="16.42578125" style="44" bestFit="1" customWidth="1"/>
    <col min="15876" max="16127" width="9.140625" style="44"/>
    <col min="16128" max="16128" width="7" style="44" bestFit="1" customWidth="1"/>
    <col min="16129" max="16129" width="16.85546875" style="44" bestFit="1" customWidth="1"/>
    <col min="16130" max="16130" width="42" style="44" bestFit="1" customWidth="1"/>
    <col min="16131" max="16131" width="16.42578125" style="44" bestFit="1" customWidth="1"/>
    <col min="16132" max="16384" width="9.140625" style="44"/>
  </cols>
  <sheetData>
    <row r="1" spans="1:3" ht="12.95" customHeight="1">
      <c r="A1" s="43" t="s">
        <v>0</v>
      </c>
      <c r="B1" s="43" t="s">
        <v>1</v>
      </c>
      <c r="C1" s="43" t="s">
        <v>2</v>
      </c>
    </row>
    <row r="2" spans="1:3" ht="12.95" customHeight="1">
      <c r="A2" s="45">
        <v>1</v>
      </c>
      <c r="B2" s="46" t="s">
        <v>3</v>
      </c>
      <c r="C2" s="45" t="s">
        <v>4</v>
      </c>
    </row>
    <row r="3" spans="1:3" ht="12.95" customHeight="1">
      <c r="A3" s="45">
        <f>+A2+1</f>
        <v>2</v>
      </c>
      <c r="B3" s="46" t="s">
        <v>6</v>
      </c>
      <c r="C3" s="45" t="s">
        <v>7</v>
      </c>
    </row>
    <row r="4" spans="1:3" ht="12.95" customHeight="1">
      <c r="A4" s="45">
        <f t="shared" ref="A4:A58" si="0">+A3+1</f>
        <v>3</v>
      </c>
      <c r="B4" s="46" t="s">
        <v>8</v>
      </c>
      <c r="C4" s="45" t="s">
        <v>9</v>
      </c>
    </row>
    <row r="5" spans="1:3" ht="12.95" customHeight="1">
      <c r="A5" s="45">
        <f t="shared" si="0"/>
        <v>4</v>
      </c>
      <c r="B5" s="46" t="s">
        <v>10</v>
      </c>
      <c r="C5" s="45" t="s">
        <v>11</v>
      </c>
    </row>
    <row r="6" spans="1:3" ht="12.95" customHeight="1">
      <c r="A6" s="45">
        <f t="shared" si="0"/>
        <v>5</v>
      </c>
      <c r="B6" s="46" t="s">
        <v>12</v>
      </c>
      <c r="C6" s="45" t="s">
        <v>13</v>
      </c>
    </row>
    <row r="7" spans="1:3" ht="12.95" customHeight="1">
      <c r="A7" s="45">
        <f t="shared" si="0"/>
        <v>6</v>
      </c>
      <c r="B7" s="46" t="s">
        <v>14</v>
      </c>
      <c r="C7" s="45" t="s">
        <v>15</v>
      </c>
    </row>
    <row r="8" spans="1:3" ht="12.95" customHeight="1">
      <c r="A8" s="45">
        <f t="shared" si="0"/>
        <v>7</v>
      </c>
      <c r="B8" s="46" t="s">
        <v>16</v>
      </c>
      <c r="C8" s="45" t="s">
        <v>17</v>
      </c>
    </row>
    <row r="9" spans="1:3" ht="12.95" customHeight="1">
      <c r="A9" s="45">
        <f t="shared" si="0"/>
        <v>8</v>
      </c>
      <c r="B9" s="46" t="s">
        <v>19</v>
      </c>
      <c r="C9" s="45" t="s">
        <v>20</v>
      </c>
    </row>
    <row r="10" spans="1:3" ht="12.95" customHeight="1">
      <c r="A10" s="45">
        <f t="shared" si="0"/>
        <v>9</v>
      </c>
      <c r="B10" s="46" t="s">
        <v>21</v>
      </c>
      <c r="C10" s="45" t="s">
        <v>22</v>
      </c>
    </row>
    <row r="11" spans="1:3" ht="12.95" customHeight="1">
      <c r="A11" s="45">
        <f t="shared" si="0"/>
        <v>10</v>
      </c>
      <c r="B11" s="48" t="s">
        <v>23</v>
      </c>
      <c r="C11" s="47" t="s">
        <v>24</v>
      </c>
    </row>
    <row r="12" spans="1:3" ht="12.95" customHeight="1">
      <c r="A12" s="45">
        <f t="shared" si="0"/>
        <v>11</v>
      </c>
      <c r="B12" s="46" t="s">
        <v>25</v>
      </c>
      <c r="C12" s="45" t="s">
        <v>26</v>
      </c>
    </row>
    <row r="13" spans="1:3" ht="12.95" customHeight="1">
      <c r="A13" s="45">
        <f t="shared" si="0"/>
        <v>12</v>
      </c>
      <c r="B13" s="46" t="s">
        <v>27</v>
      </c>
      <c r="C13" s="45" t="s">
        <v>28</v>
      </c>
    </row>
    <row r="14" spans="1:3" ht="12.95" customHeight="1">
      <c r="A14" s="45">
        <f t="shared" si="0"/>
        <v>13</v>
      </c>
      <c r="B14" s="46" t="s">
        <v>29</v>
      </c>
      <c r="C14" s="45" t="s">
        <v>30</v>
      </c>
    </row>
    <row r="15" spans="1:3" ht="12.95" customHeight="1">
      <c r="A15" s="45">
        <f t="shared" si="0"/>
        <v>14</v>
      </c>
      <c r="B15" s="46" t="s">
        <v>31</v>
      </c>
      <c r="C15" s="45" t="s">
        <v>3932</v>
      </c>
    </row>
    <row r="16" spans="1:3" ht="12.95" customHeight="1">
      <c r="A16" s="45">
        <f t="shared" si="0"/>
        <v>15</v>
      </c>
      <c r="B16" s="46" t="s">
        <v>32</v>
      </c>
      <c r="C16" s="45" t="s">
        <v>33</v>
      </c>
    </row>
    <row r="17" spans="1:3" ht="12.95" customHeight="1">
      <c r="A17" s="45">
        <f t="shared" si="0"/>
        <v>16</v>
      </c>
      <c r="B17" s="46" t="s">
        <v>34</v>
      </c>
      <c r="C17" s="45" t="s">
        <v>35</v>
      </c>
    </row>
    <row r="18" spans="1:3" ht="12.95" customHeight="1">
      <c r="A18" s="45">
        <f t="shared" si="0"/>
        <v>17</v>
      </c>
      <c r="B18" s="46" t="s">
        <v>36</v>
      </c>
      <c r="C18" s="45" t="s">
        <v>37</v>
      </c>
    </row>
    <row r="19" spans="1:3" ht="12.95" customHeight="1">
      <c r="A19" s="45">
        <f t="shared" si="0"/>
        <v>18</v>
      </c>
      <c r="B19" s="46" t="s">
        <v>38</v>
      </c>
      <c r="C19" s="45" t="s">
        <v>39</v>
      </c>
    </row>
    <row r="20" spans="1:3" ht="12.95" customHeight="1">
      <c r="A20" s="45">
        <f t="shared" si="0"/>
        <v>19</v>
      </c>
      <c r="B20" s="46" t="s">
        <v>40</v>
      </c>
      <c r="C20" s="45" t="s">
        <v>41</v>
      </c>
    </row>
    <row r="21" spans="1:3" ht="12.95" customHeight="1">
      <c r="A21" s="45">
        <f t="shared" si="0"/>
        <v>20</v>
      </c>
      <c r="B21" s="46" t="s">
        <v>42</v>
      </c>
      <c r="C21" s="45" t="s">
        <v>43</v>
      </c>
    </row>
    <row r="22" spans="1:3" ht="12.95" customHeight="1">
      <c r="A22" s="45">
        <f t="shared" si="0"/>
        <v>21</v>
      </c>
      <c r="B22" s="46" t="s">
        <v>44</v>
      </c>
      <c r="C22" s="45" t="s">
        <v>45</v>
      </c>
    </row>
    <row r="23" spans="1:3" ht="12.95" customHeight="1">
      <c r="A23" s="45">
        <f t="shared" si="0"/>
        <v>22</v>
      </c>
      <c r="B23" s="46" t="s">
        <v>46</v>
      </c>
      <c r="C23" s="45" t="s">
        <v>47</v>
      </c>
    </row>
    <row r="24" spans="1:3" ht="12.95" customHeight="1">
      <c r="A24" s="45">
        <f t="shared" si="0"/>
        <v>23</v>
      </c>
      <c r="B24" s="46" t="s">
        <v>48</v>
      </c>
      <c r="C24" s="45" t="s">
        <v>49</v>
      </c>
    </row>
    <row r="25" spans="1:3" ht="12.95" customHeight="1">
      <c r="A25" s="45">
        <f t="shared" si="0"/>
        <v>24</v>
      </c>
      <c r="B25" s="46" t="s">
        <v>50</v>
      </c>
      <c r="C25" s="45" t="s">
        <v>51</v>
      </c>
    </row>
    <row r="26" spans="1:3" ht="12.95" customHeight="1">
      <c r="A26" s="45">
        <f t="shared" si="0"/>
        <v>25</v>
      </c>
      <c r="B26" s="46" t="s">
        <v>52</v>
      </c>
      <c r="C26" s="45" t="s">
        <v>53</v>
      </c>
    </row>
    <row r="27" spans="1:3" ht="12.95" customHeight="1">
      <c r="A27" s="45">
        <f t="shared" si="0"/>
        <v>26</v>
      </c>
      <c r="B27" s="46" t="s">
        <v>54</v>
      </c>
      <c r="C27" s="45" t="s">
        <v>55</v>
      </c>
    </row>
    <row r="28" spans="1:3" ht="12.95" customHeight="1">
      <c r="A28" s="45">
        <f t="shared" si="0"/>
        <v>27</v>
      </c>
      <c r="B28" s="46" t="s">
        <v>56</v>
      </c>
      <c r="C28" s="45" t="s">
        <v>57</v>
      </c>
    </row>
    <row r="29" spans="1:3" ht="12.95" customHeight="1">
      <c r="A29" s="45">
        <f t="shared" si="0"/>
        <v>28</v>
      </c>
      <c r="B29" s="46" t="s">
        <v>58</v>
      </c>
      <c r="C29" s="45" t="s">
        <v>59</v>
      </c>
    </row>
    <row r="30" spans="1:3" ht="12.95" customHeight="1">
      <c r="A30" s="45">
        <f t="shared" si="0"/>
        <v>29</v>
      </c>
      <c r="B30" s="46" t="s">
        <v>60</v>
      </c>
      <c r="C30" s="45" t="s">
        <v>61</v>
      </c>
    </row>
    <row r="31" spans="1:3" ht="12.95" customHeight="1">
      <c r="A31" s="45">
        <f t="shared" si="0"/>
        <v>30</v>
      </c>
      <c r="B31" s="46" t="s">
        <v>62</v>
      </c>
      <c r="C31" s="45" t="s">
        <v>63</v>
      </c>
    </row>
    <row r="32" spans="1:3" ht="12.95" customHeight="1">
      <c r="A32" s="45">
        <f t="shared" si="0"/>
        <v>31</v>
      </c>
      <c r="B32" s="46" t="s">
        <v>64</v>
      </c>
      <c r="C32" s="45" t="s">
        <v>65</v>
      </c>
    </row>
    <row r="33" spans="1:3" ht="12.95" customHeight="1">
      <c r="A33" s="45">
        <f t="shared" si="0"/>
        <v>32</v>
      </c>
      <c r="B33" s="46" t="s">
        <v>66</v>
      </c>
      <c r="C33" s="45" t="s">
        <v>67</v>
      </c>
    </row>
    <row r="34" spans="1:3" ht="12.95" customHeight="1">
      <c r="A34" s="45">
        <f t="shared" si="0"/>
        <v>33</v>
      </c>
      <c r="B34" s="46" t="s">
        <v>68</v>
      </c>
      <c r="C34" s="45" t="s">
        <v>69</v>
      </c>
    </row>
    <row r="35" spans="1:3" ht="12.95" customHeight="1">
      <c r="A35" s="45">
        <f t="shared" si="0"/>
        <v>34</v>
      </c>
      <c r="B35" s="46" t="s">
        <v>70</v>
      </c>
      <c r="C35" s="45" t="s">
        <v>71</v>
      </c>
    </row>
    <row r="36" spans="1:3" ht="12.95" customHeight="1">
      <c r="A36" s="45">
        <f t="shared" si="0"/>
        <v>35</v>
      </c>
      <c r="B36" s="46" t="s">
        <v>72</v>
      </c>
      <c r="C36" s="45" t="s">
        <v>73</v>
      </c>
    </row>
    <row r="37" spans="1:3" ht="12.95" customHeight="1">
      <c r="A37" s="45">
        <f t="shared" si="0"/>
        <v>36</v>
      </c>
      <c r="B37" s="46" t="s">
        <v>74</v>
      </c>
      <c r="C37" s="45" t="s">
        <v>75</v>
      </c>
    </row>
    <row r="38" spans="1:3" ht="12.95" customHeight="1">
      <c r="A38" s="45">
        <f t="shared" si="0"/>
        <v>37</v>
      </c>
      <c r="B38" s="46" t="s">
        <v>76</v>
      </c>
      <c r="C38" s="45" t="s">
        <v>77</v>
      </c>
    </row>
    <row r="39" spans="1:3" ht="12.95" customHeight="1">
      <c r="A39" s="45">
        <f t="shared" si="0"/>
        <v>38</v>
      </c>
      <c r="B39" s="46" t="s">
        <v>78</v>
      </c>
      <c r="C39" s="45" t="s">
        <v>79</v>
      </c>
    </row>
    <row r="40" spans="1:3" ht="12.95" customHeight="1">
      <c r="A40" s="45">
        <f t="shared" si="0"/>
        <v>39</v>
      </c>
      <c r="B40" s="46" t="s">
        <v>80</v>
      </c>
      <c r="C40" s="45" t="s">
        <v>81</v>
      </c>
    </row>
    <row r="41" spans="1:3" ht="12.95" customHeight="1">
      <c r="A41" s="45">
        <f t="shared" si="0"/>
        <v>40</v>
      </c>
      <c r="B41" s="46" t="s">
        <v>82</v>
      </c>
      <c r="C41" s="45" t="s">
        <v>83</v>
      </c>
    </row>
    <row r="42" spans="1:3" ht="12.95" customHeight="1">
      <c r="A42" s="45">
        <f t="shared" si="0"/>
        <v>41</v>
      </c>
      <c r="B42" s="46" t="s">
        <v>84</v>
      </c>
      <c r="C42" s="45" t="s">
        <v>85</v>
      </c>
    </row>
    <row r="43" spans="1:3" ht="12.95" customHeight="1">
      <c r="A43" s="45">
        <f t="shared" si="0"/>
        <v>42</v>
      </c>
      <c r="B43" s="46" t="s">
        <v>86</v>
      </c>
      <c r="C43" s="45" t="s">
        <v>87</v>
      </c>
    </row>
    <row r="44" spans="1:3" ht="12.95" customHeight="1">
      <c r="A44" s="45">
        <f t="shared" si="0"/>
        <v>43</v>
      </c>
      <c r="B44" s="46" t="s">
        <v>88</v>
      </c>
      <c r="C44" s="45" t="s">
        <v>89</v>
      </c>
    </row>
    <row r="45" spans="1:3" ht="12.95" customHeight="1">
      <c r="A45" s="45">
        <f t="shared" si="0"/>
        <v>44</v>
      </c>
      <c r="B45" s="46" t="s">
        <v>90</v>
      </c>
      <c r="C45" s="45" t="s">
        <v>91</v>
      </c>
    </row>
    <row r="46" spans="1:3" ht="12.95" customHeight="1">
      <c r="A46" s="45">
        <f t="shared" si="0"/>
        <v>45</v>
      </c>
      <c r="B46" s="46" t="s">
        <v>92</v>
      </c>
      <c r="C46" s="45" t="s">
        <v>93</v>
      </c>
    </row>
    <row r="47" spans="1:3" ht="12.95" customHeight="1">
      <c r="A47" s="45">
        <f t="shared" si="0"/>
        <v>46</v>
      </c>
      <c r="B47" s="46" t="s">
        <v>94</v>
      </c>
      <c r="C47" s="45" t="s">
        <v>95</v>
      </c>
    </row>
    <row r="48" spans="1:3" ht="12.95" customHeight="1">
      <c r="A48" s="45">
        <f t="shared" si="0"/>
        <v>47</v>
      </c>
      <c r="B48" s="46" t="s">
        <v>96</v>
      </c>
      <c r="C48" s="45" t="s">
        <v>97</v>
      </c>
    </row>
    <row r="49" spans="1:3" ht="12.95" customHeight="1">
      <c r="A49" s="45">
        <f t="shared" si="0"/>
        <v>48</v>
      </c>
      <c r="B49" s="46" t="s">
        <v>98</v>
      </c>
      <c r="C49" s="45" t="s">
        <v>99</v>
      </c>
    </row>
    <row r="50" spans="1:3" ht="12.95" customHeight="1">
      <c r="A50" s="45">
        <f t="shared" si="0"/>
        <v>49</v>
      </c>
      <c r="B50" s="46" t="s">
        <v>100</v>
      </c>
      <c r="C50" s="45" t="s">
        <v>101</v>
      </c>
    </row>
    <row r="51" spans="1:3" ht="12.95" customHeight="1">
      <c r="A51" s="45">
        <f t="shared" si="0"/>
        <v>50</v>
      </c>
      <c r="B51" s="46" t="s">
        <v>102</v>
      </c>
      <c r="C51" s="45" t="s">
        <v>103</v>
      </c>
    </row>
    <row r="52" spans="1:3" ht="12.95" customHeight="1">
      <c r="A52" s="45">
        <f t="shared" si="0"/>
        <v>51</v>
      </c>
      <c r="B52" s="46" t="s">
        <v>104</v>
      </c>
      <c r="C52" s="45" t="s">
        <v>105</v>
      </c>
    </row>
    <row r="53" spans="1:3" ht="12.95" customHeight="1">
      <c r="A53" s="45">
        <f t="shared" si="0"/>
        <v>52</v>
      </c>
      <c r="B53" s="46" t="s">
        <v>106</v>
      </c>
      <c r="C53" s="45" t="s">
        <v>107</v>
      </c>
    </row>
    <row r="54" spans="1:3" ht="12.95" customHeight="1">
      <c r="A54" s="45">
        <f t="shared" si="0"/>
        <v>53</v>
      </c>
      <c r="B54" s="46" t="s">
        <v>108</v>
      </c>
      <c r="C54" s="45" t="s">
        <v>109</v>
      </c>
    </row>
    <row r="55" spans="1:3" ht="12.95" customHeight="1">
      <c r="A55" s="45">
        <f t="shared" si="0"/>
        <v>54</v>
      </c>
      <c r="B55" s="46" t="s">
        <v>110</v>
      </c>
      <c r="C55" s="45" t="s">
        <v>111</v>
      </c>
    </row>
    <row r="56" spans="1:3" ht="12.95" customHeight="1">
      <c r="A56" s="45">
        <f t="shared" si="0"/>
        <v>55</v>
      </c>
      <c r="B56" s="46" t="s">
        <v>112</v>
      </c>
      <c r="C56" s="45" t="s">
        <v>113</v>
      </c>
    </row>
    <row r="57" spans="1:3" ht="12.95" customHeight="1">
      <c r="A57" s="45">
        <f t="shared" si="0"/>
        <v>56</v>
      </c>
      <c r="B57" s="46" t="s">
        <v>114</v>
      </c>
      <c r="C57" s="45" t="s">
        <v>115</v>
      </c>
    </row>
    <row r="58" spans="1:3">
      <c r="A58" s="45">
        <f t="shared" si="0"/>
        <v>57</v>
      </c>
      <c r="B58" s="48" t="s">
        <v>116</v>
      </c>
      <c r="C58" s="47" t="s">
        <v>117</v>
      </c>
    </row>
  </sheetData>
  <hyperlinks>
    <hyperlink ref="B2" location="AXIS100!A1" display="AXIS100"/>
    <hyperlink ref="B3" location="AXIS101!A1" display="AXIS101"/>
    <hyperlink ref="B4" location="AXIS102!A1" display="AXIS102"/>
    <hyperlink ref="B5" location="AXIS104!A1" display="AXIS104"/>
    <hyperlink ref="B6" location="AXISASD!A1" display="AXISASD"/>
    <hyperlink ref="B7" location="AXISBDF!A1" display="AXISBDF"/>
    <hyperlink ref="B8" location="AXISBETF!A1" display="AXISBETF"/>
    <hyperlink ref="B9" location="AXISCB1!A1" display="AXISCB1"/>
    <hyperlink ref="B10" location="AXISCB4!A1" display="AXISCB4"/>
    <hyperlink ref="B12" location="AXISCGF!A1" display="AXISCGF"/>
    <hyperlink ref="B13" location="AXISCOF!A1" display="AXISCOF"/>
    <hyperlink ref="B14" location="AXISDBF!A1" display="AXISDBF"/>
    <hyperlink ref="B15" location="AXISDEF!A1" display="AXISDEF"/>
    <hyperlink ref="B16" location="AXISEA1!A1" display="AXISEA1"/>
    <hyperlink ref="B17" location="AXISEAF!A1" display="AXISEAF"/>
    <hyperlink ref="B18" location="AXISEHF!A1" display="AXISEHF"/>
    <hyperlink ref="B19" location="AXISEQF!A1" display="AXISEQF"/>
    <hyperlink ref="B20" location="AXISESF!A1" display="AXISESF"/>
    <hyperlink ref="B21" location="AXISESG!A1" display="AXISESG"/>
    <hyperlink ref="B22" location="AXISF25!A1" display="AXISF25"/>
    <hyperlink ref="B23" location="AXISFLO!A1" display="AXISFLO"/>
    <hyperlink ref="B24" location="AXISGCE!A1" display="AXISGCE"/>
    <hyperlink ref="B25" location="AXISGEA!A1" display="AXISGEA"/>
    <hyperlink ref="B26" location="AXISGETF!A1" display="AXISGETF"/>
    <hyperlink ref="B27" location="AXISGIF!A1" display="AXISGIF"/>
    <hyperlink ref="B28" location="AXISGLD!A1" display="AXISGLD"/>
    <hyperlink ref="B29" location="AXISGOF!A1" display="AXISGOF"/>
    <hyperlink ref="B30" location="AXISHETF!A1" display="AXISHETF"/>
    <hyperlink ref="B31" location="AXISIFD!A1" display="AXISIFD"/>
    <hyperlink ref="B32" location="AXISIOF!A1" display="AXISIOF"/>
    <hyperlink ref="B33" location="AXISISF!A1" display="AXISISF"/>
    <hyperlink ref="B34" location="AXISLFA!A1" display="AXISLFA"/>
    <hyperlink ref="B35" location="AXISM10!A1" display="AXISM10"/>
    <hyperlink ref="B36" location="AXISMCF!A1" display="AXISMCF"/>
    <hyperlink ref="B37" location="AXISMLF!A1" display="AXISMLF"/>
    <hyperlink ref="B38" location="AXISMMF!A1" display="AXISMMF"/>
    <hyperlink ref="B39" location="AXISNETF!A1" display="AXISNETF"/>
    <hyperlink ref="B40" location="AXISNIF!A1" display="AXISNIF"/>
    <hyperlink ref="B41" location="AXISONF!A1" display="AXISONF"/>
    <hyperlink ref="B42" location="AXISQUA!A1" display="AXISQUA"/>
    <hyperlink ref="B43" location="AXISRAP!A1" display="AXISRAP"/>
    <hyperlink ref="B44" location="AXISRCP!A1" display="AXISRCP"/>
    <hyperlink ref="B45" location="AXISRDP!A1" display="AXISRDP"/>
    <hyperlink ref="B46" location="AXISS95!A1" display="AXISS95"/>
    <hyperlink ref="B47" location="AXISS96!A1" display="AXISS96"/>
    <hyperlink ref="B48" location="AXISS97!A1" display="AXISS97"/>
    <hyperlink ref="B49" location="AXISSCF!A1" display="AXISSCF"/>
    <hyperlink ref="B50" location="AXISSETF!A1" display="AXISSETF"/>
    <hyperlink ref="B51" location="AXISSSF!A1" display="AXISSSF"/>
    <hyperlink ref="B52" location="AXISSTF!A1" display="AXISSTF"/>
    <hyperlink ref="B53" location="AXISTAA!A1" display="AXISTAA"/>
    <hyperlink ref="B54" location="AXISTAF!A1" display="AXISTAF"/>
    <hyperlink ref="B55" location="AXISTETF!A1" display="AXISTETF"/>
    <hyperlink ref="B56" location="AXISTSF!A1" display="AXISTSF"/>
    <hyperlink ref="B57" location="AXISUSF!A1" display="AXISUSF"/>
    <hyperlink ref="B58" location="AXISVAL!A1" display="AXISVAL"/>
    <hyperlink ref="B11" location="AXISCETF!A1" display="AXISCETF"/>
  </hyperlinks>
  <pageMargins left="0" right="0" top="0" bottom="0" header="0" footer="0"/>
  <pageSetup paperSize="9" firstPageNumber="0" fitToWidth="0" fitToHeight="0" pageOrder="overThenDown" orientation="landscape" horizontalDpi="300" verticalDpi="300" r:id="rId1"/>
  <headerFooter alignWithMargins="0">
    <oddFooter>&amp;C&amp;1#&amp;"Calibri"&amp;10&amp;K000000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0"/>
  <sheetViews>
    <sheetView workbookViewId="0"/>
  </sheetViews>
  <sheetFormatPr defaultRowHeight="15"/>
  <cols>
    <col min="1" max="1" width="2.85546875" customWidth="1"/>
    <col min="2" max="2" width="80.85546875" customWidth="1"/>
    <col min="3" max="3" width="18.7109375" bestFit="1" customWidth="1"/>
    <col min="4" max="4" width="22.7109375" bestFit="1" customWidth="1"/>
    <col min="5" max="5" width="25.7109375" customWidth="1"/>
    <col min="6" max="6" width="15.28515625" bestFit="1" customWidth="1"/>
    <col min="7" max="9" width="10.7109375" customWidth="1"/>
    <col min="10" max="10" width="4.85546875" bestFit="1" customWidth="1"/>
    <col min="13" max="13" width="8" bestFit="1" customWidth="1"/>
  </cols>
  <sheetData>
    <row r="1" spans="1:13" ht="15.75" thickBot="1">
      <c r="A1" s="108" t="str">
        <f>M2</f>
        <v>AXIS100</v>
      </c>
    </row>
    <row r="2" spans="1:13" ht="34.5" customHeight="1" thickBot="1">
      <c r="A2" s="135" t="str">
        <f>M2</f>
        <v>AXIS100</v>
      </c>
      <c r="B2" s="186" t="s">
        <v>4</v>
      </c>
      <c r="C2" s="187"/>
      <c r="D2" s="187"/>
      <c r="E2" s="187"/>
      <c r="F2" s="187"/>
      <c r="G2" s="187"/>
      <c r="H2" s="187"/>
      <c r="I2" s="188"/>
      <c r="J2" s="2"/>
      <c r="M2" s="108" t="s">
        <v>3</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5</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129</v>
      </c>
      <c r="B8" s="17" t="s">
        <v>130</v>
      </c>
      <c r="C8" s="13" t="s">
        <v>131</v>
      </c>
      <c r="D8" s="13" t="s">
        <v>132</v>
      </c>
      <c r="E8" s="18">
        <v>21</v>
      </c>
      <c r="F8" s="19">
        <v>275.77999999999997</v>
      </c>
      <c r="G8" s="20">
        <v>9.9699999999999997E-2</v>
      </c>
      <c r="H8" s="21">
        <v>4.3147999999999999E-2</v>
      </c>
      <c r="I8" s="22"/>
      <c r="J8" s="2"/>
    </row>
    <row r="9" spans="1:13" ht="12.95" customHeight="1">
      <c r="A9" s="16" t="s">
        <v>133</v>
      </c>
      <c r="B9" s="17" t="s">
        <v>134</v>
      </c>
      <c r="C9" s="13" t="s">
        <v>135</v>
      </c>
      <c r="D9" s="13" t="s">
        <v>132</v>
      </c>
      <c r="E9" s="18">
        <v>21</v>
      </c>
      <c r="F9" s="19">
        <v>274.3</v>
      </c>
      <c r="G9" s="20">
        <v>9.9199999999999997E-2</v>
      </c>
      <c r="H9" s="21">
        <v>3.9800000000000002E-2</v>
      </c>
      <c r="I9" s="22"/>
      <c r="J9" s="2"/>
    </row>
    <row r="10" spans="1:13" ht="12.95" customHeight="1">
      <c r="A10" s="16" t="s">
        <v>136</v>
      </c>
      <c r="B10" s="17" t="s">
        <v>137</v>
      </c>
      <c r="C10" s="13" t="s">
        <v>138</v>
      </c>
      <c r="D10" s="13" t="s">
        <v>132</v>
      </c>
      <c r="E10" s="18">
        <v>19</v>
      </c>
      <c r="F10" s="19">
        <v>253.62</v>
      </c>
      <c r="G10" s="20">
        <v>9.1700000000000004E-2</v>
      </c>
      <c r="H10" s="21">
        <v>4.2699000000000001E-2</v>
      </c>
      <c r="I10" s="22"/>
      <c r="J10" s="2"/>
    </row>
    <row r="11" spans="1:13" ht="12.95" customHeight="1">
      <c r="A11" s="16" t="s">
        <v>139</v>
      </c>
      <c r="B11" s="17" t="s">
        <v>140</v>
      </c>
      <c r="C11" s="13" t="s">
        <v>141</v>
      </c>
      <c r="D11" s="13" t="s">
        <v>132</v>
      </c>
      <c r="E11" s="18">
        <v>22</v>
      </c>
      <c r="F11" s="19">
        <v>221.96</v>
      </c>
      <c r="G11" s="20">
        <v>8.0299999999999996E-2</v>
      </c>
      <c r="H11" s="21">
        <v>6.1865999999999997E-2</v>
      </c>
      <c r="I11" s="22"/>
      <c r="J11" s="2"/>
    </row>
    <row r="12" spans="1:13" ht="12.95" customHeight="1">
      <c r="A12" s="16" t="s">
        <v>142</v>
      </c>
      <c r="B12" s="17" t="s">
        <v>143</v>
      </c>
      <c r="C12" s="13" t="s">
        <v>144</v>
      </c>
      <c r="D12" s="13" t="s">
        <v>132</v>
      </c>
      <c r="E12" s="18">
        <v>21</v>
      </c>
      <c r="F12" s="19">
        <v>213.25</v>
      </c>
      <c r="G12" s="20">
        <v>7.7100000000000002E-2</v>
      </c>
      <c r="H12" s="21">
        <v>3.6999999999999998E-2</v>
      </c>
      <c r="I12" s="22"/>
      <c r="J12" s="2"/>
    </row>
    <row r="13" spans="1:13" ht="12.95" customHeight="1">
      <c r="A13" s="16" t="s">
        <v>145</v>
      </c>
      <c r="B13" s="17" t="s">
        <v>146</v>
      </c>
      <c r="C13" s="13" t="s">
        <v>147</v>
      </c>
      <c r="D13" s="13" t="s">
        <v>148</v>
      </c>
      <c r="E13" s="18">
        <v>21</v>
      </c>
      <c r="F13" s="19">
        <v>213.24</v>
      </c>
      <c r="G13" s="20">
        <v>7.7100000000000002E-2</v>
      </c>
      <c r="H13" s="21">
        <v>3.6798999999999998E-2</v>
      </c>
      <c r="I13" s="22"/>
      <c r="J13" s="2"/>
    </row>
    <row r="14" spans="1:13" ht="12.95" customHeight="1">
      <c r="A14" s="16" t="s">
        <v>149</v>
      </c>
      <c r="B14" s="17" t="s">
        <v>150</v>
      </c>
      <c r="C14" s="13" t="s">
        <v>151</v>
      </c>
      <c r="D14" s="13" t="s">
        <v>132</v>
      </c>
      <c r="E14" s="18">
        <v>21</v>
      </c>
      <c r="F14" s="19">
        <v>213.01</v>
      </c>
      <c r="G14" s="20">
        <v>7.6999999999999999E-2</v>
      </c>
      <c r="H14" s="21">
        <v>3.7499999999999999E-2</v>
      </c>
      <c r="I14" s="22"/>
      <c r="J14" s="2"/>
    </row>
    <row r="15" spans="1:13" ht="12.95" customHeight="1">
      <c r="A15" s="16" t="s">
        <v>152</v>
      </c>
      <c r="B15" s="17" t="s">
        <v>153</v>
      </c>
      <c r="C15" s="13" t="s">
        <v>154</v>
      </c>
      <c r="D15" s="13" t="s">
        <v>132</v>
      </c>
      <c r="E15" s="18">
        <v>20</v>
      </c>
      <c r="F15" s="19">
        <v>203.68</v>
      </c>
      <c r="G15" s="20">
        <v>7.3700000000000002E-2</v>
      </c>
      <c r="H15" s="21">
        <v>3.7999999999999999E-2</v>
      </c>
      <c r="I15" s="22"/>
      <c r="J15" s="2"/>
    </row>
    <row r="16" spans="1:13" ht="12.95" customHeight="1">
      <c r="A16" s="16" t="s">
        <v>155</v>
      </c>
      <c r="B16" s="17" t="s">
        <v>156</v>
      </c>
      <c r="C16" s="13" t="s">
        <v>157</v>
      </c>
      <c r="D16" s="13" t="s">
        <v>132</v>
      </c>
      <c r="E16" s="18">
        <v>20</v>
      </c>
      <c r="F16" s="19">
        <v>203.37</v>
      </c>
      <c r="G16" s="20">
        <v>7.3599999999999999E-2</v>
      </c>
      <c r="H16" s="21">
        <v>3.7289000000000003E-2</v>
      </c>
      <c r="I16" s="22"/>
      <c r="J16" s="2"/>
    </row>
    <row r="17" spans="1:10" ht="12.95" customHeight="1">
      <c r="A17" s="16" t="s">
        <v>158</v>
      </c>
      <c r="B17" s="17" t="s">
        <v>159</v>
      </c>
      <c r="C17" s="13" t="s">
        <v>160</v>
      </c>
      <c r="D17" s="13" t="s">
        <v>161</v>
      </c>
      <c r="E17" s="18">
        <v>19</v>
      </c>
      <c r="F17" s="19">
        <v>194.8</v>
      </c>
      <c r="G17" s="20">
        <v>7.0499999999999993E-2</v>
      </c>
      <c r="H17" s="21">
        <v>3.7691000000000002E-2</v>
      </c>
      <c r="I17" s="22"/>
      <c r="J17" s="2"/>
    </row>
    <row r="18" spans="1:10" ht="12.95" customHeight="1">
      <c r="A18" s="16" t="s">
        <v>162</v>
      </c>
      <c r="B18" s="17" t="s">
        <v>163</v>
      </c>
      <c r="C18" s="13" t="s">
        <v>164</v>
      </c>
      <c r="D18" s="13" t="s">
        <v>132</v>
      </c>
      <c r="E18" s="18">
        <v>7</v>
      </c>
      <c r="F18" s="19">
        <v>70.53</v>
      </c>
      <c r="G18" s="20">
        <v>2.5499999999999998E-2</v>
      </c>
      <c r="H18" s="21">
        <v>3.5499999999999997E-2</v>
      </c>
      <c r="I18" s="22"/>
      <c r="J18" s="2"/>
    </row>
    <row r="19" spans="1:10" ht="12.95" customHeight="1">
      <c r="A19" s="16" t="s">
        <v>165</v>
      </c>
      <c r="B19" s="17" t="s">
        <v>166</v>
      </c>
      <c r="C19" s="13" t="s">
        <v>167</v>
      </c>
      <c r="D19" s="13" t="s">
        <v>132</v>
      </c>
      <c r="E19" s="18">
        <v>5</v>
      </c>
      <c r="F19" s="19">
        <v>51</v>
      </c>
      <c r="G19" s="20">
        <v>1.84E-2</v>
      </c>
      <c r="H19" s="21">
        <v>3.9751000000000002E-2</v>
      </c>
      <c r="I19" s="22"/>
      <c r="J19" s="2"/>
    </row>
    <row r="20" spans="1:10" ht="12.95" customHeight="1">
      <c r="A20" s="16" t="s">
        <v>168</v>
      </c>
      <c r="B20" s="17" t="s">
        <v>169</v>
      </c>
      <c r="C20" s="13" t="s">
        <v>170</v>
      </c>
      <c r="D20" s="13" t="s">
        <v>171</v>
      </c>
      <c r="E20" s="18">
        <v>10</v>
      </c>
      <c r="F20" s="19">
        <v>10.17</v>
      </c>
      <c r="G20" s="20">
        <v>3.7000000000000002E-3</v>
      </c>
      <c r="H20" s="21">
        <v>3.7801000000000001E-2</v>
      </c>
      <c r="I20" s="22"/>
      <c r="J20" s="2"/>
    </row>
    <row r="21" spans="1:10" ht="12.95" customHeight="1">
      <c r="A21" s="2"/>
      <c r="B21" s="12" t="s">
        <v>172</v>
      </c>
      <c r="C21" s="13"/>
      <c r="D21" s="13"/>
      <c r="E21" s="13"/>
      <c r="F21" s="23">
        <v>2398.71</v>
      </c>
      <c r="G21" s="24">
        <v>0.86750000000000005</v>
      </c>
      <c r="H21" s="25"/>
      <c r="I21" s="26"/>
      <c r="J21" s="2"/>
    </row>
    <row r="22" spans="1:10" ht="12.95" customHeight="1">
      <c r="A22" s="2"/>
      <c r="B22" s="12" t="s">
        <v>173</v>
      </c>
      <c r="C22" s="13"/>
      <c r="D22" s="13"/>
      <c r="E22" s="13"/>
      <c r="F22" s="2"/>
      <c r="G22" s="14"/>
      <c r="H22" s="14"/>
      <c r="I22" s="15"/>
      <c r="J22" s="2"/>
    </row>
    <row r="23" spans="1:10" ht="12.95" customHeight="1">
      <c r="A23" s="16" t="s">
        <v>174</v>
      </c>
      <c r="B23" s="17" t="s">
        <v>175</v>
      </c>
      <c r="C23" s="13" t="s">
        <v>176</v>
      </c>
      <c r="D23" s="13" t="s">
        <v>132</v>
      </c>
      <c r="E23" s="18">
        <v>21</v>
      </c>
      <c r="F23" s="19">
        <v>213.53</v>
      </c>
      <c r="G23" s="20">
        <v>7.7200000000000005E-2</v>
      </c>
      <c r="H23" s="21">
        <v>4.5000999999999999E-2</v>
      </c>
      <c r="I23" s="22"/>
      <c r="J23" s="2"/>
    </row>
    <row r="24" spans="1:10" ht="12.95" customHeight="1">
      <c r="A24" s="2"/>
      <c r="B24" s="12" t="s">
        <v>172</v>
      </c>
      <c r="C24" s="13"/>
      <c r="D24" s="13"/>
      <c r="E24" s="13"/>
      <c r="F24" s="23">
        <v>213.53</v>
      </c>
      <c r="G24" s="24">
        <v>7.7200000000000005E-2</v>
      </c>
      <c r="H24" s="25"/>
      <c r="I24" s="26"/>
      <c r="J24" s="2"/>
    </row>
    <row r="25" spans="1:10" ht="12.95" customHeight="1">
      <c r="A25" s="2"/>
      <c r="B25" s="27" t="s">
        <v>177</v>
      </c>
      <c r="C25" s="28"/>
      <c r="D25" s="1"/>
      <c r="E25" s="28"/>
      <c r="F25" s="23">
        <v>2612.2399999999998</v>
      </c>
      <c r="G25" s="24">
        <v>0.94469999999999998</v>
      </c>
      <c r="H25" s="25"/>
      <c r="I25" s="26"/>
      <c r="J25" s="2"/>
    </row>
    <row r="26" spans="1:10" ht="12.95" customHeight="1">
      <c r="A26" s="2"/>
      <c r="B26" s="12" t="s">
        <v>178</v>
      </c>
      <c r="C26" s="13"/>
      <c r="D26" s="13"/>
      <c r="E26" s="13"/>
      <c r="F26" s="13"/>
      <c r="G26" s="13"/>
      <c r="H26" s="14"/>
      <c r="I26" s="15"/>
      <c r="J26" s="2"/>
    </row>
    <row r="27" spans="1:10" ht="12.95" customHeight="1">
      <c r="A27" s="16" t="s">
        <v>179</v>
      </c>
      <c r="B27" s="17" t="s">
        <v>180</v>
      </c>
      <c r="C27" s="13"/>
      <c r="D27" s="13"/>
      <c r="E27" s="18"/>
      <c r="F27" s="19">
        <v>73.7</v>
      </c>
      <c r="G27" s="20">
        <v>2.6700000000000002E-2</v>
      </c>
      <c r="H27" s="21">
        <v>3.3028307272241715E-2</v>
      </c>
      <c r="I27" s="22"/>
      <c r="J27" s="2"/>
    </row>
    <row r="28" spans="1:10" ht="12.95" customHeight="1">
      <c r="A28" s="2"/>
      <c r="B28" s="12" t="s">
        <v>172</v>
      </c>
      <c r="C28" s="13"/>
      <c r="D28" s="13"/>
      <c r="E28" s="13"/>
      <c r="F28" s="23">
        <v>73.7</v>
      </c>
      <c r="G28" s="24">
        <v>2.6700000000000002E-2</v>
      </c>
      <c r="H28" s="25"/>
      <c r="I28" s="26"/>
      <c r="J28" s="2"/>
    </row>
    <row r="29" spans="1:10" ht="12.95" customHeight="1">
      <c r="A29" s="2"/>
      <c r="B29" s="27" t="s">
        <v>177</v>
      </c>
      <c r="C29" s="28"/>
      <c r="D29" s="1"/>
      <c r="E29" s="28"/>
      <c r="F29" s="23">
        <v>73.7</v>
      </c>
      <c r="G29" s="24">
        <v>2.6700000000000002E-2</v>
      </c>
      <c r="H29" s="25"/>
      <c r="I29" s="26"/>
      <c r="J29" s="2"/>
    </row>
    <row r="30" spans="1:10" ht="12.95" customHeight="1">
      <c r="A30" s="2"/>
      <c r="B30" s="27" t="s">
        <v>181</v>
      </c>
      <c r="C30" s="13"/>
      <c r="D30" s="1"/>
      <c r="E30" s="13"/>
      <c r="F30" s="29">
        <v>79.05</v>
      </c>
      <c r="G30" s="24">
        <v>2.86E-2</v>
      </c>
      <c r="H30" s="25"/>
      <c r="I30" s="26"/>
      <c r="J30" s="2"/>
    </row>
    <row r="31" spans="1:10" ht="12.95" customHeight="1">
      <c r="A31" s="2"/>
      <c r="B31" s="30" t="s">
        <v>182</v>
      </c>
      <c r="C31" s="31"/>
      <c r="D31" s="31"/>
      <c r="E31" s="31"/>
      <c r="F31" s="32">
        <v>2764.99</v>
      </c>
      <c r="G31" s="33">
        <v>1</v>
      </c>
      <c r="H31" s="34"/>
      <c r="I31" s="35"/>
      <c r="J31" s="2"/>
    </row>
    <row r="32" spans="1:10" ht="12.95" customHeight="1">
      <c r="A32" s="2"/>
      <c r="B32" s="5"/>
      <c r="C32" s="2"/>
      <c r="D32" s="2"/>
      <c r="E32" s="2"/>
      <c r="F32" s="2"/>
      <c r="G32" s="2"/>
      <c r="H32" s="2"/>
      <c r="I32" s="2"/>
      <c r="J32" s="2"/>
    </row>
    <row r="33" spans="1:10" ht="12.95" customHeight="1">
      <c r="A33" s="2"/>
      <c r="B33" s="3" t="s">
        <v>183</v>
      </c>
      <c r="C33" s="2"/>
      <c r="D33" s="2"/>
      <c r="E33" s="2"/>
      <c r="F33" s="2"/>
      <c r="G33" s="2"/>
      <c r="H33" s="2"/>
      <c r="I33" s="2"/>
      <c r="J33" s="2"/>
    </row>
    <row r="34" spans="1:10" ht="12.95" customHeight="1">
      <c r="A34" s="2"/>
      <c r="B34" s="3" t="s">
        <v>184</v>
      </c>
      <c r="C34" s="2"/>
      <c r="D34" s="2"/>
      <c r="E34" s="2"/>
      <c r="F34" s="2"/>
      <c r="G34" s="2"/>
      <c r="H34" s="2"/>
      <c r="I34" s="2"/>
      <c r="J34" s="2"/>
    </row>
    <row r="35" spans="1:10" ht="12.95" customHeight="1">
      <c r="A35" s="2"/>
      <c r="B35" s="3" t="s">
        <v>185</v>
      </c>
      <c r="C35" s="2"/>
      <c r="D35" s="2"/>
      <c r="E35" s="2"/>
      <c r="F35" s="2"/>
      <c r="G35" s="2"/>
      <c r="H35" s="2"/>
      <c r="I35" s="2"/>
      <c r="J35" s="2"/>
    </row>
    <row r="36" spans="1:10" ht="12.95" customHeight="1">
      <c r="A36" s="2"/>
      <c r="B36" s="3" t="s">
        <v>186</v>
      </c>
      <c r="C36" s="2"/>
      <c r="D36" s="2"/>
      <c r="E36" s="2"/>
      <c r="F36" s="2"/>
      <c r="G36" s="2"/>
      <c r="H36" s="2"/>
      <c r="I36" s="2"/>
      <c r="J36" s="2"/>
    </row>
    <row r="37" spans="1:10" ht="24.75" customHeight="1">
      <c r="A37" s="2"/>
      <c r="B37" s="189" t="s">
        <v>4025</v>
      </c>
      <c r="C37" s="189"/>
      <c r="D37" s="189"/>
      <c r="E37" s="189"/>
      <c r="F37" s="189"/>
      <c r="G37" s="189"/>
      <c r="H37" s="189"/>
      <c r="I37" s="189"/>
      <c r="J37" s="2"/>
    </row>
    <row r="38" spans="1:10" s="110" customFormat="1"/>
    <row r="39" spans="1:10">
      <c r="C39" s="111" t="s">
        <v>3935</v>
      </c>
    </row>
    <row r="40" spans="1:10">
      <c r="B40" s="111" t="s">
        <v>3933</v>
      </c>
      <c r="C40" s="111" t="s">
        <v>3934</v>
      </c>
    </row>
  </sheetData>
  <mergeCells count="2">
    <mergeCell ref="B2:I2"/>
    <mergeCell ref="B37:I37"/>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9"/>
  <sheetViews>
    <sheetView workbookViewId="0"/>
  </sheetViews>
  <sheetFormatPr defaultRowHeight="15"/>
  <cols>
    <col min="1" max="1" width="3.28515625" customWidth="1"/>
    <col min="2" max="2" width="69.140625" customWidth="1"/>
    <col min="3"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AXIS101</v>
      </c>
    </row>
    <row r="2" spans="1:13" ht="34.5" customHeight="1" thickBot="1">
      <c r="A2" s="135" t="str">
        <f>M2</f>
        <v>AXIS101</v>
      </c>
      <c r="B2" s="186" t="s">
        <v>7</v>
      </c>
      <c r="C2" s="187"/>
      <c r="D2" s="187"/>
      <c r="E2" s="187"/>
      <c r="F2" s="187"/>
      <c r="G2" s="187"/>
      <c r="H2" s="187"/>
      <c r="I2" s="188"/>
      <c r="J2" s="2"/>
      <c r="M2" s="108" t="s">
        <v>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5</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136</v>
      </c>
      <c r="B8" s="17" t="s">
        <v>137</v>
      </c>
      <c r="C8" s="13" t="s">
        <v>138</v>
      </c>
      <c r="D8" s="13" t="s">
        <v>132</v>
      </c>
      <c r="E8" s="18">
        <v>25</v>
      </c>
      <c r="F8" s="19">
        <v>333.71</v>
      </c>
      <c r="G8" s="20">
        <v>0.1003</v>
      </c>
      <c r="H8" s="21">
        <v>4.2699000000000001E-2</v>
      </c>
      <c r="I8" s="22"/>
      <c r="J8" s="2"/>
    </row>
    <row r="9" spans="1:13" ht="12.95" customHeight="1">
      <c r="A9" s="16" t="s">
        <v>187</v>
      </c>
      <c r="B9" s="17" t="s">
        <v>188</v>
      </c>
      <c r="C9" s="13" t="s">
        <v>189</v>
      </c>
      <c r="D9" s="13" t="s">
        <v>132</v>
      </c>
      <c r="E9" s="18">
        <v>25</v>
      </c>
      <c r="F9" s="19">
        <v>328.48</v>
      </c>
      <c r="G9" s="20">
        <v>9.8699999999999996E-2</v>
      </c>
      <c r="H9" s="21">
        <v>4.2900000000000001E-2</v>
      </c>
      <c r="I9" s="22"/>
      <c r="J9" s="2"/>
    </row>
    <row r="10" spans="1:13" ht="12.95" customHeight="1">
      <c r="A10" s="16" t="s">
        <v>139</v>
      </c>
      <c r="B10" s="17" t="s">
        <v>140</v>
      </c>
      <c r="C10" s="13" t="s">
        <v>141</v>
      </c>
      <c r="D10" s="13" t="s">
        <v>132</v>
      </c>
      <c r="E10" s="18">
        <v>27</v>
      </c>
      <c r="F10" s="19">
        <v>272.41000000000003</v>
      </c>
      <c r="G10" s="20">
        <v>8.1900000000000001E-2</v>
      </c>
      <c r="H10" s="21">
        <v>6.1865999999999997E-2</v>
      </c>
      <c r="I10" s="22"/>
      <c r="J10" s="2"/>
    </row>
    <row r="11" spans="1:13" ht="12.95" customHeight="1">
      <c r="A11" s="16" t="s">
        <v>190</v>
      </c>
      <c r="B11" s="17" t="s">
        <v>191</v>
      </c>
      <c r="C11" s="13" t="s">
        <v>192</v>
      </c>
      <c r="D11" s="13" t="s">
        <v>132</v>
      </c>
      <c r="E11" s="18">
        <v>26</v>
      </c>
      <c r="F11" s="19">
        <v>265.64</v>
      </c>
      <c r="G11" s="20">
        <v>7.9799999999999996E-2</v>
      </c>
      <c r="H11" s="21">
        <v>3.7600000000000001E-2</v>
      </c>
      <c r="I11" s="22"/>
      <c r="J11" s="2"/>
    </row>
    <row r="12" spans="1:13" ht="12.95" customHeight="1">
      <c r="A12" s="16" t="s">
        <v>129</v>
      </c>
      <c r="B12" s="17" t="s">
        <v>130</v>
      </c>
      <c r="C12" s="13" t="s">
        <v>131</v>
      </c>
      <c r="D12" s="13" t="s">
        <v>132</v>
      </c>
      <c r="E12" s="18">
        <v>20</v>
      </c>
      <c r="F12" s="19">
        <v>262.64999999999998</v>
      </c>
      <c r="G12" s="20">
        <v>7.8899999999999998E-2</v>
      </c>
      <c r="H12" s="21">
        <v>4.3147999999999999E-2</v>
      </c>
      <c r="I12" s="22"/>
      <c r="J12" s="2"/>
    </row>
    <row r="13" spans="1:13" ht="12.95" customHeight="1">
      <c r="A13" s="16" t="s">
        <v>145</v>
      </c>
      <c r="B13" s="17" t="s">
        <v>146</v>
      </c>
      <c r="C13" s="13" t="s">
        <v>147</v>
      </c>
      <c r="D13" s="13" t="s">
        <v>148</v>
      </c>
      <c r="E13" s="18">
        <v>25</v>
      </c>
      <c r="F13" s="19">
        <v>253.86</v>
      </c>
      <c r="G13" s="20">
        <v>7.6300000000000007E-2</v>
      </c>
      <c r="H13" s="21">
        <v>3.6798999999999998E-2</v>
      </c>
      <c r="I13" s="22"/>
      <c r="J13" s="2"/>
    </row>
    <row r="14" spans="1:13" ht="12.95" customHeight="1">
      <c r="A14" s="16" t="s">
        <v>193</v>
      </c>
      <c r="B14" s="17" t="s">
        <v>194</v>
      </c>
      <c r="C14" s="13" t="s">
        <v>195</v>
      </c>
      <c r="D14" s="13" t="s">
        <v>196</v>
      </c>
      <c r="E14" s="18">
        <v>19</v>
      </c>
      <c r="F14" s="19">
        <v>249.82</v>
      </c>
      <c r="G14" s="20">
        <v>7.51E-2</v>
      </c>
      <c r="H14" s="21">
        <v>4.3049999999999998E-2</v>
      </c>
      <c r="I14" s="22"/>
      <c r="J14" s="2"/>
    </row>
    <row r="15" spans="1:13" ht="12.95" customHeight="1">
      <c r="A15" s="16" t="s">
        <v>158</v>
      </c>
      <c r="B15" s="17" t="s">
        <v>159</v>
      </c>
      <c r="C15" s="13" t="s">
        <v>160</v>
      </c>
      <c r="D15" s="13" t="s">
        <v>161</v>
      </c>
      <c r="E15" s="18">
        <v>22</v>
      </c>
      <c r="F15" s="19">
        <v>225.56</v>
      </c>
      <c r="G15" s="20">
        <v>6.7799999999999999E-2</v>
      </c>
      <c r="H15" s="21">
        <v>3.7691000000000002E-2</v>
      </c>
      <c r="I15" s="22"/>
      <c r="J15" s="2"/>
    </row>
    <row r="16" spans="1:13" ht="12.95" customHeight="1">
      <c r="A16" s="16" t="s">
        <v>197</v>
      </c>
      <c r="B16" s="17" t="s">
        <v>198</v>
      </c>
      <c r="C16" s="13" t="s">
        <v>199</v>
      </c>
      <c r="D16" s="13" t="s">
        <v>200</v>
      </c>
      <c r="E16" s="18">
        <v>200000</v>
      </c>
      <c r="F16" s="19">
        <v>203.84</v>
      </c>
      <c r="G16" s="20">
        <v>6.13E-2</v>
      </c>
      <c r="H16" s="21">
        <v>3.7170000000000002E-2</v>
      </c>
      <c r="I16" s="22"/>
      <c r="J16" s="2"/>
    </row>
    <row r="17" spans="1:10" ht="12.95" customHeight="1">
      <c r="A17" s="16" t="s">
        <v>133</v>
      </c>
      <c r="B17" s="17" t="s">
        <v>134</v>
      </c>
      <c r="C17" s="13" t="s">
        <v>135</v>
      </c>
      <c r="D17" s="13" t="s">
        <v>132</v>
      </c>
      <c r="E17" s="18">
        <v>13</v>
      </c>
      <c r="F17" s="19">
        <v>169.8</v>
      </c>
      <c r="G17" s="20">
        <v>5.0999999999999997E-2</v>
      </c>
      <c r="H17" s="21">
        <v>3.9800000000000002E-2</v>
      </c>
      <c r="I17" s="22"/>
      <c r="J17" s="2"/>
    </row>
    <row r="18" spans="1:10" ht="12.95" customHeight="1">
      <c r="A18" s="16" t="s">
        <v>201</v>
      </c>
      <c r="B18" s="17" t="s">
        <v>202</v>
      </c>
      <c r="C18" s="13" t="s">
        <v>203</v>
      </c>
      <c r="D18" s="13" t="s">
        <v>132</v>
      </c>
      <c r="E18" s="18">
        <v>15</v>
      </c>
      <c r="F18" s="19">
        <v>150.69999999999999</v>
      </c>
      <c r="G18" s="20">
        <v>4.53E-2</v>
      </c>
      <c r="H18" s="21">
        <v>3.5250999999999998E-2</v>
      </c>
      <c r="I18" s="22"/>
      <c r="J18" s="2"/>
    </row>
    <row r="19" spans="1:10" ht="12.95" customHeight="1">
      <c r="A19" s="16" t="s">
        <v>142</v>
      </c>
      <c r="B19" s="17" t="s">
        <v>143</v>
      </c>
      <c r="C19" s="13" t="s">
        <v>144</v>
      </c>
      <c r="D19" s="13" t="s">
        <v>132</v>
      </c>
      <c r="E19" s="18">
        <v>12</v>
      </c>
      <c r="F19" s="19">
        <v>121.86</v>
      </c>
      <c r="G19" s="20">
        <v>3.6600000000000001E-2</v>
      </c>
      <c r="H19" s="21">
        <v>3.6999999999999998E-2</v>
      </c>
      <c r="I19" s="22"/>
      <c r="J19" s="2"/>
    </row>
    <row r="20" spans="1:10" ht="12.95" customHeight="1">
      <c r="A20" s="2"/>
      <c r="B20" s="12" t="s">
        <v>172</v>
      </c>
      <c r="C20" s="13"/>
      <c r="D20" s="13"/>
      <c r="E20" s="13"/>
      <c r="F20" s="23">
        <v>2838.33</v>
      </c>
      <c r="G20" s="24">
        <v>0.85299999999999998</v>
      </c>
      <c r="H20" s="25"/>
      <c r="I20" s="26"/>
      <c r="J20" s="2"/>
    </row>
    <row r="21" spans="1:10" ht="12.95" customHeight="1">
      <c r="A21" s="2"/>
      <c r="B21" s="27" t="s">
        <v>173</v>
      </c>
      <c r="C21" s="1"/>
      <c r="D21" s="1"/>
      <c r="E21" s="1"/>
      <c r="F21" s="25" t="s">
        <v>204</v>
      </c>
      <c r="G21" s="25" t="s">
        <v>204</v>
      </c>
      <c r="H21" s="25"/>
      <c r="I21" s="26"/>
      <c r="J21" s="2"/>
    </row>
    <row r="22" spans="1:10" ht="12.95" customHeight="1">
      <c r="A22" s="2"/>
      <c r="B22" s="27" t="s">
        <v>172</v>
      </c>
      <c r="C22" s="1"/>
      <c r="D22" s="1"/>
      <c r="E22" s="1"/>
      <c r="F22" s="25" t="s">
        <v>204</v>
      </c>
      <c r="G22" s="25" t="s">
        <v>204</v>
      </c>
      <c r="H22" s="25"/>
      <c r="I22" s="26"/>
      <c r="J22" s="2"/>
    </row>
    <row r="23" spans="1:10" ht="12.95" customHeight="1">
      <c r="A23" s="2"/>
      <c r="B23" s="27" t="s">
        <v>177</v>
      </c>
      <c r="C23" s="28"/>
      <c r="D23" s="1"/>
      <c r="E23" s="28"/>
      <c r="F23" s="23">
        <v>2838.33</v>
      </c>
      <c r="G23" s="24">
        <v>0.85299999999999998</v>
      </c>
      <c r="H23" s="25"/>
      <c r="I23" s="26"/>
      <c r="J23" s="2"/>
    </row>
    <row r="24" spans="1:10" ht="12.95" customHeight="1">
      <c r="A24" s="2"/>
      <c r="B24" s="12" t="s">
        <v>178</v>
      </c>
      <c r="C24" s="13"/>
      <c r="D24" s="13"/>
      <c r="E24" s="13"/>
      <c r="F24" s="13"/>
      <c r="G24" s="13"/>
      <c r="H24" s="14"/>
      <c r="I24" s="15"/>
      <c r="J24" s="2"/>
    </row>
    <row r="25" spans="1:10" ht="12.95" customHeight="1">
      <c r="A25" s="16" t="s">
        <v>179</v>
      </c>
      <c r="B25" s="17" t="s">
        <v>180</v>
      </c>
      <c r="C25" s="13"/>
      <c r="D25" s="13"/>
      <c r="E25" s="18"/>
      <c r="F25" s="19">
        <v>441.4</v>
      </c>
      <c r="G25" s="20">
        <v>0.1326</v>
      </c>
      <c r="H25" s="21">
        <v>3.3044752829472328E-2</v>
      </c>
      <c r="I25" s="22"/>
      <c r="J25" s="2"/>
    </row>
    <row r="26" spans="1:10" ht="12.95" customHeight="1">
      <c r="A26" s="2"/>
      <c r="B26" s="12" t="s">
        <v>172</v>
      </c>
      <c r="C26" s="13"/>
      <c r="D26" s="13"/>
      <c r="E26" s="13"/>
      <c r="F26" s="23">
        <v>441.4</v>
      </c>
      <c r="G26" s="24">
        <v>0.1326</v>
      </c>
      <c r="H26" s="25"/>
      <c r="I26" s="26"/>
      <c r="J26" s="2"/>
    </row>
    <row r="27" spans="1:10" ht="12.95" customHeight="1">
      <c r="A27" s="2"/>
      <c r="B27" s="27" t="s">
        <v>173</v>
      </c>
      <c r="C27" s="1"/>
      <c r="D27" s="1"/>
      <c r="E27" s="1"/>
      <c r="F27" s="25" t="s">
        <v>204</v>
      </c>
      <c r="G27" s="25" t="s">
        <v>204</v>
      </c>
      <c r="H27" s="25"/>
      <c r="I27" s="26"/>
      <c r="J27" s="2"/>
    </row>
    <row r="28" spans="1:10" ht="12.95" customHeight="1">
      <c r="A28" s="2"/>
      <c r="B28" s="27" t="s">
        <v>172</v>
      </c>
      <c r="C28" s="1"/>
      <c r="D28" s="1"/>
      <c r="E28" s="1"/>
      <c r="F28" s="25" t="s">
        <v>204</v>
      </c>
      <c r="G28" s="25" t="s">
        <v>204</v>
      </c>
      <c r="H28" s="25"/>
      <c r="I28" s="26"/>
      <c r="J28" s="2"/>
    </row>
    <row r="29" spans="1:10" ht="12.95" customHeight="1">
      <c r="A29" s="2"/>
      <c r="B29" s="27" t="s">
        <v>177</v>
      </c>
      <c r="C29" s="28"/>
      <c r="D29" s="1"/>
      <c r="E29" s="28"/>
      <c r="F29" s="23">
        <v>441.4</v>
      </c>
      <c r="G29" s="24">
        <v>0.1326</v>
      </c>
      <c r="H29" s="25"/>
      <c r="I29" s="26"/>
      <c r="J29" s="2"/>
    </row>
    <row r="30" spans="1:10" ht="12.95" customHeight="1">
      <c r="A30" s="2"/>
      <c r="B30" s="27" t="s">
        <v>181</v>
      </c>
      <c r="C30" s="13"/>
      <c r="D30" s="1"/>
      <c r="E30" s="13"/>
      <c r="F30" s="29">
        <v>48.15</v>
      </c>
      <c r="G30" s="24">
        <v>1.44E-2</v>
      </c>
      <c r="H30" s="25"/>
      <c r="I30" s="26"/>
      <c r="J30" s="2"/>
    </row>
    <row r="31" spans="1:10" ht="12.95" customHeight="1">
      <c r="A31" s="2"/>
      <c r="B31" s="30" t="s">
        <v>182</v>
      </c>
      <c r="C31" s="31"/>
      <c r="D31" s="31"/>
      <c r="E31" s="31"/>
      <c r="F31" s="32">
        <v>3327.88</v>
      </c>
      <c r="G31" s="33">
        <v>1</v>
      </c>
      <c r="H31" s="34"/>
      <c r="I31" s="35"/>
      <c r="J31" s="2"/>
    </row>
    <row r="32" spans="1:10" ht="12.95" customHeight="1">
      <c r="A32" s="2"/>
      <c r="B32" s="5"/>
      <c r="C32" s="2"/>
      <c r="D32" s="2"/>
      <c r="E32" s="2"/>
      <c r="F32" s="2"/>
      <c r="G32" s="2"/>
      <c r="H32" s="2"/>
      <c r="I32" s="2"/>
      <c r="J32" s="2"/>
    </row>
    <row r="33" spans="1:10" ht="12.95" customHeight="1">
      <c r="A33" s="2"/>
      <c r="B33" s="3" t="s">
        <v>183</v>
      </c>
      <c r="C33" s="2"/>
      <c r="D33" s="2"/>
      <c r="E33" s="2"/>
      <c r="F33" s="2"/>
      <c r="G33" s="2"/>
      <c r="H33" s="2"/>
      <c r="I33" s="2"/>
      <c r="J33" s="2"/>
    </row>
    <row r="34" spans="1:10" ht="12.95" customHeight="1">
      <c r="A34" s="2"/>
      <c r="B34" s="3" t="s">
        <v>184</v>
      </c>
      <c r="C34" s="2"/>
      <c r="D34" s="2"/>
      <c r="E34" s="2"/>
      <c r="F34" s="2"/>
      <c r="G34" s="2"/>
      <c r="H34" s="2"/>
      <c r="I34" s="2"/>
      <c r="J34" s="2"/>
    </row>
    <row r="35" spans="1:10" ht="12.95" customHeight="1">
      <c r="A35" s="2"/>
      <c r="B35" s="3" t="s">
        <v>186</v>
      </c>
      <c r="C35" s="2"/>
      <c r="D35" s="2"/>
      <c r="E35" s="2"/>
      <c r="F35" s="2"/>
      <c r="G35" s="2"/>
      <c r="H35" s="2"/>
      <c r="I35" s="2"/>
      <c r="J35" s="2"/>
    </row>
    <row r="36" spans="1:10" ht="24.75" customHeight="1">
      <c r="A36" s="2"/>
      <c r="B36" s="189" t="s">
        <v>4025</v>
      </c>
      <c r="C36" s="189"/>
      <c r="D36" s="189"/>
      <c r="E36" s="189"/>
      <c r="F36" s="189"/>
      <c r="G36" s="189"/>
      <c r="H36" s="189"/>
      <c r="I36" s="189"/>
      <c r="J36" s="2"/>
    </row>
    <row r="37" spans="1:10" ht="10.5" customHeight="1">
      <c r="A37" s="116"/>
      <c r="B37" s="200"/>
      <c r="C37" s="200"/>
      <c r="D37" s="200"/>
      <c r="E37" s="200"/>
      <c r="F37" s="200"/>
      <c r="G37" s="200"/>
      <c r="H37" s="200"/>
      <c r="I37" s="200"/>
      <c r="J37" s="116"/>
    </row>
    <row r="38" spans="1:10">
      <c r="C38" s="111" t="s">
        <v>3935</v>
      </c>
    </row>
    <row r="39" spans="1:10">
      <c r="B39" s="111" t="s">
        <v>3933</v>
      </c>
      <c r="C39" s="111" t="s">
        <v>3934</v>
      </c>
    </row>
  </sheetData>
  <mergeCells count="2">
    <mergeCell ref="B2:I2"/>
    <mergeCell ref="B36:I36"/>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9"/>
  <sheetViews>
    <sheetView workbookViewId="0"/>
  </sheetViews>
  <sheetFormatPr defaultRowHeight="15"/>
  <cols>
    <col min="1" max="1" width="3.28515625" customWidth="1"/>
    <col min="2" max="2" width="69.140625" customWidth="1"/>
    <col min="3"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AXIS102</v>
      </c>
    </row>
    <row r="2" spans="1:13" ht="34.5" customHeight="1" thickBot="1">
      <c r="A2" s="135" t="str">
        <f>M2</f>
        <v>AXIS102</v>
      </c>
      <c r="B2" s="186" t="s">
        <v>9</v>
      </c>
      <c r="C2" s="187"/>
      <c r="D2" s="187"/>
      <c r="E2" s="187"/>
      <c r="F2" s="187"/>
      <c r="G2" s="187"/>
      <c r="H2" s="187"/>
      <c r="I2" s="188"/>
      <c r="J2" s="2"/>
      <c r="M2" s="108" t="s">
        <v>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5</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129</v>
      </c>
      <c r="B8" s="17" t="s">
        <v>130</v>
      </c>
      <c r="C8" s="13" t="s">
        <v>131</v>
      </c>
      <c r="D8" s="13" t="s">
        <v>132</v>
      </c>
      <c r="E8" s="18">
        <v>30</v>
      </c>
      <c r="F8" s="19">
        <v>393.97</v>
      </c>
      <c r="G8" s="20">
        <v>0.10009999999999999</v>
      </c>
      <c r="H8" s="21">
        <v>4.3147999999999999E-2</v>
      </c>
      <c r="I8" s="22"/>
      <c r="J8" s="2"/>
    </row>
    <row r="9" spans="1:13" ht="12.95" customHeight="1">
      <c r="A9" s="16" t="s">
        <v>133</v>
      </c>
      <c r="B9" s="17" t="s">
        <v>134</v>
      </c>
      <c r="C9" s="13" t="s">
        <v>135</v>
      </c>
      <c r="D9" s="13" t="s">
        <v>132</v>
      </c>
      <c r="E9" s="18">
        <v>30</v>
      </c>
      <c r="F9" s="19">
        <v>391.85</v>
      </c>
      <c r="G9" s="20">
        <v>9.9599999999999994E-2</v>
      </c>
      <c r="H9" s="21">
        <v>3.9800000000000002E-2</v>
      </c>
      <c r="I9" s="22"/>
      <c r="J9" s="2"/>
    </row>
    <row r="10" spans="1:13" ht="12.95" customHeight="1">
      <c r="A10" s="16" t="s">
        <v>136</v>
      </c>
      <c r="B10" s="17" t="s">
        <v>137</v>
      </c>
      <c r="C10" s="13" t="s">
        <v>138</v>
      </c>
      <c r="D10" s="13" t="s">
        <v>132</v>
      </c>
      <c r="E10" s="18">
        <v>29</v>
      </c>
      <c r="F10" s="19">
        <v>387.1</v>
      </c>
      <c r="G10" s="20">
        <v>9.8400000000000001E-2</v>
      </c>
      <c r="H10" s="21">
        <v>4.2699000000000001E-2</v>
      </c>
      <c r="I10" s="22"/>
      <c r="J10" s="2"/>
    </row>
    <row r="11" spans="1:13" ht="12.95" customHeight="1">
      <c r="A11" s="16" t="s">
        <v>168</v>
      </c>
      <c r="B11" s="17" t="s">
        <v>169</v>
      </c>
      <c r="C11" s="13" t="s">
        <v>170</v>
      </c>
      <c r="D11" s="13" t="s">
        <v>171</v>
      </c>
      <c r="E11" s="18">
        <v>340</v>
      </c>
      <c r="F11" s="19">
        <v>345.76</v>
      </c>
      <c r="G11" s="20">
        <v>8.7900000000000006E-2</v>
      </c>
      <c r="H11" s="21">
        <v>3.7801000000000001E-2</v>
      </c>
      <c r="I11" s="22"/>
      <c r="J11" s="2"/>
    </row>
    <row r="12" spans="1:13" ht="12.95" customHeight="1">
      <c r="A12" s="16" t="s">
        <v>187</v>
      </c>
      <c r="B12" s="17" t="s">
        <v>188</v>
      </c>
      <c r="C12" s="13" t="s">
        <v>189</v>
      </c>
      <c r="D12" s="13" t="s">
        <v>132</v>
      </c>
      <c r="E12" s="18">
        <v>25</v>
      </c>
      <c r="F12" s="19">
        <v>328.48</v>
      </c>
      <c r="G12" s="20">
        <v>8.3500000000000005E-2</v>
      </c>
      <c r="H12" s="21">
        <v>4.2900000000000001E-2</v>
      </c>
      <c r="I12" s="22"/>
      <c r="J12" s="2"/>
    </row>
    <row r="13" spans="1:13" ht="12.95" customHeight="1">
      <c r="A13" s="16" t="s">
        <v>158</v>
      </c>
      <c r="B13" s="17" t="s">
        <v>159</v>
      </c>
      <c r="C13" s="13" t="s">
        <v>160</v>
      </c>
      <c r="D13" s="13" t="s">
        <v>161</v>
      </c>
      <c r="E13" s="18">
        <v>30</v>
      </c>
      <c r="F13" s="19">
        <v>307.58</v>
      </c>
      <c r="G13" s="20">
        <v>7.8200000000000006E-2</v>
      </c>
      <c r="H13" s="21">
        <v>3.7691000000000002E-2</v>
      </c>
      <c r="I13" s="22"/>
      <c r="J13" s="2"/>
    </row>
    <row r="14" spans="1:13" ht="12.95" customHeight="1">
      <c r="A14" s="16" t="s">
        <v>139</v>
      </c>
      <c r="B14" s="17" t="s">
        <v>140</v>
      </c>
      <c r="C14" s="13" t="s">
        <v>141</v>
      </c>
      <c r="D14" s="13" t="s">
        <v>132</v>
      </c>
      <c r="E14" s="18">
        <v>30</v>
      </c>
      <c r="F14" s="19">
        <v>302.68</v>
      </c>
      <c r="G14" s="20">
        <v>7.6899999999999996E-2</v>
      </c>
      <c r="H14" s="21">
        <v>6.1865999999999997E-2</v>
      </c>
      <c r="I14" s="22"/>
      <c r="J14" s="2"/>
    </row>
    <row r="15" spans="1:13" ht="12.95" customHeight="1">
      <c r="A15" s="16" t="s">
        <v>197</v>
      </c>
      <c r="B15" s="17" t="s">
        <v>198</v>
      </c>
      <c r="C15" s="13" t="s">
        <v>199</v>
      </c>
      <c r="D15" s="13" t="s">
        <v>200</v>
      </c>
      <c r="E15" s="18">
        <v>295000</v>
      </c>
      <c r="F15" s="19">
        <v>300.66000000000003</v>
      </c>
      <c r="G15" s="20">
        <v>7.6399999999999996E-2</v>
      </c>
      <c r="H15" s="21">
        <v>3.7170000000000002E-2</v>
      </c>
      <c r="I15" s="22"/>
      <c r="J15" s="2"/>
    </row>
    <row r="16" spans="1:13" ht="12.95" customHeight="1">
      <c r="A16" s="16" t="s">
        <v>190</v>
      </c>
      <c r="B16" s="17" t="s">
        <v>191</v>
      </c>
      <c r="C16" s="13" t="s">
        <v>192</v>
      </c>
      <c r="D16" s="13" t="s">
        <v>132</v>
      </c>
      <c r="E16" s="18">
        <v>24</v>
      </c>
      <c r="F16" s="19">
        <v>245.2</v>
      </c>
      <c r="G16" s="20">
        <v>6.2300000000000001E-2</v>
      </c>
      <c r="H16" s="21">
        <v>3.7600000000000001E-2</v>
      </c>
      <c r="I16" s="22"/>
      <c r="J16" s="2"/>
    </row>
    <row r="17" spans="1:10" ht="12.95" customHeight="1">
      <c r="A17" s="16" t="s">
        <v>201</v>
      </c>
      <c r="B17" s="17" t="s">
        <v>202</v>
      </c>
      <c r="C17" s="13" t="s">
        <v>203</v>
      </c>
      <c r="D17" s="13" t="s">
        <v>132</v>
      </c>
      <c r="E17" s="18">
        <v>15</v>
      </c>
      <c r="F17" s="19">
        <v>150.69999999999999</v>
      </c>
      <c r="G17" s="20">
        <v>3.8300000000000001E-2</v>
      </c>
      <c r="H17" s="21">
        <v>3.5250999999999998E-2</v>
      </c>
      <c r="I17" s="22"/>
      <c r="J17" s="2"/>
    </row>
    <row r="18" spans="1:10" ht="12.95" customHeight="1">
      <c r="A18" s="16" t="s">
        <v>205</v>
      </c>
      <c r="B18" s="17" t="s">
        <v>206</v>
      </c>
      <c r="C18" s="13" t="s">
        <v>207</v>
      </c>
      <c r="D18" s="13" t="s">
        <v>132</v>
      </c>
      <c r="E18" s="18">
        <v>10</v>
      </c>
      <c r="F18" s="19">
        <v>100.77</v>
      </c>
      <c r="G18" s="20">
        <v>2.5600000000000001E-2</v>
      </c>
      <c r="H18" s="21">
        <v>3.5500999999999998E-2</v>
      </c>
      <c r="I18" s="22"/>
      <c r="J18" s="2"/>
    </row>
    <row r="19" spans="1:10" ht="12.95" customHeight="1">
      <c r="A19" s="16" t="s">
        <v>208</v>
      </c>
      <c r="B19" s="17" t="s">
        <v>209</v>
      </c>
      <c r="C19" s="13" t="s">
        <v>210</v>
      </c>
      <c r="D19" s="13" t="s">
        <v>132</v>
      </c>
      <c r="E19" s="18">
        <v>10</v>
      </c>
      <c r="F19" s="19">
        <v>97.82</v>
      </c>
      <c r="G19" s="20">
        <v>2.4899999999999999E-2</v>
      </c>
      <c r="H19" s="21">
        <v>4.3598999999999999E-2</v>
      </c>
      <c r="I19" s="22"/>
      <c r="J19" s="2"/>
    </row>
    <row r="20" spans="1:10" ht="12.95" customHeight="1">
      <c r="A20" s="2"/>
      <c r="B20" s="12" t="s">
        <v>172</v>
      </c>
      <c r="C20" s="13"/>
      <c r="D20" s="13"/>
      <c r="E20" s="13"/>
      <c r="F20" s="23">
        <v>3352.57</v>
      </c>
      <c r="G20" s="24">
        <v>0.85209999999999997</v>
      </c>
      <c r="H20" s="25"/>
      <c r="I20" s="26"/>
      <c r="J20" s="2"/>
    </row>
    <row r="21" spans="1:10" ht="12.95" customHeight="1">
      <c r="A21" s="2"/>
      <c r="B21" s="27" t="s">
        <v>173</v>
      </c>
      <c r="C21" s="1"/>
      <c r="D21" s="1"/>
      <c r="E21" s="1"/>
      <c r="F21" s="25" t="s">
        <v>204</v>
      </c>
      <c r="G21" s="25" t="s">
        <v>204</v>
      </c>
      <c r="H21" s="25"/>
      <c r="I21" s="26"/>
      <c r="J21" s="2"/>
    </row>
    <row r="22" spans="1:10" ht="12.95" customHeight="1">
      <c r="A22" s="2"/>
      <c r="B22" s="27" t="s">
        <v>172</v>
      </c>
      <c r="C22" s="1"/>
      <c r="D22" s="1"/>
      <c r="E22" s="1"/>
      <c r="F22" s="25" t="s">
        <v>204</v>
      </c>
      <c r="G22" s="25" t="s">
        <v>204</v>
      </c>
      <c r="H22" s="25"/>
      <c r="I22" s="26"/>
      <c r="J22" s="2"/>
    </row>
    <row r="23" spans="1:10" ht="12.95" customHeight="1">
      <c r="A23" s="2"/>
      <c r="B23" s="27" t="s">
        <v>177</v>
      </c>
      <c r="C23" s="28"/>
      <c r="D23" s="1"/>
      <c r="E23" s="28"/>
      <c r="F23" s="23">
        <v>3352.57</v>
      </c>
      <c r="G23" s="24">
        <v>0.85209999999999997</v>
      </c>
      <c r="H23" s="25"/>
      <c r="I23" s="26"/>
      <c r="J23" s="2"/>
    </row>
    <row r="24" spans="1:10" ht="12.95" customHeight="1">
      <c r="A24" s="2"/>
      <c r="B24" s="12" t="s">
        <v>178</v>
      </c>
      <c r="C24" s="13"/>
      <c r="D24" s="13"/>
      <c r="E24" s="13"/>
      <c r="F24" s="13"/>
      <c r="G24" s="13"/>
      <c r="H24" s="14"/>
      <c r="I24" s="15"/>
      <c r="J24" s="2"/>
    </row>
    <row r="25" spans="1:10" ht="12.95" customHeight="1">
      <c r="A25" s="16" t="s">
        <v>179</v>
      </c>
      <c r="B25" s="17" t="s">
        <v>180</v>
      </c>
      <c r="C25" s="13"/>
      <c r="D25" s="13"/>
      <c r="E25" s="18"/>
      <c r="F25" s="19">
        <v>526.73</v>
      </c>
      <c r="G25" s="20">
        <v>0.13389999999999999</v>
      </c>
      <c r="H25" s="21">
        <v>3.3045425015129512E-2</v>
      </c>
      <c r="I25" s="22"/>
      <c r="J25" s="2"/>
    </row>
    <row r="26" spans="1:10" ht="12.95" customHeight="1">
      <c r="A26" s="2"/>
      <c r="B26" s="12" t="s">
        <v>172</v>
      </c>
      <c r="C26" s="13"/>
      <c r="D26" s="13"/>
      <c r="E26" s="13"/>
      <c r="F26" s="23">
        <v>526.73</v>
      </c>
      <c r="G26" s="24">
        <v>0.13389999999999999</v>
      </c>
      <c r="H26" s="25"/>
      <c r="I26" s="26"/>
      <c r="J26" s="2"/>
    </row>
    <row r="27" spans="1:10" ht="12.95" customHeight="1">
      <c r="A27" s="2"/>
      <c r="B27" s="27" t="s">
        <v>173</v>
      </c>
      <c r="C27" s="1"/>
      <c r="D27" s="1"/>
      <c r="E27" s="1"/>
      <c r="F27" s="25" t="s">
        <v>204</v>
      </c>
      <c r="G27" s="25" t="s">
        <v>204</v>
      </c>
      <c r="H27" s="25"/>
      <c r="I27" s="26"/>
      <c r="J27" s="2"/>
    </row>
    <row r="28" spans="1:10" ht="12.95" customHeight="1">
      <c r="A28" s="2"/>
      <c r="B28" s="27" t="s">
        <v>172</v>
      </c>
      <c r="C28" s="1"/>
      <c r="D28" s="1"/>
      <c r="E28" s="1"/>
      <c r="F28" s="25" t="s">
        <v>204</v>
      </c>
      <c r="G28" s="25" t="s">
        <v>204</v>
      </c>
      <c r="H28" s="25"/>
      <c r="I28" s="26"/>
      <c r="J28" s="2"/>
    </row>
    <row r="29" spans="1:10" ht="12.95" customHeight="1">
      <c r="A29" s="2"/>
      <c r="B29" s="27" t="s">
        <v>177</v>
      </c>
      <c r="C29" s="28"/>
      <c r="D29" s="1"/>
      <c r="E29" s="28"/>
      <c r="F29" s="23">
        <v>526.73</v>
      </c>
      <c r="G29" s="24">
        <v>0.13389999999999999</v>
      </c>
      <c r="H29" s="25"/>
      <c r="I29" s="26"/>
      <c r="J29" s="2"/>
    </row>
    <row r="30" spans="1:10" ht="12.95" customHeight="1">
      <c r="A30" s="2"/>
      <c r="B30" s="27" t="s">
        <v>181</v>
      </c>
      <c r="C30" s="13"/>
      <c r="D30" s="1"/>
      <c r="E30" s="13"/>
      <c r="F30" s="29">
        <v>55.62</v>
      </c>
      <c r="G30" s="24">
        <v>1.4E-2</v>
      </c>
      <c r="H30" s="25"/>
      <c r="I30" s="26"/>
      <c r="J30" s="2"/>
    </row>
    <row r="31" spans="1:10" ht="12.95" customHeight="1">
      <c r="A31" s="2"/>
      <c r="B31" s="30" t="s">
        <v>182</v>
      </c>
      <c r="C31" s="31"/>
      <c r="D31" s="31"/>
      <c r="E31" s="31"/>
      <c r="F31" s="32">
        <v>3934.92</v>
      </c>
      <c r="G31" s="33">
        <v>1</v>
      </c>
      <c r="H31" s="34"/>
      <c r="I31" s="35"/>
      <c r="J31" s="2"/>
    </row>
    <row r="32" spans="1:10" ht="12.95" customHeight="1">
      <c r="A32" s="2"/>
      <c r="B32" s="5"/>
      <c r="C32" s="2"/>
      <c r="D32" s="2"/>
      <c r="E32" s="2"/>
      <c r="F32" s="2"/>
      <c r="G32" s="2"/>
      <c r="H32" s="2"/>
      <c r="I32" s="2"/>
      <c r="J32" s="2"/>
    </row>
    <row r="33" spans="1:10" ht="12.95" customHeight="1">
      <c r="A33" s="2"/>
      <c r="B33" s="3" t="s">
        <v>183</v>
      </c>
      <c r="C33" s="2"/>
      <c r="D33" s="2"/>
      <c r="E33" s="2"/>
      <c r="F33" s="2"/>
      <c r="G33" s="2"/>
      <c r="H33" s="2"/>
      <c r="I33" s="2"/>
      <c r="J33" s="2"/>
    </row>
    <row r="34" spans="1:10" ht="12.95" customHeight="1">
      <c r="A34" s="2"/>
      <c r="B34" s="3" t="s">
        <v>184</v>
      </c>
      <c r="C34" s="2"/>
      <c r="D34" s="2"/>
      <c r="E34" s="2"/>
      <c r="F34" s="2"/>
      <c r="G34" s="2"/>
      <c r="H34" s="2"/>
      <c r="I34" s="2"/>
      <c r="J34" s="2"/>
    </row>
    <row r="35" spans="1:10" ht="12.95" customHeight="1">
      <c r="A35" s="2"/>
      <c r="B35" s="3" t="s">
        <v>186</v>
      </c>
      <c r="C35" s="2"/>
      <c r="D35" s="2"/>
      <c r="E35" s="2"/>
      <c r="F35" s="2"/>
      <c r="G35" s="2"/>
      <c r="H35" s="2"/>
      <c r="I35" s="2"/>
      <c r="J35" s="2"/>
    </row>
    <row r="36" spans="1:10" ht="26.25" customHeight="1">
      <c r="A36" s="2"/>
      <c r="B36" s="189" t="s">
        <v>4025</v>
      </c>
      <c r="C36" s="189"/>
      <c r="D36" s="189"/>
      <c r="E36" s="189"/>
      <c r="F36" s="189"/>
      <c r="G36" s="189"/>
      <c r="H36" s="189"/>
      <c r="I36" s="189"/>
      <c r="J36" s="2"/>
    </row>
    <row r="37" spans="1:10" ht="12.95" customHeight="1">
      <c r="A37" s="2"/>
      <c r="B37" s="3"/>
      <c r="C37" s="2"/>
      <c r="D37" s="2"/>
      <c r="E37" s="2"/>
      <c r="F37" s="2"/>
      <c r="G37" s="2"/>
      <c r="H37" s="2"/>
      <c r="I37" s="2"/>
      <c r="J37" s="2"/>
    </row>
    <row r="38" spans="1:10">
      <c r="C38" s="111" t="s">
        <v>3935</v>
      </c>
    </row>
    <row r="39" spans="1:10">
      <c r="B39" s="111" t="s">
        <v>3933</v>
      </c>
      <c r="C39" s="111" t="s">
        <v>3934</v>
      </c>
    </row>
  </sheetData>
  <mergeCells count="2">
    <mergeCell ref="B2:I2"/>
    <mergeCell ref="B36:I36"/>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3"/>
  <sheetViews>
    <sheetView workbookViewId="0"/>
  </sheetViews>
  <sheetFormatPr defaultRowHeight="15"/>
  <cols>
    <col min="1" max="1" width="3.28515625" customWidth="1"/>
    <col min="2" max="2" width="69.140625" customWidth="1"/>
    <col min="3"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AXIS104</v>
      </c>
    </row>
    <row r="2" spans="1:13" ht="34.5" customHeight="1" thickBot="1">
      <c r="A2" s="135" t="str">
        <f>M2</f>
        <v>AXIS104</v>
      </c>
      <c r="B2" s="186" t="s">
        <v>11</v>
      </c>
      <c r="C2" s="187"/>
      <c r="D2" s="187"/>
      <c r="E2" s="187"/>
      <c r="F2" s="187"/>
      <c r="G2" s="187"/>
      <c r="H2" s="187"/>
      <c r="I2" s="188"/>
      <c r="J2" s="2"/>
      <c r="M2" s="108" t="s">
        <v>10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5</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208</v>
      </c>
      <c r="B8" s="17" t="s">
        <v>209</v>
      </c>
      <c r="C8" s="13" t="s">
        <v>210</v>
      </c>
      <c r="D8" s="13" t="s">
        <v>132</v>
      </c>
      <c r="E8" s="18">
        <v>107</v>
      </c>
      <c r="F8" s="19">
        <v>1046.6199999999999</v>
      </c>
      <c r="G8" s="20">
        <v>9.6500000000000002E-2</v>
      </c>
      <c r="H8" s="21">
        <v>4.3598999999999999E-2</v>
      </c>
      <c r="I8" s="22"/>
      <c r="J8" s="2"/>
    </row>
    <row r="9" spans="1:13" ht="12.95" customHeight="1">
      <c r="A9" s="16" t="s">
        <v>193</v>
      </c>
      <c r="B9" s="17" t="s">
        <v>194</v>
      </c>
      <c r="C9" s="13" t="s">
        <v>195</v>
      </c>
      <c r="D9" s="13" t="s">
        <v>196</v>
      </c>
      <c r="E9" s="18">
        <v>77</v>
      </c>
      <c r="F9" s="19">
        <v>1012.42</v>
      </c>
      <c r="G9" s="20">
        <v>9.3399999999999997E-2</v>
      </c>
      <c r="H9" s="21">
        <v>4.3049999999999998E-2</v>
      </c>
      <c r="I9" s="22"/>
      <c r="J9" s="2"/>
    </row>
    <row r="10" spans="1:13" ht="12.95" customHeight="1">
      <c r="A10" s="16" t="s">
        <v>162</v>
      </c>
      <c r="B10" s="17" t="s">
        <v>163</v>
      </c>
      <c r="C10" s="13" t="s">
        <v>164</v>
      </c>
      <c r="D10" s="13" t="s">
        <v>132</v>
      </c>
      <c r="E10" s="18">
        <v>87</v>
      </c>
      <c r="F10" s="19">
        <v>876.61</v>
      </c>
      <c r="G10" s="20">
        <v>8.0799999999999997E-2</v>
      </c>
      <c r="H10" s="21">
        <v>3.5499999999999997E-2</v>
      </c>
      <c r="I10" s="22"/>
      <c r="J10" s="2"/>
    </row>
    <row r="11" spans="1:13" ht="12.95" customHeight="1">
      <c r="A11" s="16" t="s">
        <v>201</v>
      </c>
      <c r="B11" s="17" t="s">
        <v>202</v>
      </c>
      <c r="C11" s="13" t="s">
        <v>203</v>
      </c>
      <c r="D11" s="13" t="s">
        <v>132</v>
      </c>
      <c r="E11" s="18">
        <v>87</v>
      </c>
      <c r="F11" s="19">
        <v>874.07</v>
      </c>
      <c r="G11" s="20">
        <v>8.0600000000000005E-2</v>
      </c>
      <c r="H11" s="21">
        <v>3.5250999999999998E-2</v>
      </c>
      <c r="I11" s="22"/>
      <c r="J11" s="2"/>
    </row>
    <row r="12" spans="1:13" ht="12.95" customHeight="1">
      <c r="A12" s="16" t="s">
        <v>142</v>
      </c>
      <c r="B12" s="17" t="s">
        <v>143</v>
      </c>
      <c r="C12" s="13" t="s">
        <v>144</v>
      </c>
      <c r="D12" s="13" t="s">
        <v>132</v>
      </c>
      <c r="E12" s="18">
        <v>84</v>
      </c>
      <c r="F12" s="19">
        <v>853</v>
      </c>
      <c r="G12" s="20">
        <v>7.8700000000000006E-2</v>
      </c>
      <c r="H12" s="21">
        <v>3.6999999999999998E-2</v>
      </c>
      <c r="I12" s="22"/>
      <c r="J12" s="2"/>
    </row>
    <row r="13" spans="1:13" ht="12.95" customHeight="1">
      <c r="A13" s="16" t="s">
        <v>145</v>
      </c>
      <c r="B13" s="17" t="s">
        <v>146</v>
      </c>
      <c r="C13" s="13" t="s">
        <v>147</v>
      </c>
      <c r="D13" s="13" t="s">
        <v>148</v>
      </c>
      <c r="E13" s="18">
        <v>82</v>
      </c>
      <c r="F13" s="19">
        <v>832.65</v>
      </c>
      <c r="G13" s="20">
        <v>7.6799999999999993E-2</v>
      </c>
      <c r="H13" s="21">
        <v>3.6798999999999998E-2</v>
      </c>
      <c r="I13" s="22"/>
      <c r="J13" s="2"/>
    </row>
    <row r="14" spans="1:13" ht="12.95" customHeight="1">
      <c r="A14" s="16" t="s">
        <v>133</v>
      </c>
      <c r="B14" s="17" t="s">
        <v>134</v>
      </c>
      <c r="C14" s="13" t="s">
        <v>135</v>
      </c>
      <c r="D14" s="13" t="s">
        <v>132</v>
      </c>
      <c r="E14" s="18">
        <v>63</v>
      </c>
      <c r="F14" s="19">
        <v>822.89</v>
      </c>
      <c r="G14" s="20">
        <v>7.5899999999999995E-2</v>
      </c>
      <c r="H14" s="21">
        <v>3.9800000000000002E-2</v>
      </c>
      <c r="I14" s="22"/>
      <c r="J14" s="2"/>
    </row>
    <row r="15" spans="1:13" ht="12.95" customHeight="1">
      <c r="A15" s="16" t="s">
        <v>136</v>
      </c>
      <c r="B15" s="17" t="s">
        <v>137</v>
      </c>
      <c r="C15" s="13" t="s">
        <v>138</v>
      </c>
      <c r="D15" s="13" t="s">
        <v>132</v>
      </c>
      <c r="E15" s="18">
        <v>57</v>
      </c>
      <c r="F15" s="19">
        <v>760.86</v>
      </c>
      <c r="G15" s="20">
        <v>7.0199999999999999E-2</v>
      </c>
      <c r="H15" s="21">
        <v>4.2699000000000001E-2</v>
      </c>
      <c r="I15" s="22"/>
      <c r="J15" s="2"/>
    </row>
    <row r="16" spans="1:13" ht="12.95" customHeight="1">
      <c r="A16" s="16" t="s">
        <v>129</v>
      </c>
      <c r="B16" s="17" t="s">
        <v>130</v>
      </c>
      <c r="C16" s="13" t="s">
        <v>131</v>
      </c>
      <c r="D16" s="13" t="s">
        <v>132</v>
      </c>
      <c r="E16" s="18">
        <v>54</v>
      </c>
      <c r="F16" s="19">
        <v>709.14</v>
      </c>
      <c r="G16" s="20">
        <v>6.54E-2</v>
      </c>
      <c r="H16" s="21">
        <v>4.3147999999999999E-2</v>
      </c>
      <c r="I16" s="22"/>
      <c r="J16" s="2"/>
    </row>
    <row r="17" spans="1:10" ht="12.95" customHeight="1">
      <c r="A17" s="16" t="s">
        <v>155</v>
      </c>
      <c r="B17" s="17" t="s">
        <v>156</v>
      </c>
      <c r="C17" s="13" t="s">
        <v>157</v>
      </c>
      <c r="D17" s="13" t="s">
        <v>132</v>
      </c>
      <c r="E17" s="18">
        <v>60</v>
      </c>
      <c r="F17" s="19">
        <v>610.1</v>
      </c>
      <c r="G17" s="20">
        <v>5.6300000000000003E-2</v>
      </c>
      <c r="H17" s="21">
        <v>3.7289000000000003E-2</v>
      </c>
      <c r="I17" s="22"/>
      <c r="J17" s="2"/>
    </row>
    <row r="18" spans="1:10" ht="12.95" customHeight="1">
      <c r="A18" s="16" t="s">
        <v>211</v>
      </c>
      <c r="B18" s="17" t="s">
        <v>212</v>
      </c>
      <c r="C18" s="13" t="s">
        <v>213</v>
      </c>
      <c r="D18" s="13" t="s">
        <v>132</v>
      </c>
      <c r="E18" s="18">
        <v>45</v>
      </c>
      <c r="F18" s="19">
        <v>458.71</v>
      </c>
      <c r="G18" s="20">
        <v>4.2299999999999997E-2</v>
      </c>
      <c r="H18" s="21">
        <v>3.7600000000000001E-2</v>
      </c>
      <c r="I18" s="22"/>
      <c r="J18" s="2"/>
    </row>
    <row r="19" spans="1:10" ht="12.95" customHeight="1">
      <c r="A19" s="16" t="s">
        <v>214</v>
      </c>
      <c r="B19" s="17" t="s">
        <v>215</v>
      </c>
      <c r="C19" s="13" t="s">
        <v>216</v>
      </c>
      <c r="D19" s="13" t="s">
        <v>132</v>
      </c>
      <c r="E19" s="18">
        <v>43</v>
      </c>
      <c r="F19" s="19">
        <v>438.24</v>
      </c>
      <c r="G19" s="20">
        <v>4.0399999999999998E-2</v>
      </c>
      <c r="H19" s="21">
        <v>3.7600000000000001E-2</v>
      </c>
      <c r="I19" s="22"/>
      <c r="J19" s="2"/>
    </row>
    <row r="20" spans="1:10" ht="12.95" customHeight="1">
      <c r="A20" s="16" t="s">
        <v>190</v>
      </c>
      <c r="B20" s="17" t="s">
        <v>191</v>
      </c>
      <c r="C20" s="13" t="s">
        <v>192</v>
      </c>
      <c r="D20" s="13" t="s">
        <v>132</v>
      </c>
      <c r="E20" s="18">
        <v>30</v>
      </c>
      <c r="F20" s="19">
        <v>306.5</v>
      </c>
      <c r="G20" s="20">
        <v>2.8299999999999999E-2</v>
      </c>
      <c r="H20" s="21">
        <v>3.7600000000000001E-2</v>
      </c>
      <c r="I20" s="22"/>
      <c r="J20" s="2"/>
    </row>
    <row r="21" spans="1:10" ht="12.95" customHeight="1">
      <c r="A21" s="16" t="s">
        <v>205</v>
      </c>
      <c r="B21" s="17" t="s">
        <v>206</v>
      </c>
      <c r="C21" s="13" t="s">
        <v>207</v>
      </c>
      <c r="D21" s="13" t="s">
        <v>132</v>
      </c>
      <c r="E21" s="18">
        <v>25</v>
      </c>
      <c r="F21" s="19">
        <v>251.93</v>
      </c>
      <c r="G21" s="20">
        <v>2.3199999999999998E-2</v>
      </c>
      <c r="H21" s="21">
        <v>3.5500999999999998E-2</v>
      </c>
      <c r="I21" s="22"/>
      <c r="J21" s="2"/>
    </row>
    <row r="22" spans="1:10" ht="12.95" customHeight="1">
      <c r="A22" s="16" t="s">
        <v>168</v>
      </c>
      <c r="B22" s="17" t="s">
        <v>169</v>
      </c>
      <c r="C22" s="13" t="s">
        <v>170</v>
      </c>
      <c r="D22" s="13" t="s">
        <v>171</v>
      </c>
      <c r="E22" s="18">
        <v>110</v>
      </c>
      <c r="F22" s="19">
        <v>111.86</v>
      </c>
      <c r="G22" s="20">
        <v>1.03E-2</v>
      </c>
      <c r="H22" s="21">
        <v>3.7801000000000001E-2</v>
      </c>
      <c r="I22" s="22"/>
      <c r="J22" s="2"/>
    </row>
    <row r="23" spans="1:10" ht="12.95" customHeight="1">
      <c r="A23" s="16" t="s">
        <v>165</v>
      </c>
      <c r="B23" s="17" t="s">
        <v>166</v>
      </c>
      <c r="C23" s="13" t="s">
        <v>167</v>
      </c>
      <c r="D23" s="13" t="s">
        <v>132</v>
      </c>
      <c r="E23" s="18">
        <v>5</v>
      </c>
      <c r="F23" s="19">
        <v>51</v>
      </c>
      <c r="G23" s="20">
        <v>4.7000000000000002E-3</v>
      </c>
      <c r="H23" s="21">
        <v>3.9751000000000002E-2</v>
      </c>
      <c r="I23" s="22"/>
      <c r="J23" s="2"/>
    </row>
    <row r="24" spans="1:10" ht="12.95" customHeight="1">
      <c r="A24" s="2"/>
      <c r="B24" s="12" t="s">
        <v>172</v>
      </c>
      <c r="C24" s="13"/>
      <c r="D24" s="13"/>
      <c r="E24" s="13"/>
      <c r="F24" s="23">
        <v>10016.6</v>
      </c>
      <c r="G24" s="24">
        <v>0.92379999999999995</v>
      </c>
      <c r="H24" s="25"/>
      <c r="I24" s="26"/>
      <c r="J24" s="2"/>
    </row>
    <row r="25" spans="1:10" ht="12.95" customHeight="1">
      <c r="A25" s="2"/>
      <c r="B25" s="27" t="s">
        <v>173</v>
      </c>
      <c r="C25" s="1"/>
      <c r="D25" s="1"/>
      <c r="E25" s="1"/>
      <c r="F25" s="25" t="s">
        <v>204</v>
      </c>
      <c r="G25" s="25" t="s">
        <v>204</v>
      </c>
      <c r="H25" s="25"/>
      <c r="I25" s="26"/>
      <c r="J25" s="2"/>
    </row>
    <row r="26" spans="1:10" ht="12.95" customHeight="1">
      <c r="A26" s="2"/>
      <c r="B26" s="27" t="s">
        <v>172</v>
      </c>
      <c r="C26" s="1"/>
      <c r="D26" s="1"/>
      <c r="E26" s="1"/>
      <c r="F26" s="25" t="s">
        <v>204</v>
      </c>
      <c r="G26" s="25" t="s">
        <v>204</v>
      </c>
      <c r="H26" s="25"/>
      <c r="I26" s="26"/>
      <c r="J26" s="2"/>
    </row>
    <row r="27" spans="1:10" ht="12.95" customHeight="1">
      <c r="A27" s="2"/>
      <c r="B27" s="27" t="s">
        <v>177</v>
      </c>
      <c r="C27" s="28"/>
      <c r="D27" s="1"/>
      <c r="E27" s="28"/>
      <c r="F27" s="23">
        <v>10016.6</v>
      </c>
      <c r="G27" s="24">
        <v>0.92379999999999995</v>
      </c>
      <c r="H27" s="25"/>
      <c r="I27" s="26"/>
      <c r="J27" s="2"/>
    </row>
    <row r="28" spans="1:10" ht="12.95" customHeight="1">
      <c r="A28" s="2"/>
      <c r="B28" s="12" t="s">
        <v>178</v>
      </c>
      <c r="C28" s="13"/>
      <c r="D28" s="13"/>
      <c r="E28" s="13"/>
      <c r="F28" s="13"/>
      <c r="G28" s="13"/>
      <c r="H28" s="14"/>
      <c r="I28" s="15"/>
      <c r="J28" s="2"/>
    </row>
    <row r="29" spans="1:10" ht="12.95" customHeight="1">
      <c r="A29" s="16" t="s">
        <v>179</v>
      </c>
      <c r="B29" s="17" t="s">
        <v>180</v>
      </c>
      <c r="C29" s="13"/>
      <c r="D29" s="13"/>
      <c r="E29" s="18"/>
      <c r="F29" s="19">
        <v>536.55999999999995</v>
      </c>
      <c r="G29" s="20">
        <v>4.9500000000000002E-2</v>
      </c>
      <c r="H29" s="21">
        <v>3.304781824447834E-2</v>
      </c>
      <c r="I29" s="22"/>
      <c r="J29" s="2"/>
    </row>
    <row r="30" spans="1:10" ht="12.95" customHeight="1">
      <c r="A30" s="2"/>
      <c r="B30" s="12" t="s">
        <v>172</v>
      </c>
      <c r="C30" s="13"/>
      <c r="D30" s="13"/>
      <c r="E30" s="13"/>
      <c r="F30" s="23">
        <v>536.55999999999995</v>
      </c>
      <c r="G30" s="24">
        <v>4.9500000000000002E-2</v>
      </c>
      <c r="H30" s="25"/>
      <c r="I30" s="26"/>
      <c r="J30" s="2"/>
    </row>
    <row r="31" spans="1:10" ht="12.95" customHeight="1">
      <c r="A31" s="2"/>
      <c r="B31" s="27" t="s">
        <v>173</v>
      </c>
      <c r="C31" s="1"/>
      <c r="D31" s="1"/>
      <c r="E31" s="1"/>
      <c r="F31" s="25" t="s">
        <v>204</v>
      </c>
      <c r="G31" s="25" t="s">
        <v>204</v>
      </c>
      <c r="H31" s="25"/>
      <c r="I31" s="26"/>
      <c r="J31" s="2"/>
    </row>
    <row r="32" spans="1:10" ht="12.95" customHeight="1">
      <c r="A32" s="2"/>
      <c r="B32" s="27" t="s">
        <v>172</v>
      </c>
      <c r="C32" s="1"/>
      <c r="D32" s="1"/>
      <c r="E32" s="1"/>
      <c r="F32" s="25" t="s">
        <v>204</v>
      </c>
      <c r="G32" s="25" t="s">
        <v>204</v>
      </c>
      <c r="H32" s="25"/>
      <c r="I32" s="26"/>
      <c r="J32" s="2"/>
    </row>
    <row r="33" spans="1:10" ht="12.95" customHeight="1">
      <c r="A33" s="2"/>
      <c r="B33" s="27" t="s">
        <v>177</v>
      </c>
      <c r="C33" s="28"/>
      <c r="D33" s="1"/>
      <c r="E33" s="28"/>
      <c r="F33" s="23">
        <v>536.55999999999995</v>
      </c>
      <c r="G33" s="24">
        <v>4.9500000000000002E-2</v>
      </c>
      <c r="H33" s="25"/>
      <c r="I33" s="26"/>
      <c r="J33" s="2"/>
    </row>
    <row r="34" spans="1:10" ht="12.95" customHeight="1">
      <c r="A34" s="2"/>
      <c r="B34" s="27" t="s">
        <v>181</v>
      </c>
      <c r="C34" s="13"/>
      <c r="D34" s="1"/>
      <c r="E34" s="13"/>
      <c r="F34" s="29">
        <v>290.70999999999998</v>
      </c>
      <c r="G34" s="24">
        <v>2.6700000000000002E-2</v>
      </c>
      <c r="H34" s="25"/>
      <c r="I34" s="26"/>
      <c r="J34" s="2"/>
    </row>
    <row r="35" spans="1:10" ht="12.95" customHeight="1">
      <c r="A35" s="2"/>
      <c r="B35" s="30" t="s">
        <v>182</v>
      </c>
      <c r="C35" s="31"/>
      <c r="D35" s="31"/>
      <c r="E35" s="31"/>
      <c r="F35" s="32">
        <v>10843.87</v>
      </c>
      <c r="G35" s="33">
        <v>1</v>
      </c>
      <c r="H35" s="34"/>
      <c r="I35" s="35"/>
      <c r="J35" s="2"/>
    </row>
    <row r="36" spans="1:10" ht="12.95" customHeight="1">
      <c r="A36" s="2"/>
      <c r="B36" s="5"/>
      <c r="C36" s="2"/>
      <c r="D36" s="2"/>
      <c r="E36" s="2"/>
      <c r="F36" s="2"/>
      <c r="G36" s="2"/>
      <c r="H36" s="2"/>
      <c r="I36" s="2"/>
      <c r="J36" s="2"/>
    </row>
    <row r="37" spans="1:10" ht="12.95" customHeight="1">
      <c r="A37" s="2"/>
      <c r="B37" s="3" t="s">
        <v>183</v>
      </c>
      <c r="C37" s="2"/>
      <c r="D37" s="2"/>
      <c r="E37" s="2"/>
      <c r="F37" s="2"/>
      <c r="G37" s="2"/>
      <c r="H37" s="2"/>
      <c r="I37" s="2"/>
      <c r="J37" s="2"/>
    </row>
    <row r="38" spans="1:10" ht="12.95" customHeight="1">
      <c r="A38" s="2"/>
      <c r="B38" s="3" t="s">
        <v>184</v>
      </c>
      <c r="C38" s="2"/>
      <c r="D38" s="2"/>
      <c r="E38" s="2"/>
      <c r="F38" s="2"/>
      <c r="G38" s="2"/>
      <c r="H38" s="2"/>
      <c r="I38" s="2"/>
      <c r="J38" s="2"/>
    </row>
    <row r="39" spans="1:10" ht="12.95" customHeight="1">
      <c r="A39" s="2"/>
      <c r="B39" s="3" t="s">
        <v>186</v>
      </c>
      <c r="C39" s="2"/>
      <c r="D39" s="2"/>
      <c r="E39" s="2"/>
      <c r="F39" s="2"/>
      <c r="G39" s="2"/>
      <c r="H39" s="2"/>
      <c r="I39" s="2"/>
      <c r="J39" s="2"/>
    </row>
    <row r="40" spans="1:10" ht="26.25" customHeight="1">
      <c r="A40" s="2"/>
      <c r="B40" s="189" t="s">
        <v>4025</v>
      </c>
      <c r="C40" s="189"/>
      <c r="D40" s="189"/>
      <c r="E40" s="189"/>
      <c r="F40" s="189"/>
      <c r="G40" s="189"/>
      <c r="H40" s="189"/>
      <c r="I40" s="189"/>
      <c r="J40" s="2"/>
    </row>
    <row r="41" spans="1:10" ht="12.95" customHeight="1">
      <c r="A41" s="2"/>
      <c r="B41" s="3"/>
      <c r="C41" s="2"/>
      <c r="D41" s="2"/>
      <c r="E41" s="2"/>
      <c r="F41" s="2"/>
      <c r="G41" s="2"/>
      <c r="H41" s="2"/>
      <c r="I41" s="2"/>
      <c r="J41" s="2"/>
    </row>
    <row r="42" spans="1:10">
      <c r="C42" s="111" t="s">
        <v>3935</v>
      </c>
    </row>
    <row r="43" spans="1:10">
      <c r="B43" s="111" t="s">
        <v>3933</v>
      </c>
      <c r="C43" s="111" t="s">
        <v>3934</v>
      </c>
    </row>
  </sheetData>
  <mergeCells count="2">
    <mergeCell ref="B2:I2"/>
    <mergeCell ref="B40:I4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2"/>
  <sheetViews>
    <sheetView workbookViewId="0"/>
  </sheetViews>
  <sheetFormatPr defaultRowHeight="15"/>
  <cols>
    <col min="1" max="1" width="3.28515625" customWidth="1"/>
    <col min="2" max="2" width="69.140625" customWidth="1"/>
    <col min="3" max="3" width="22.7109375" bestFit="1" customWidth="1"/>
    <col min="4" max="4" width="33.28515625" customWidth="1"/>
    <col min="5" max="5" width="25.7109375" customWidth="1"/>
    <col min="6" max="6" width="15.28515625" bestFit="1" customWidth="1"/>
    <col min="7" max="9" width="10.7109375" customWidth="1"/>
    <col min="10" max="10" width="10.85546875" customWidth="1"/>
  </cols>
  <sheetData>
    <row r="1" spans="1:13" ht="15.75" thickBot="1">
      <c r="A1" s="108" t="str">
        <f>M2</f>
        <v>AXISASD</v>
      </c>
    </row>
    <row r="2" spans="1:13" ht="34.5" customHeight="1" thickBot="1">
      <c r="A2" s="135" t="str">
        <f>M2</f>
        <v>AXISASD</v>
      </c>
      <c r="B2" s="186" t="s">
        <v>13</v>
      </c>
      <c r="C2" s="187"/>
      <c r="D2" s="187"/>
      <c r="E2" s="187"/>
      <c r="F2" s="187"/>
      <c r="G2" s="187"/>
      <c r="H2" s="187"/>
      <c r="I2" s="188"/>
      <c r="J2" s="2"/>
      <c r="M2" s="108" t="s">
        <v>12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219</v>
      </c>
      <c r="C6" s="13"/>
      <c r="D6" s="13"/>
      <c r="E6" s="13"/>
      <c r="F6" s="13"/>
      <c r="G6" s="13"/>
      <c r="H6" s="14"/>
      <c r="I6" s="15"/>
      <c r="J6" s="2"/>
    </row>
    <row r="7" spans="1:13" ht="12.95" customHeight="1">
      <c r="A7" s="2"/>
      <c r="B7" s="12" t="s">
        <v>220</v>
      </c>
      <c r="C7" s="13"/>
      <c r="D7" s="13"/>
      <c r="E7" s="13"/>
      <c r="F7" s="2"/>
      <c r="G7" s="14"/>
      <c r="H7" s="14"/>
      <c r="I7" s="15"/>
      <c r="J7" s="2"/>
    </row>
    <row r="8" spans="1:13" ht="12.95" customHeight="1">
      <c r="A8" s="16" t="s">
        <v>221</v>
      </c>
      <c r="B8" s="17" t="s">
        <v>3978</v>
      </c>
      <c r="C8" s="13" t="s">
        <v>222</v>
      </c>
      <c r="D8" s="13"/>
      <c r="E8" s="18">
        <v>25499219.868999999</v>
      </c>
      <c r="F8" s="19">
        <v>2659.16</v>
      </c>
      <c r="G8" s="20">
        <v>0.16039999999999999</v>
      </c>
      <c r="H8" s="36"/>
      <c r="I8" s="22"/>
      <c r="J8" s="2"/>
    </row>
    <row r="9" spans="1:13" ht="12.95" customHeight="1">
      <c r="A9" s="16" t="s">
        <v>223</v>
      </c>
      <c r="B9" s="17" t="s">
        <v>3977</v>
      </c>
      <c r="C9" s="13" t="s">
        <v>224</v>
      </c>
      <c r="D9" s="13"/>
      <c r="E9" s="18">
        <v>10852069.488</v>
      </c>
      <c r="F9" s="19">
        <v>1985.53</v>
      </c>
      <c r="G9" s="20">
        <v>0.1198</v>
      </c>
      <c r="H9" s="36"/>
      <c r="I9" s="22"/>
      <c r="J9" s="2"/>
    </row>
    <row r="10" spans="1:13" ht="12.95" customHeight="1">
      <c r="A10" s="16" t="s">
        <v>225</v>
      </c>
      <c r="B10" s="17" t="s">
        <v>3979</v>
      </c>
      <c r="C10" s="13" t="s">
        <v>226</v>
      </c>
      <c r="D10" s="13"/>
      <c r="E10" s="18">
        <v>9668461.5960000008</v>
      </c>
      <c r="F10" s="19">
        <v>1946.44</v>
      </c>
      <c r="G10" s="20">
        <v>0.1174</v>
      </c>
      <c r="H10" s="36"/>
      <c r="I10" s="22"/>
      <c r="J10" s="2"/>
    </row>
    <row r="11" spans="1:13" ht="12.95" customHeight="1">
      <c r="A11" s="16" t="s">
        <v>227</v>
      </c>
      <c r="B11" s="17" t="s">
        <v>3980</v>
      </c>
      <c r="C11" s="13" t="s">
        <v>228</v>
      </c>
      <c r="D11" s="13"/>
      <c r="E11" s="18">
        <v>7578456.2740000002</v>
      </c>
      <c r="F11" s="19">
        <v>1778.56</v>
      </c>
      <c r="G11" s="20">
        <v>0.10730000000000001</v>
      </c>
      <c r="H11" s="36"/>
      <c r="I11" s="22"/>
      <c r="J11" s="2"/>
    </row>
    <row r="12" spans="1:13" ht="12.95" customHeight="1">
      <c r="A12" s="16" t="s">
        <v>229</v>
      </c>
      <c r="B12" s="17" t="s">
        <v>3981</v>
      </c>
      <c r="C12" s="13" t="s">
        <v>230</v>
      </c>
      <c r="D12" s="13"/>
      <c r="E12" s="18">
        <v>2056844.959</v>
      </c>
      <c r="F12" s="19">
        <v>1754.65</v>
      </c>
      <c r="G12" s="20">
        <v>0.10589999999999999</v>
      </c>
      <c r="H12" s="36"/>
      <c r="I12" s="22"/>
      <c r="J12" s="2"/>
    </row>
    <row r="13" spans="1:13" ht="12.95" customHeight="1">
      <c r="A13" s="16" t="s">
        <v>231</v>
      </c>
      <c r="B13" s="17" t="s">
        <v>3982</v>
      </c>
      <c r="C13" s="13" t="s">
        <v>233</v>
      </c>
      <c r="D13" s="13"/>
      <c r="E13" s="18">
        <v>149992.5</v>
      </c>
      <c r="F13" s="19">
        <v>1513.3</v>
      </c>
      <c r="G13" s="20">
        <v>9.1300000000000006E-2</v>
      </c>
      <c r="H13" s="36"/>
      <c r="I13" s="22"/>
      <c r="J13" s="2"/>
    </row>
    <row r="14" spans="1:13" ht="12.95" customHeight="1">
      <c r="A14" s="16" t="s">
        <v>234</v>
      </c>
      <c r="B14" s="17" t="s">
        <v>3983</v>
      </c>
      <c r="C14" s="13" t="s">
        <v>235</v>
      </c>
      <c r="D14" s="13"/>
      <c r="E14" s="18">
        <v>2807636.5180000002</v>
      </c>
      <c r="F14" s="19">
        <v>1338.67</v>
      </c>
      <c r="G14" s="20">
        <v>8.0799999999999997E-2</v>
      </c>
      <c r="H14" s="36"/>
      <c r="I14" s="22"/>
      <c r="J14" s="2"/>
    </row>
    <row r="15" spans="1:13" ht="12.95" customHeight="1">
      <c r="A15" s="16" t="s">
        <v>236</v>
      </c>
      <c r="B15" s="17" t="s">
        <v>3984</v>
      </c>
      <c r="C15" s="13" t="s">
        <v>237</v>
      </c>
      <c r="D15" s="13"/>
      <c r="E15" s="18">
        <v>5028145.6749999998</v>
      </c>
      <c r="F15" s="19">
        <v>1325.8</v>
      </c>
      <c r="G15" s="20">
        <v>0.08</v>
      </c>
      <c r="H15" s="36"/>
      <c r="I15" s="22"/>
      <c r="J15" s="2"/>
    </row>
    <row r="16" spans="1:13" ht="12.95" customHeight="1">
      <c r="A16" s="16" t="s">
        <v>238</v>
      </c>
      <c r="B16" s="17" t="s">
        <v>3985</v>
      </c>
      <c r="C16" s="13" t="s">
        <v>239</v>
      </c>
      <c r="D16" s="13"/>
      <c r="E16" s="18">
        <v>268243.94400000002</v>
      </c>
      <c r="F16" s="19">
        <v>959.61</v>
      </c>
      <c r="G16" s="20">
        <v>5.79E-2</v>
      </c>
      <c r="H16" s="36"/>
      <c r="I16" s="22"/>
      <c r="J16" s="2"/>
    </row>
    <row r="17" spans="1:10" ht="12.95" customHeight="1">
      <c r="A17" s="16" t="s">
        <v>240</v>
      </c>
      <c r="B17" s="17" t="s">
        <v>3986</v>
      </c>
      <c r="C17" s="13" t="s">
        <v>241</v>
      </c>
      <c r="D17" s="13"/>
      <c r="E17" s="18">
        <v>1337426.1029999999</v>
      </c>
      <c r="F17" s="19">
        <v>504.63</v>
      </c>
      <c r="G17" s="20">
        <v>3.04E-2</v>
      </c>
      <c r="H17" s="36"/>
      <c r="I17" s="22"/>
      <c r="J17" s="2"/>
    </row>
    <row r="18" spans="1:10" ht="12.95" customHeight="1">
      <c r="A18" s="16" t="s">
        <v>242</v>
      </c>
      <c r="B18" s="17" t="s">
        <v>3987</v>
      </c>
      <c r="C18" s="13" t="s">
        <v>243</v>
      </c>
      <c r="D18" s="13"/>
      <c r="E18" s="18">
        <v>915486.58189999999</v>
      </c>
      <c r="F18" s="19">
        <v>342.57</v>
      </c>
      <c r="G18" s="20">
        <v>2.07E-2</v>
      </c>
      <c r="H18" s="36"/>
      <c r="I18" s="22"/>
      <c r="J18" s="2"/>
    </row>
    <row r="19" spans="1:10" ht="12.95" customHeight="1">
      <c r="A19" s="2"/>
      <c r="B19" s="12" t="s">
        <v>172</v>
      </c>
      <c r="C19" s="13"/>
      <c r="D19" s="13"/>
      <c r="E19" s="13"/>
      <c r="F19" s="23">
        <v>16108.92</v>
      </c>
      <c r="G19" s="24">
        <v>0.97189999999999999</v>
      </c>
      <c r="H19" s="25"/>
      <c r="I19" s="26"/>
      <c r="J19" s="2"/>
    </row>
    <row r="20" spans="1:10" ht="12.95" customHeight="1">
      <c r="A20" s="2"/>
      <c r="B20" s="27" t="s">
        <v>177</v>
      </c>
      <c r="C20" s="28"/>
      <c r="D20" s="1"/>
      <c r="E20" s="28"/>
      <c r="F20" s="23">
        <v>16108.92</v>
      </c>
      <c r="G20" s="24">
        <v>0.97189999999999999</v>
      </c>
      <c r="H20" s="25"/>
      <c r="I20" s="26"/>
      <c r="J20" s="2"/>
    </row>
    <row r="21" spans="1:10" ht="12.95" customHeight="1">
      <c r="A21" s="2"/>
      <c r="B21" s="12" t="s">
        <v>178</v>
      </c>
      <c r="C21" s="13"/>
      <c r="D21" s="13"/>
      <c r="E21" s="13"/>
      <c r="F21" s="13"/>
      <c r="G21" s="13"/>
      <c r="H21" s="14"/>
      <c r="I21" s="15"/>
      <c r="J21" s="2"/>
    </row>
    <row r="22" spans="1:10" ht="12.95" customHeight="1">
      <c r="A22" s="16" t="s">
        <v>179</v>
      </c>
      <c r="B22" s="17" t="s">
        <v>180</v>
      </c>
      <c r="C22" s="13"/>
      <c r="D22" s="13"/>
      <c r="E22" s="18"/>
      <c r="F22" s="19">
        <v>473.66</v>
      </c>
      <c r="G22" s="20">
        <v>2.86E-2</v>
      </c>
      <c r="H22" s="21">
        <v>3.304610272534067E-2</v>
      </c>
      <c r="I22" s="22"/>
      <c r="J22" s="2"/>
    </row>
    <row r="23" spans="1:10" ht="12.95" customHeight="1">
      <c r="A23" s="2"/>
      <c r="B23" s="12" t="s">
        <v>172</v>
      </c>
      <c r="C23" s="13"/>
      <c r="D23" s="13"/>
      <c r="E23" s="13"/>
      <c r="F23" s="23">
        <v>473.66</v>
      </c>
      <c r="G23" s="24">
        <v>2.86E-2</v>
      </c>
      <c r="H23" s="25"/>
      <c r="I23" s="26"/>
      <c r="J23" s="2"/>
    </row>
    <row r="24" spans="1:10" ht="12.95" customHeight="1">
      <c r="A24" s="2"/>
      <c r="B24" s="27" t="s">
        <v>177</v>
      </c>
      <c r="C24" s="28"/>
      <c r="D24" s="1"/>
      <c r="E24" s="28"/>
      <c r="F24" s="23">
        <v>473.66</v>
      </c>
      <c r="G24" s="24">
        <v>2.86E-2</v>
      </c>
      <c r="H24" s="25"/>
      <c r="I24" s="26"/>
      <c r="J24" s="2"/>
    </row>
    <row r="25" spans="1:10" ht="12.95" customHeight="1">
      <c r="A25" s="2"/>
      <c r="B25" s="27" t="s">
        <v>181</v>
      </c>
      <c r="C25" s="13"/>
      <c r="D25" s="1"/>
      <c r="E25" s="13"/>
      <c r="F25" s="29">
        <v>-5.82</v>
      </c>
      <c r="G25" s="24">
        <v>-5.0000000000000001E-4</v>
      </c>
      <c r="H25" s="25"/>
      <c r="I25" s="26"/>
      <c r="J25" s="2"/>
    </row>
    <row r="26" spans="1:10" ht="12.95" customHeight="1" thickBot="1">
      <c r="A26" s="2"/>
      <c r="B26" s="30" t="s">
        <v>182</v>
      </c>
      <c r="C26" s="31"/>
      <c r="D26" s="31"/>
      <c r="E26" s="31"/>
      <c r="F26" s="32">
        <v>16576.759999999998</v>
      </c>
      <c r="G26" s="33">
        <v>1</v>
      </c>
      <c r="H26" s="34"/>
      <c r="I26" s="35"/>
      <c r="J26" s="2"/>
    </row>
    <row r="27" spans="1:10" ht="12.95" customHeight="1">
      <c r="A27" s="2"/>
      <c r="B27" s="3" t="s">
        <v>244</v>
      </c>
      <c r="C27" s="2"/>
      <c r="D27" s="2"/>
      <c r="E27" s="2"/>
      <c r="F27" s="2"/>
      <c r="G27" s="2"/>
      <c r="H27" s="2"/>
      <c r="I27" s="2"/>
      <c r="J27" s="2"/>
    </row>
    <row r="28" spans="1:10" ht="12.95" customHeight="1">
      <c r="A28" s="2"/>
      <c r="B28" s="3" t="s">
        <v>186</v>
      </c>
      <c r="C28" s="2"/>
      <c r="D28" s="2"/>
      <c r="E28" s="2"/>
      <c r="F28" s="2"/>
      <c r="G28" s="2"/>
      <c r="H28" s="2"/>
      <c r="I28" s="2"/>
      <c r="J28" s="2"/>
    </row>
    <row r="29" spans="1:10" ht="26.25" customHeight="1">
      <c r="A29" s="2"/>
      <c r="B29" s="189" t="s">
        <v>4025</v>
      </c>
      <c r="C29" s="189"/>
      <c r="D29" s="189"/>
      <c r="E29" s="189"/>
      <c r="F29" s="189"/>
      <c r="G29" s="189"/>
      <c r="H29" s="189"/>
      <c r="I29" s="189"/>
      <c r="J29" s="2"/>
    </row>
    <row r="30" spans="1:10" ht="12.95" customHeight="1">
      <c r="A30" s="2"/>
      <c r="B30" s="3"/>
      <c r="C30" s="2"/>
      <c r="D30" s="2"/>
      <c r="E30" s="2"/>
      <c r="F30" s="2"/>
      <c r="G30" s="2"/>
      <c r="H30" s="2"/>
      <c r="I30" s="2"/>
      <c r="J30" s="2"/>
    </row>
    <row r="31" spans="1:10">
      <c r="D31" s="111" t="s">
        <v>3936</v>
      </c>
    </row>
    <row r="32" spans="1:10">
      <c r="B32" s="111" t="s">
        <v>3991</v>
      </c>
      <c r="D32" s="111" t="s">
        <v>3934</v>
      </c>
    </row>
  </sheetData>
  <mergeCells count="2">
    <mergeCell ref="B2:I2"/>
    <mergeCell ref="B29:I29"/>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92"/>
  <sheetViews>
    <sheetView workbookViewId="0"/>
  </sheetViews>
  <sheetFormatPr defaultRowHeight="15"/>
  <cols>
    <col min="1" max="1" width="3.28515625" customWidth="1"/>
    <col min="2" max="2" width="69.140625" customWidth="1"/>
    <col min="3"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AXISBDF</v>
      </c>
    </row>
    <row r="2" spans="1:13" ht="34.5" customHeight="1" thickBot="1">
      <c r="A2" s="135" t="str">
        <f>M2</f>
        <v>AXISBDF</v>
      </c>
      <c r="B2" s="186" t="s">
        <v>15</v>
      </c>
      <c r="C2" s="187"/>
      <c r="D2" s="187"/>
      <c r="E2" s="187"/>
      <c r="F2" s="187"/>
      <c r="G2" s="187"/>
      <c r="H2" s="187"/>
      <c r="I2" s="188"/>
      <c r="J2" s="2"/>
      <c r="M2" s="108" t="s">
        <v>14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158</v>
      </c>
      <c r="B8" s="17" t="s">
        <v>159</v>
      </c>
      <c r="C8" s="13" t="s">
        <v>160</v>
      </c>
      <c r="D8" s="13" t="s">
        <v>161</v>
      </c>
      <c r="E8" s="18">
        <v>11808</v>
      </c>
      <c r="F8" s="19">
        <v>121062.46</v>
      </c>
      <c r="G8" s="20">
        <v>7.2300000000000003E-2</v>
      </c>
      <c r="H8" s="21">
        <v>3.7691000000000002E-2</v>
      </c>
      <c r="I8" s="22"/>
      <c r="J8" s="2"/>
    </row>
    <row r="9" spans="1:13" ht="12.95" customHeight="1">
      <c r="A9" s="16" t="s">
        <v>245</v>
      </c>
      <c r="B9" s="17" t="s">
        <v>246</v>
      </c>
      <c r="C9" s="13" t="s">
        <v>247</v>
      </c>
      <c r="D9" s="13" t="s">
        <v>132</v>
      </c>
      <c r="E9" s="18">
        <v>7935</v>
      </c>
      <c r="F9" s="19">
        <v>83297.66</v>
      </c>
      <c r="G9" s="20">
        <v>4.9700000000000001E-2</v>
      </c>
      <c r="H9" s="21">
        <v>4.5400000000000003E-2</v>
      </c>
      <c r="I9" s="22"/>
      <c r="J9" s="2"/>
    </row>
    <row r="10" spans="1:13" ht="12.95" customHeight="1">
      <c r="A10" s="16" t="s">
        <v>248</v>
      </c>
      <c r="B10" s="17" t="s">
        <v>249</v>
      </c>
      <c r="C10" s="13" t="s">
        <v>250</v>
      </c>
      <c r="D10" s="13" t="s">
        <v>200</v>
      </c>
      <c r="E10" s="18">
        <v>80500000</v>
      </c>
      <c r="F10" s="19">
        <v>83152.479999999996</v>
      </c>
      <c r="G10" s="20">
        <v>4.9700000000000001E-2</v>
      </c>
      <c r="H10" s="21">
        <v>4.0305000000000001E-2</v>
      </c>
      <c r="I10" s="22"/>
      <c r="J10" s="2"/>
    </row>
    <row r="11" spans="1:13" ht="12.95" customHeight="1">
      <c r="A11" s="16" t="s">
        <v>251</v>
      </c>
      <c r="B11" s="17" t="s">
        <v>252</v>
      </c>
      <c r="C11" s="13" t="s">
        <v>253</v>
      </c>
      <c r="D11" s="13" t="s">
        <v>132</v>
      </c>
      <c r="E11" s="18">
        <v>6740</v>
      </c>
      <c r="F11" s="19">
        <v>68862.710000000006</v>
      </c>
      <c r="G11" s="20">
        <v>4.1099999999999998E-2</v>
      </c>
      <c r="H11" s="21">
        <v>4.0099999999999997E-2</v>
      </c>
      <c r="I11" s="22"/>
      <c r="J11" s="2"/>
    </row>
    <row r="12" spans="1:13" ht="12.95" customHeight="1">
      <c r="A12" s="16" t="s">
        <v>254</v>
      </c>
      <c r="B12" s="17" t="s">
        <v>255</v>
      </c>
      <c r="C12" s="13" t="s">
        <v>256</v>
      </c>
      <c r="D12" s="13" t="s">
        <v>132</v>
      </c>
      <c r="E12" s="18">
        <v>6020</v>
      </c>
      <c r="F12" s="19">
        <v>61967.95</v>
      </c>
      <c r="G12" s="20">
        <v>3.6999999999999998E-2</v>
      </c>
      <c r="H12" s="21">
        <v>4.2299999999999997E-2</v>
      </c>
      <c r="I12" s="22"/>
      <c r="J12" s="2"/>
    </row>
    <row r="13" spans="1:13" ht="12.95" customHeight="1">
      <c r="A13" s="16" t="s">
        <v>257</v>
      </c>
      <c r="B13" s="17" t="s">
        <v>258</v>
      </c>
      <c r="C13" s="13" t="s">
        <v>259</v>
      </c>
      <c r="D13" s="13" t="s">
        <v>200</v>
      </c>
      <c r="E13" s="18">
        <v>46000000</v>
      </c>
      <c r="F13" s="19">
        <v>47949.43</v>
      </c>
      <c r="G13" s="20">
        <v>2.86E-2</v>
      </c>
      <c r="H13" s="21">
        <v>4.4408999999999997E-2</v>
      </c>
      <c r="I13" s="22"/>
      <c r="J13" s="2"/>
    </row>
    <row r="14" spans="1:13" ht="12.95" customHeight="1">
      <c r="A14" s="16" t="s">
        <v>260</v>
      </c>
      <c r="B14" s="17" t="s">
        <v>261</v>
      </c>
      <c r="C14" s="13" t="s">
        <v>262</v>
      </c>
      <c r="D14" s="13" t="s">
        <v>132</v>
      </c>
      <c r="E14" s="18">
        <v>4240</v>
      </c>
      <c r="F14" s="19">
        <v>43567.48</v>
      </c>
      <c r="G14" s="20">
        <v>2.5999999999999999E-2</v>
      </c>
      <c r="H14" s="21">
        <v>4.2200000000000001E-2</v>
      </c>
      <c r="I14" s="22"/>
      <c r="J14" s="2"/>
    </row>
    <row r="15" spans="1:13" ht="12.95" customHeight="1">
      <c r="A15" s="16" t="s">
        <v>145</v>
      </c>
      <c r="B15" s="17" t="s">
        <v>146</v>
      </c>
      <c r="C15" s="13" t="s">
        <v>147</v>
      </c>
      <c r="D15" s="13" t="s">
        <v>148</v>
      </c>
      <c r="E15" s="18">
        <v>3893</v>
      </c>
      <c r="F15" s="19">
        <v>39530.339999999997</v>
      </c>
      <c r="G15" s="20">
        <v>2.3599999999999999E-2</v>
      </c>
      <c r="H15" s="21">
        <v>3.6798999999999998E-2</v>
      </c>
      <c r="I15" s="22"/>
      <c r="J15" s="2"/>
    </row>
    <row r="16" spans="1:13" ht="12.95" customHeight="1">
      <c r="A16" s="16" t="s">
        <v>263</v>
      </c>
      <c r="B16" s="17" t="s">
        <v>264</v>
      </c>
      <c r="C16" s="13" t="s">
        <v>265</v>
      </c>
      <c r="D16" s="13" t="s">
        <v>132</v>
      </c>
      <c r="E16" s="18">
        <v>3800</v>
      </c>
      <c r="F16" s="19">
        <v>38332.879999999997</v>
      </c>
      <c r="G16" s="20">
        <v>2.29E-2</v>
      </c>
      <c r="H16" s="21">
        <v>4.2549999999999998E-2</v>
      </c>
      <c r="I16" s="22"/>
      <c r="J16" s="2"/>
    </row>
    <row r="17" spans="1:10" ht="12.95" customHeight="1">
      <c r="A17" s="16" t="s">
        <v>214</v>
      </c>
      <c r="B17" s="17" t="s">
        <v>215</v>
      </c>
      <c r="C17" s="13" t="s">
        <v>216</v>
      </c>
      <c r="D17" s="13" t="s">
        <v>132</v>
      </c>
      <c r="E17" s="18">
        <v>3672</v>
      </c>
      <c r="F17" s="19">
        <v>37423.629999999997</v>
      </c>
      <c r="G17" s="20">
        <v>2.23E-2</v>
      </c>
      <c r="H17" s="21">
        <v>3.7600000000000001E-2</v>
      </c>
      <c r="I17" s="22"/>
      <c r="J17" s="2"/>
    </row>
    <row r="18" spans="1:10" ht="12.95" customHeight="1">
      <c r="A18" s="16" t="s">
        <v>266</v>
      </c>
      <c r="B18" s="17" t="s">
        <v>267</v>
      </c>
      <c r="C18" s="13" t="s">
        <v>268</v>
      </c>
      <c r="D18" s="13" t="s">
        <v>132</v>
      </c>
      <c r="E18" s="18">
        <v>3350</v>
      </c>
      <c r="F18" s="19">
        <v>34123.17</v>
      </c>
      <c r="G18" s="20">
        <v>2.0400000000000001E-2</v>
      </c>
      <c r="H18" s="21">
        <v>4.2500000000000003E-2</v>
      </c>
      <c r="I18" s="22"/>
      <c r="J18" s="2"/>
    </row>
    <row r="19" spans="1:10" ht="12.95" customHeight="1">
      <c r="A19" s="16" t="s">
        <v>269</v>
      </c>
      <c r="B19" s="17" t="s">
        <v>270</v>
      </c>
      <c r="C19" s="13" t="s">
        <v>271</v>
      </c>
      <c r="D19" s="13" t="s">
        <v>171</v>
      </c>
      <c r="E19" s="18">
        <v>3250</v>
      </c>
      <c r="F19" s="19">
        <v>33261.93</v>
      </c>
      <c r="G19" s="20">
        <v>1.9900000000000001E-2</v>
      </c>
      <c r="H19" s="21">
        <v>4.4900000000000002E-2</v>
      </c>
      <c r="I19" s="22"/>
      <c r="J19" s="2"/>
    </row>
    <row r="20" spans="1:10" ht="12.95" customHeight="1">
      <c r="A20" s="16" t="s">
        <v>272</v>
      </c>
      <c r="B20" s="17" t="s">
        <v>273</v>
      </c>
      <c r="C20" s="13" t="s">
        <v>274</v>
      </c>
      <c r="D20" s="13" t="s">
        <v>132</v>
      </c>
      <c r="E20" s="18">
        <v>2650</v>
      </c>
      <c r="F20" s="19">
        <v>27261.8</v>
      </c>
      <c r="G20" s="20">
        <v>1.6299999999999999E-2</v>
      </c>
      <c r="H20" s="21">
        <v>4.4499999999999998E-2</v>
      </c>
      <c r="I20" s="22"/>
      <c r="J20" s="2"/>
    </row>
    <row r="21" spans="1:10" ht="12.95" customHeight="1">
      <c r="A21" s="16" t="s">
        <v>275</v>
      </c>
      <c r="B21" s="17" t="s">
        <v>276</v>
      </c>
      <c r="C21" s="13" t="s">
        <v>277</v>
      </c>
      <c r="D21" s="13" t="s">
        <v>132</v>
      </c>
      <c r="E21" s="18">
        <v>2580</v>
      </c>
      <c r="F21" s="19">
        <v>26459.34</v>
      </c>
      <c r="G21" s="20">
        <v>1.5800000000000002E-2</v>
      </c>
      <c r="H21" s="21">
        <v>4.2200000000000001E-2</v>
      </c>
      <c r="I21" s="22"/>
      <c r="J21" s="2"/>
    </row>
    <row r="22" spans="1:10" ht="12.95" customHeight="1">
      <c r="A22" s="16" t="s">
        <v>278</v>
      </c>
      <c r="B22" s="17" t="s">
        <v>279</v>
      </c>
      <c r="C22" s="13" t="s">
        <v>280</v>
      </c>
      <c r="D22" s="13" t="s">
        <v>132</v>
      </c>
      <c r="E22" s="18">
        <v>2510</v>
      </c>
      <c r="F22" s="19">
        <v>25954.71</v>
      </c>
      <c r="G22" s="20">
        <v>1.55E-2</v>
      </c>
      <c r="H22" s="21">
        <v>4.3298999999999997E-2</v>
      </c>
      <c r="I22" s="22"/>
      <c r="J22" s="2"/>
    </row>
    <row r="23" spans="1:10" ht="12.95" customHeight="1">
      <c r="A23" s="16" t="s">
        <v>142</v>
      </c>
      <c r="B23" s="17" t="s">
        <v>143</v>
      </c>
      <c r="C23" s="13" t="s">
        <v>144</v>
      </c>
      <c r="D23" s="13" t="s">
        <v>132</v>
      </c>
      <c r="E23" s="18">
        <v>2540</v>
      </c>
      <c r="F23" s="19">
        <v>25793.17</v>
      </c>
      <c r="G23" s="20">
        <v>1.54E-2</v>
      </c>
      <c r="H23" s="21">
        <v>3.6999999999999998E-2</v>
      </c>
      <c r="I23" s="22"/>
      <c r="J23" s="2"/>
    </row>
    <row r="24" spans="1:10" ht="12.95" customHeight="1">
      <c r="A24" s="16" t="s">
        <v>281</v>
      </c>
      <c r="B24" s="17" t="s">
        <v>282</v>
      </c>
      <c r="C24" s="13" t="s">
        <v>283</v>
      </c>
      <c r="D24" s="13" t="s">
        <v>171</v>
      </c>
      <c r="E24" s="18">
        <v>2500</v>
      </c>
      <c r="F24" s="19">
        <v>25065.38</v>
      </c>
      <c r="G24" s="20">
        <v>1.4999999999999999E-2</v>
      </c>
      <c r="H24" s="21">
        <v>4.7497999999999999E-2</v>
      </c>
      <c r="I24" s="22"/>
      <c r="J24" s="2"/>
    </row>
    <row r="25" spans="1:10" ht="12.95" customHeight="1">
      <c r="A25" s="16" t="s">
        <v>284</v>
      </c>
      <c r="B25" s="17" t="s">
        <v>285</v>
      </c>
      <c r="C25" s="13" t="s">
        <v>286</v>
      </c>
      <c r="D25" s="13" t="s">
        <v>171</v>
      </c>
      <c r="E25" s="18">
        <v>2250</v>
      </c>
      <c r="F25" s="19">
        <v>23639.65</v>
      </c>
      <c r="G25" s="20">
        <v>1.41E-2</v>
      </c>
      <c r="H25" s="21">
        <v>4.8994000000000003E-2</v>
      </c>
      <c r="I25" s="22"/>
      <c r="J25" s="2"/>
    </row>
    <row r="26" spans="1:10" ht="12.95" customHeight="1">
      <c r="A26" s="16" t="s">
        <v>287</v>
      </c>
      <c r="B26" s="17" t="s">
        <v>288</v>
      </c>
      <c r="C26" s="13" t="s">
        <v>289</v>
      </c>
      <c r="D26" s="13" t="s">
        <v>132</v>
      </c>
      <c r="E26" s="18">
        <v>2081</v>
      </c>
      <c r="F26" s="19">
        <v>21397.32</v>
      </c>
      <c r="G26" s="20">
        <v>1.2800000000000001E-2</v>
      </c>
      <c r="H26" s="21">
        <v>4.6616999999999999E-2</v>
      </c>
      <c r="I26" s="22"/>
      <c r="J26" s="2"/>
    </row>
    <row r="27" spans="1:10" ht="12.95" customHeight="1">
      <c r="A27" s="16" t="s">
        <v>290</v>
      </c>
      <c r="B27" s="17" t="s">
        <v>291</v>
      </c>
      <c r="C27" s="13" t="s">
        <v>292</v>
      </c>
      <c r="D27" s="13" t="s">
        <v>132</v>
      </c>
      <c r="E27" s="18">
        <v>1800</v>
      </c>
      <c r="F27" s="19">
        <v>18377.689999999999</v>
      </c>
      <c r="G27" s="20">
        <v>1.0999999999999999E-2</v>
      </c>
      <c r="H27" s="21">
        <v>4.0044000000000003E-2</v>
      </c>
      <c r="I27" s="22"/>
      <c r="J27" s="2"/>
    </row>
    <row r="28" spans="1:10" ht="12.95" customHeight="1">
      <c r="A28" s="16" t="s">
        <v>293</v>
      </c>
      <c r="B28" s="17" t="s">
        <v>294</v>
      </c>
      <c r="C28" s="13" t="s">
        <v>295</v>
      </c>
      <c r="D28" s="13" t="s">
        <v>132</v>
      </c>
      <c r="E28" s="18">
        <v>1750</v>
      </c>
      <c r="F28" s="19">
        <v>18054.73</v>
      </c>
      <c r="G28" s="20">
        <v>1.0800000000000001E-2</v>
      </c>
      <c r="H28" s="21">
        <v>4.4600000000000001E-2</v>
      </c>
      <c r="I28" s="22"/>
      <c r="J28" s="2"/>
    </row>
    <row r="29" spans="1:10" ht="12.95" customHeight="1">
      <c r="A29" s="16" t="s">
        <v>296</v>
      </c>
      <c r="B29" s="17" t="s">
        <v>297</v>
      </c>
      <c r="C29" s="13" t="s">
        <v>298</v>
      </c>
      <c r="D29" s="13" t="s">
        <v>132</v>
      </c>
      <c r="E29" s="18">
        <v>1620</v>
      </c>
      <c r="F29" s="19">
        <v>16520.71</v>
      </c>
      <c r="G29" s="20">
        <v>9.9000000000000008E-3</v>
      </c>
      <c r="H29" s="21">
        <v>4.2349999999999999E-2</v>
      </c>
      <c r="I29" s="22"/>
      <c r="J29" s="2"/>
    </row>
    <row r="30" spans="1:10" ht="12.95" customHeight="1">
      <c r="A30" s="16" t="s">
        <v>299</v>
      </c>
      <c r="B30" s="17" t="s">
        <v>300</v>
      </c>
      <c r="C30" s="13" t="s">
        <v>301</v>
      </c>
      <c r="D30" s="13" t="s">
        <v>132</v>
      </c>
      <c r="E30" s="18">
        <v>1550</v>
      </c>
      <c r="F30" s="19">
        <v>15964.26</v>
      </c>
      <c r="G30" s="20">
        <v>9.4999999999999998E-3</v>
      </c>
      <c r="H30" s="21">
        <v>4.4499999999999998E-2</v>
      </c>
      <c r="I30" s="22"/>
      <c r="J30" s="2"/>
    </row>
    <row r="31" spans="1:10" ht="12.95" customHeight="1">
      <c r="A31" s="16" t="s">
        <v>302</v>
      </c>
      <c r="B31" s="17" t="s">
        <v>303</v>
      </c>
      <c r="C31" s="13" t="s">
        <v>304</v>
      </c>
      <c r="D31" s="13" t="s">
        <v>132</v>
      </c>
      <c r="E31" s="18">
        <v>1500</v>
      </c>
      <c r="F31" s="19">
        <v>15176.3</v>
      </c>
      <c r="G31" s="20">
        <v>9.1000000000000004E-3</v>
      </c>
      <c r="H31" s="21">
        <v>4.795E-2</v>
      </c>
      <c r="I31" s="22"/>
      <c r="J31" s="2"/>
    </row>
    <row r="32" spans="1:10" ht="12.95" customHeight="1">
      <c r="A32" s="16" t="s">
        <v>305</v>
      </c>
      <c r="B32" s="17" t="s">
        <v>306</v>
      </c>
      <c r="C32" s="13" t="s">
        <v>307</v>
      </c>
      <c r="D32" s="13" t="s">
        <v>132</v>
      </c>
      <c r="E32" s="18">
        <v>1460</v>
      </c>
      <c r="F32" s="19">
        <v>14926.89</v>
      </c>
      <c r="G32" s="20">
        <v>8.8999999999999999E-3</v>
      </c>
      <c r="H32" s="21">
        <v>4.3298999999999997E-2</v>
      </c>
      <c r="I32" s="22"/>
      <c r="J32" s="2"/>
    </row>
    <row r="33" spans="1:10" ht="12.95" customHeight="1">
      <c r="A33" s="16" t="s">
        <v>308</v>
      </c>
      <c r="B33" s="17" t="s">
        <v>309</v>
      </c>
      <c r="C33" s="13" t="s">
        <v>310</v>
      </c>
      <c r="D33" s="13" t="s">
        <v>132</v>
      </c>
      <c r="E33" s="18">
        <v>1450</v>
      </c>
      <c r="F33" s="19">
        <v>14762.22</v>
      </c>
      <c r="G33" s="20">
        <v>8.8000000000000005E-3</v>
      </c>
      <c r="H33" s="21">
        <v>4.5949999999999998E-2</v>
      </c>
      <c r="I33" s="22"/>
      <c r="J33" s="2"/>
    </row>
    <row r="34" spans="1:10" ht="12.95" customHeight="1">
      <c r="A34" s="16" t="s">
        <v>311</v>
      </c>
      <c r="B34" s="17" t="s">
        <v>312</v>
      </c>
      <c r="C34" s="13" t="s">
        <v>313</v>
      </c>
      <c r="D34" s="13" t="s">
        <v>132</v>
      </c>
      <c r="E34" s="18">
        <v>1350</v>
      </c>
      <c r="F34" s="19">
        <v>13941.17</v>
      </c>
      <c r="G34" s="20">
        <v>8.3000000000000001E-3</v>
      </c>
      <c r="H34" s="21">
        <v>4.58E-2</v>
      </c>
      <c r="I34" s="22"/>
      <c r="J34" s="2"/>
    </row>
    <row r="35" spans="1:10" ht="12.95" customHeight="1">
      <c r="A35" s="16" t="s">
        <v>314</v>
      </c>
      <c r="B35" s="17" t="s">
        <v>315</v>
      </c>
      <c r="C35" s="13" t="s">
        <v>316</v>
      </c>
      <c r="D35" s="13" t="s">
        <v>132</v>
      </c>
      <c r="E35" s="18">
        <v>1250</v>
      </c>
      <c r="F35" s="19">
        <v>12911.2</v>
      </c>
      <c r="G35" s="20">
        <v>7.7000000000000002E-3</v>
      </c>
      <c r="H35" s="21">
        <v>4.4499999999999998E-2</v>
      </c>
      <c r="I35" s="22"/>
      <c r="J35" s="2"/>
    </row>
    <row r="36" spans="1:10" ht="12.95" customHeight="1">
      <c r="A36" s="16" t="s">
        <v>317</v>
      </c>
      <c r="B36" s="17" t="s">
        <v>318</v>
      </c>
      <c r="C36" s="13" t="s">
        <v>319</v>
      </c>
      <c r="D36" s="13" t="s">
        <v>132</v>
      </c>
      <c r="E36" s="18">
        <v>1250</v>
      </c>
      <c r="F36" s="19">
        <v>12833.71</v>
      </c>
      <c r="G36" s="20">
        <v>7.7000000000000002E-3</v>
      </c>
      <c r="H36" s="21">
        <v>4.5948999999999997E-2</v>
      </c>
      <c r="I36" s="22"/>
      <c r="J36" s="2"/>
    </row>
    <row r="37" spans="1:10" ht="12.95" customHeight="1">
      <c r="A37" s="16" t="s">
        <v>320</v>
      </c>
      <c r="B37" s="17" t="s">
        <v>321</v>
      </c>
      <c r="C37" s="13" t="s">
        <v>322</v>
      </c>
      <c r="D37" s="13" t="s">
        <v>171</v>
      </c>
      <c r="E37" s="18">
        <v>1250</v>
      </c>
      <c r="F37" s="19">
        <v>12833.38</v>
      </c>
      <c r="G37" s="20">
        <v>7.7000000000000002E-3</v>
      </c>
      <c r="H37" s="21">
        <v>4.7552999999999998E-2</v>
      </c>
      <c r="I37" s="22"/>
      <c r="J37" s="2"/>
    </row>
    <row r="38" spans="1:10" ht="12.95" customHeight="1">
      <c r="A38" s="16" t="s">
        <v>323</v>
      </c>
      <c r="B38" s="17" t="s">
        <v>324</v>
      </c>
      <c r="C38" s="13" t="s">
        <v>325</v>
      </c>
      <c r="D38" s="13" t="s">
        <v>148</v>
      </c>
      <c r="E38" s="18">
        <v>1250</v>
      </c>
      <c r="F38" s="19">
        <v>12813.51</v>
      </c>
      <c r="G38" s="20">
        <v>7.7000000000000002E-3</v>
      </c>
      <c r="H38" s="21">
        <v>4.1250000000000002E-2</v>
      </c>
      <c r="I38" s="22"/>
      <c r="J38" s="2"/>
    </row>
    <row r="39" spans="1:10" ht="12.95" customHeight="1">
      <c r="A39" s="16" t="s">
        <v>326</v>
      </c>
      <c r="B39" s="17" t="s">
        <v>327</v>
      </c>
      <c r="C39" s="13" t="s">
        <v>328</v>
      </c>
      <c r="D39" s="13" t="s">
        <v>132</v>
      </c>
      <c r="E39" s="18">
        <v>1250</v>
      </c>
      <c r="F39" s="19">
        <v>12778.48</v>
      </c>
      <c r="G39" s="20">
        <v>7.6E-3</v>
      </c>
      <c r="H39" s="21">
        <v>4.165E-2</v>
      </c>
      <c r="I39" s="22"/>
      <c r="J39" s="2"/>
    </row>
    <row r="40" spans="1:10" ht="12.95" customHeight="1">
      <c r="A40" s="16" t="s">
        <v>329</v>
      </c>
      <c r="B40" s="17" t="s">
        <v>330</v>
      </c>
      <c r="C40" s="13" t="s">
        <v>331</v>
      </c>
      <c r="D40" s="13" t="s">
        <v>171</v>
      </c>
      <c r="E40" s="18">
        <v>1250</v>
      </c>
      <c r="F40" s="19">
        <v>12750.85</v>
      </c>
      <c r="G40" s="20">
        <v>7.6E-3</v>
      </c>
      <c r="H40" s="21">
        <v>4.6997999999999998E-2</v>
      </c>
      <c r="I40" s="22"/>
      <c r="J40" s="2"/>
    </row>
    <row r="41" spans="1:10" ht="12.95" customHeight="1">
      <c r="A41" s="16" t="s">
        <v>332</v>
      </c>
      <c r="B41" s="17" t="s">
        <v>333</v>
      </c>
      <c r="C41" s="13" t="s">
        <v>334</v>
      </c>
      <c r="D41" s="13" t="s">
        <v>171</v>
      </c>
      <c r="E41" s="18">
        <v>1250</v>
      </c>
      <c r="F41" s="19">
        <v>12530.95</v>
      </c>
      <c r="G41" s="20">
        <v>7.4999999999999997E-3</v>
      </c>
      <c r="H41" s="21">
        <v>4.2549999999999998E-2</v>
      </c>
      <c r="I41" s="22"/>
      <c r="J41" s="2"/>
    </row>
    <row r="42" spans="1:10" ht="12.95" customHeight="1">
      <c r="A42" s="16" t="s">
        <v>155</v>
      </c>
      <c r="B42" s="17" t="s">
        <v>156</v>
      </c>
      <c r="C42" s="13" t="s">
        <v>157</v>
      </c>
      <c r="D42" s="13" t="s">
        <v>132</v>
      </c>
      <c r="E42" s="18">
        <v>1230</v>
      </c>
      <c r="F42" s="19">
        <v>12507.03</v>
      </c>
      <c r="G42" s="20">
        <v>7.4999999999999997E-3</v>
      </c>
      <c r="H42" s="21">
        <v>3.7289000000000003E-2</v>
      </c>
      <c r="I42" s="22"/>
      <c r="J42" s="2"/>
    </row>
    <row r="43" spans="1:10" ht="12.95" customHeight="1">
      <c r="A43" s="16" t="s">
        <v>335</v>
      </c>
      <c r="B43" s="17" t="s">
        <v>336</v>
      </c>
      <c r="C43" s="13" t="s">
        <v>337</v>
      </c>
      <c r="D43" s="13" t="s">
        <v>132</v>
      </c>
      <c r="E43" s="18">
        <v>1200</v>
      </c>
      <c r="F43" s="19">
        <v>12139.27</v>
      </c>
      <c r="G43" s="20">
        <v>7.1999999999999998E-3</v>
      </c>
      <c r="H43" s="21">
        <v>4.6699999999999998E-2</v>
      </c>
      <c r="I43" s="22"/>
      <c r="J43" s="2"/>
    </row>
    <row r="44" spans="1:10" ht="12.95" customHeight="1">
      <c r="A44" s="16" t="s">
        <v>338</v>
      </c>
      <c r="B44" s="17" t="s">
        <v>339</v>
      </c>
      <c r="C44" s="13" t="s">
        <v>340</v>
      </c>
      <c r="D44" s="13" t="s">
        <v>132</v>
      </c>
      <c r="E44" s="18">
        <v>1150</v>
      </c>
      <c r="F44" s="19">
        <v>11833.04</v>
      </c>
      <c r="G44" s="20">
        <v>7.1000000000000004E-3</v>
      </c>
      <c r="H44" s="21">
        <v>4.2174999999999997E-2</v>
      </c>
      <c r="I44" s="22"/>
      <c r="J44" s="2"/>
    </row>
    <row r="45" spans="1:10" ht="12.95" customHeight="1">
      <c r="A45" s="16" t="s">
        <v>341</v>
      </c>
      <c r="B45" s="17" t="s">
        <v>342</v>
      </c>
      <c r="C45" s="13" t="s">
        <v>343</v>
      </c>
      <c r="D45" s="13" t="s">
        <v>132</v>
      </c>
      <c r="E45" s="18">
        <v>1000</v>
      </c>
      <c r="F45" s="19">
        <v>10256.36</v>
      </c>
      <c r="G45" s="20">
        <v>6.1000000000000004E-3</v>
      </c>
      <c r="H45" s="21">
        <v>4.58E-2</v>
      </c>
      <c r="I45" s="22"/>
      <c r="J45" s="2"/>
    </row>
    <row r="46" spans="1:10" ht="12.95" customHeight="1">
      <c r="A46" s="16" t="s">
        <v>344</v>
      </c>
      <c r="B46" s="17" t="s">
        <v>345</v>
      </c>
      <c r="C46" s="13" t="s">
        <v>346</v>
      </c>
      <c r="D46" s="13" t="s">
        <v>196</v>
      </c>
      <c r="E46" s="18">
        <v>950</v>
      </c>
      <c r="F46" s="19">
        <v>10236.44</v>
      </c>
      <c r="G46" s="20">
        <v>6.1000000000000004E-3</v>
      </c>
      <c r="H46" s="21">
        <v>7.1842000000000003E-2</v>
      </c>
      <c r="I46" s="37">
        <v>4.8994140999999998E-2</v>
      </c>
      <c r="J46" s="2"/>
    </row>
    <row r="47" spans="1:10" ht="12.95" customHeight="1">
      <c r="A47" s="16" t="s">
        <v>347</v>
      </c>
      <c r="B47" s="17" t="s">
        <v>348</v>
      </c>
      <c r="C47" s="13" t="s">
        <v>349</v>
      </c>
      <c r="D47" s="13" t="s">
        <v>171</v>
      </c>
      <c r="E47" s="18">
        <v>1000</v>
      </c>
      <c r="F47" s="19">
        <v>10210.540000000001</v>
      </c>
      <c r="G47" s="20">
        <v>6.1000000000000004E-3</v>
      </c>
      <c r="H47" s="21">
        <v>4.0149999999999998E-2</v>
      </c>
      <c r="I47" s="37"/>
      <c r="J47" s="2"/>
    </row>
    <row r="48" spans="1:10" ht="12.95" customHeight="1">
      <c r="A48" s="16" t="s">
        <v>350</v>
      </c>
      <c r="B48" s="17" t="s">
        <v>351</v>
      </c>
      <c r="C48" s="13" t="s">
        <v>352</v>
      </c>
      <c r="D48" s="13" t="s">
        <v>132</v>
      </c>
      <c r="E48" s="18">
        <v>950</v>
      </c>
      <c r="F48" s="19">
        <v>10172.14</v>
      </c>
      <c r="G48" s="20">
        <v>6.1000000000000004E-3</v>
      </c>
      <c r="H48" s="21">
        <v>6.77735E-2</v>
      </c>
      <c r="I48" s="37">
        <v>5.1417850000000001E-2</v>
      </c>
      <c r="J48" s="2"/>
    </row>
    <row r="49" spans="1:10" ht="12.95" customHeight="1">
      <c r="A49" s="16" t="s">
        <v>353</v>
      </c>
      <c r="B49" s="17" t="s">
        <v>354</v>
      </c>
      <c r="C49" s="13" t="s">
        <v>355</v>
      </c>
      <c r="D49" s="13" t="s">
        <v>132</v>
      </c>
      <c r="E49" s="18">
        <v>950</v>
      </c>
      <c r="F49" s="19">
        <v>10113.530000000001</v>
      </c>
      <c r="G49" s="20">
        <v>6.0000000000000001E-3</v>
      </c>
      <c r="H49" s="21">
        <v>7.6799000000000006E-2</v>
      </c>
      <c r="I49" s="37">
        <v>5.5304144999999999E-2</v>
      </c>
      <c r="J49" s="2"/>
    </row>
    <row r="50" spans="1:10" ht="12.95" customHeight="1">
      <c r="A50" s="16" t="s">
        <v>356</v>
      </c>
      <c r="B50" s="17" t="s">
        <v>357</v>
      </c>
      <c r="C50" s="13" t="s">
        <v>358</v>
      </c>
      <c r="D50" s="13" t="s">
        <v>132</v>
      </c>
      <c r="E50" s="18">
        <v>1000</v>
      </c>
      <c r="F50" s="19">
        <v>10059</v>
      </c>
      <c r="G50" s="20">
        <v>6.0000000000000001E-3</v>
      </c>
      <c r="H50" s="21">
        <v>4.6634000000000002E-2</v>
      </c>
      <c r="I50" s="37"/>
      <c r="J50" s="2"/>
    </row>
    <row r="51" spans="1:10" ht="12.95" customHeight="1">
      <c r="A51" s="16" t="s">
        <v>359</v>
      </c>
      <c r="B51" s="17" t="s">
        <v>360</v>
      </c>
      <c r="C51" s="13" t="s">
        <v>361</v>
      </c>
      <c r="D51" s="13" t="s">
        <v>200</v>
      </c>
      <c r="E51" s="18">
        <v>10000000</v>
      </c>
      <c r="F51" s="19">
        <v>9998.32</v>
      </c>
      <c r="G51" s="20">
        <v>6.0000000000000001E-3</v>
      </c>
      <c r="H51" s="21">
        <v>3.9725999999999997E-2</v>
      </c>
      <c r="I51" s="37"/>
      <c r="J51" s="2"/>
    </row>
    <row r="52" spans="1:10" ht="12.95" customHeight="1">
      <c r="A52" s="16" t="s">
        <v>362</v>
      </c>
      <c r="B52" s="17" t="s">
        <v>363</v>
      </c>
      <c r="C52" s="13" t="s">
        <v>364</v>
      </c>
      <c r="D52" s="13" t="s">
        <v>132</v>
      </c>
      <c r="E52" s="18">
        <v>950</v>
      </c>
      <c r="F52" s="19">
        <v>9940.8700000000008</v>
      </c>
      <c r="G52" s="20">
        <v>5.8999999999999999E-3</v>
      </c>
      <c r="H52" s="21">
        <v>4.2450000000000002E-2</v>
      </c>
      <c r="I52" s="37"/>
      <c r="J52" s="2"/>
    </row>
    <row r="53" spans="1:10" ht="12.95" customHeight="1">
      <c r="A53" s="16" t="s">
        <v>365</v>
      </c>
      <c r="B53" s="17" t="s">
        <v>366</v>
      </c>
      <c r="C53" s="13" t="s">
        <v>367</v>
      </c>
      <c r="D53" s="13" t="s">
        <v>132</v>
      </c>
      <c r="E53" s="18">
        <v>950</v>
      </c>
      <c r="F53" s="19">
        <v>9802.66</v>
      </c>
      <c r="G53" s="20">
        <v>5.8999999999999999E-3</v>
      </c>
      <c r="H53" s="21">
        <v>4.8000000000000001E-2</v>
      </c>
      <c r="I53" s="37"/>
      <c r="J53" s="2"/>
    </row>
    <row r="54" spans="1:10" ht="12.95" customHeight="1">
      <c r="A54" s="16" t="s">
        <v>368</v>
      </c>
      <c r="B54" s="17" t="s">
        <v>369</v>
      </c>
      <c r="C54" s="13" t="s">
        <v>370</v>
      </c>
      <c r="D54" s="13" t="s">
        <v>132</v>
      </c>
      <c r="E54" s="18">
        <v>950</v>
      </c>
      <c r="F54" s="19">
        <v>9712.4500000000007</v>
      </c>
      <c r="G54" s="20">
        <v>5.7999999999999996E-3</v>
      </c>
      <c r="H54" s="21">
        <v>4.6616999999999999E-2</v>
      </c>
      <c r="I54" s="37"/>
      <c r="J54" s="2"/>
    </row>
    <row r="55" spans="1:10" ht="12.95" customHeight="1">
      <c r="A55" s="16" t="s">
        <v>371</v>
      </c>
      <c r="B55" s="17" t="s">
        <v>372</v>
      </c>
      <c r="C55" s="13" t="s">
        <v>373</v>
      </c>
      <c r="D55" s="13" t="s">
        <v>132</v>
      </c>
      <c r="E55" s="18">
        <v>935</v>
      </c>
      <c r="F55" s="19">
        <v>9529.24</v>
      </c>
      <c r="G55" s="20">
        <v>5.7000000000000002E-3</v>
      </c>
      <c r="H55" s="21">
        <v>4.1549999999999997E-2</v>
      </c>
      <c r="I55" s="37"/>
      <c r="J55" s="2"/>
    </row>
    <row r="56" spans="1:10" ht="12.95" customHeight="1">
      <c r="A56" s="16" t="s">
        <v>374</v>
      </c>
      <c r="B56" s="17" t="s">
        <v>375</v>
      </c>
      <c r="C56" s="13" t="s">
        <v>376</v>
      </c>
      <c r="D56" s="13" t="s">
        <v>132</v>
      </c>
      <c r="E56" s="18">
        <v>850</v>
      </c>
      <c r="F56" s="19">
        <v>8803.3700000000008</v>
      </c>
      <c r="G56" s="20">
        <v>5.3E-3</v>
      </c>
      <c r="H56" s="21">
        <v>4.7997999999999999E-2</v>
      </c>
      <c r="I56" s="37"/>
      <c r="J56" s="2"/>
    </row>
    <row r="57" spans="1:10" ht="12.95" customHeight="1">
      <c r="A57" s="16" t="s">
        <v>377</v>
      </c>
      <c r="B57" s="17" t="s">
        <v>378</v>
      </c>
      <c r="C57" s="13" t="s">
        <v>379</v>
      </c>
      <c r="D57" s="13" t="s">
        <v>171</v>
      </c>
      <c r="E57" s="18">
        <v>750</v>
      </c>
      <c r="F57" s="19">
        <v>7716.5</v>
      </c>
      <c r="G57" s="20">
        <v>4.5999999999999999E-3</v>
      </c>
      <c r="H57" s="21">
        <v>4.7050000000000002E-2</v>
      </c>
      <c r="I57" s="37"/>
      <c r="J57" s="2"/>
    </row>
    <row r="58" spans="1:10" ht="12.95" customHeight="1">
      <c r="A58" s="16" t="s">
        <v>380</v>
      </c>
      <c r="B58" s="17" t="s">
        <v>381</v>
      </c>
      <c r="C58" s="13" t="s">
        <v>382</v>
      </c>
      <c r="D58" s="13" t="s">
        <v>132</v>
      </c>
      <c r="E58" s="18">
        <v>750</v>
      </c>
      <c r="F58" s="19">
        <v>7686.36</v>
      </c>
      <c r="G58" s="20">
        <v>4.5999999999999999E-3</v>
      </c>
      <c r="H58" s="21">
        <v>4.3499999999999997E-2</v>
      </c>
      <c r="I58" s="37"/>
      <c r="J58" s="2"/>
    </row>
    <row r="59" spans="1:10" ht="12.95" customHeight="1">
      <c r="A59" s="16" t="s">
        <v>211</v>
      </c>
      <c r="B59" s="17" t="s">
        <v>212</v>
      </c>
      <c r="C59" s="13" t="s">
        <v>213</v>
      </c>
      <c r="D59" s="13" t="s">
        <v>132</v>
      </c>
      <c r="E59" s="18">
        <v>715</v>
      </c>
      <c r="F59" s="19">
        <v>7288.45</v>
      </c>
      <c r="G59" s="20">
        <v>4.4000000000000003E-3</v>
      </c>
      <c r="H59" s="21">
        <v>3.7600000000000001E-2</v>
      </c>
      <c r="I59" s="37"/>
      <c r="J59" s="2"/>
    </row>
    <row r="60" spans="1:10" ht="12.95" customHeight="1">
      <c r="A60" s="16" t="s">
        <v>205</v>
      </c>
      <c r="B60" s="17" t="s">
        <v>206</v>
      </c>
      <c r="C60" s="13" t="s">
        <v>207</v>
      </c>
      <c r="D60" s="13" t="s">
        <v>132</v>
      </c>
      <c r="E60" s="18">
        <v>675</v>
      </c>
      <c r="F60" s="19">
        <v>6802.12</v>
      </c>
      <c r="G60" s="20">
        <v>4.1000000000000003E-3</v>
      </c>
      <c r="H60" s="21">
        <v>3.5500999999999998E-2</v>
      </c>
      <c r="I60" s="37"/>
      <c r="J60" s="2"/>
    </row>
    <row r="61" spans="1:10" ht="12.95" customHeight="1">
      <c r="A61" s="16" t="s">
        <v>383</v>
      </c>
      <c r="B61" s="17" t="s">
        <v>384</v>
      </c>
      <c r="C61" s="13" t="s">
        <v>385</v>
      </c>
      <c r="D61" s="13" t="s">
        <v>132</v>
      </c>
      <c r="E61" s="18">
        <v>650</v>
      </c>
      <c r="F61" s="19">
        <v>6681.14</v>
      </c>
      <c r="G61" s="20">
        <v>4.0000000000000001E-3</v>
      </c>
      <c r="H61" s="21">
        <v>4.3900000000000002E-2</v>
      </c>
      <c r="I61" s="37"/>
      <c r="J61" s="2"/>
    </row>
    <row r="62" spans="1:10" ht="12.95" customHeight="1">
      <c r="A62" s="16" t="s">
        <v>201</v>
      </c>
      <c r="B62" s="17" t="s">
        <v>202</v>
      </c>
      <c r="C62" s="13" t="s">
        <v>203</v>
      </c>
      <c r="D62" s="13" t="s">
        <v>132</v>
      </c>
      <c r="E62" s="18">
        <v>643</v>
      </c>
      <c r="F62" s="19">
        <v>6460.05</v>
      </c>
      <c r="G62" s="20">
        <v>3.8999999999999998E-3</v>
      </c>
      <c r="H62" s="21">
        <v>3.5250999999999998E-2</v>
      </c>
      <c r="I62" s="37"/>
      <c r="J62" s="2"/>
    </row>
    <row r="63" spans="1:10" ht="12.95" customHeight="1">
      <c r="A63" s="16" t="s">
        <v>386</v>
      </c>
      <c r="B63" s="17" t="s">
        <v>387</v>
      </c>
      <c r="C63" s="13" t="s">
        <v>388</v>
      </c>
      <c r="D63" s="13" t="s">
        <v>132</v>
      </c>
      <c r="E63" s="18">
        <v>610</v>
      </c>
      <c r="F63" s="19">
        <v>6376.9</v>
      </c>
      <c r="G63" s="20">
        <v>3.8E-3</v>
      </c>
      <c r="H63" s="21">
        <v>4.2450000000000002E-2</v>
      </c>
      <c r="I63" s="37"/>
      <c r="J63" s="2"/>
    </row>
    <row r="64" spans="1:10" ht="12.95" customHeight="1">
      <c r="A64" s="16" t="s">
        <v>389</v>
      </c>
      <c r="B64" s="17" t="s">
        <v>390</v>
      </c>
      <c r="C64" s="13" t="s">
        <v>391</v>
      </c>
      <c r="D64" s="13" t="s">
        <v>132</v>
      </c>
      <c r="E64" s="18">
        <v>500</v>
      </c>
      <c r="F64" s="19">
        <v>6367.11</v>
      </c>
      <c r="G64" s="20">
        <v>3.8E-3</v>
      </c>
      <c r="H64" s="21">
        <v>4.2999000000000002E-2</v>
      </c>
      <c r="I64" s="37"/>
      <c r="J64" s="2"/>
    </row>
    <row r="65" spans="1:10" ht="12.95" customHeight="1">
      <c r="A65" s="16" t="s">
        <v>392</v>
      </c>
      <c r="B65" s="17" t="s">
        <v>393</v>
      </c>
      <c r="C65" s="13" t="s">
        <v>394</v>
      </c>
      <c r="D65" s="13" t="s">
        <v>132</v>
      </c>
      <c r="E65" s="18">
        <v>600</v>
      </c>
      <c r="F65" s="19">
        <v>6202.06</v>
      </c>
      <c r="G65" s="20">
        <v>3.7000000000000002E-3</v>
      </c>
      <c r="H65" s="21">
        <v>4.3999999999999997E-2</v>
      </c>
      <c r="I65" s="37"/>
      <c r="J65" s="2"/>
    </row>
    <row r="66" spans="1:10" ht="12.95" customHeight="1">
      <c r="A66" s="16" t="s">
        <v>395</v>
      </c>
      <c r="B66" s="17" t="s">
        <v>396</v>
      </c>
      <c r="C66" s="13" t="s">
        <v>397</v>
      </c>
      <c r="D66" s="13" t="s">
        <v>148</v>
      </c>
      <c r="E66" s="18">
        <v>600</v>
      </c>
      <c r="F66" s="19">
        <v>6049.72</v>
      </c>
      <c r="G66" s="20">
        <v>3.5999999999999999E-3</v>
      </c>
      <c r="H66" s="21">
        <v>3.5700999999999997E-2</v>
      </c>
      <c r="I66" s="37"/>
      <c r="J66" s="2"/>
    </row>
    <row r="67" spans="1:10" ht="12.95" customHeight="1">
      <c r="A67" s="16" t="s">
        <v>398</v>
      </c>
      <c r="B67" s="17" t="s">
        <v>399</v>
      </c>
      <c r="C67" s="13" t="s">
        <v>400</v>
      </c>
      <c r="D67" s="13" t="s">
        <v>132</v>
      </c>
      <c r="E67" s="18">
        <v>550</v>
      </c>
      <c r="F67" s="19">
        <v>5822.37</v>
      </c>
      <c r="G67" s="20">
        <v>3.5000000000000001E-3</v>
      </c>
      <c r="H67" s="21">
        <v>4.4900000000000002E-2</v>
      </c>
      <c r="I67" s="37"/>
      <c r="J67" s="2"/>
    </row>
    <row r="68" spans="1:10" ht="12.95" customHeight="1">
      <c r="A68" s="16" t="s">
        <v>401</v>
      </c>
      <c r="B68" s="17" t="s">
        <v>402</v>
      </c>
      <c r="C68" s="13" t="s">
        <v>403</v>
      </c>
      <c r="D68" s="13" t="s">
        <v>171</v>
      </c>
      <c r="E68" s="18">
        <v>550</v>
      </c>
      <c r="F68" s="19">
        <v>5640.01</v>
      </c>
      <c r="G68" s="20">
        <v>3.3999999999999998E-3</v>
      </c>
      <c r="H68" s="21">
        <v>4.1300000000000003E-2</v>
      </c>
      <c r="I68" s="37"/>
      <c r="J68" s="2"/>
    </row>
    <row r="69" spans="1:10" ht="12.95" customHeight="1">
      <c r="A69" s="16" t="s">
        <v>404</v>
      </c>
      <c r="B69" s="17" t="s">
        <v>3931</v>
      </c>
      <c r="C69" s="13" t="s">
        <v>405</v>
      </c>
      <c r="D69" s="13" t="s">
        <v>132</v>
      </c>
      <c r="E69" s="18">
        <v>500</v>
      </c>
      <c r="F69" s="19">
        <v>5204.1899999999996</v>
      </c>
      <c r="G69" s="20">
        <v>3.0999999999999999E-3</v>
      </c>
      <c r="H69" s="21">
        <v>5.0999999999999997E-2</v>
      </c>
      <c r="I69" s="37"/>
      <c r="J69" s="2"/>
    </row>
    <row r="70" spans="1:10" ht="12.95" customHeight="1">
      <c r="A70" s="16" t="s">
        <v>406</v>
      </c>
      <c r="B70" s="17" t="s">
        <v>407</v>
      </c>
      <c r="C70" s="13" t="s">
        <v>408</v>
      </c>
      <c r="D70" s="13" t="s">
        <v>132</v>
      </c>
      <c r="E70" s="18">
        <v>500</v>
      </c>
      <c r="F70" s="19">
        <v>5203.2299999999996</v>
      </c>
      <c r="G70" s="20">
        <v>3.0999999999999999E-3</v>
      </c>
      <c r="H70" s="21">
        <v>4.9748000000000001E-2</v>
      </c>
      <c r="I70" s="37"/>
      <c r="J70" s="2"/>
    </row>
    <row r="71" spans="1:10" ht="12.95" customHeight="1">
      <c r="A71" s="16" t="s">
        <v>409</v>
      </c>
      <c r="B71" s="17" t="s">
        <v>410</v>
      </c>
      <c r="C71" s="13" t="s">
        <v>411</v>
      </c>
      <c r="D71" s="13" t="s">
        <v>200</v>
      </c>
      <c r="E71" s="18">
        <v>5000000</v>
      </c>
      <c r="F71" s="19">
        <v>5197.5</v>
      </c>
      <c r="G71" s="20">
        <v>3.0999999999999999E-3</v>
      </c>
      <c r="H71" s="21">
        <v>3.9466000000000001E-2</v>
      </c>
      <c r="I71" s="37"/>
      <c r="J71" s="2"/>
    </row>
    <row r="72" spans="1:10" ht="12.95" customHeight="1">
      <c r="A72" s="16" t="s">
        <v>412</v>
      </c>
      <c r="B72" s="17" t="s">
        <v>413</v>
      </c>
      <c r="C72" s="13" t="s">
        <v>414</v>
      </c>
      <c r="D72" s="13" t="s">
        <v>132</v>
      </c>
      <c r="E72" s="18">
        <v>500</v>
      </c>
      <c r="F72" s="19">
        <v>5195.16</v>
      </c>
      <c r="G72" s="20">
        <v>3.0999999999999999E-3</v>
      </c>
      <c r="H72" s="21">
        <v>4.9748000000000001E-2</v>
      </c>
      <c r="I72" s="37"/>
      <c r="J72" s="2"/>
    </row>
    <row r="73" spans="1:10" ht="12.95" customHeight="1">
      <c r="A73" s="16" t="s">
        <v>415</v>
      </c>
      <c r="B73" s="17" t="s">
        <v>416</v>
      </c>
      <c r="C73" s="13" t="s">
        <v>417</v>
      </c>
      <c r="D73" s="13" t="s">
        <v>132</v>
      </c>
      <c r="E73" s="18">
        <v>500</v>
      </c>
      <c r="F73" s="19">
        <v>5168.34</v>
      </c>
      <c r="G73" s="20">
        <v>3.0999999999999999E-3</v>
      </c>
      <c r="H73" s="21">
        <v>4.7997999999999999E-2</v>
      </c>
      <c r="I73" s="37"/>
      <c r="J73" s="2"/>
    </row>
    <row r="74" spans="1:10" ht="12.95" customHeight="1">
      <c r="A74" s="16" t="s">
        <v>418</v>
      </c>
      <c r="B74" s="17" t="s">
        <v>419</v>
      </c>
      <c r="C74" s="13" t="s">
        <v>420</v>
      </c>
      <c r="D74" s="13" t="s">
        <v>132</v>
      </c>
      <c r="E74" s="18">
        <v>500</v>
      </c>
      <c r="F74" s="19">
        <v>5155</v>
      </c>
      <c r="G74" s="20">
        <v>3.0999999999999999E-3</v>
      </c>
      <c r="H74" s="21">
        <v>4.9248E-2</v>
      </c>
      <c r="I74" s="37"/>
      <c r="J74" s="2"/>
    </row>
    <row r="75" spans="1:10" ht="12.95" customHeight="1">
      <c r="A75" s="16" t="s">
        <v>421</v>
      </c>
      <c r="B75" s="17" t="s">
        <v>422</v>
      </c>
      <c r="C75" s="13" t="s">
        <v>423</v>
      </c>
      <c r="D75" s="13" t="s">
        <v>132</v>
      </c>
      <c r="E75" s="18">
        <v>500</v>
      </c>
      <c r="F75" s="19">
        <v>5147.34</v>
      </c>
      <c r="G75" s="20">
        <v>3.0999999999999999E-3</v>
      </c>
      <c r="H75" s="21">
        <v>4.5498999999999998E-2</v>
      </c>
      <c r="I75" s="37"/>
      <c r="J75" s="2"/>
    </row>
    <row r="76" spans="1:10" ht="12.95" customHeight="1">
      <c r="A76" s="16" t="s">
        <v>424</v>
      </c>
      <c r="B76" s="17" t="s">
        <v>425</v>
      </c>
      <c r="C76" s="13" t="s">
        <v>426</v>
      </c>
      <c r="D76" s="13" t="s">
        <v>132</v>
      </c>
      <c r="E76" s="18">
        <v>500</v>
      </c>
      <c r="F76" s="19">
        <v>5140.5600000000004</v>
      </c>
      <c r="G76" s="20">
        <v>3.0999999999999999E-3</v>
      </c>
      <c r="H76" s="21">
        <v>4.5949999999999998E-2</v>
      </c>
      <c r="I76" s="37"/>
      <c r="J76" s="2"/>
    </row>
    <row r="77" spans="1:10" ht="12.95" customHeight="1">
      <c r="A77" s="16" t="s">
        <v>427</v>
      </c>
      <c r="B77" s="17" t="s">
        <v>428</v>
      </c>
      <c r="C77" s="13" t="s">
        <v>429</v>
      </c>
      <c r="D77" s="13" t="s">
        <v>132</v>
      </c>
      <c r="E77" s="18">
        <v>500</v>
      </c>
      <c r="F77" s="19">
        <v>5127.2</v>
      </c>
      <c r="G77" s="20">
        <v>3.0999999999999999E-3</v>
      </c>
      <c r="H77" s="21">
        <v>4.2500000000000003E-2</v>
      </c>
      <c r="I77" s="37"/>
      <c r="J77" s="2"/>
    </row>
    <row r="78" spans="1:10" ht="12.95" customHeight="1">
      <c r="A78" s="16" t="s">
        <v>430</v>
      </c>
      <c r="B78" s="17" t="s">
        <v>431</v>
      </c>
      <c r="C78" s="13" t="s">
        <v>432</v>
      </c>
      <c r="D78" s="13" t="s">
        <v>171</v>
      </c>
      <c r="E78" s="18">
        <v>500</v>
      </c>
      <c r="F78" s="19">
        <v>5077.16</v>
      </c>
      <c r="G78" s="20">
        <v>3.0000000000000001E-3</v>
      </c>
      <c r="H78" s="21">
        <v>5.1499999999999997E-2</v>
      </c>
      <c r="I78" s="37"/>
      <c r="J78" s="2"/>
    </row>
    <row r="79" spans="1:10" ht="12.95" customHeight="1">
      <c r="A79" s="16" t="s">
        <v>433</v>
      </c>
      <c r="B79" s="17" t="s">
        <v>434</v>
      </c>
      <c r="C79" s="13" t="s">
        <v>435</v>
      </c>
      <c r="D79" s="13" t="s">
        <v>171</v>
      </c>
      <c r="E79" s="18">
        <v>500</v>
      </c>
      <c r="F79" s="19">
        <v>5032.62</v>
      </c>
      <c r="G79" s="20">
        <v>3.0000000000000001E-3</v>
      </c>
      <c r="H79" s="21">
        <v>4.5650000000000003E-2</v>
      </c>
      <c r="I79" s="37"/>
      <c r="J79" s="2"/>
    </row>
    <row r="80" spans="1:10" ht="12.95" customHeight="1">
      <c r="A80" s="16" t="s">
        <v>436</v>
      </c>
      <c r="B80" s="17" t="s">
        <v>437</v>
      </c>
      <c r="C80" s="13" t="s">
        <v>438</v>
      </c>
      <c r="D80" s="13" t="s">
        <v>132</v>
      </c>
      <c r="E80" s="18">
        <v>500</v>
      </c>
      <c r="F80" s="19">
        <v>4915.75</v>
      </c>
      <c r="G80" s="20">
        <v>2.8999999999999998E-3</v>
      </c>
      <c r="H80" s="21">
        <v>6.0761000000000003E-2</v>
      </c>
      <c r="I80" s="37">
        <v>6.3109437000000004E-2</v>
      </c>
      <c r="J80" s="2"/>
    </row>
    <row r="81" spans="1:10" ht="12.95" customHeight="1">
      <c r="A81" s="16" t="s">
        <v>439</v>
      </c>
      <c r="B81" s="17" t="s">
        <v>440</v>
      </c>
      <c r="C81" s="13" t="s">
        <v>441</v>
      </c>
      <c r="D81" s="13" t="s">
        <v>132</v>
      </c>
      <c r="E81" s="18">
        <v>475</v>
      </c>
      <c r="F81" s="19">
        <v>4865.87</v>
      </c>
      <c r="G81" s="20">
        <v>2.8999999999999998E-3</v>
      </c>
      <c r="H81" s="21">
        <v>4.2349999999999999E-2</v>
      </c>
      <c r="I81" s="37"/>
      <c r="J81" s="2"/>
    </row>
    <row r="82" spans="1:10" ht="12.95" customHeight="1">
      <c r="A82" s="16" t="s">
        <v>442</v>
      </c>
      <c r="B82" s="17" t="s">
        <v>443</v>
      </c>
      <c r="C82" s="13" t="s">
        <v>444</v>
      </c>
      <c r="D82" s="13" t="s">
        <v>132</v>
      </c>
      <c r="E82" s="18">
        <v>450</v>
      </c>
      <c r="F82" s="19">
        <v>4601.99</v>
      </c>
      <c r="G82" s="20">
        <v>2.7000000000000001E-3</v>
      </c>
      <c r="H82" s="21">
        <v>4.2500000000000003E-2</v>
      </c>
      <c r="I82" s="37"/>
      <c r="J82" s="2"/>
    </row>
    <row r="83" spans="1:10" ht="12.95" customHeight="1">
      <c r="A83" s="16" t="s">
        <v>445</v>
      </c>
      <c r="B83" s="17" t="s">
        <v>446</v>
      </c>
      <c r="C83" s="13" t="s">
        <v>447</v>
      </c>
      <c r="D83" s="13" t="s">
        <v>132</v>
      </c>
      <c r="E83" s="18">
        <v>410</v>
      </c>
      <c r="F83" s="19">
        <v>4207.8100000000004</v>
      </c>
      <c r="G83" s="20">
        <v>2.5000000000000001E-3</v>
      </c>
      <c r="H83" s="21">
        <v>4.4499999999999998E-2</v>
      </c>
      <c r="I83" s="37"/>
      <c r="J83" s="2"/>
    </row>
    <row r="84" spans="1:10" ht="12.95" customHeight="1">
      <c r="A84" s="16" t="s">
        <v>448</v>
      </c>
      <c r="B84" s="17" t="s">
        <v>449</v>
      </c>
      <c r="C84" s="13" t="s">
        <v>450</v>
      </c>
      <c r="D84" s="13" t="s">
        <v>132</v>
      </c>
      <c r="E84" s="18">
        <v>400</v>
      </c>
      <c r="F84" s="19">
        <v>4179.9799999999996</v>
      </c>
      <c r="G84" s="20">
        <v>2.5000000000000001E-3</v>
      </c>
      <c r="H84" s="21">
        <v>4.1799999999999997E-2</v>
      </c>
      <c r="I84" s="37"/>
      <c r="J84" s="2"/>
    </row>
    <row r="85" spans="1:10" ht="12.95" customHeight="1">
      <c r="A85" s="16" t="s">
        <v>451</v>
      </c>
      <c r="B85" s="17" t="s">
        <v>452</v>
      </c>
      <c r="C85" s="13" t="s">
        <v>453</v>
      </c>
      <c r="D85" s="13" t="s">
        <v>132</v>
      </c>
      <c r="E85" s="18">
        <v>400</v>
      </c>
      <c r="F85" s="19">
        <v>4123.7700000000004</v>
      </c>
      <c r="G85" s="20">
        <v>2.5000000000000001E-3</v>
      </c>
      <c r="H85" s="21">
        <v>4.7199999999999999E-2</v>
      </c>
      <c r="I85" s="37"/>
      <c r="J85" s="2"/>
    </row>
    <row r="86" spans="1:10" ht="12.95" customHeight="1">
      <c r="A86" s="16" t="s">
        <v>454</v>
      </c>
      <c r="B86" s="17" t="s">
        <v>455</v>
      </c>
      <c r="C86" s="13" t="s">
        <v>456</v>
      </c>
      <c r="D86" s="13" t="s">
        <v>132</v>
      </c>
      <c r="E86" s="18">
        <v>350</v>
      </c>
      <c r="F86" s="19">
        <v>3656.35</v>
      </c>
      <c r="G86" s="20">
        <v>2.2000000000000001E-3</v>
      </c>
      <c r="H86" s="21">
        <v>4.2200000000000001E-2</v>
      </c>
      <c r="I86" s="37"/>
      <c r="J86" s="2"/>
    </row>
    <row r="87" spans="1:10" ht="12.95" customHeight="1">
      <c r="A87" s="16" t="s">
        <v>457</v>
      </c>
      <c r="B87" s="17" t="s">
        <v>458</v>
      </c>
      <c r="C87" s="13" t="s">
        <v>459</v>
      </c>
      <c r="D87" s="13" t="s">
        <v>132</v>
      </c>
      <c r="E87" s="18">
        <v>350</v>
      </c>
      <c r="F87" s="19">
        <v>3513.38</v>
      </c>
      <c r="G87" s="20">
        <v>2.0999999999999999E-3</v>
      </c>
      <c r="H87" s="21">
        <v>3.5250999999999998E-2</v>
      </c>
      <c r="I87" s="37"/>
      <c r="J87" s="2"/>
    </row>
    <row r="88" spans="1:10" ht="12.95" customHeight="1">
      <c r="A88" s="16" t="s">
        <v>190</v>
      </c>
      <c r="B88" s="17" t="s">
        <v>191</v>
      </c>
      <c r="C88" s="13" t="s">
        <v>192</v>
      </c>
      <c r="D88" s="13" t="s">
        <v>132</v>
      </c>
      <c r="E88" s="18">
        <v>326</v>
      </c>
      <c r="F88" s="19">
        <v>3330.68</v>
      </c>
      <c r="G88" s="20">
        <v>2E-3</v>
      </c>
      <c r="H88" s="21">
        <v>3.7600000000000001E-2</v>
      </c>
      <c r="I88" s="37"/>
      <c r="J88" s="2"/>
    </row>
    <row r="89" spans="1:10" ht="12.95" customHeight="1">
      <c r="A89" s="16" t="s">
        <v>460</v>
      </c>
      <c r="B89" s="17" t="s">
        <v>461</v>
      </c>
      <c r="C89" s="13" t="s">
        <v>462</v>
      </c>
      <c r="D89" s="13" t="s">
        <v>200</v>
      </c>
      <c r="E89" s="18">
        <v>3000000</v>
      </c>
      <c r="F89" s="19">
        <v>3168.54</v>
      </c>
      <c r="G89" s="20">
        <v>1.9E-3</v>
      </c>
      <c r="H89" s="21">
        <v>4.8341000000000002E-2</v>
      </c>
      <c r="I89" s="37"/>
      <c r="J89" s="2"/>
    </row>
    <row r="90" spans="1:10" ht="12.95" customHeight="1">
      <c r="A90" s="16" t="s">
        <v>463</v>
      </c>
      <c r="B90" s="17" t="s">
        <v>464</v>
      </c>
      <c r="C90" s="13" t="s">
        <v>465</v>
      </c>
      <c r="D90" s="13" t="s">
        <v>132</v>
      </c>
      <c r="E90" s="18">
        <v>240</v>
      </c>
      <c r="F90" s="19">
        <v>3138.34</v>
      </c>
      <c r="G90" s="20">
        <v>1.9E-3</v>
      </c>
      <c r="H90" s="21">
        <v>4.2549999999999998E-2</v>
      </c>
      <c r="I90" s="37"/>
      <c r="J90" s="2"/>
    </row>
    <row r="91" spans="1:10" ht="12.95" customHeight="1">
      <c r="A91" s="16" t="s">
        <v>466</v>
      </c>
      <c r="B91" s="17" t="s">
        <v>467</v>
      </c>
      <c r="C91" s="13" t="s">
        <v>468</v>
      </c>
      <c r="D91" s="13" t="s">
        <v>132</v>
      </c>
      <c r="E91" s="18">
        <v>300</v>
      </c>
      <c r="F91" s="19">
        <v>3102.67</v>
      </c>
      <c r="G91" s="20">
        <v>1.9E-3</v>
      </c>
      <c r="H91" s="21">
        <v>4.8000000000000001E-2</v>
      </c>
      <c r="I91" s="37"/>
      <c r="J91" s="2"/>
    </row>
    <row r="92" spans="1:10" ht="12.95" customHeight="1">
      <c r="A92" s="16" t="s">
        <v>469</v>
      </c>
      <c r="B92" s="17" t="s">
        <v>470</v>
      </c>
      <c r="C92" s="13" t="s">
        <v>471</v>
      </c>
      <c r="D92" s="13" t="s">
        <v>132</v>
      </c>
      <c r="E92" s="18">
        <v>300</v>
      </c>
      <c r="F92" s="19">
        <v>3101.1</v>
      </c>
      <c r="G92" s="20">
        <v>1.9E-3</v>
      </c>
      <c r="H92" s="21">
        <v>4.2999000000000002E-2</v>
      </c>
      <c r="I92" s="37"/>
      <c r="J92" s="2"/>
    </row>
    <row r="93" spans="1:10" ht="12.95" customHeight="1">
      <c r="A93" s="16" t="s">
        <v>472</v>
      </c>
      <c r="B93" s="17" t="s">
        <v>473</v>
      </c>
      <c r="C93" s="13" t="s">
        <v>474</v>
      </c>
      <c r="D93" s="13" t="s">
        <v>200</v>
      </c>
      <c r="E93" s="18">
        <v>3000000</v>
      </c>
      <c r="F93" s="19">
        <v>3003.77</v>
      </c>
      <c r="G93" s="20">
        <v>1.8E-3</v>
      </c>
      <c r="H93" s="21">
        <v>4.4145999999999998E-2</v>
      </c>
      <c r="I93" s="37"/>
      <c r="J93" s="2"/>
    </row>
    <row r="94" spans="1:10" ht="12.95" customHeight="1">
      <c r="A94" s="16" t="s">
        <v>475</v>
      </c>
      <c r="B94" s="17" t="s">
        <v>476</v>
      </c>
      <c r="C94" s="13" t="s">
        <v>477</v>
      </c>
      <c r="D94" s="13" t="s">
        <v>200</v>
      </c>
      <c r="E94" s="18">
        <v>2500000</v>
      </c>
      <c r="F94" s="19">
        <v>2628.36</v>
      </c>
      <c r="G94" s="20">
        <v>1.6000000000000001E-3</v>
      </c>
      <c r="H94" s="21">
        <v>4.6212000000000003E-2</v>
      </c>
      <c r="I94" s="37"/>
      <c r="J94" s="2"/>
    </row>
    <row r="95" spans="1:10" ht="12.95" customHeight="1">
      <c r="A95" s="16" t="s">
        <v>478</v>
      </c>
      <c r="B95" s="17" t="s">
        <v>479</v>
      </c>
      <c r="C95" s="13" t="s">
        <v>480</v>
      </c>
      <c r="D95" s="13" t="s">
        <v>132</v>
      </c>
      <c r="E95" s="18">
        <v>250</v>
      </c>
      <c r="F95" s="19">
        <v>2611.56</v>
      </c>
      <c r="G95" s="20">
        <v>1.6000000000000001E-3</v>
      </c>
      <c r="H95" s="21">
        <v>4.1340000000000002E-2</v>
      </c>
      <c r="I95" s="37"/>
      <c r="J95" s="2"/>
    </row>
    <row r="96" spans="1:10" ht="12.95" customHeight="1">
      <c r="A96" s="16" t="s">
        <v>481</v>
      </c>
      <c r="B96" s="17" t="s">
        <v>482</v>
      </c>
      <c r="C96" s="13" t="s">
        <v>483</v>
      </c>
      <c r="D96" s="13" t="s">
        <v>132</v>
      </c>
      <c r="E96" s="18">
        <v>250</v>
      </c>
      <c r="F96" s="19">
        <v>2587.9499999999998</v>
      </c>
      <c r="G96" s="20">
        <v>1.5E-3</v>
      </c>
      <c r="H96" s="21">
        <v>4.7895E-2</v>
      </c>
      <c r="I96" s="37"/>
      <c r="J96" s="2"/>
    </row>
    <row r="97" spans="1:10" ht="12.95" customHeight="1">
      <c r="A97" s="16" t="s">
        <v>484</v>
      </c>
      <c r="B97" s="17" t="s">
        <v>485</v>
      </c>
      <c r="C97" s="13" t="s">
        <v>486</v>
      </c>
      <c r="D97" s="13" t="s">
        <v>132</v>
      </c>
      <c r="E97" s="18">
        <v>250</v>
      </c>
      <c r="F97" s="19">
        <v>2578.5700000000002</v>
      </c>
      <c r="G97" s="20">
        <v>1.5E-3</v>
      </c>
      <c r="H97" s="21">
        <v>4.4499999999999998E-2</v>
      </c>
      <c r="I97" s="37"/>
      <c r="J97" s="2"/>
    </row>
    <row r="98" spans="1:10" ht="12.95" customHeight="1">
      <c r="A98" s="16" t="s">
        <v>487</v>
      </c>
      <c r="B98" s="17" t="s">
        <v>488</v>
      </c>
      <c r="C98" s="13" t="s">
        <v>489</v>
      </c>
      <c r="D98" s="13" t="s">
        <v>132</v>
      </c>
      <c r="E98" s="18">
        <v>250</v>
      </c>
      <c r="F98" s="19">
        <v>2578.5300000000002</v>
      </c>
      <c r="G98" s="20">
        <v>1.5E-3</v>
      </c>
      <c r="H98" s="21">
        <v>4.7199999999999999E-2</v>
      </c>
      <c r="I98" s="37"/>
      <c r="J98" s="2"/>
    </row>
    <row r="99" spans="1:10" ht="12.95" customHeight="1">
      <c r="A99" s="16" t="s">
        <v>490</v>
      </c>
      <c r="B99" s="17" t="s">
        <v>491</v>
      </c>
      <c r="C99" s="13" t="s">
        <v>492</v>
      </c>
      <c r="D99" s="13" t="s">
        <v>132</v>
      </c>
      <c r="E99" s="18">
        <v>250</v>
      </c>
      <c r="F99" s="19">
        <v>2566.87</v>
      </c>
      <c r="G99" s="20">
        <v>1.5E-3</v>
      </c>
      <c r="H99" s="21">
        <v>4.07E-2</v>
      </c>
      <c r="I99" s="37"/>
      <c r="J99" s="2"/>
    </row>
    <row r="100" spans="1:10" ht="12.95" customHeight="1">
      <c r="A100" s="16" t="s">
        <v>493</v>
      </c>
      <c r="B100" s="17" t="s">
        <v>494</v>
      </c>
      <c r="C100" s="13" t="s">
        <v>495</v>
      </c>
      <c r="D100" s="13" t="s">
        <v>196</v>
      </c>
      <c r="E100" s="18">
        <v>250</v>
      </c>
      <c r="F100" s="19">
        <v>2559.94</v>
      </c>
      <c r="G100" s="20">
        <v>1.5E-3</v>
      </c>
      <c r="H100" s="21">
        <v>4.2200000000000001E-2</v>
      </c>
      <c r="I100" s="37"/>
      <c r="J100" s="2"/>
    </row>
    <row r="101" spans="1:10" ht="12.95" customHeight="1">
      <c r="A101" s="16" t="s">
        <v>496</v>
      </c>
      <c r="B101" s="17" t="s">
        <v>497</v>
      </c>
      <c r="C101" s="13" t="s">
        <v>498</v>
      </c>
      <c r="D101" s="13" t="s">
        <v>132</v>
      </c>
      <c r="E101" s="18">
        <v>250</v>
      </c>
      <c r="F101" s="19">
        <v>2556.86</v>
      </c>
      <c r="G101" s="20">
        <v>1.5E-3</v>
      </c>
      <c r="H101" s="21">
        <v>4.3900000000000002E-2</v>
      </c>
      <c r="I101" s="37"/>
      <c r="J101" s="2"/>
    </row>
    <row r="102" spans="1:10" ht="12.95" customHeight="1">
      <c r="A102" s="16" t="s">
        <v>499</v>
      </c>
      <c r="B102" s="17" t="s">
        <v>500</v>
      </c>
      <c r="C102" s="13" t="s">
        <v>501</v>
      </c>
      <c r="D102" s="13" t="s">
        <v>171</v>
      </c>
      <c r="E102" s="18">
        <v>2360</v>
      </c>
      <c r="F102" s="19">
        <v>2488.9699999999998</v>
      </c>
      <c r="G102" s="20">
        <v>1.5E-3</v>
      </c>
      <c r="H102" s="21">
        <v>4.5248999999999998E-2</v>
      </c>
      <c r="I102" s="37"/>
      <c r="J102" s="2"/>
    </row>
    <row r="103" spans="1:10" ht="12.95" customHeight="1">
      <c r="A103" s="16" t="s">
        <v>502</v>
      </c>
      <c r="B103" s="17" t="s">
        <v>503</v>
      </c>
      <c r="C103" s="13" t="s">
        <v>504</v>
      </c>
      <c r="D103" s="13" t="s">
        <v>171</v>
      </c>
      <c r="E103" s="18">
        <v>210</v>
      </c>
      <c r="F103" s="19">
        <v>2172.48</v>
      </c>
      <c r="G103" s="20">
        <v>1.2999999999999999E-3</v>
      </c>
      <c r="H103" s="21">
        <v>6.5435499999999994E-2</v>
      </c>
      <c r="I103" s="37">
        <v>5.9274424999999999E-2</v>
      </c>
      <c r="J103" s="2"/>
    </row>
    <row r="104" spans="1:10" ht="12.95" customHeight="1">
      <c r="A104" s="16" t="s">
        <v>505</v>
      </c>
      <c r="B104" s="17" t="s">
        <v>506</v>
      </c>
      <c r="C104" s="13" t="s">
        <v>507</v>
      </c>
      <c r="D104" s="13" t="s">
        <v>132</v>
      </c>
      <c r="E104" s="18">
        <v>200</v>
      </c>
      <c r="F104" s="19">
        <v>2127.31</v>
      </c>
      <c r="G104" s="20">
        <v>1.2999999999999999E-3</v>
      </c>
      <c r="H104" s="21">
        <v>6.8974999999999995E-2</v>
      </c>
      <c r="I104" s="37"/>
      <c r="J104" s="2"/>
    </row>
    <row r="105" spans="1:10" ht="12.95" customHeight="1">
      <c r="A105" s="16" t="s">
        <v>508</v>
      </c>
      <c r="B105" s="17" t="s">
        <v>509</v>
      </c>
      <c r="C105" s="13" t="s">
        <v>510</v>
      </c>
      <c r="D105" s="13" t="s">
        <v>132</v>
      </c>
      <c r="E105" s="18">
        <v>200</v>
      </c>
      <c r="F105" s="19">
        <v>2105.0700000000002</v>
      </c>
      <c r="G105" s="20">
        <v>1.2999999999999999E-3</v>
      </c>
      <c r="H105" s="21">
        <v>4.4650000000000002E-2</v>
      </c>
      <c r="I105" s="37"/>
      <c r="J105" s="2"/>
    </row>
    <row r="106" spans="1:10" ht="12.95" customHeight="1">
      <c r="A106" s="16" t="s">
        <v>511</v>
      </c>
      <c r="B106" s="17" t="s">
        <v>512</v>
      </c>
      <c r="C106" s="13" t="s">
        <v>513</v>
      </c>
      <c r="D106" s="13" t="s">
        <v>132</v>
      </c>
      <c r="E106" s="18">
        <v>200</v>
      </c>
      <c r="F106" s="19">
        <v>2075.84</v>
      </c>
      <c r="G106" s="20">
        <v>1.1999999999999999E-3</v>
      </c>
      <c r="H106" s="21">
        <v>4.1349999999999998E-2</v>
      </c>
      <c r="I106" s="37"/>
      <c r="J106" s="2"/>
    </row>
    <row r="107" spans="1:10" ht="12.95" customHeight="1">
      <c r="A107" s="16" t="s">
        <v>514</v>
      </c>
      <c r="B107" s="17" t="s">
        <v>515</v>
      </c>
      <c r="C107" s="13" t="s">
        <v>516</v>
      </c>
      <c r="D107" s="13" t="s">
        <v>132</v>
      </c>
      <c r="E107" s="18">
        <v>200</v>
      </c>
      <c r="F107" s="19">
        <v>2060.89</v>
      </c>
      <c r="G107" s="20">
        <v>1.1999999999999999E-3</v>
      </c>
      <c r="H107" s="21">
        <v>4.0250000000000001E-2</v>
      </c>
      <c r="I107" s="37"/>
      <c r="J107" s="2"/>
    </row>
    <row r="108" spans="1:10" ht="12.95" customHeight="1">
      <c r="A108" s="16" t="s">
        <v>517</v>
      </c>
      <c r="B108" s="17" t="s">
        <v>518</v>
      </c>
      <c r="C108" s="13" t="s">
        <v>519</v>
      </c>
      <c r="D108" s="13" t="s">
        <v>132</v>
      </c>
      <c r="E108" s="18">
        <v>200</v>
      </c>
      <c r="F108" s="19">
        <v>2058.4899999999998</v>
      </c>
      <c r="G108" s="20">
        <v>1.1999999999999999E-3</v>
      </c>
      <c r="H108" s="21">
        <v>4.4499999999999998E-2</v>
      </c>
      <c r="I108" s="37"/>
      <c r="J108" s="2"/>
    </row>
    <row r="109" spans="1:10" ht="12.95" customHeight="1">
      <c r="A109" s="16" t="s">
        <v>149</v>
      </c>
      <c r="B109" s="17" t="s">
        <v>150</v>
      </c>
      <c r="C109" s="13" t="s">
        <v>151</v>
      </c>
      <c r="D109" s="13" t="s">
        <v>132</v>
      </c>
      <c r="E109" s="18">
        <v>179</v>
      </c>
      <c r="F109" s="19">
        <v>1815.68</v>
      </c>
      <c r="G109" s="20">
        <v>1.1000000000000001E-3</v>
      </c>
      <c r="H109" s="21">
        <v>3.7499999999999999E-2</v>
      </c>
      <c r="I109" s="37"/>
      <c r="J109" s="2"/>
    </row>
    <row r="110" spans="1:10" ht="12.95" customHeight="1">
      <c r="A110" s="16" t="s">
        <v>520</v>
      </c>
      <c r="B110" s="17" t="s">
        <v>521</v>
      </c>
      <c r="C110" s="13" t="s">
        <v>522</v>
      </c>
      <c r="D110" s="13" t="s">
        <v>196</v>
      </c>
      <c r="E110" s="18">
        <v>1500</v>
      </c>
      <c r="F110" s="19">
        <v>1569.76</v>
      </c>
      <c r="G110" s="20">
        <v>8.9999999999999998E-4</v>
      </c>
      <c r="H110" s="21">
        <v>4.2999000000000002E-2</v>
      </c>
      <c r="I110" s="37"/>
      <c r="J110" s="2"/>
    </row>
    <row r="111" spans="1:10" ht="12.95" customHeight="1">
      <c r="A111" s="16" t="s">
        <v>523</v>
      </c>
      <c r="B111" s="17" t="s">
        <v>524</v>
      </c>
      <c r="C111" s="13" t="s">
        <v>525</v>
      </c>
      <c r="D111" s="13" t="s">
        <v>132</v>
      </c>
      <c r="E111" s="18">
        <v>150</v>
      </c>
      <c r="F111" s="19">
        <v>1569.64</v>
      </c>
      <c r="G111" s="20">
        <v>8.9999999999999998E-4</v>
      </c>
      <c r="H111" s="21">
        <v>5.2699999999999997E-2</v>
      </c>
      <c r="I111" s="37"/>
      <c r="J111" s="2"/>
    </row>
    <row r="112" spans="1:10" ht="12.95" customHeight="1">
      <c r="A112" s="16" t="s">
        <v>526</v>
      </c>
      <c r="B112" s="17" t="s">
        <v>527</v>
      </c>
      <c r="C112" s="13" t="s">
        <v>528</v>
      </c>
      <c r="D112" s="13" t="s">
        <v>132</v>
      </c>
      <c r="E112" s="18">
        <v>150</v>
      </c>
      <c r="F112" s="19">
        <v>1555.36</v>
      </c>
      <c r="G112" s="20">
        <v>8.9999999999999998E-4</v>
      </c>
      <c r="H112" s="21">
        <v>4.7149999999999997E-2</v>
      </c>
      <c r="I112" s="37"/>
      <c r="J112" s="2"/>
    </row>
    <row r="113" spans="1:10" ht="12.95" customHeight="1">
      <c r="A113" s="16" t="s">
        <v>529</v>
      </c>
      <c r="B113" s="17" t="s">
        <v>530</v>
      </c>
      <c r="C113" s="13" t="s">
        <v>531</v>
      </c>
      <c r="D113" s="13" t="s">
        <v>132</v>
      </c>
      <c r="E113" s="18">
        <v>150</v>
      </c>
      <c r="F113" s="19">
        <v>1538.15</v>
      </c>
      <c r="G113" s="20">
        <v>8.9999999999999998E-4</v>
      </c>
      <c r="H113" s="21">
        <v>4.4600000000000001E-2</v>
      </c>
      <c r="I113" s="37"/>
      <c r="J113" s="2"/>
    </row>
    <row r="114" spans="1:10" ht="12.95" customHeight="1">
      <c r="A114" s="16" t="s">
        <v>532</v>
      </c>
      <c r="B114" s="17" t="s">
        <v>533</v>
      </c>
      <c r="C114" s="13" t="s">
        <v>534</v>
      </c>
      <c r="D114" s="13" t="s">
        <v>132</v>
      </c>
      <c r="E114" s="18">
        <v>150</v>
      </c>
      <c r="F114" s="19">
        <v>1534.44</v>
      </c>
      <c r="G114" s="20">
        <v>8.9999999999999998E-4</v>
      </c>
      <c r="H114" s="21">
        <v>4.4499999999999998E-2</v>
      </c>
      <c r="I114" s="37"/>
      <c r="J114" s="2"/>
    </row>
    <row r="115" spans="1:10" ht="12.95" customHeight="1">
      <c r="A115" s="16" t="s">
        <v>535</v>
      </c>
      <c r="B115" s="17" t="s">
        <v>536</v>
      </c>
      <c r="C115" s="13" t="s">
        <v>537</v>
      </c>
      <c r="D115" s="13" t="s">
        <v>132</v>
      </c>
      <c r="E115" s="18">
        <v>150</v>
      </c>
      <c r="F115" s="19">
        <v>1498.89</v>
      </c>
      <c r="G115" s="20">
        <v>8.9999999999999998E-4</v>
      </c>
      <c r="H115" s="21">
        <v>6.2503500000000004E-2</v>
      </c>
      <c r="I115" s="37">
        <v>6.2604106000000007E-2</v>
      </c>
      <c r="J115" s="2"/>
    </row>
    <row r="116" spans="1:10" ht="12.95" customHeight="1">
      <c r="A116" s="16" t="s">
        <v>538</v>
      </c>
      <c r="B116" s="17" t="s">
        <v>539</v>
      </c>
      <c r="C116" s="13" t="s">
        <v>540</v>
      </c>
      <c r="D116" s="13" t="s">
        <v>132</v>
      </c>
      <c r="E116" s="18">
        <v>130</v>
      </c>
      <c r="F116" s="19">
        <v>1340.7</v>
      </c>
      <c r="G116" s="20">
        <v>8.0000000000000004E-4</v>
      </c>
      <c r="H116" s="21">
        <v>4.7550000000000002E-2</v>
      </c>
      <c r="I116" s="37"/>
      <c r="J116" s="2"/>
    </row>
    <row r="117" spans="1:10" ht="12.95" customHeight="1">
      <c r="A117" s="16" t="s">
        <v>541</v>
      </c>
      <c r="B117" s="17" t="s">
        <v>542</v>
      </c>
      <c r="C117" s="13" t="s">
        <v>543</v>
      </c>
      <c r="D117" s="13" t="s">
        <v>132</v>
      </c>
      <c r="E117" s="18">
        <v>100</v>
      </c>
      <c r="F117" s="19">
        <v>1080.24</v>
      </c>
      <c r="G117" s="20">
        <v>5.9999999999999995E-4</v>
      </c>
      <c r="H117" s="21">
        <v>4.7300000000000002E-2</v>
      </c>
      <c r="I117" s="37"/>
      <c r="J117" s="2"/>
    </row>
    <row r="118" spans="1:10" ht="12.95" customHeight="1">
      <c r="A118" s="16" t="s">
        <v>544</v>
      </c>
      <c r="B118" s="17" t="s">
        <v>545</v>
      </c>
      <c r="C118" s="13" t="s">
        <v>546</v>
      </c>
      <c r="D118" s="13" t="s">
        <v>196</v>
      </c>
      <c r="E118" s="18">
        <v>100</v>
      </c>
      <c r="F118" s="19">
        <v>1067.43</v>
      </c>
      <c r="G118" s="20">
        <v>5.9999999999999995E-4</v>
      </c>
      <c r="H118" s="21">
        <v>7.1779999999999997E-2</v>
      </c>
      <c r="I118" s="37">
        <v>5.0650683000000002E-2</v>
      </c>
      <c r="J118" s="2"/>
    </row>
    <row r="119" spans="1:10" ht="12.95" customHeight="1">
      <c r="A119" s="16" t="s">
        <v>547</v>
      </c>
      <c r="B119" s="17" t="s">
        <v>548</v>
      </c>
      <c r="C119" s="13" t="s">
        <v>549</v>
      </c>
      <c r="D119" s="13" t="s">
        <v>132</v>
      </c>
      <c r="E119" s="18">
        <v>100</v>
      </c>
      <c r="F119" s="19">
        <v>1059.0999999999999</v>
      </c>
      <c r="G119" s="20">
        <v>5.9999999999999995E-4</v>
      </c>
      <c r="H119" s="21">
        <v>4.5798999999999999E-2</v>
      </c>
      <c r="I119" s="37"/>
      <c r="J119" s="2"/>
    </row>
    <row r="120" spans="1:10" ht="12.95" customHeight="1">
      <c r="A120" s="16" t="s">
        <v>550</v>
      </c>
      <c r="B120" s="17" t="s">
        <v>551</v>
      </c>
      <c r="C120" s="13" t="s">
        <v>552</v>
      </c>
      <c r="D120" s="13" t="s">
        <v>132</v>
      </c>
      <c r="E120" s="18">
        <v>100</v>
      </c>
      <c r="F120" s="19">
        <v>1039.8</v>
      </c>
      <c r="G120" s="20">
        <v>5.9999999999999995E-4</v>
      </c>
      <c r="H120" s="21">
        <v>4.1340000000000002E-2</v>
      </c>
      <c r="I120" s="37"/>
      <c r="J120" s="2"/>
    </row>
    <row r="121" spans="1:10" ht="12.95" customHeight="1">
      <c r="A121" s="16" t="s">
        <v>553</v>
      </c>
      <c r="B121" s="17" t="s">
        <v>554</v>
      </c>
      <c r="C121" s="13" t="s">
        <v>555</v>
      </c>
      <c r="D121" s="13" t="s">
        <v>132</v>
      </c>
      <c r="E121" s="18">
        <v>80</v>
      </c>
      <c r="F121" s="19">
        <v>1035.1099999999999</v>
      </c>
      <c r="G121" s="20">
        <v>5.9999999999999995E-4</v>
      </c>
      <c r="H121" s="21">
        <v>4.07E-2</v>
      </c>
      <c r="I121" s="37"/>
      <c r="J121" s="2"/>
    </row>
    <row r="122" spans="1:10" ht="12.95" customHeight="1">
      <c r="A122" s="16" t="s">
        <v>556</v>
      </c>
      <c r="B122" s="17" t="s">
        <v>557</v>
      </c>
      <c r="C122" s="13" t="s">
        <v>558</v>
      </c>
      <c r="D122" s="13" t="s">
        <v>196</v>
      </c>
      <c r="E122" s="18">
        <v>1000</v>
      </c>
      <c r="F122" s="19">
        <v>1032.5899999999999</v>
      </c>
      <c r="G122" s="20">
        <v>5.9999999999999995E-4</v>
      </c>
      <c r="H122" s="21">
        <v>4.1300000000000003E-2</v>
      </c>
      <c r="I122" s="37"/>
      <c r="J122" s="2"/>
    </row>
    <row r="123" spans="1:10" ht="12.95" customHeight="1">
      <c r="A123" s="16" t="s">
        <v>559</v>
      </c>
      <c r="B123" s="17" t="s">
        <v>560</v>
      </c>
      <c r="C123" s="13" t="s">
        <v>561</v>
      </c>
      <c r="D123" s="13" t="s">
        <v>132</v>
      </c>
      <c r="E123" s="18">
        <v>100</v>
      </c>
      <c r="F123" s="19">
        <v>1029.78</v>
      </c>
      <c r="G123" s="20">
        <v>5.9999999999999995E-4</v>
      </c>
      <c r="H123" s="21">
        <v>4.2595000000000001E-2</v>
      </c>
      <c r="I123" s="37"/>
      <c r="J123" s="2"/>
    </row>
    <row r="124" spans="1:10" ht="12.95" customHeight="1">
      <c r="A124" s="16" t="s">
        <v>562</v>
      </c>
      <c r="B124" s="17" t="s">
        <v>563</v>
      </c>
      <c r="C124" s="13" t="s">
        <v>564</v>
      </c>
      <c r="D124" s="13" t="s">
        <v>132</v>
      </c>
      <c r="E124" s="18">
        <v>100</v>
      </c>
      <c r="F124" s="19">
        <v>1027.8900000000001</v>
      </c>
      <c r="G124" s="20">
        <v>5.9999999999999995E-4</v>
      </c>
      <c r="H124" s="21">
        <v>4.6100000000000002E-2</v>
      </c>
      <c r="I124" s="37"/>
      <c r="J124" s="2"/>
    </row>
    <row r="125" spans="1:10" ht="12.95" customHeight="1">
      <c r="A125" s="16" t="s">
        <v>565</v>
      </c>
      <c r="B125" s="17" t="s">
        <v>566</v>
      </c>
      <c r="C125" s="13" t="s">
        <v>567</v>
      </c>
      <c r="D125" s="13" t="s">
        <v>132</v>
      </c>
      <c r="E125" s="18">
        <v>100</v>
      </c>
      <c r="F125" s="19">
        <v>1027.8699999999999</v>
      </c>
      <c r="G125" s="20">
        <v>5.9999999999999995E-4</v>
      </c>
      <c r="H125" s="21">
        <v>4.4299999999999999E-2</v>
      </c>
      <c r="I125" s="37"/>
      <c r="J125" s="2"/>
    </row>
    <row r="126" spans="1:10" ht="12.95" customHeight="1">
      <c r="A126" s="16" t="s">
        <v>568</v>
      </c>
      <c r="B126" s="17" t="s">
        <v>569</v>
      </c>
      <c r="C126" s="13" t="s">
        <v>570</v>
      </c>
      <c r="D126" s="13" t="s">
        <v>132</v>
      </c>
      <c r="E126" s="18">
        <v>100</v>
      </c>
      <c r="F126" s="19">
        <v>1020.64</v>
      </c>
      <c r="G126" s="20">
        <v>5.9999999999999995E-4</v>
      </c>
      <c r="H126" s="21">
        <v>4.3166999999999997E-2</v>
      </c>
      <c r="I126" s="37"/>
      <c r="J126" s="2"/>
    </row>
    <row r="127" spans="1:10" ht="12.95" customHeight="1">
      <c r="A127" s="16" t="s">
        <v>571</v>
      </c>
      <c r="B127" s="17" t="s">
        <v>572</v>
      </c>
      <c r="C127" s="13" t="s">
        <v>573</v>
      </c>
      <c r="D127" s="13" t="s">
        <v>132</v>
      </c>
      <c r="E127" s="18">
        <v>80</v>
      </c>
      <c r="F127" s="19">
        <v>1002.54</v>
      </c>
      <c r="G127" s="20">
        <v>5.9999999999999995E-4</v>
      </c>
      <c r="H127" s="21">
        <v>3.4043999999999998E-2</v>
      </c>
      <c r="I127" s="37"/>
      <c r="J127" s="2"/>
    </row>
    <row r="128" spans="1:10" ht="12.95" customHeight="1">
      <c r="A128" s="16" t="s">
        <v>574</v>
      </c>
      <c r="B128" s="17" t="s">
        <v>575</v>
      </c>
      <c r="C128" s="13" t="s">
        <v>576</v>
      </c>
      <c r="D128" s="13" t="s">
        <v>132</v>
      </c>
      <c r="E128" s="18">
        <v>60</v>
      </c>
      <c r="F128" s="19">
        <v>617.75</v>
      </c>
      <c r="G128" s="20">
        <v>4.0000000000000002E-4</v>
      </c>
      <c r="H128" s="21">
        <v>4.7750000000000001E-2</v>
      </c>
      <c r="I128" s="37"/>
      <c r="J128" s="2"/>
    </row>
    <row r="129" spans="1:10" ht="12.95" customHeight="1">
      <c r="A129" s="16" t="s">
        <v>577</v>
      </c>
      <c r="B129" s="17" t="s">
        <v>578</v>
      </c>
      <c r="C129" s="13" t="s">
        <v>579</v>
      </c>
      <c r="D129" s="13" t="s">
        <v>132</v>
      </c>
      <c r="E129" s="18">
        <v>60</v>
      </c>
      <c r="F129" s="19">
        <v>610.4</v>
      </c>
      <c r="G129" s="20">
        <v>4.0000000000000002E-4</v>
      </c>
      <c r="H129" s="21">
        <v>4.2000000000000003E-2</v>
      </c>
      <c r="I129" s="37"/>
      <c r="J129" s="2"/>
    </row>
    <row r="130" spans="1:10" ht="12.95" customHeight="1">
      <c r="A130" s="16" t="s">
        <v>580</v>
      </c>
      <c r="B130" s="17" t="s">
        <v>581</v>
      </c>
      <c r="C130" s="13" t="s">
        <v>582</v>
      </c>
      <c r="D130" s="13" t="s">
        <v>200</v>
      </c>
      <c r="E130" s="18">
        <v>500000</v>
      </c>
      <c r="F130" s="19">
        <v>541.88</v>
      </c>
      <c r="G130" s="20">
        <v>2.9999999999999997E-4</v>
      </c>
      <c r="H130" s="21">
        <v>5.8809E-2</v>
      </c>
      <c r="I130" s="37"/>
      <c r="J130" s="2"/>
    </row>
    <row r="131" spans="1:10" ht="12.95" customHeight="1">
      <c r="A131" s="16" t="s">
        <v>583</v>
      </c>
      <c r="B131" s="17" t="s">
        <v>584</v>
      </c>
      <c r="C131" s="13" t="s">
        <v>585</v>
      </c>
      <c r="D131" s="13" t="s">
        <v>132</v>
      </c>
      <c r="E131" s="18">
        <v>40</v>
      </c>
      <c r="F131" s="19">
        <v>529.28</v>
      </c>
      <c r="G131" s="20">
        <v>2.9999999999999997E-4</v>
      </c>
      <c r="H131" s="21">
        <v>4.2549999999999998E-2</v>
      </c>
      <c r="I131" s="37"/>
      <c r="J131" s="2"/>
    </row>
    <row r="132" spans="1:10" ht="12.95" customHeight="1">
      <c r="A132" s="16" t="s">
        <v>586</v>
      </c>
      <c r="B132" s="17" t="s">
        <v>587</v>
      </c>
      <c r="C132" s="13" t="s">
        <v>588</v>
      </c>
      <c r="D132" s="13" t="s">
        <v>132</v>
      </c>
      <c r="E132" s="18">
        <v>50</v>
      </c>
      <c r="F132" s="19">
        <v>526.65</v>
      </c>
      <c r="G132" s="20">
        <v>2.9999999999999997E-4</v>
      </c>
      <c r="H132" s="21">
        <v>4.2450000000000002E-2</v>
      </c>
      <c r="I132" s="37"/>
      <c r="J132" s="2"/>
    </row>
    <row r="133" spans="1:10" ht="12.95" customHeight="1">
      <c r="A133" s="16" t="s">
        <v>589</v>
      </c>
      <c r="B133" s="17" t="s">
        <v>590</v>
      </c>
      <c r="C133" s="13" t="s">
        <v>591</v>
      </c>
      <c r="D133" s="13" t="s">
        <v>132</v>
      </c>
      <c r="E133" s="18">
        <v>50</v>
      </c>
      <c r="F133" s="19">
        <v>526</v>
      </c>
      <c r="G133" s="20">
        <v>2.9999999999999997E-4</v>
      </c>
      <c r="H133" s="21">
        <v>4.5796000000000003E-2</v>
      </c>
      <c r="I133" s="37"/>
      <c r="J133" s="2"/>
    </row>
    <row r="134" spans="1:10" ht="12.95" customHeight="1">
      <c r="A134" s="16" t="s">
        <v>592</v>
      </c>
      <c r="B134" s="17" t="s">
        <v>593</v>
      </c>
      <c r="C134" s="13" t="s">
        <v>594</v>
      </c>
      <c r="D134" s="13" t="s">
        <v>132</v>
      </c>
      <c r="E134" s="18">
        <v>50</v>
      </c>
      <c r="F134" s="19">
        <v>523.52</v>
      </c>
      <c r="G134" s="20">
        <v>2.9999999999999997E-4</v>
      </c>
      <c r="H134" s="21">
        <v>4.2549999999999998E-2</v>
      </c>
      <c r="I134" s="37"/>
      <c r="J134" s="2"/>
    </row>
    <row r="135" spans="1:10" ht="12.95" customHeight="1">
      <c r="A135" s="16" t="s">
        <v>595</v>
      </c>
      <c r="B135" s="17" t="s">
        <v>596</v>
      </c>
      <c r="C135" s="13" t="s">
        <v>597</v>
      </c>
      <c r="D135" s="13" t="s">
        <v>132</v>
      </c>
      <c r="E135" s="18">
        <v>50</v>
      </c>
      <c r="F135" s="19">
        <v>522.88</v>
      </c>
      <c r="G135" s="20">
        <v>2.9999999999999997E-4</v>
      </c>
      <c r="H135" s="21">
        <v>4.1349999999999998E-2</v>
      </c>
      <c r="I135" s="37"/>
      <c r="J135" s="2"/>
    </row>
    <row r="136" spans="1:10" ht="12.95" customHeight="1">
      <c r="A136" s="16" t="s">
        <v>598</v>
      </c>
      <c r="B136" s="17" t="s">
        <v>599</v>
      </c>
      <c r="C136" s="13" t="s">
        <v>600</v>
      </c>
      <c r="D136" s="13" t="s">
        <v>132</v>
      </c>
      <c r="E136" s="18">
        <v>50</v>
      </c>
      <c r="F136" s="19">
        <v>520.67999999999995</v>
      </c>
      <c r="G136" s="20">
        <v>2.9999999999999997E-4</v>
      </c>
      <c r="H136" s="21">
        <v>4.7750000000000001E-2</v>
      </c>
      <c r="I136" s="37"/>
      <c r="J136" s="2"/>
    </row>
    <row r="137" spans="1:10" ht="12.95" customHeight="1">
      <c r="A137" s="16" t="s">
        <v>601</v>
      </c>
      <c r="B137" s="17" t="s">
        <v>602</v>
      </c>
      <c r="C137" s="13" t="s">
        <v>603</v>
      </c>
      <c r="D137" s="13" t="s">
        <v>200</v>
      </c>
      <c r="E137" s="18">
        <v>500000</v>
      </c>
      <c r="F137" s="19">
        <v>515.78</v>
      </c>
      <c r="G137" s="20">
        <v>2.9999999999999997E-4</v>
      </c>
      <c r="H137" s="21">
        <v>4.2484000000000001E-2</v>
      </c>
      <c r="I137" s="37"/>
      <c r="J137" s="2"/>
    </row>
    <row r="138" spans="1:10" ht="12.95" customHeight="1">
      <c r="A138" s="16" t="s">
        <v>604</v>
      </c>
      <c r="B138" s="17" t="s">
        <v>605</v>
      </c>
      <c r="C138" s="13" t="s">
        <v>606</v>
      </c>
      <c r="D138" s="13" t="s">
        <v>148</v>
      </c>
      <c r="E138" s="18">
        <v>50</v>
      </c>
      <c r="F138" s="19">
        <v>511.62</v>
      </c>
      <c r="G138" s="20">
        <v>2.9999999999999997E-4</v>
      </c>
      <c r="H138" s="21">
        <v>4.1250000000000002E-2</v>
      </c>
      <c r="I138" s="37"/>
      <c r="J138" s="2"/>
    </row>
    <row r="139" spans="1:10" ht="12.95" customHeight="1">
      <c r="A139" s="16" t="s">
        <v>607</v>
      </c>
      <c r="B139" s="17" t="s">
        <v>608</v>
      </c>
      <c r="C139" s="13" t="s">
        <v>609</v>
      </c>
      <c r="D139" s="13" t="s">
        <v>132</v>
      </c>
      <c r="E139" s="18">
        <v>50</v>
      </c>
      <c r="F139" s="19">
        <v>510.83</v>
      </c>
      <c r="G139" s="20">
        <v>2.9999999999999997E-4</v>
      </c>
      <c r="H139" s="21">
        <v>4.0591000000000002E-2</v>
      </c>
      <c r="I139" s="37"/>
      <c r="J139" s="2"/>
    </row>
    <row r="140" spans="1:10" ht="12.95" customHeight="1">
      <c r="A140" s="16" t="s">
        <v>610</v>
      </c>
      <c r="B140" s="17" t="s">
        <v>611</v>
      </c>
      <c r="C140" s="13" t="s">
        <v>612</v>
      </c>
      <c r="D140" s="13" t="s">
        <v>132</v>
      </c>
      <c r="E140" s="18">
        <v>50</v>
      </c>
      <c r="F140" s="19">
        <v>508.58</v>
      </c>
      <c r="G140" s="20">
        <v>2.9999999999999997E-4</v>
      </c>
      <c r="H140" s="21">
        <v>3.9550000000000002E-2</v>
      </c>
      <c r="I140" s="37"/>
      <c r="J140" s="2"/>
    </row>
    <row r="141" spans="1:10" ht="12.95" customHeight="1">
      <c r="A141" s="16" t="s">
        <v>613</v>
      </c>
      <c r="B141" s="17" t="s">
        <v>614</v>
      </c>
      <c r="C141" s="13" t="s">
        <v>615</v>
      </c>
      <c r="D141" s="13" t="s">
        <v>132</v>
      </c>
      <c r="E141" s="18">
        <v>50</v>
      </c>
      <c r="F141" s="19">
        <v>504</v>
      </c>
      <c r="G141" s="20">
        <v>2.9999999999999997E-4</v>
      </c>
      <c r="H141" s="21">
        <v>3.6051E-2</v>
      </c>
      <c r="I141" s="37"/>
      <c r="J141" s="2"/>
    </row>
    <row r="142" spans="1:10" ht="12.95" customHeight="1">
      <c r="A142" s="16" t="s">
        <v>616</v>
      </c>
      <c r="B142" s="17" t="s">
        <v>617</v>
      </c>
      <c r="C142" s="13" t="s">
        <v>618</v>
      </c>
      <c r="D142" s="13" t="s">
        <v>132</v>
      </c>
      <c r="E142" s="18">
        <v>50</v>
      </c>
      <c r="F142" s="19">
        <v>503.86</v>
      </c>
      <c r="G142" s="20">
        <v>2.9999999999999997E-4</v>
      </c>
      <c r="H142" s="21">
        <v>3.6051E-2</v>
      </c>
      <c r="I142" s="37"/>
      <c r="J142" s="2"/>
    </row>
    <row r="143" spans="1:10" ht="12.95" customHeight="1">
      <c r="A143" s="16" t="s">
        <v>619</v>
      </c>
      <c r="B143" s="17" t="s">
        <v>620</v>
      </c>
      <c r="C143" s="13" t="s">
        <v>621</v>
      </c>
      <c r="D143" s="13" t="s">
        <v>171</v>
      </c>
      <c r="E143" s="18">
        <v>50</v>
      </c>
      <c r="F143" s="19">
        <v>502.19</v>
      </c>
      <c r="G143" s="20">
        <v>2.9999999999999997E-4</v>
      </c>
      <c r="H143" s="21">
        <v>4.6449999999999998E-2</v>
      </c>
      <c r="I143" s="37"/>
      <c r="J143" s="2"/>
    </row>
    <row r="144" spans="1:10" ht="12.95" customHeight="1">
      <c r="A144" s="16" t="s">
        <v>622</v>
      </c>
      <c r="B144" s="17" t="s">
        <v>623</v>
      </c>
      <c r="C144" s="13" t="s">
        <v>624</v>
      </c>
      <c r="D144" s="13" t="s">
        <v>200</v>
      </c>
      <c r="E144" s="18">
        <v>500000</v>
      </c>
      <c r="F144" s="19">
        <v>485.4</v>
      </c>
      <c r="G144" s="20">
        <v>2.9999999999999997E-4</v>
      </c>
      <c r="H144" s="21">
        <v>6.2322000000000002E-2</v>
      </c>
      <c r="I144" s="37"/>
      <c r="J144" s="2"/>
    </row>
    <row r="145" spans="1:10" ht="12.95" customHeight="1">
      <c r="A145" s="16" t="s">
        <v>625</v>
      </c>
      <c r="B145" s="17" t="s">
        <v>626</v>
      </c>
      <c r="C145" s="13" t="s">
        <v>627</v>
      </c>
      <c r="D145" s="13" t="s">
        <v>200</v>
      </c>
      <c r="E145" s="18">
        <v>423600</v>
      </c>
      <c r="F145" s="19">
        <v>438.12</v>
      </c>
      <c r="G145" s="20">
        <v>2.9999999999999997E-4</v>
      </c>
      <c r="H145" s="21">
        <v>4.0243000000000001E-2</v>
      </c>
      <c r="I145" s="37"/>
      <c r="J145" s="2"/>
    </row>
    <row r="146" spans="1:10" ht="12.95" customHeight="1">
      <c r="A146" s="16" t="s">
        <v>628</v>
      </c>
      <c r="B146" s="17" t="s">
        <v>629</v>
      </c>
      <c r="C146" s="13" t="s">
        <v>630</v>
      </c>
      <c r="D146" s="13" t="s">
        <v>132</v>
      </c>
      <c r="E146" s="18">
        <v>37</v>
      </c>
      <c r="F146" s="19">
        <v>375.51</v>
      </c>
      <c r="G146" s="20">
        <v>2.0000000000000001E-4</v>
      </c>
      <c r="H146" s="21">
        <v>3.7000999999999999E-2</v>
      </c>
      <c r="I146" s="37"/>
      <c r="J146" s="2"/>
    </row>
    <row r="147" spans="1:10" ht="12.95" customHeight="1">
      <c r="A147" s="16" t="s">
        <v>631</v>
      </c>
      <c r="B147" s="17" t="s">
        <v>632</v>
      </c>
      <c r="C147" s="13" t="s">
        <v>633</v>
      </c>
      <c r="D147" s="13" t="s">
        <v>200</v>
      </c>
      <c r="E147" s="18">
        <v>341000</v>
      </c>
      <c r="F147" s="19">
        <v>358.88</v>
      </c>
      <c r="G147" s="20">
        <v>2.0000000000000001E-4</v>
      </c>
      <c r="H147" s="21">
        <v>4.6212000000000003E-2</v>
      </c>
      <c r="I147" s="37"/>
      <c r="J147" s="2"/>
    </row>
    <row r="148" spans="1:10" ht="12.95" customHeight="1">
      <c r="A148" s="16" t="s">
        <v>634</v>
      </c>
      <c r="B148" s="17" t="s">
        <v>635</v>
      </c>
      <c r="C148" s="13" t="s">
        <v>636</v>
      </c>
      <c r="D148" s="13" t="s">
        <v>200</v>
      </c>
      <c r="E148" s="18">
        <v>335000</v>
      </c>
      <c r="F148" s="19">
        <v>338.47</v>
      </c>
      <c r="G148" s="20">
        <v>2.0000000000000001E-4</v>
      </c>
      <c r="H148" s="21">
        <v>5.5801000000000003E-2</v>
      </c>
      <c r="I148" s="37"/>
      <c r="J148" s="2"/>
    </row>
    <row r="149" spans="1:10" ht="12.95" customHeight="1">
      <c r="A149" s="16" t="s">
        <v>133</v>
      </c>
      <c r="B149" s="17" t="s">
        <v>134</v>
      </c>
      <c r="C149" s="13" t="s">
        <v>135</v>
      </c>
      <c r="D149" s="13" t="s">
        <v>132</v>
      </c>
      <c r="E149" s="18">
        <v>16</v>
      </c>
      <c r="F149" s="19">
        <v>208.99</v>
      </c>
      <c r="G149" s="20">
        <v>1E-4</v>
      </c>
      <c r="H149" s="21">
        <v>3.9800000000000002E-2</v>
      </c>
      <c r="I149" s="37"/>
      <c r="J149" s="2"/>
    </row>
    <row r="150" spans="1:10" ht="12.95" customHeight="1">
      <c r="A150" s="16" t="s">
        <v>637</v>
      </c>
      <c r="B150" s="17" t="s">
        <v>638</v>
      </c>
      <c r="C150" s="13" t="s">
        <v>639</v>
      </c>
      <c r="D150" s="13" t="s">
        <v>200</v>
      </c>
      <c r="E150" s="18">
        <v>200000</v>
      </c>
      <c r="F150" s="19">
        <v>204.1</v>
      </c>
      <c r="G150" s="20">
        <v>1E-4</v>
      </c>
      <c r="H150" s="21">
        <v>3.8245000000000001E-2</v>
      </c>
      <c r="I150" s="37"/>
      <c r="J150" s="2"/>
    </row>
    <row r="151" spans="1:10" ht="12.95" customHeight="1">
      <c r="A151" s="16" t="s">
        <v>640</v>
      </c>
      <c r="B151" s="17" t="s">
        <v>641</v>
      </c>
      <c r="C151" s="13" t="s">
        <v>642</v>
      </c>
      <c r="D151" s="13" t="s">
        <v>132</v>
      </c>
      <c r="E151" s="18">
        <v>15</v>
      </c>
      <c r="F151" s="19">
        <v>160.07</v>
      </c>
      <c r="G151" s="20">
        <v>1E-4</v>
      </c>
      <c r="H151" s="21">
        <v>4.675E-2</v>
      </c>
      <c r="I151" s="37"/>
      <c r="J151" s="2"/>
    </row>
    <row r="152" spans="1:10" ht="12.95" customHeight="1">
      <c r="A152" s="16" t="s">
        <v>165</v>
      </c>
      <c r="B152" s="17" t="s">
        <v>166</v>
      </c>
      <c r="C152" s="13" t="s">
        <v>167</v>
      </c>
      <c r="D152" s="13" t="s">
        <v>132</v>
      </c>
      <c r="E152" s="18">
        <v>10</v>
      </c>
      <c r="F152" s="19">
        <v>102</v>
      </c>
      <c r="G152" s="20">
        <v>1E-4</v>
      </c>
      <c r="H152" s="21">
        <v>3.9751000000000002E-2</v>
      </c>
      <c r="I152" s="37"/>
      <c r="J152" s="2"/>
    </row>
    <row r="153" spans="1:10" ht="12.95" customHeight="1">
      <c r="A153" s="16" t="s">
        <v>162</v>
      </c>
      <c r="B153" s="17" t="s">
        <v>163</v>
      </c>
      <c r="C153" s="13" t="s">
        <v>164</v>
      </c>
      <c r="D153" s="13" t="s">
        <v>132</v>
      </c>
      <c r="E153" s="18">
        <v>6</v>
      </c>
      <c r="F153" s="19">
        <v>60.46</v>
      </c>
      <c r="G153" s="36" t="s">
        <v>643</v>
      </c>
      <c r="H153" s="21">
        <v>3.5499999999999997E-2</v>
      </c>
      <c r="I153" s="37"/>
      <c r="J153" s="2"/>
    </row>
    <row r="154" spans="1:10" ht="12.95" customHeight="1">
      <c r="A154" s="16" t="s">
        <v>168</v>
      </c>
      <c r="B154" s="17" t="s">
        <v>169</v>
      </c>
      <c r="C154" s="13" t="s">
        <v>170</v>
      </c>
      <c r="D154" s="13" t="s">
        <v>171</v>
      </c>
      <c r="E154" s="18">
        <v>40</v>
      </c>
      <c r="F154" s="19">
        <v>40.68</v>
      </c>
      <c r="G154" s="36" t="s">
        <v>643</v>
      </c>
      <c r="H154" s="21">
        <v>3.7801000000000001E-2</v>
      </c>
      <c r="I154" s="37"/>
      <c r="J154" s="2"/>
    </row>
    <row r="155" spans="1:10" ht="12.95" customHeight="1">
      <c r="A155" s="16" t="s">
        <v>644</v>
      </c>
      <c r="B155" s="17" t="s">
        <v>645</v>
      </c>
      <c r="C155" s="13" t="s">
        <v>646</v>
      </c>
      <c r="D155" s="13" t="s">
        <v>200</v>
      </c>
      <c r="E155" s="18">
        <v>18000</v>
      </c>
      <c r="F155" s="19">
        <v>18.68</v>
      </c>
      <c r="G155" s="36" t="s">
        <v>643</v>
      </c>
      <c r="H155" s="21">
        <v>3.9896000000000001E-2</v>
      </c>
      <c r="I155" s="37"/>
      <c r="J155" s="2"/>
    </row>
    <row r="156" spans="1:10" ht="12.95" customHeight="1">
      <c r="A156" s="16" t="s">
        <v>647</v>
      </c>
      <c r="B156" s="17" t="s">
        <v>648</v>
      </c>
      <c r="C156" s="13" t="s">
        <v>649</v>
      </c>
      <c r="D156" s="13" t="s">
        <v>200</v>
      </c>
      <c r="E156" s="18">
        <v>14000</v>
      </c>
      <c r="F156" s="19">
        <v>15.2</v>
      </c>
      <c r="G156" s="36" t="s">
        <v>643</v>
      </c>
      <c r="H156" s="21">
        <v>4.5940000000000002E-2</v>
      </c>
      <c r="I156" s="37"/>
      <c r="J156" s="2"/>
    </row>
    <row r="157" spans="1:10" ht="12.95" customHeight="1">
      <c r="A157" s="16" t="s">
        <v>650</v>
      </c>
      <c r="B157" s="17" t="s">
        <v>651</v>
      </c>
      <c r="C157" s="13" t="s">
        <v>652</v>
      </c>
      <c r="D157" s="13" t="s">
        <v>200</v>
      </c>
      <c r="E157" s="18">
        <v>2000</v>
      </c>
      <c r="F157" s="19">
        <v>2.13</v>
      </c>
      <c r="G157" s="36" t="s">
        <v>643</v>
      </c>
      <c r="H157" s="21">
        <v>4.8641999999999998E-2</v>
      </c>
      <c r="I157" s="37"/>
      <c r="J157" s="2"/>
    </row>
    <row r="158" spans="1:10" ht="12.95" customHeight="1">
      <c r="A158" s="16" t="s">
        <v>653</v>
      </c>
      <c r="B158" s="17" t="s">
        <v>654</v>
      </c>
      <c r="C158" s="13" t="s">
        <v>655</v>
      </c>
      <c r="D158" s="13" t="s">
        <v>200</v>
      </c>
      <c r="E158" s="18">
        <v>2000</v>
      </c>
      <c r="F158" s="19">
        <v>2.06</v>
      </c>
      <c r="G158" s="36" t="s">
        <v>643</v>
      </c>
      <c r="H158" s="21">
        <v>4.3406E-2</v>
      </c>
      <c r="I158" s="37"/>
      <c r="J158" s="2"/>
    </row>
    <row r="159" spans="1:10" ht="12.95" customHeight="1">
      <c r="A159" s="2"/>
      <c r="B159" s="12" t="s">
        <v>172</v>
      </c>
      <c r="C159" s="13"/>
      <c r="D159" s="13"/>
      <c r="E159" s="13"/>
      <c r="F159" s="23">
        <v>1500134.84</v>
      </c>
      <c r="G159" s="24">
        <v>0.89570000000000005</v>
      </c>
      <c r="H159" s="25"/>
      <c r="I159" s="26"/>
      <c r="J159" s="2"/>
    </row>
    <row r="160" spans="1:10" ht="12.95" customHeight="1">
      <c r="A160" s="2"/>
      <c r="B160" s="27" t="s">
        <v>173</v>
      </c>
      <c r="C160" s="1"/>
      <c r="D160" s="1"/>
      <c r="E160" s="1"/>
      <c r="F160" s="25" t="s">
        <v>204</v>
      </c>
      <c r="G160" s="25" t="s">
        <v>204</v>
      </c>
      <c r="H160" s="25"/>
      <c r="I160" s="26"/>
      <c r="J160" s="2"/>
    </row>
    <row r="161" spans="1:10" ht="12.95" customHeight="1">
      <c r="A161" s="2"/>
      <c r="B161" s="27" t="s">
        <v>172</v>
      </c>
      <c r="C161" s="1"/>
      <c r="D161" s="1"/>
      <c r="E161" s="1"/>
      <c r="F161" s="25" t="s">
        <v>204</v>
      </c>
      <c r="G161" s="25" t="s">
        <v>204</v>
      </c>
      <c r="H161" s="25"/>
      <c r="I161" s="26"/>
      <c r="J161" s="2"/>
    </row>
    <row r="162" spans="1:10" ht="12.95" customHeight="1">
      <c r="A162" s="2"/>
      <c r="B162" s="27" t="s">
        <v>177</v>
      </c>
      <c r="C162" s="28"/>
      <c r="D162" s="1"/>
      <c r="E162" s="28"/>
      <c r="F162" s="23">
        <v>1500134.84</v>
      </c>
      <c r="G162" s="24">
        <v>0.89570000000000005</v>
      </c>
      <c r="H162" s="25"/>
      <c r="I162" s="26"/>
      <c r="J162" s="2"/>
    </row>
    <row r="163" spans="1:10" ht="12.95" customHeight="1">
      <c r="A163" s="2"/>
      <c r="B163" s="12" t="s">
        <v>656</v>
      </c>
      <c r="C163" s="13"/>
      <c r="D163" s="13"/>
      <c r="E163" s="13"/>
      <c r="F163" s="13"/>
      <c r="G163" s="13"/>
      <c r="H163" s="14"/>
      <c r="I163" s="15"/>
      <c r="J163" s="2"/>
    </row>
    <row r="164" spans="1:10" ht="12.95" customHeight="1">
      <c r="A164" s="2"/>
      <c r="B164" s="12" t="s">
        <v>657</v>
      </c>
      <c r="C164" s="13"/>
      <c r="D164" s="13"/>
      <c r="E164" s="13"/>
      <c r="F164" s="2"/>
      <c r="G164" s="14"/>
      <c r="H164" s="14"/>
      <c r="I164" s="15"/>
      <c r="J164" s="2"/>
    </row>
    <row r="165" spans="1:10" ht="12.95" customHeight="1">
      <c r="A165" s="16" t="s">
        <v>658</v>
      </c>
      <c r="B165" s="17" t="s">
        <v>659</v>
      </c>
      <c r="C165" s="13" t="s">
        <v>660</v>
      </c>
      <c r="D165" s="13" t="s">
        <v>661</v>
      </c>
      <c r="E165" s="18">
        <v>15000</v>
      </c>
      <c r="F165" s="19">
        <v>14507.82</v>
      </c>
      <c r="G165" s="20">
        <v>8.6999999999999994E-3</v>
      </c>
      <c r="H165" s="21">
        <v>4.0599999999999997E-2</v>
      </c>
      <c r="I165" s="37"/>
      <c r="J165" s="2"/>
    </row>
    <row r="166" spans="1:10" ht="12.95" customHeight="1">
      <c r="A166" s="2"/>
      <c r="B166" s="12" t="s">
        <v>172</v>
      </c>
      <c r="C166" s="13"/>
      <c r="D166" s="13"/>
      <c r="E166" s="13"/>
      <c r="F166" s="23">
        <v>14507.82</v>
      </c>
      <c r="G166" s="24">
        <v>8.6999999999999994E-3</v>
      </c>
      <c r="H166" s="25"/>
      <c r="I166" s="26"/>
      <c r="J166" s="2"/>
    </row>
    <row r="167" spans="1:10" ht="12.95" customHeight="1">
      <c r="A167" s="2"/>
      <c r="B167" s="12" t="s">
        <v>662</v>
      </c>
      <c r="C167" s="13"/>
      <c r="D167" s="13"/>
      <c r="E167" s="13"/>
      <c r="F167" s="2"/>
      <c r="G167" s="14"/>
      <c r="H167" s="14"/>
      <c r="I167" s="15"/>
      <c r="J167" s="2"/>
    </row>
    <row r="168" spans="1:10" ht="12.95" customHeight="1">
      <c r="A168" s="16" t="s">
        <v>663</v>
      </c>
      <c r="B168" s="17" t="s">
        <v>664</v>
      </c>
      <c r="C168" s="13" t="s">
        <v>665</v>
      </c>
      <c r="D168" s="13" t="s">
        <v>661</v>
      </c>
      <c r="E168" s="18">
        <v>4000</v>
      </c>
      <c r="F168" s="19">
        <v>19826.5</v>
      </c>
      <c r="G168" s="20">
        <v>1.18E-2</v>
      </c>
      <c r="H168" s="21">
        <v>3.5102000000000001E-2</v>
      </c>
      <c r="I168" s="37"/>
      <c r="J168" s="2"/>
    </row>
    <row r="169" spans="1:10" ht="12.95" customHeight="1">
      <c r="A169" s="16" t="s">
        <v>666</v>
      </c>
      <c r="B169" s="17" t="s">
        <v>667</v>
      </c>
      <c r="C169" s="13" t="s">
        <v>668</v>
      </c>
      <c r="D169" s="13" t="s">
        <v>661</v>
      </c>
      <c r="E169" s="18">
        <v>2000</v>
      </c>
      <c r="F169" s="19">
        <v>9826.06</v>
      </c>
      <c r="G169" s="20">
        <v>5.8999999999999999E-3</v>
      </c>
      <c r="H169" s="21">
        <v>3.7134E-2</v>
      </c>
      <c r="I169" s="37"/>
      <c r="J169" s="2"/>
    </row>
    <row r="170" spans="1:10" ht="12.95" customHeight="1">
      <c r="A170" s="16" t="s">
        <v>669</v>
      </c>
      <c r="B170" s="17" t="s">
        <v>670</v>
      </c>
      <c r="C170" s="13" t="s">
        <v>671</v>
      </c>
      <c r="D170" s="13" t="s">
        <v>661</v>
      </c>
      <c r="E170" s="18">
        <v>2000</v>
      </c>
      <c r="F170" s="19">
        <v>9820.57</v>
      </c>
      <c r="G170" s="20">
        <v>5.8999999999999999E-3</v>
      </c>
      <c r="H170" s="21">
        <v>3.7048999999999999E-2</v>
      </c>
      <c r="I170" s="37"/>
      <c r="J170" s="2"/>
    </row>
    <row r="171" spans="1:10" ht="12.95" customHeight="1">
      <c r="A171" s="16" t="s">
        <v>672</v>
      </c>
      <c r="B171" s="17" t="s">
        <v>673</v>
      </c>
      <c r="C171" s="13" t="s">
        <v>674</v>
      </c>
      <c r="D171" s="13" t="s">
        <v>661</v>
      </c>
      <c r="E171" s="18">
        <v>1000</v>
      </c>
      <c r="F171" s="19">
        <v>4845.2</v>
      </c>
      <c r="G171" s="20">
        <v>2.8999999999999998E-3</v>
      </c>
      <c r="H171" s="21">
        <v>4.1799000000000003E-2</v>
      </c>
      <c r="I171" s="37"/>
      <c r="J171" s="2"/>
    </row>
    <row r="172" spans="1:10" ht="12.95" customHeight="1">
      <c r="A172" s="16" t="s">
        <v>675</v>
      </c>
      <c r="B172" s="17" t="s">
        <v>676</v>
      </c>
      <c r="C172" s="13" t="s">
        <v>677</v>
      </c>
      <c r="D172" s="13" t="s">
        <v>661</v>
      </c>
      <c r="E172" s="18">
        <v>1000</v>
      </c>
      <c r="F172" s="19">
        <v>4836.34</v>
      </c>
      <c r="G172" s="20">
        <v>2.8999999999999998E-3</v>
      </c>
      <c r="H172" s="21">
        <v>4.2299999999999997E-2</v>
      </c>
      <c r="I172" s="37"/>
      <c r="J172" s="2"/>
    </row>
    <row r="173" spans="1:10" ht="12.95" customHeight="1">
      <c r="A173" s="2"/>
      <c r="B173" s="12" t="s">
        <v>172</v>
      </c>
      <c r="C173" s="13"/>
      <c r="D173" s="13"/>
      <c r="E173" s="13"/>
      <c r="F173" s="23">
        <v>49154.67</v>
      </c>
      <c r="G173" s="24">
        <v>2.9399999999999999E-2</v>
      </c>
      <c r="H173" s="25"/>
      <c r="I173" s="26"/>
      <c r="J173" s="2"/>
    </row>
    <row r="174" spans="1:10" ht="12.95" customHeight="1">
      <c r="A174" s="2"/>
      <c r="B174" s="27" t="s">
        <v>177</v>
      </c>
      <c r="C174" s="28"/>
      <c r="D174" s="1"/>
      <c r="E174" s="28"/>
      <c r="F174" s="23">
        <v>63662.49</v>
      </c>
      <c r="G174" s="24">
        <v>3.8100000000000002E-2</v>
      </c>
      <c r="H174" s="25"/>
      <c r="I174" s="26"/>
      <c r="J174" s="2"/>
    </row>
    <row r="175" spans="1:10" ht="12.95" customHeight="1">
      <c r="A175" s="2"/>
      <c r="B175" s="12" t="s">
        <v>178</v>
      </c>
      <c r="C175" s="13"/>
      <c r="D175" s="13"/>
      <c r="E175" s="13"/>
      <c r="F175" s="13"/>
      <c r="G175" s="13"/>
      <c r="H175" s="14"/>
      <c r="I175" s="15"/>
      <c r="J175" s="2"/>
    </row>
    <row r="176" spans="1:10" ht="12.95" customHeight="1">
      <c r="A176" s="16" t="s">
        <v>179</v>
      </c>
      <c r="B176" s="17" t="s">
        <v>180</v>
      </c>
      <c r="C176" s="13"/>
      <c r="D176" s="13"/>
      <c r="E176" s="18"/>
      <c r="F176" s="19">
        <v>55971.85</v>
      </c>
      <c r="G176" s="20">
        <v>3.3399999999999999E-2</v>
      </c>
      <c r="H176" s="21">
        <v>3.3046326376557619E-2</v>
      </c>
      <c r="I176" s="37"/>
      <c r="J176" s="2"/>
    </row>
    <row r="177" spans="1:10" ht="12.95" customHeight="1">
      <c r="A177" s="2"/>
      <c r="B177" s="12" t="s">
        <v>172</v>
      </c>
      <c r="C177" s="13"/>
      <c r="D177" s="13"/>
      <c r="E177" s="13"/>
      <c r="F177" s="23">
        <v>55971.85</v>
      </c>
      <c r="G177" s="24">
        <v>3.3399999999999999E-2</v>
      </c>
      <c r="H177" s="25"/>
      <c r="I177" s="26"/>
      <c r="J177" s="2"/>
    </row>
    <row r="178" spans="1:10" ht="12.95" customHeight="1">
      <c r="A178" s="2"/>
      <c r="B178" s="27" t="s">
        <v>173</v>
      </c>
      <c r="C178" s="1"/>
      <c r="D178" s="1"/>
      <c r="E178" s="1"/>
      <c r="F178" s="25" t="s">
        <v>204</v>
      </c>
      <c r="G178" s="25" t="s">
        <v>204</v>
      </c>
      <c r="H178" s="25"/>
      <c r="I178" s="26"/>
      <c r="J178" s="2"/>
    </row>
    <row r="179" spans="1:10" ht="12.95" customHeight="1">
      <c r="A179" s="2"/>
      <c r="B179" s="27" t="s">
        <v>172</v>
      </c>
      <c r="C179" s="1"/>
      <c r="D179" s="1"/>
      <c r="E179" s="1"/>
      <c r="F179" s="25" t="s">
        <v>204</v>
      </c>
      <c r="G179" s="25" t="s">
        <v>204</v>
      </c>
      <c r="H179" s="25"/>
      <c r="I179" s="26"/>
      <c r="J179" s="2"/>
    </row>
    <row r="180" spans="1:10" ht="12.95" customHeight="1">
      <c r="A180" s="2"/>
      <c r="B180" s="27" t="s">
        <v>177</v>
      </c>
      <c r="C180" s="28"/>
      <c r="D180" s="1"/>
      <c r="E180" s="28"/>
      <c r="F180" s="23">
        <v>55971.85</v>
      </c>
      <c r="G180" s="24">
        <v>3.3399999999999999E-2</v>
      </c>
      <c r="H180" s="25"/>
      <c r="I180" s="26"/>
      <c r="J180" s="2"/>
    </row>
    <row r="181" spans="1:10" ht="12.95" customHeight="1">
      <c r="A181" s="2"/>
      <c r="B181" s="27" t="s">
        <v>181</v>
      </c>
      <c r="C181" s="13"/>
      <c r="D181" s="1"/>
      <c r="E181" s="13"/>
      <c r="F181" s="29">
        <v>54686.74</v>
      </c>
      <c r="G181" s="24">
        <v>3.2800000000000003E-2</v>
      </c>
      <c r="H181" s="25"/>
      <c r="I181" s="26"/>
      <c r="J181" s="2"/>
    </row>
    <row r="182" spans="1:10" ht="12.95" customHeight="1">
      <c r="A182" s="2"/>
      <c r="B182" s="30" t="s">
        <v>182</v>
      </c>
      <c r="C182" s="31"/>
      <c r="D182" s="31"/>
      <c r="E182" s="31"/>
      <c r="F182" s="32">
        <v>1674455.92</v>
      </c>
      <c r="G182" s="33">
        <v>1</v>
      </c>
      <c r="H182" s="34"/>
      <c r="I182" s="35"/>
      <c r="J182" s="2"/>
    </row>
    <row r="183" spans="1:10" ht="12.95" customHeight="1">
      <c r="A183" s="2"/>
      <c r="B183" s="5"/>
      <c r="C183" s="2"/>
      <c r="D183" s="2"/>
      <c r="E183" s="2"/>
      <c r="F183" s="2"/>
      <c r="G183" s="2"/>
      <c r="H183" s="2"/>
      <c r="I183" s="2"/>
      <c r="J183" s="2"/>
    </row>
    <row r="184" spans="1:10" ht="12.95" customHeight="1">
      <c r="A184" s="2"/>
      <c r="B184" s="3" t="s">
        <v>183</v>
      </c>
      <c r="C184" s="2"/>
      <c r="D184" s="2"/>
      <c r="E184" s="2"/>
      <c r="F184" s="2"/>
      <c r="G184" s="2"/>
      <c r="H184" s="2"/>
      <c r="I184" s="2"/>
      <c r="J184" s="2"/>
    </row>
    <row r="185" spans="1:10" ht="12.95" customHeight="1">
      <c r="A185" s="2"/>
      <c r="B185" s="3" t="s">
        <v>184</v>
      </c>
      <c r="C185" s="2"/>
      <c r="D185" s="2"/>
      <c r="E185" s="2"/>
      <c r="F185" s="2"/>
      <c r="G185" s="2"/>
      <c r="H185" s="2"/>
      <c r="I185" s="2"/>
      <c r="J185" s="2"/>
    </row>
    <row r="186" spans="1:10" ht="12.95" customHeight="1">
      <c r="A186" s="2"/>
      <c r="B186" s="3" t="s">
        <v>185</v>
      </c>
      <c r="C186" s="2"/>
      <c r="D186" s="2"/>
      <c r="E186" s="2"/>
      <c r="F186" s="2"/>
      <c r="G186" s="2"/>
      <c r="H186" s="2"/>
      <c r="I186" s="2"/>
      <c r="J186" s="2"/>
    </row>
    <row r="187" spans="1:10" ht="12.95" customHeight="1">
      <c r="A187" s="2"/>
      <c r="B187" s="3" t="s">
        <v>678</v>
      </c>
      <c r="C187" s="2"/>
      <c r="D187" s="2"/>
      <c r="E187" s="2"/>
      <c r="F187" s="2"/>
      <c r="G187" s="2"/>
      <c r="H187" s="2"/>
      <c r="I187" s="2"/>
      <c r="J187" s="2"/>
    </row>
    <row r="188" spans="1:10" ht="12.95" customHeight="1">
      <c r="A188" s="2"/>
      <c r="B188" s="3" t="s">
        <v>186</v>
      </c>
      <c r="C188" s="2"/>
      <c r="D188" s="2"/>
      <c r="E188" s="2"/>
      <c r="F188" s="2"/>
      <c r="G188" s="2"/>
      <c r="H188" s="2"/>
      <c r="I188" s="2"/>
      <c r="J188" s="2"/>
    </row>
    <row r="189" spans="1:10" ht="26.25" customHeight="1">
      <c r="A189" s="2"/>
      <c r="B189" s="189" t="s">
        <v>4025</v>
      </c>
      <c r="C189" s="189"/>
      <c r="D189" s="189"/>
      <c r="E189" s="189"/>
      <c r="F189" s="189"/>
      <c r="G189" s="189"/>
      <c r="H189" s="189"/>
      <c r="I189" s="189"/>
      <c r="J189" s="2"/>
    </row>
    <row r="190" spans="1:10" ht="12.95" customHeight="1">
      <c r="A190" s="2"/>
      <c r="B190" s="3"/>
      <c r="C190" s="2"/>
      <c r="D190" s="2"/>
      <c r="E190" s="2"/>
      <c r="F190" s="2"/>
      <c r="G190" s="2"/>
      <c r="H190" s="2"/>
      <c r="I190" s="2"/>
      <c r="J190" s="2"/>
    </row>
    <row r="191" spans="1:10">
      <c r="C191" s="111" t="s">
        <v>3937</v>
      </c>
    </row>
    <row r="192" spans="1:10">
      <c r="B192" s="111" t="s">
        <v>3933</v>
      </c>
      <c r="C192" s="111" t="s">
        <v>3934</v>
      </c>
    </row>
  </sheetData>
  <mergeCells count="2">
    <mergeCell ref="B2:I2"/>
    <mergeCell ref="B189:I189"/>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6"/>
  <sheetViews>
    <sheetView workbookViewId="0"/>
  </sheetViews>
  <sheetFormatPr defaultRowHeight="15"/>
  <cols>
    <col min="1" max="1" width="3.28515625" customWidth="1"/>
    <col min="2" max="2" width="69.140625" customWidth="1"/>
    <col min="3" max="3" width="19.14062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AXISBETF</v>
      </c>
    </row>
    <row r="2" spans="1:13" ht="34.5" customHeight="1" thickBot="1">
      <c r="A2" s="135" t="str">
        <f>M2</f>
        <v>AXISBETF</v>
      </c>
      <c r="B2" s="186" t="s">
        <v>17</v>
      </c>
      <c r="C2" s="187"/>
      <c r="D2" s="187"/>
      <c r="E2" s="187"/>
      <c r="F2" s="187"/>
      <c r="G2" s="187"/>
      <c r="H2" s="187"/>
      <c r="I2" s="188"/>
      <c r="J2" s="2"/>
      <c r="M2" s="108" t="s">
        <v>16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682</v>
      </c>
      <c r="B8" s="17" t="s">
        <v>683</v>
      </c>
      <c r="C8" s="13" t="s">
        <v>684</v>
      </c>
      <c r="D8" s="13" t="s">
        <v>685</v>
      </c>
      <c r="E8" s="18">
        <v>86362</v>
      </c>
      <c r="F8" s="19">
        <v>1377.43</v>
      </c>
      <c r="G8" s="20">
        <v>0.28050000000000003</v>
      </c>
      <c r="H8" s="36"/>
      <c r="I8" s="22"/>
      <c r="J8" s="2"/>
    </row>
    <row r="9" spans="1:13" ht="12.95" customHeight="1">
      <c r="A9" s="16" t="s">
        <v>686</v>
      </c>
      <c r="B9" s="17" t="s">
        <v>687</v>
      </c>
      <c r="C9" s="13" t="s">
        <v>688</v>
      </c>
      <c r="D9" s="13" t="s">
        <v>685</v>
      </c>
      <c r="E9" s="18">
        <v>146740</v>
      </c>
      <c r="F9" s="19">
        <v>1028.43</v>
      </c>
      <c r="G9" s="20">
        <v>0.2094</v>
      </c>
      <c r="H9" s="36"/>
      <c r="I9" s="22"/>
      <c r="J9" s="2"/>
    </row>
    <row r="10" spans="1:13" ht="12.95" customHeight="1">
      <c r="A10" s="16" t="s">
        <v>689</v>
      </c>
      <c r="B10" s="17" t="s">
        <v>690</v>
      </c>
      <c r="C10" s="13" t="s">
        <v>691</v>
      </c>
      <c r="D10" s="13" t="s">
        <v>685</v>
      </c>
      <c r="E10" s="18">
        <v>140144</v>
      </c>
      <c r="F10" s="19">
        <v>634.85</v>
      </c>
      <c r="G10" s="20">
        <v>0.1293</v>
      </c>
      <c r="H10" s="36"/>
      <c r="I10" s="22"/>
      <c r="J10" s="2"/>
    </row>
    <row r="11" spans="1:13" ht="12.95" customHeight="1">
      <c r="A11" s="16" t="s">
        <v>692</v>
      </c>
      <c r="B11" s="17" t="s">
        <v>693</v>
      </c>
      <c r="C11" s="13" t="s">
        <v>694</v>
      </c>
      <c r="D11" s="13" t="s">
        <v>685</v>
      </c>
      <c r="E11" s="18">
        <v>31087</v>
      </c>
      <c r="F11" s="19">
        <v>623.45000000000005</v>
      </c>
      <c r="G11" s="20">
        <v>0.12690000000000001</v>
      </c>
      <c r="H11" s="36"/>
      <c r="I11" s="22"/>
      <c r="J11" s="2"/>
    </row>
    <row r="12" spans="1:13" ht="12.95" customHeight="1">
      <c r="A12" s="16" t="s">
        <v>695</v>
      </c>
      <c r="B12" s="17" t="s">
        <v>696</v>
      </c>
      <c r="C12" s="13" t="s">
        <v>697</v>
      </c>
      <c r="D12" s="13" t="s">
        <v>685</v>
      </c>
      <c r="E12" s="18">
        <v>78812</v>
      </c>
      <c r="F12" s="19">
        <v>604.13</v>
      </c>
      <c r="G12" s="20">
        <v>0.123</v>
      </c>
      <c r="H12" s="36"/>
      <c r="I12" s="22"/>
      <c r="J12" s="2"/>
    </row>
    <row r="13" spans="1:13" ht="12.95" customHeight="1">
      <c r="A13" s="16" t="s">
        <v>698</v>
      </c>
      <c r="B13" s="17" t="s">
        <v>699</v>
      </c>
      <c r="C13" s="13" t="s">
        <v>700</v>
      </c>
      <c r="D13" s="13" t="s">
        <v>685</v>
      </c>
      <c r="E13" s="18">
        <v>23414</v>
      </c>
      <c r="F13" s="19">
        <v>260.33999999999997</v>
      </c>
      <c r="G13" s="20">
        <v>5.2999999999999999E-2</v>
      </c>
      <c r="H13" s="36"/>
      <c r="I13" s="22"/>
      <c r="J13" s="2"/>
    </row>
    <row r="14" spans="1:13" ht="12.95" customHeight="1">
      <c r="A14" s="16" t="s">
        <v>701</v>
      </c>
      <c r="B14" s="17" t="s">
        <v>702</v>
      </c>
      <c r="C14" s="13" t="s">
        <v>703</v>
      </c>
      <c r="D14" s="13" t="s">
        <v>685</v>
      </c>
      <c r="E14" s="18">
        <v>8500</v>
      </c>
      <c r="F14" s="19">
        <v>98.96</v>
      </c>
      <c r="G14" s="20">
        <v>2.01E-2</v>
      </c>
      <c r="H14" s="36"/>
      <c r="I14" s="22"/>
      <c r="J14" s="2"/>
    </row>
    <row r="15" spans="1:13" ht="12.95" customHeight="1">
      <c r="A15" s="16" t="s">
        <v>704</v>
      </c>
      <c r="B15" s="17" t="s">
        <v>705</v>
      </c>
      <c r="C15" s="13" t="s">
        <v>706</v>
      </c>
      <c r="D15" s="13" t="s">
        <v>685</v>
      </c>
      <c r="E15" s="18">
        <v>26234</v>
      </c>
      <c r="F15" s="19">
        <v>74.239999999999995</v>
      </c>
      <c r="G15" s="20">
        <v>1.5100000000000001E-2</v>
      </c>
      <c r="H15" s="36"/>
      <c r="I15" s="22"/>
      <c r="J15" s="2"/>
    </row>
    <row r="16" spans="1:13" ht="12.95" customHeight="1">
      <c r="A16" s="16" t="s">
        <v>707</v>
      </c>
      <c r="B16" s="17" t="s">
        <v>708</v>
      </c>
      <c r="C16" s="13" t="s">
        <v>709</v>
      </c>
      <c r="D16" s="13" t="s">
        <v>685</v>
      </c>
      <c r="E16" s="18">
        <v>77453</v>
      </c>
      <c r="F16" s="19">
        <v>65.290000000000006</v>
      </c>
      <c r="G16" s="20">
        <v>1.3299999999999999E-2</v>
      </c>
      <c r="H16" s="36"/>
      <c r="I16" s="22"/>
      <c r="J16" s="2"/>
    </row>
    <row r="17" spans="1:10" ht="12.95" customHeight="1">
      <c r="A17" s="16" t="s">
        <v>710</v>
      </c>
      <c r="B17" s="17" t="s">
        <v>711</v>
      </c>
      <c r="C17" s="13" t="s">
        <v>712</v>
      </c>
      <c r="D17" s="13" t="s">
        <v>685</v>
      </c>
      <c r="E17" s="18">
        <v>117889</v>
      </c>
      <c r="F17" s="19">
        <v>56.17</v>
      </c>
      <c r="G17" s="20">
        <v>1.14E-2</v>
      </c>
      <c r="H17" s="36"/>
      <c r="I17" s="22"/>
      <c r="J17" s="2"/>
    </row>
    <row r="18" spans="1:10" ht="12.95" customHeight="1">
      <c r="A18" s="16" t="s">
        <v>713</v>
      </c>
      <c r="B18" s="17" t="s">
        <v>714</v>
      </c>
      <c r="C18" s="13" t="s">
        <v>715</v>
      </c>
      <c r="D18" s="13" t="s">
        <v>685</v>
      </c>
      <c r="E18" s="18">
        <v>115287</v>
      </c>
      <c r="F18" s="19">
        <v>46.23</v>
      </c>
      <c r="G18" s="20">
        <v>9.4000000000000004E-3</v>
      </c>
      <c r="H18" s="36"/>
      <c r="I18" s="22"/>
      <c r="J18" s="2"/>
    </row>
    <row r="19" spans="1:10" ht="12.95" customHeight="1">
      <c r="A19" s="16" t="s">
        <v>716</v>
      </c>
      <c r="B19" s="17" t="s">
        <v>717</v>
      </c>
      <c r="C19" s="13" t="s">
        <v>718</v>
      </c>
      <c r="D19" s="13" t="s">
        <v>685</v>
      </c>
      <c r="E19" s="18">
        <v>19289</v>
      </c>
      <c r="F19" s="19">
        <v>36.82</v>
      </c>
      <c r="G19" s="20">
        <v>7.4999999999999997E-3</v>
      </c>
      <c r="H19" s="36"/>
      <c r="I19" s="22"/>
      <c r="J19" s="2"/>
    </row>
    <row r="20" spans="1:10" ht="12.95" customHeight="1">
      <c r="A20" s="2"/>
      <c r="B20" s="12" t="s">
        <v>172</v>
      </c>
      <c r="C20" s="13"/>
      <c r="D20" s="13"/>
      <c r="E20" s="13"/>
      <c r="F20" s="23">
        <v>4906.34</v>
      </c>
      <c r="G20" s="24">
        <v>0.99890000000000001</v>
      </c>
      <c r="H20" s="25"/>
      <c r="I20" s="26"/>
      <c r="J20" s="2"/>
    </row>
    <row r="21" spans="1:10" ht="12.95" customHeight="1">
      <c r="A21" s="2"/>
      <c r="B21" s="27" t="s">
        <v>719</v>
      </c>
      <c r="C21" s="1"/>
      <c r="D21" s="1"/>
      <c r="E21" s="1"/>
      <c r="F21" s="25" t="s">
        <v>204</v>
      </c>
      <c r="G21" s="25" t="s">
        <v>204</v>
      </c>
      <c r="H21" s="25"/>
      <c r="I21" s="26"/>
      <c r="J21" s="2"/>
    </row>
    <row r="22" spans="1:10" ht="12.95" customHeight="1">
      <c r="A22" s="2"/>
      <c r="B22" s="27" t="s">
        <v>172</v>
      </c>
      <c r="C22" s="1"/>
      <c r="D22" s="1"/>
      <c r="E22" s="1"/>
      <c r="F22" s="25" t="s">
        <v>204</v>
      </c>
      <c r="G22" s="25" t="s">
        <v>204</v>
      </c>
      <c r="H22" s="25"/>
      <c r="I22" s="26"/>
      <c r="J22" s="2"/>
    </row>
    <row r="23" spans="1:10" ht="12.95" customHeight="1">
      <c r="A23" s="2"/>
      <c r="B23" s="27" t="s">
        <v>177</v>
      </c>
      <c r="C23" s="28"/>
      <c r="D23" s="1"/>
      <c r="E23" s="28"/>
      <c r="F23" s="23">
        <v>4906.34</v>
      </c>
      <c r="G23" s="24">
        <v>0.99890000000000001</v>
      </c>
      <c r="H23" s="25"/>
      <c r="I23" s="26"/>
      <c r="J23" s="2"/>
    </row>
    <row r="24" spans="1:10" ht="12.95" customHeight="1">
      <c r="A24" s="2"/>
      <c r="B24" s="12" t="s">
        <v>178</v>
      </c>
      <c r="C24" s="13"/>
      <c r="D24" s="13"/>
      <c r="E24" s="13"/>
      <c r="F24" s="13"/>
      <c r="G24" s="13"/>
      <c r="H24" s="14"/>
      <c r="I24" s="15"/>
      <c r="J24" s="2"/>
    </row>
    <row r="25" spans="1:10" ht="12.95" customHeight="1">
      <c r="A25" s="16" t="s">
        <v>179</v>
      </c>
      <c r="B25" s="17" t="s">
        <v>180</v>
      </c>
      <c r="C25" s="13"/>
      <c r="D25" s="13"/>
      <c r="E25" s="18"/>
      <c r="F25" s="19">
        <v>0.39</v>
      </c>
      <c r="G25" s="20">
        <v>1E-4</v>
      </c>
      <c r="H25" s="21">
        <v>3.313377675819805E-2</v>
      </c>
      <c r="I25" s="22"/>
      <c r="J25" s="2"/>
    </row>
    <row r="26" spans="1:10" ht="12.95" customHeight="1">
      <c r="A26" s="2"/>
      <c r="B26" s="12" t="s">
        <v>172</v>
      </c>
      <c r="C26" s="13"/>
      <c r="D26" s="13"/>
      <c r="E26" s="13"/>
      <c r="F26" s="23">
        <v>0.39</v>
      </c>
      <c r="G26" s="24">
        <v>1E-4</v>
      </c>
      <c r="H26" s="25"/>
      <c r="I26" s="26"/>
      <c r="J26" s="2"/>
    </row>
    <row r="27" spans="1:10" ht="12.95" customHeight="1">
      <c r="A27" s="2"/>
      <c r="B27" s="27" t="s">
        <v>177</v>
      </c>
      <c r="C27" s="28"/>
      <c r="D27" s="1"/>
      <c r="E27" s="28"/>
      <c r="F27" s="23">
        <v>0.39</v>
      </c>
      <c r="G27" s="24">
        <v>1E-4</v>
      </c>
      <c r="H27" s="25"/>
      <c r="I27" s="26"/>
      <c r="J27" s="2"/>
    </row>
    <row r="28" spans="1:10" ht="12.95" customHeight="1">
      <c r="A28" s="2"/>
      <c r="B28" s="27" t="s">
        <v>181</v>
      </c>
      <c r="C28" s="13"/>
      <c r="D28" s="1"/>
      <c r="E28" s="13"/>
      <c r="F28" s="29">
        <v>4.67</v>
      </c>
      <c r="G28" s="24">
        <v>1E-3</v>
      </c>
      <c r="H28" s="25"/>
      <c r="I28" s="26"/>
      <c r="J28" s="2"/>
    </row>
    <row r="29" spans="1:10" ht="12.95" customHeight="1">
      <c r="A29" s="2"/>
      <c r="B29" s="30" t="s">
        <v>182</v>
      </c>
      <c r="C29" s="31"/>
      <c r="D29" s="31"/>
      <c r="E29" s="31"/>
      <c r="F29" s="32">
        <v>4911.3999999999996</v>
      </c>
      <c r="G29" s="33">
        <v>1</v>
      </c>
      <c r="H29" s="34"/>
      <c r="I29" s="35"/>
      <c r="J29" s="2"/>
    </row>
    <row r="30" spans="1:10" ht="12.95" customHeight="1">
      <c r="A30" s="2"/>
      <c r="B30" s="5"/>
      <c r="C30" s="2"/>
      <c r="D30" s="2"/>
      <c r="E30" s="2"/>
      <c r="F30" s="2"/>
      <c r="G30" s="2"/>
      <c r="H30" s="2"/>
      <c r="I30" s="2"/>
      <c r="J30" s="2"/>
    </row>
    <row r="31" spans="1:10" ht="12.95" customHeight="1">
      <c r="A31" s="2"/>
      <c r="B31" s="3" t="s">
        <v>244</v>
      </c>
      <c r="C31" s="2"/>
      <c r="D31" s="2"/>
      <c r="E31" s="2"/>
      <c r="F31" s="2"/>
      <c r="G31" s="2"/>
      <c r="H31" s="2"/>
      <c r="I31" s="2"/>
      <c r="J31" s="2"/>
    </row>
    <row r="32" spans="1:10" ht="12.95" customHeight="1">
      <c r="A32" s="2"/>
      <c r="B32" s="3" t="s">
        <v>186</v>
      </c>
      <c r="C32" s="2"/>
      <c r="D32" s="2"/>
      <c r="E32" s="2"/>
      <c r="F32" s="2"/>
      <c r="G32" s="2"/>
      <c r="H32" s="2"/>
      <c r="I32" s="2"/>
      <c r="J32" s="2"/>
    </row>
    <row r="33" spans="1:10" ht="26.25" customHeight="1">
      <c r="A33" s="2"/>
      <c r="B33" s="189" t="s">
        <v>4025</v>
      </c>
      <c r="C33" s="189"/>
      <c r="D33" s="189"/>
      <c r="E33" s="189"/>
      <c r="F33" s="189"/>
      <c r="G33" s="189"/>
      <c r="H33" s="189"/>
      <c r="I33" s="189"/>
      <c r="J33" s="2"/>
    </row>
    <row r="34" spans="1:10" ht="12.95" customHeight="1">
      <c r="A34" s="2"/>
      <c r="B34" s="3"/>
      <c r="C34" s="2"/>
      <c r="D34" s="2"/>
      <c r="E34" s="2"/>
      <c r="F34" s="2"/>
      <c r="G34" s="2"/>
      <c r="H34" s="2"/>
      <c r="I34" s="2"/>
      <c r="J34" s="2"/>
    </row>
    <row r="35" spans="1:10">
      <c r="C35" s="111" t="s">
        <v>3938</v>
      </c>
    </row>
    <row r="36" spans="1:10">
      <c r="B36" s="111" t="s">
        <v>3933</v>
      </c>
      <c r="C36" s="111" t="s">
        <v>3934</v>
      </c>
    </row>
  </sheetData>
  <mergeCells count="2">
    <mergeCell ref="B2:I2"/>
    <mergeCell ref="B33:I33"/>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7"/>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10.85546875" customWidth="1"/>
  </cols>
  <sheetData>
    <row r="1" spans="1:13" ht="15.75" thickBot="1">
      <c r="A1" s="108" t="str">
        <f>M2</f>
        <v>AXISCB1</v>
      </c>
    </row>
    <row r="2" spans="1:13" ht="34.5" customHeight="1" thickBot="1">
      <c r="A2" s="135" t="str">
        <f>M2</f>
        <v>AXISCB1</v>
      </c>
      <c r="B2" s="186" t="s">
        <v>20</v>
      </c>
      <c r="C2" s="187"/>
      <c r="D2" s="187"/>
      <c r="E2" s="187"/>
      <c r="F2" s="187"/>
      <c r="G2" s="187"/>
      <c r="H2" s="187"/>
      <c r="I2" s="188"/>
      <c r="J2" s="2"/>
      <c r="M2" s="108" t="s">
        <v>19</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5</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78800</v>
      </c>
      <c r="F8" s="19">
        <v>6042.46</v>
      </c>
      <c r="G8" s="20">
        <v>8.2100000000000006E-2</v>
      </c>
      <c r="H8" s="36"/>
      <c r="I8" s="22"/>
      <c r="J8" s="2"/>
    </row>
    <row r="9" spans="1:13" ht="12.95" customHeight="1">
      <c r="A9" s="16" t="s">
        <v>686</v>
      </c>
      <c r="B9" s="17" t="s">
        <v>687</v>
      </c>
      <c r="C9" s="13" t="s">
        <v>688</v>
      </c>
      <c r="D9" s="13" t="s">
        <v>685</v>
      </c>
      <c r="E9" s="18">
        <v>600000</v>
      </c>
      <c r="F9" s="19">
        <v>4205.1000000000004</v>
      </c>
      <c r="G9" s="20">
        <v>5.7099999999999998E-2</v>
      </c>
      <c r="H9" s="36"/>
      <c r="I9" s="22"/>
      <c r="J9" s="2"/>
    </row>
    <row r="10" spans="1:13" ht="12.95" customHeight="1">
      <c r="A10" s="16" t="s">
        <v>724</v>
      </c>
      <c r="B10" s="17" t="s">
        <v>725</v>
      </c>
      <c r="C10" s="13" t="s">
        <v>726</v>
      </c>
      <c r="D10" s="13" t="s">
        <v>727</v>
      </c>
      <c r="E10" s="18">
        <v>170049</v>
      </c>
      <c r="F10" s="19">
        <v>3673.74</v>
      </c>
      <c r="G10" s="20">
        <v>4.99E-2</v>
      </c>
      <c r="H10" s="36"/>
      <c r="I10" s="22"/>
      <c r="J10" s="2"/>
    </row>
    <row r="11" spans="1:13" ht="12.95" customHeight="1">
      <c r="A11" s="16" t="s">
        <v>728</v>
      </c>
      <c r="B11" s="17" t="s">
        <v>729</v>
      </c>
      <c r="C11" s="13" t="s">
        <v>730</v>
      </c>
      <c r="D11" s="13" t="s">
        <v>731</v>
      </c>
      <c r="E11" s="18">
        <v>96588</v>
      </c>
      <c r="F11" s="19">
        <v>3646.73</v>
      </c>
      <c r="G11" s="20">
        <v>4.9500000000000002E-2</v>
      </c>
      <c r="H11" s="36"/>
      <c r="I11" s="22"/>
      <c r="J11" s="2"/>
    </row>
    <row r="12" spans="1:13" ht="12.95" customHeight="1">
      <c r="A12" s="16" t="s">
        <v>682</v>
      </c>
      <c r="B12" s="17" t="s">
        <v>683</v>
      </c>
      <c r="C12" s="13" t="s">
        <v>684</v>
      </c>
      <c r="D12" s="13" t="s">
        <v>685</v>
      </c>
      <c r="E12" s="18">
        <v>216000</v>
      </c>
      <c r="F12" s="19">
        <v>3445.09</v>
      </c>
      <c r="G12" s="20">
        <v>4.6800000000000001E-2</v>
      </c>
      <c r="H12" s="36"/>
      <c r="I12" s="22"/>
      <c r="J12" s="2"/>
    </row>
    <row r="13" spans="1:13" ht="12.95" customHeight="1">
      <c r="A13" s="16" t="s">
        <v>732</v>
      </c>
      <c r="B13" s="17" t="s">
        <v>733</v>
      </c>
      <c r="C13" s="13" t="s">
        <v>734</v>
      </c>
      <c r="D13" s="13" t="s">
        <v>735</v>
      </c>
      <c r="E13" s="18">
        <v>130000</v>
      </c>
      <c r="F13" s="19">
        <v>3275.03</v>
      </c>
      <c r="G13" s="20">
        <v>4.4499999999999998E-2</v>
      </c>
      <c r="H13" s="36"/>
      <c r="I13" s="22"/>
      <c r="J13" s="2"/>
    </row>
    <row r="14" spans="1:13" ht="12.95" customHeight="1">
      <c r="A14" s="16" t="s">
        <v>736</v>
      </c>
      <c r="B14" s="17" t="s">
        <v>737</v>
      </c>
      <c r="C14" s="13" t="s">
        <v>738</v>
      </c>
      <c r="D14" s="13" t="s">
        <v>739</v>
      </c>
      <c r="E14" s="18">
        <v>76565</v>
      </c>
      <c r="F14" s="19">
        <v>3254.17</v>
      </c>
      <c r="G14" s="20">
        <v>4.4200000000000003E-2</v>
      </c>
      <c r="H14" s="36"/>
      <c r="I14" s="22"/>
      <c r="J14" s="2"/>
    </row>
    <row r="15" spans="1:13" ht="12.95" customHeight="1">
      <c r="A15" s="16" t="s">
        <v>740</v>
      </c>
      <c r="B15" s="17" t="s">
        <v>741</v>
      </c>
      <c r="C15" s="13" t="s">
        <v>742</v>
      </c>
      <c r="D15" s="13" t="s">
        <v>731</v>
      </c>
      <c r="E15" s="18">
        <v>178575</v>
      </c>
      <c r="F15" s="19">
        <v>2991.49</v>
      </c>
      <c r="G15" s="20">
        <v>4.0599999999999997E-2</v>
      </c>
      <c r="H15" s="36"/>
      <c r="I15" s="22"/>
      <c r="J15" s="2"/>
    </row>
    <row r="16" spans="1:13" ht="12.95" customHeight="1">
      <c r="A16" s="16" t="s">
        <v>743</v>
      </c>
      <c r="B16" s="17" t="s">
        <v>744</v>
      </c>
      <c r="C16" s="13" t="s">
        <v>745</v>
      </c>
      <c r="D16" s="13" t="s">
        <v>723</v>
      </c>
      <c r="E16" s="18">
        <v>108055</v>
      </c>
      <c r="F16" s="19">
        <v>2976.16</v>
      </c>
      <c r="G16" s="20">
        <v>4.0399999999999998E-2</v>
      </c>
      <c r="H16" s="36"/>
      <c r="I16" s="22"/>
      <c r="J16" s="2"/>
    </row>
    <row r="17" spans="1:10" ht="12.95" customHeight="1">
      <c r="A17" s="16" t="s">
        <v>746</v>
      </c>
      <c r="B17" s="17" t="s">
        <v>747</v>
      </c>
      <c r="C17" s="13" t="s">
        <v>748</v>
      </c>
      <c r="D17" s="13" t="s">
        <v>749</v>
      </c>
      <c r="E17" s="18">
        <v>60000</v>
      </c>
      <c r="F17" s="19">
        <v>2879.22</v>
      </c>
      <c r="G17" s="20">
        <v>3.9100000000000003E-2</v>
      </c>
      <c r="H17" s="36"/>
      <c r="I17" s="22"/>
      <c r="J17" s="2"/>
    </row>
    <row r="18" spans="1:10" ht="12.95" customHeight="1">
      <c r="A18" s="16" t="s">
        <v>750</v>
      </c>
      <c r="B18" s="17" t="s">
        <v>751</v>
      </c>
      <c r="C18" s="13" t="s">
        <v>752</v>
      </c>
      <c r="D18" s="13" t="s">
        <v>753</v>
      </c>
      <c r="E18" s="18">
        <v>90507</v>
      </c>
      <c r="F18" s="19">
        <v>2876.63</v>
      </c>
      <c r="G18" s="20">
        <v>3.9100000000000003E-2</v>
      </c>
      <c r="H18" s="36"/>
      <c r="I18" s="22"/>
      <c r="J18" s="2"/>
    </row>
    <row r="19" spans="1:10" ht="12.95" customHeight="1">
      <c r="A19" s="16" t="s">
        <v>754</v>
      </c>
      <c r="B19" s="17" t="s">
        <v>755</v>
      </c>
      <c r="C19" s="13" t="s">
        <v>756</v>
      </c>
      <c r="D19" s="13" t="s">
        <v>727</v>
      </c>
      <c r="E19" s="18">
        <v>100000</v>
      </c>
      <c r="F19" s="19">
        <v>2334.5500000000002</v>
      </c>
      <c r="G19" s="20">
        <v>3.1699999999999999E-2</v>
      </c>
      <c r="H19" s="36"/>
      <c r="I19" s="22"/>
      <c r="J19" s="2"/>
    </row>
    <row r="20" spans="1:10" ht="12.95" customHeight="1">
      <c r="A20" s="16" t="s">
        <v>757</v>
      </c>
      <c r="B20" s="17" t="s">
        <v>758</v>
      </c>
      <c r="C20" s="13" t="s">
        <v>759</v>
      </c>
      <c r="D20" s="13" t="s">
        <v>749</v>
      </c>
      <c r="E20" s="18">
        <v>60967</v>
      </c>
      <c r="F20" s="19">
        <v>2267.91</v>
      </c>
      <c r="G20" s="20">
        <v>3.0800000000000001E-2</v>
      </c>
      <c r="H20" s="36"/>
      <c r="I20" s="22"/>
      <c r="J20" s="2"/>
    </row>
    <row r="21" spans="1:10" ht="12.95" customHeight="1">
      <c r="A21" s="16" t="s">
        <v>760</v>
      </c>
      <c r="B21" s="17" t="s">
        <v>761</v>
      </c>
      <c r="C21" s="13" t="s">
        <v>762</v>
      </c>
      <c r="D21" s="13" t="s">
        <v>763</v>
      </c>
      <c r="E21" s="18">
        <v>1102391</v>
      </c>
      <c r="F21" s="19">
        <v>2023.44</v>
      </c>
      <c r="G21" s="20">
        <v>2.75E-2</v>
      </c>
      <c r="H21" s="36"/>
      <c r="I21" s="22"/>
      <c r="J21" s="2"/>
    </row>
    <row r="22" spans="1:10" ht="12.95" customHeight="1">
      <c r="A22" s="16" t="s">
        <v>764</v>
      </c>
      <c r="B22" s="17" t="s">
        <v>765</v>
      </c>
      <c r="C22" s="13" t="s">
        <v>766</v>
      </c>
      <c r="D22" s="13" t="s">
        <v>767</v>
      </c>
      <c r="E22" s="18">
        <v>21957</v>
      </c>
      <c r="F22" s="19">
        <v>1950.53</v>
      </c>
      <c r="G22" s="20">
        <v>2.6499999999999999E-2</v>
      </c>
      <c r="H22" s="36"/>
      <c r="I22" s="22"/>
      <c r="J22" s="2"/>
    </row>
    <row r="23" spans="1:10" ht="12.95" customHeight="1">
      <c r="A23" s="16" t="s">
        <v>768</v>
      </c>
      <c r="B23" s="17" t="s">
        <v>769</v>
      </c>
      <c r="C23" s="13" t="s">
        <v>770</v>
      </c>
      <c r="D23" s="13" t="s">
        <v>771</v>
      </c>
      <c r="E23" s="18">
        <v>101849</v>
      </c>
      <c r="F23" s="19">
        <v>1613.75</v>
      </c>
      <c r="G23" s="20">
        <v>2.1899999999999999E-2</v>
      </c>
      <c r="H23" s="36"/>
      <c r="I23" s="22"/>
      <c r="J23" s="2"/>
    </row>
    <row r="24" spans="1:10" ht="12.95" customHeight="1">
      <c r="A24" s="16" t="s">
        <v>772</v>
      </c>
      <c r="B24" s="17" t="s">
        <v>773</v>
      </c>
      <c r="C24" s="13" t="s">
        <v>774</v>
      </c>
      <c r="D24" s="13" t="s">
        <v>731</v>
      </c>
      <c r="E24" s="18">
        <v>100000</v>
      </c>
      <c r="F24" s="19">
        <v>1380.6</v>
      </c>
      <c r="G24" s="20">
        <v>1.8800000000000001E-2</v>
      </c>
      <c r="H24" s="36"/>
      <c r="I24" s="22"/>
      <c r="J24" s="2"/>
    </row>
    <row r="25" spans="1:10" ht="12.95" customHeight="1">
      <c r="A25" s="16" t="s">
        <v>775</v>
      </c>
      <c r="B25" s="17" t="s">
        <v>776</v>
      </c>
      <c r="C25" s="13" t="s">
        <v>777</v>
      </c>
      <c r="D25" s="13" t="s">
        <v>778</v>
      </c>
      <c r="E25" s="18">
        <v>17000</v>
      </c>
      <c r="F25" s="19">
        <v>1247.47</v>
      </c>
      <c r="G25" s="20">
        <v>1.6899999999999998E-2</v>
      </c>
      <c r="H25" s="36"/>
      <c r="I25" s="22"/>
      <c r="J25" s="2"/>
    </row>
    <row r="26" spans="1:10" ht="12.95" customHeight="1">
      <c r="A26" s="16" t="s">
        <v>779</v>
      </c>
      <c r="B26" s="17" t="s">
        <v>780</v>
      </c>
      <c r="C26" s="13" t="s">
        <v>781</v>
      </c>
      <c r="D26" s="13" t="s">
        <v>782</v>
      </c>
      <c r="E26" s="18">
        <v>310847</v>
      </c>
      <c r="F26" s="19">
        <v>1244.01</v>
      </c>
      <c r="G26" s="20">
        <v>1.6899999999999998E-2</v>
      </c>
      <c r="H26" s="36"/>
      <c r="I26" s="22"/>
      <c r="J26" s="2"/>
    </row>
    <row r="27" spans="1:10" ht="12.95" customHeight="1">
      <c r="A27" s="16" t="s">
        <v>783</v>
      </c>
      <c r="B27" s="17" t="s">
        <v>784</v>
      </c>
      <c r="C27" s="13" t="s">
        <v>785</v>
      </c>
      <c r="D27" s="13" t="s">
        <v>749</v>
      </c>
      <c r="E27" s="18">
        <v>51344</v>
      </c>
      <c r="F27" s="19">
        <v>1238.08</v>
      </c>
      <c r="G27" s="20">
        <v>1.6799999999999999E-2</v>
      </c>
      <c r="H27" s="36"/>
      <c r="I27" s="22"/>
      <c r="J27" s="2"/>
    </row>
    <row r="28" spans="1:10" ht="12.95" customHeight="1">
      <c r="A28" s="16" t="s">
        <v>786</v>
      </c>
      <c r="B28" s="17" t="s">
        <v>787</v>
      </c>
      <c r="C28" s="13" t="s">
        <v>788</v>
      </c>
      <c r="D28" s="13" t="s">
        <v>789</v>
      </c>
      <c r="E28" s="18">
        <v>45000</v>
      </c>
      <c r="F28" s="19">
        <v>1215.81</v>
      </c>
      <c r="G28" s="20">
        <v>1.6500000000000001E-2</v>
      </c>
      <c r="H28" s="36"/>
      <c r="I28" s="22"/>
      <c r="J28" s="2"/>
    </row>
    <row r="29" spans="1:10" ht="12.95" customHeight="1">
      <c r="A29" s="16" t="s">
        <v>790</v>
      </c>
      <c r="B29" s="17" t="s">
        <v>791</v>
      </c>
      <c r="C29" s="13" t="s">
        <v>792</v>
      </c>
      <c r="D29" s="13" t="s">
        <v>767</v>
      </c>
      <c r="E29" s="18">
        <v>100566</v>
      </c>
      <c r="F29" s="19">
        <v>1077.01</v>
      </c>
      <c r="G29" s="20">
        <v>1.46E-2</v>
      </c>
      <c r="H29" s="36"/>
      <c r="I29" s="22"/>
      <c r="J29" s="2"/>
    </row>
    <row r="30" spans="1:10" ht="12.95" customHeight="1">
      <c r="A30" s="16" t="s">
        <v>793</v>
      </c>
      <c r="B30" s="17" t="s">
        <v>794</v>
      </c>
      <c r="C30" s="13" t="s">
        <v>795</v>
      </c>
      <c r="D30" s="13" t="s">
        <v>723</v>
      </c>
      <c r="E30" s="18">
        <v>155144</v>
      </c>
      <c r="F30" s="19">
        <v>1067.78</v>
      </c>
      <c r="G30" s="20">
        <v>1.4500000000000001E-2</v>
      </c>
      <c r="H30" s="36"/>
      <c r="I30" s="22"/>
      <c r="J30" s="2"/>
    </row>
    <row r="31" spans="1:10" ht="12.95" customHeight="1">
      <c r="A31" s="16" t="s">
        <v>796</v>
      </c>
      <c r="B31" s="17" t="s">
        <v>797</v>
      </c>
      <c r="C31" s="13" t="s">
        <v>798</v>
      </c>
      <c r="D31" s="13" t="s">
        <v>771</v>
      </c>
      <c r="E31" s="18">
        <v>470000</v>
      </c>
      <c r="F31" s="19">
        <v>1061.97</v>
      </c>
      <c r="G31" s="20">
        <v>1.44E-2</v>
      </c>
      <c r="H31" s="36"/>
      <c r="I31" s="22"/>
      <c r="J31" s="2"/>
    </row>
    <row r="32" spans="1:10" ht="12.95" customHeight="1">
      <c r="A32" s="16" t="s">
        <v>799</v>
      </c>
      <c r="B32" s="17" t="s">
        <v>800</v>
      </c>
      <c r="C32" s="13" t="s">
        <v>801</v>
      </c>
      <c r="D32" s="13" t="s">
        <v>749</v>
      </c>
      <c r="E32" s="18">
        <v>100000</v>
      </c>
      <c r="F32" s="19">
        <v>818.25</v>
      </c>
      <c r="G32" s="20">
        <v>1.11E-2</v>
      </c>
      <c r="H32" s="36"/>
      <c r="I32" s="22"/>
      <c r="J32" s="2"/>
    </row>
    <row r="33" spans="1:10" ht="12.95" customHeight="1">
      <c r="A33" s="16" t="s">
        <v>802</v>
      </c>
      <c r="B33" s="17" t="s">
        <v>803</v>
      </c>
      <c r="C33" s="13" t="s">
        <v>804</v>
      </c>
      <c r="D33" s="13" t="s">
        <v>731</v>
      </c>
      <c r="E33" s="18">
        <v>17000</v>
      </c>
      <c r="F33" s="19">
        <v>798.58</v>
      </c>
      <c r="G33" s="20">
        <v>1.0800000000000001E-2</v>
      </c>
      <c r="H33" s="36"/>
      <c r="I33" s="22"/>
      <c r="J33" s="2"/>
    </row>
    <row r="34" spans="1:10" ht="12.95" customHeight="1">
      <c r="A34" s="16" t="s">
        <v>805</v>
      </c>
      <c r="B34" s="17" t="s">
        <v>806</v>
      </c>
      <c r="C34" s="13" t="s">
        <v>807</v>
      </c>
      <c r="D34" s="13" t="s">
        <v>727</v>
      </c>
      <c r="E34" s="18">
        <v>36824</v>
      </c>
      <c r="F34" s="19">
        <v>720.02</v>
      </c>
      <c r="G34" s="20">
        <v>9.7999999999999997E-3</v>
      </c>
      <c r="H34" s="36"/>
      <c r="I34" s="22"/>
      <c r="J34" s="2"/>
    </row>
    <row r="35" spans="1:10" ht="12.95" customHeight="1">
      <c r="A35" s="16" t="s">
        <v>808</v>
      </c>
      <c r="B35" s="17" t="s">
        <v>809</v>
      </c>
      <c r="C35" s="13" t="s">
        <v>810</v>
      </c>
      <c r="D35" s="13" t="s">
        <v>778</v>
      </c>
      <c r="E35" s="18">
        <v>76560</v>
      </c>
      <c r="F35" s="19">
        <v>614.82000000000005</v>
      </c>
      <c r="G35" s="20">
        <v>8.3999999999999995E-3</v>
      </c>
      <c r="H35" s="36"/>
      <c r="I35" s="22"/>
      <c r="J35" s="2"/>
    </row>
    <row r="36" spans="1:10" ht="12.95" customHeight="1">
      <c r="A36" s="16" t="s">
        <v>811</v>
      </c>
      <c r="B36" s="17" t="s">
        <v>812</v>
      </c>
      <c r="C36" s="13" t="s">
        <v>813</v>
      </c>
      <c r="D36" s="13" t="s">
        <v>814</v>
      </c>
      <c r="E36" s="18">
        <v>72217</v>
      </c>
      <c r="F36" s="19">
        <v>508.62</v>
      </c>
      <c r="G36" s="20">
        <v>6.8999999999999999E-3</v>
      </c>
      <c r="H36" s="36"/>
      <c r="I36" s="22"/>
      <c r="J36" s="2"/>
    </row>
    <row r="37" spans="1:10" ht="12.95" customHeight="1">
      <c r="A37" s="16" t="s">
        <v>815</v>
      </c>
      <c r="B37" s="17" t="s">
        <v>816</v>
      </c>
      <c r="C37" s="13" t="s">
        <v>817</v>
      </c>
      <c r="D37" s="13" t="s">
        <v>782</v>
      </c>
      <c r="E37" s="18">
        <v>50406</v>
      </c>
      <c r="F37" s="19">
        <v>496.32</v>
      </c>
      <c r="G37" s="20">
        <v>6.7000000000000002E-3</v>
      </c>
      <c r="H37" s="36"/>
      <c r="I37" s="22"/>
      <c r="J37" s="2"/>
    </row>
    <row r="38" spans="1:10" ht="12.95" customHeight="1">
      <c r="A38" s="16" t="s">
        <v>818</v>
      </c>
      <c r="B38" s="17" t="s">
        <v>819</v>
      </c>
      <c r="C38" s="13" t="s">
        <v>820</v>
      </c>
      <c r="D38" s="13" t="s">
        <v>739</v>
      </c>
      <c r="E38" s="18">
        <v>5295</v>
      </c>
      <c r="F38" s="19">
        <v>443.66</v>
      </c>
      <c r="G38" s="20">
        <v>6.0000000000000001E-3</v>
      </c>
      <c r="H38" s="36"/>
      <c r="I38" s="22"/>
      <c r="J38" s="2"/>
    </row>
    <row r="39" spans="1:10" ht="12.95" customHeight="1">
      <c r="A39" s="16" t="s">
        <v>821</v>
      </c>
      <c r="B39" s="17" t="s">
        <v>822</v>
      </c>
      <c r="C39" s="13" t="s">
        <v>823</v>
      </c>
      <c r="D39" s="13" t="s">
        <v>753</v>
      </c>
      <c r="E39" s="18">
        <v>100000</v>
      </c>
      <c r="F39" s="19">
        <v>402.15</v>
      </c>
      <c r="G39" s="20">
        <v>5.4999999999999997E-3</v>
      </c>
      <c r="H39" s="36"/>
      <c r="I39" s="22"/>
      <c r="J39" s="2"/>
    </row>
    <row r="40" spans="1:10" ht="12.95" customHeight="1">
      <c r="A40" s="16" t="s">
        <v>824</v>
      </c>
      <c r="B40" s="17" t="s">
        <v>825</v>
      </c>
      <c r="C40" s="13" t="s">
        <v>826</v>
      </c>
      <c r="D40" s="13" t="s">
        <v>763</v>
      </c>
      <c r="E40" s="18">
        <v>40000</v>
      </c>
      <c r="F40" s="19">
        <v>371.94</v>
      </c>
      <c r="G40" s="20">
        <v>5.1000000000000004E-3</v>
      </c>
      <c r="H40" s="36"/>
      <c r="I40" s="22"/>
      <c r="J40" s="2"/>
    </row>
    <row r="41" spans="1:10" ht="12.95" customHeight="1">
      <c r="A41" s="16" t="s">
        <v>827</v>
      </c>
      <c r="B41" s="17" t="s">
        <v>828</v>
      </c>
      <c r="C41" s="13" t="s">
        <v>829</v>
      </c>
      <c r="D41" s="13" t="s">
        <v>763</v>
      </c>
      <c r="E41" s="18">
        <v>8637</v>
      </c>
      <c r="F41" s="19">
        <v>318.25</v>
      </c>
      <c r="G41" s="20">
        <v>4.3E-3</v>
      </c>
      <c r="H41" s="36"/>
      <c r="I41" s="22"/>
      <c r="J41" s="2"/>
    </row>
    <row r="42" spans="1:10" ht="12.95" customHeight="1">
      <c r="A42" s="16" t="s">
        <v>830</v>
      </c>
      <c r="B42" s="17" t="s">
        <v>831</v>
      </c>
      <c r="C42" s="13" t="s">
        <v>832</v>
      </c>
      <c r="D42" s="13" t="s">
        <v>763</v>
      </c>
      <c r="E42" s="18">
        <v>10000</v>
      </c>
      <c r="F42" s="19">
        <v>186.65</v>
      </c>
      <c r="G42" s="20">
        <v>2.5000000000000001E-3</v>
      </c>
      <c r="H42" s="36"/>
      <c r="I42" s="22"/>
      <c r="J42" s="2"/>
    </row>
    <row r="43" spans="1:10" ht="12.95" customHeight="1">
      <c r="A43" s="16" t="s">
        <v>833</v>
      </c>
      <c r="B43" s="17" t="s">
        <v>834</v>
      </c>
      <c r="C43" s="13" t="s">
        <v>835</v>
      </c>
      <c r="D43" s="13" t="s">
        <v>836</v>
      </c>
      <c r="E43" s="18">
        <v>400</v>
      </c>
      <c r="F43" s="19">
        <v>182.86</v>
      </c>
      <c r="G43" s="20">
        <v>2.5000000000000001E-3</v>
      </c>
      <c r="H43" s="36"/>
      <c r="I43" s="22"/>
      <c r="J43" s="2"/>
    </row>
    <row r="44" spans="1:10" ht="12.95" customHeight="1">
      <c r="A44" s="16" t="s">
        <v>837</v>
      </c>
      <c r="B44" s="17" t="s">
        <v>838</v>
      </c>
      <c r="C44" s="13" t="s">
        <v>839</v>
      </c>
      <c r="D44" s="13" t="s">
        <v>763</v>
      </c>
      <c r="E44" s="18">
        <v>1856</v>
      </c>
      <c r="F44" s="19">
        <v>175.62</v>
      </c>
      <c r="G44" s="20">
        <v>2.3999999999999998E-3</v>
      </c>
      <c r="H44" s="36"/>
      <c r="I44" s="22"/>
      <c r="J44" s="2"/>
    </row>
    <row r="45" spans="1:10" ht="12.95" customHeight="1">
      <c r="A45" s="16" t="s">
        <v>840</v>
      </c>
      <c r="B45" s="17" t="s">
        <v>3924</v>
      </c>
      <c r="C45" s="13" t="s">
        <v>841</v>
      </c>
      <c r="D45" s="13" t="s">
        <v>735</v>
      </c>
      <c r="E45" s="18">
        <v>8666</v>
      </c>
      <c r="F45" s="19">
        <v>162.15</v>
      </c>
      <c r="G45" s="20">
        <v>2.2000000000000001E-3</v>
      </c>
      <c r="H45" s="36"/>
      <c r="I45" s="22"/>
      <c r="J45" s="2"/>
    </row>
    <row r="46" spans="1:10" ht="12.95" customHeight="1">
      <c r="A46" s="16" t="s">
        <v>842</v>
      </c>
      <c r="B46" s="17" t="s">
        <v>843</v>
      </c>
      <c r="C46" s="13" t="s">
        <v>844</v>
      </c>
      <c r="D46" s="13" t="s">
        <v>771</v>
      </c>
      <c r="E46" s="18">
        <v>15339</v>
      </c>
      <c r="F46" s="19">
        <v>123.65</v>
      </c>
      <c r="G46" s="20">
        <v>1.6999999999999999E-3</v>
      </c>
      <c r="H46" s="36"/>
      <c r="I46" s="22"/>
      <c r="J46" s="2"/>
    </row>
    <row r="47" spans="1:10" ht="12.95" customHeight="1">
      <c r="A47" s="16" t="s">
        <v>845</v>
      </c>
      <c r="B47" s="17" t="s">
        <v>846</v>
      </c>
      <c r="C47" s="13" t="s">
        <v>847</v>
      </c>
      <c r="D47" s="13" t="s">
        <v>739</v>
      </c>
      <c r="E47" s="18">
        <v>7947</v>
      </c>
      <c r="F47" s="19">
        <v>98.23</v>
      </c>
      <c r="G47" s="20">
        <v>1.2999999999999999E-3</v>
      </c>
      <c r="H47" s="36"/>
      <c r="I47" s="22"/>
      <c r="J47" s="2"/>
    </row>
    <row r="48" spans="1:10" ht="12.95" customHeight="1">
      <c r="A48" s="16" t="s">
        <v>848</v>
      </c>
      <c r="B48" s="17" t="s">
        <v>849</v>
      </c>
      <c r="C48" s="13" t="s">
        <v>850</v>
      </c>
      <c r="D48" s="13" t="s">
        <v>739</v>
      </c>
      <c r="E48" s="18">
        <v>71190</v>
      </c>
      <c r="F48" s="19">
        <v>97.25</v>
      </c>
      <c r="G48" s="20">
        <v>1.2999999999999999E-3</v>
      </c>
      <c r="H48" s="36"/>
      <c r="I48" s="22"/>
      <c r="J48" s="2"/>
    </row>
    <row r="49" spans="1:10" ht="12.95" customHeight="1">
      <c r="A49" s="16" t="s">
        <v>851</v>
      </c>
      <c r="B49" s="17" t="s">
        <v>852</v>
      </c>
      <c r="C49" s="13" t="s">
        <v>853</v>
      </c>
      <c r="D49" s="13" t="s">
        <v>771</v>
      </c>
      <c r="E49" s="18">
        <v>1610</v>
      </c>
      <c r="F49" s="19">
        <v>11.89</v>
      </c>
      <c r="G49" s="20">
        <v>2.0000000000000001E-4</v>
      </c>
      <c r="H49" s="36"/>
      <c r="I49" s="22"/>
      <c r="J49" s="2"/>
    </row>
    <row r="50" spans="1:10" ht="12.95" customHeight="1">
      <c r="A50" s="16" t="s">
        <v>854</v>
      </c>
      <c r="B50" s="17" t="s">
        <v>855</v>
      </c>
      <c r="C50" s="13" t="s">
        <v>856</v>
      </c>
      <c r="D50" s="13" t="s">
        <v>778</v>
      </c>
      <c r="E50" s="18">
        <v>184</v>
      </c>
      <c r="F50" s="19">
        <v>5.13</v>
      </c>
      <c r="G50" s="20">
        <v>1E-4</v>
      </c>
      <c r="H50" s="36"/>
      <c r="I50" s="22"/>
      <c r="J50" s="2"/>
    </row>
    <row r="51" spans="1:10" ht="12.95" customHeight="1">
      <c r="A51" s="16" t="s">
        <v>857</v>
      </c>
      <c r="B51" s="17" t="s">
        <v>858</v>
      </c>
      <c r="C51" s="13" t="s">
        <v>859</v>
      </c>
      <c r="D51" s="13" t="s">
        <v>763</v>
      </c>
      <c r="E51" s="18">
        <v>794</v>
      </c>
      <c r="F51" s="19">
        <v>4.8600000000000003</v>
      </c>
      <c r="G51" s="20">
        <v>1E-4</v>
      </c>
      <c r="H51" s="36"/>
      <c r="I51" s="22"/>
      <c r="J51" s="2"/>
    </row>
    <row r="52" spans="1:10" ht="12.95" customHeight="1">
      <c r="A52" s="2"/>
      <c r="B52" s="12" t="s">
        <v>172</v>
      </c>
      <c r="C52" s="13"/>
      <c r="D52" s="13"/>
      <c r="E52" s="13"/>
      <c r="F52" s="23">
        <v>65529.63</v>
      </c>
      <c r="G52" s="24">
        <v>0.89</v>
      </c>
      <c r="H52" s="25"/>
      <c r="I52" s="26"/>
      <c r="J52" s="2"/>
    </row>
    <row r="53" spans="1:10" ht="12.95" customHeight="1">
      <c r="A53" s="2"/>
      <c r="B53" s="27" t="s">
        <v>719</v>
      </c>
      <c r="C53" s="1"/>
      <c r="D53" s="1"/>
      <c r="E53" s="1"/>
      <c r="F53" s="25" t="s">
        <v>204</v>
      </c>
      <c r="G53" s="25" t="s">
        <v>204</v>
      </c>
      <c r="H53" s="25"/>
      <c r="I53" s="26"/>
      <c r="J53" s="2"/>
    </row>
    <row r="54" spans="1:10" ht="12.95" customHeight="1">
      <c r="A54" s="2"/>
      <c r="B54" s="27" t="s">
        <v>172</v>
      </c>
      <c r="C54" s="1"/>
      <c r="D54" s="1"/>
      <c r="E54" s="1"/>
      <c r="F54" s="25" t="s">
        <v>204</v>
      </c>
      <c r="G54" s="25" t="s">
        <v>204</v>
      </c>
      <c r="H54" s="25"/>
      <c r="I54" s="26"/>
      <c r="J54" s="2"/>
    </row>
    <row r="55" spans="1:10" ht="12.95" customHeight="1">
      <c r="A55" s="2"/>
      <c r="B55" s="27" t="s">
        <v>177</v>
      </c>
      <c r="C55" s="28"/>
      <c r="D55" s="1"/>
      <c r="E55" s="28"/>
      <c r="F55" s="23">
        <v>65529.63</v>
      </c>
      <c r="G55" s="24">
        <v>0.89</v>
      </c>
      <c r="H55" s="25"/>
      <c r="I55" s="26"/>
      <c r="J55" s="2"/>
    </row>
    <row r="56" spans="1:10" ht="12.95" customHeight="1">
      <c r="A56" s="2"/>
      <c r="B56" s="12" t="s">
        <v>860</v>
      </c>
      <c r="C56" s="13"/>
      <c r="D56" s="13"/>
      <c r="E56" s="13"/>
      <c r="F56" s="13"/>
      <c r="G56" s="13"/>
      <c r="H56" s="14"/>
      <c r="I56" s="15"/>
      <c r="J56" s="2"/>
    </row>
    <row r="57" spans="1:10" ht="12.95" customHeight="1">
      <c r="A57" s="2"/>
      <c r="B57" s="12" t="s">
        <v>861</v>
      </c>
      <c r="C57" s="13"/>
      <c r="D57" s="13"/>
      <c r="E57" s="13"/>
      <c r="F57" s="2"/>
      <c r="G57" s="14"/>
      <c r="H57" s="14"/>
      <c r="I57" s="15"/>
      <c r="J57" s="2"/>
    </row>
    <row r="58" spans="1:10" ht="12.95" customHeight="1">
      <c r="A58" s="16" t="s">
        <v>862</v>
      </c>
      <c r="B58" s="17" t="s">
        <v>863</v>
      </c>
      <c r="C58" s="13"/>
      <c r="D58" s="13"/>
      <c r="E58" s="18">
        <v>37500</v>
      </c>
      <c r="F58" s="19">
        <v>63.38</v>
      </c>
      <c r="G58" s="20">
        <v>8.9999999999999998E-4</v>
      </c>
      <c r="H58" s="36"/>
      <c r="I58" s="22"/>
      <c r="J58" s="2"/>
    </row>
    <row r="59" spans="1:10" ht="12.95" customHeight="1">
      <c r="A59" s="16" t="s">
        <v>864</v>
      </c>
      <c r="B59" s="17" t="s">
        <v>865</v>
      </c>
      <c r="C59" s="13"/>
      <c r="D59" s="13"/>
      <c r="E59" s="18">
        <v>71250</v>
      </c>
      <c r="F59" s="36" t="s">
        <v>3988</v>
      </c>
      <c r="G59" s="36" t="s">
        <v>643</v>
      </c>
      <c r="H59" s="36"/>
      <c r="I59" s="22"/>
      <c r="J59" s="2"/>
    </row>
    <row r="60" spans="1:10" ht="12.95" customHeight="1">
      <c r="A60" s="2"/>
      <c r="B60" s="12" t="s">
        <v>172</v>
      </c>
      <c r="C60" s="13"/>
      <c r="D60" s="13"/>
      <c r="E60" s="13"/>
      <c r="F60" s="23">
        <v>63.38</v>
      </c>
      <c r="G60" s="24">
        <v>8.9999999999999998E-4</v>
      </c>
      <c r="H60" s="25"/>
      <c r="I60" s="26"/>
      <c r="J60" s="2"/>
    </row>
    <row r="61" spans="1:10" ht="12.95" customHeight="1">
      <c r="A61" s="2"/>
      <c r="B61" s="27" t="s">
        <v>177</v>
      </c>
      <c r="C61" s="28"/>
      <c r="D61" s="1"/>
      <c r="E61" s="28"/>
      <c r="F61" s="23">
        <v>63.38</v>
      </c>
      <c r="G61" s="24">
        <v>8.9999999999999998E-4</v>
      </c>
      <c r="H61" s="25"/>
      <c r="I61" s="26"/>
      <c r="J61" s="2"/>
    </row>
    <row r="62" spans="1:10" ht="12.95" customHeight="1">
      <c r="A62" s="2"/>
      <c r="B62" s="12" t="s">
        <v>127</v>
      </c>
      <c r="C62" s="13"/>
      <c r="D62" s="13"/>
      <c r="E62" s="13"/>
      <c r="F62" s="13"/>
      <c r="G62" s="13"/>
      <c r="H62" s="14"/>
      <c r="I62" s="15"/>
      <c r="J62" s="2"/>
    </row>
    <row r="63" spans="1:10" ht="12.95" customHeight="1">
      <c r="A63" s="2"/>
      <c r="B63" s="12" t="s">
        <v>128</v>
      </c>
      <c r="C63" s="13"/>
      <c r="D63" s="13"/>
      <c r="E63" s="13"/>
      <c r="F63" s="2"/>
      <c r="G63" s="14"/>
      <c r="H63" s="14"/>
      <c r="I63" s="15"/>
      <c r="J63" s="2"/>
    </row>
    <row r="64" spans="1:10" ht="12.95" customHeight="1">
      <c r="A64" s="16" t="s">
        <v>866</v>
      </c>
      <c r="B64" s="17" t="s">
        <v>867</v>
      </c>
      <c r="C64" s="13" t="s">
        <v>868</v>
      </c>
      <c r="D64" s="13" t="s">
        <v>869</v>
      </c>
      <c r="E64" s="18">
        <v>160</v>
      </c>
      <c r="F64" s="19">
        <v>2905.51</v>
      </c>
      <c r="G64" s="20">
        <v>3.95E-2</v>
      </c>
      <c r="H64" s="21">
        <v>4.4650000000000002E-2</v>
      </c>
      <c r="I64" s="22"/>
      <c r="J64" s="2"/>
    </row>
    <row r="65" spans="1:10" ht="12.95" customHeight="1">
      <c r="A65" s="16" t="s">
        <v>870</v>
      </c>
      <c r="B65" s="17" t="s">
        <v>871</v>
      </c>
      <c r="C65" s="13" t="s">
        <v>872</v>
      </c>
      <c r="D65" s="13" t="s">
        <v>132</v>
      </c>
      <c r="E65" s="18">
        <v>250</v>
      </c>
      <c r="F65" s="19">
        <v>2531.17</v>
      </c>
      <c r="G65" s="20">
        <v>3.44E-2</v>
      </c>
      <c r="H65" s="21">
        <v>3.7600000000000001E-2</v>
      </c>
      <c r="I65" s="22"/>
      <c r="J65" s="2"/>
    </row>
    <row r="66" spans="1:10" ht="12.95" customHeight="1">
      <c r="A66" s="2"/>
      <c r="B66" s="12" t="s">
        <v>172</v>
      </c>
      <c r="C66" s="13"/>
      <c r="D66" s="13"/>
      <c r="E66" s="13"/>
      <c r="F66" s="23">
        <v>5436.68</v>
      </c>
      <c r="G66" s="24">
        <v>7.3899999999999993E-2</v>
      </c>
      <c r="H66" s="25"/>
      <c r="I66" s="26"/>
      <c r="J66" s="2"/>
    </row>
    <row r="67" spans="1:10" ht="12.95" customHeight="1">
      <c r="A67" s="2"/>
      <c r="B67" s="27" t="s">
        <v>173</v>
      </c>
      <c r="C67" s="1"/>
      <c r="D67" s="1"/>
      <c r="E67" s="1"/>
      <c r="F67" s="25" t="s">
        <v>204</v>
      </c>
      <c r="G67" s="25" t="s">
        <v>204</v>
      </c>
      <c r="H67" s="25"/>
      <c r="I67" s="26"/>
      <c r="J67" s="2"/>
    </row>
    <row r="68" spans="1:10" ht="12.95" customHeight="1">
      <c r="A68" s="2"/>
      <c r="B68" s="27" t="s">
        <v>172</v>
      </c>
      <c r="C68" s="1"/>
      <c r="D68" s="1"/>
      <c r="E68" s="1"/>
      <c r="F68" s="25" t="s">
        <v>204</v>
      </c>
      <c r="G68" s="25" t="s">
        <v>204</v>
      </c>
      <c r="H68" s="25"/>
      <c r="I68" s="26"/>
      <c r="J68" s="2"/>
    </row>
    <row r="69" spans="1:10" ht="12.95" customHeight="1">
      <c r="A69" s="2"/>
      <c r="B69" s="27" t="s">
        <v>177</v>
      </c>
      <c r="C69" s="28"/>
      <c r="D69" s="1"/>
      <c r="E69" s="28"/>
      <c r="F69" s="23">
        <v>5436.68</v>
      </c>
      <c r="G69" s="24">
        <v>7.3899999999999993E-2</v>
      </c>
      <c r="H69" s="25"/>
      <c r="I69" s="26"/>
      <c r="J69" s="2"/>
    </row>
    <row r="70" spans="1:10" ht="12.95" customHeight="1">
      <c r="A70" s="2"/>
      <c r="B70" s="12" t="s">
        <v>178</v>
      </c>
      <c r="C70" s="13"/>
      <c r="D70" s="13"/>
      <c r="E70" s="13"/>
      <c r="F70" s="13"/>
      <c r="G70" s="13"/>
      <c r="H70" s="14"/>
      <c r="I70" s="15"/>
      <c r="J70" s="2"/>
    </row>
    <row r="71" spans="1:10" ht="12.95" customHeight="1">
      <c r="A71" s="16" t="s">
        <v>179</v>
      </c>
      <c r="B71" s="17" t="s">
        <v>180</v>
      </c>
      <c r="C71" s="13"/>
      <c r="D71" s="13"/>
      <c r="E71" s="18"/>
      <c r="F71" s="19">
        <v>2329.7800000000002</v>
      </c>
      <c r="G71" s="20">
        <v>3.1600000000000003E-2</v>
      </c>
      <c r="H71" s="21">
        <v>3.3047039738501142E-2</v>
      </c>
      <c r="I71" s="22"/>
      <c r="J71" s="2"/>
    </row>
    <row r="72" spans="1:10" ht="12.95" customHeight="1">
      <c r="A72" s="2"/>
      <c r="B72" s="12" t="s">
        <v>172</v>
      </c>
      <c r="C72" s="13"/>
      <c r="D72" s="13"/>
      <c r="E72" s="13"/>
      <c r="F72" s="23">
        <v>2329.7800000000002</v>
      </c>
      <c r="G72" s="24">
        <v>3.1600000000000003E-2</v>
      </c>
      <c r="H72" s="25"/>
      <c r="I72" s="26"/>
      <c r="J72" s="2"/>
    </row>
    <row r="73" spans="1:10" ht="12.95" customHeight="1">
      <c r="A73" s="2"/>
      <c r="B73" s="27" t="s">
        <v>173</v>
      </c>
      <c r="C73" s="1"/>
      <c r="D73" s="1"/>
      <c r="E73" s="1"/>
      <c r="F73" s="25" t="s">
        <v>204</v>
      </c>
      <c r="G73" s="25" t="s">
        <v>204</v>
      </c>
      <c r="H73" s="25"/>
      <c r="I73" s="26"/>
      <c r="J73" s="2"/>
    </row>
    <row r="74" spans="1:10" ht="12.95" customHeight="1">
      <c r="A74" s="2"/>
      <c r="B74" s="27" t="s">
        <v>172</v>
      </c>
      <c r="C74" s="1"/>
      <c r="D74" s="1"/>
      <c r="E74" s="1"/>
      <c r="F74" s="25" t="s">
        <v>204</v>
      </c>
      <c r="G74" s="25" t="s">
        <v>204</v>
      </c>
      <c r="H74" s="25"/>
      <c r="I74" s="26"/>
      <c r="J74" s="2"/>
    </row>
    <row r="75" spans="1:10" ht="12.95" customHeight="1">
      <c r="A75" s="2"/>
      <c r="B75" s="27" t="s">
        <v>177</v>
      </c>
      <c r="C75" s="28"/>
      <c r="D75" s="1"/>
      <c r="E75" s="28"/>
      <c r="F75" s="23">
        <v>2329.7800000000002</v>
      </c>
      <c r="G75" s="24">
        <v>3.1600000000000003E-2</v>
      </c>
      <c r="H75" s="25"/>
      <c r="I75" s="26"/>
      <c r="J75" s="2"/>
    </row>
    <row r="76" spans="1:10" ht="12.95" customHeight="1">
      <c r="A76" s="2"/>
      <c r="B76" s="27" t="s">
        <v>181</v>
      </c>
      <c r="C76" s="13"/>
      <c r="D76" s="1"/>
      <c r="E76" s="13"/>
      <c r="F76" s="29">
        <v>261.49</v>
      </c>
      <c r="G76" s="24">
        <v>3.5999999999999999E-3</v>
      </c>
      <c r="H76" s="25"/>
      <c r="I76" s="26"/>
      <c r="J76" s="2"/>
    </row>
    <row r="77" spans="1:10" ht="12.95" customHeight="1">
      <c r="A77" s="2"/>
      <c r="B77" s="30" t="s">
        <v>182</v>
      </c>
      <c r="C77" s="31"/>
      <c r="D77" s="31"/>
      <c r="E77" s="31"/>
      <c r="F77" s="32">
        <v>73620.960000000006</v>
      </c>
      <c r="G77" s="33">
        <v>1</v>
      </c>
      <c r="H77" s="34"/>
      <c r="I77" s="35"/>
      <c r="J77" s="2"/>
    </row>
    <row r="78" spans="1:10" ht="12.95" customHeight="1">
      <c r="A78" s="2"/>
      <c r="B78" s="5"/>
      <c r="C78" s="2"/>
      <c r="D78" s="2"/>
      <c r="E78" s="2"/>
      <c r="F78" s="2"/>
      <c r="G78" s="2"/>
      <c r="H78" s="2"/>
      <c r="I78" s="2"/>
      <c r="J78" s="2"/>
    </row>
    <row r="79" spans="1:10" ht="12.95" customHeight="1">
      <c r="A79" s="2"/>
      <c r="B79" s="3" t="s">
        <v>244</v>
      </c>
      <c r="C79" s="2"/>
      <c r="D79" s="2"/>
      <c r="E79" s="2"/>
      <c r="F79" s="2"/>
      <c r="G79" s="2"/>
      <c r="H79" s="2"/>
      <c r="I79" s="2"/>
      <c r="J79" s="2"/>
    </row>
    <row r="80" spans="1:10" ht="12.95" customHeight="1">
      <c r="A80" s="2"/>
      <c r="B80" s="3" t="s">
        <v>184</v>
      </c>
      <c r="C80" s="2"/>
      <c r="D80" s="2"/>
      <c r="E80" s="2"/>
      <c r="F80" s="2"/>
      <c r="G80" s="2"/>
      <c r="H80" s="2"/>
      <c r="I80" s="2"/>
      <c r="J80" s="2"/>
    </row>
    <row r="81" spans="1:10" ht="12.95" customHeight="1">
      <c r="A81" s="116"/>
      <c r="B81" s="113" t="s">
        <v>3989</v>
      </c>
      <c r="C81" s="116"/>
      <c r="D81" s="116"/>
      <c r="E81" s="116"/>
      <c r="F81" s="116"/>
      <c r="G81" s="116"/>
      <c r="H81" s="116"/>
      <c r="I81" s="116"/>
      <c r="J81" s="116"/>
    </row>
    <row r="82" spans="1:10" ht="12.95" customHeight="1">
      <c r="A82" s="2"/>
      <c r="B82" s="3" t="s">
        <v>678</v>
      </c>
      <c r="C82" s="2"/>
      <c r="D82" s="2"/>
      <c r="E82" s="2"/>
      <c r="F82" s="2"/>
      <c r="G82" s="2"/>
      <c r="H82" s="2"/>
      <c r="I82" s="2"/>
      <c r="J82" s="2"/>
    </row>
    <row r="83" spans="1:10" ht="12.95" customHeight="1">
      <c r="A83" s="2"/>
      <c r="B83" s="3" t="s">
        <v>186</v>
      </c>
      <c r="C83" s="2"/>
      <c r="D83" s="2"/>
      <c r="E83" s="2"/>
      <c r="F83" s="2"/>
      <c r="G83" s="2"/>
      <c r="H83" s="2"/>
      <c r="I83" s="2"/>
      <c r="J83" s="2"/>
    </row>
    <row r="84" spans="1:10" ht="26.25" customHeight="1">
      <c r="A84" s="2"/>
      <c r="B84" s="189" t="s">
        <v>4025</v>
      </c>
      <c r="C84" s="189"/>
      <c r="D84" s="189"/>
      <c r="E84" s="189"/>
      <c r="F84" s="189"/>
      <c r="G84" s="189"/>
      <c r="H84" s="189"/>
      <c r="I84" s="189"/>
      <c r="J84" s="2"/>
    </row>
    <row r="85" spans="1:10" ht="12.95" customHeight="1">
      <c r="A85" s="2"/>
      <c r="B85" s="3"/>
      <c r="C85" s="2"/>
      <c r="D85" s="2"/>
      <c r="E85" s="2"/>
      <c r="F85" s="2"/>
      <c r="G85" s="2"/>
      <c r="H85" s="2"/>
      <c r="I85" s="2"/>
      <c r="J85" s="2"/>
    </row>
    <row r="86" spans="1:10">
      <c r="C86" s="111" t="s">
        <v>3939</v>
      </c>
    </row>
    <row r="87" spans="1:10">
      <c r="B87" s="111" t="s">
        <v>3933</v>
      </c>
      <c r="C87" s="111" t="s">
        <v>3934</v>
      </c>
    </row>
  </sheetData>
  <mergeCells count="2">
    <mergeCell ref="B2:I2"/>
    <mergeCell ref="B84:I84"/>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0"/>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4.85546875" bestFit="1" customWidth="1"/>
  </cols>
  <sheetData>
    <row r="1" spans="1:13" ht="15.75" thickBot="1">
      <c r="A1" s="108" t="str">
        <f>M2</f>
        <v>AXISCB4</v>
      </c>
    </row>
    <row r="2" spans="1:13" ht="34.5" customHeight="1" thickBot="1">
      <c r="A2" s="135" t="str">
        <f>M2</f>
        <v>AXISCB4</v>
      </c>
      <c r="B2" s="186" t="s">
        <v>22</v>
      </c>
      <c r="C2" s="187"/>
      <c r="D2" s="187"/>
      <c r="E2" s="187"/>
      <c r="F2" s="187"/>
      <c r="G2" s="187"/>
      <c r="H2" s="187"/>
      <c r="I2" s="188"/>
      <c r="J2" s="2"/>
      <c r="M2" s="108" t="s">
        <v>21</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5</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682</v>
      </c>
      <c r="B8" s="17" t="s">
        <v>683</v>
      </c>
      <c r="C8" s="13" t="s">
        <v>684</v>
      </c>
      <c r="D8" s="13" t="s">
        <v>685</v>
      </c>
      <c r="E8" s="18">
        <v>728088</v>
      </c>
      <c r="F8" s="19">
        <v>11612.64</v>
      </c>
      <c r="G8" s="20">
        <v>7.85E-2</v>
      </c>
      <c r="H8" s="36"/>
      <c r="I8" s="22"/>
      <c r="J8" s="2"/>
    </row>
    <row r="9" spans="1:13" ht="12.95" customHeight="1">
      <c r="A9" s="16" t="s">
        <v>740</v>
      </c>
      <c r="B9" s="17" t="s">
        <v>741</v>
      </c>
      <c r="C9" s="13" t="s">
        <v>742</v>
      </c>
      <c r="D9" s="13" t="s">
        <v>731</v>
      </c>
      <c r="E9" s="18">
        <v>627418</v>
      </c>
      <c r="F9" s="19">
        <v>10510.51</v>
      </c>
      <c r="G9" s="20">
        <v>7.0999999999999994E-2</v>
      </c>
      <c r="H9" s="36"/>
      <c r="I9" s="22"/>
      <c r="J9" s="2"/>
    </row>
    <row r="10" spans="1:13" ht="12.95" customHeight="1">
      <c r="A10" s="16" t="s">
        <v>728</v>
      </c>
      <c r="B10" s="17" t="s">
        <v>729</v>
      </c>
      <c r="C10" s="13" t="s">
        <v>730</v>
      </c>
      <c r="D10" s="13" t="s">
        <v>731</v>
      </c>
      <c r="E10" s="18">
        <v>260952</v>
      </c>
      <c r="F10" s="19">
        <v>9852.3700000000008</v>
      </c>
      <c r="G10" s="20">
        <v>6.6600000000000006E-2</v>
      </c>
      <c r="H10" s="36"/>
      <c r="I10" s="22"/>
      <c r="J10" s="2"/>
    </row>
    <row r="11" spans="1:13" ht="12.95" customHeight="1">
      <c r="A11" s="16" t="s">
        <v>686</v>
      </c>
      <c r="B11" s="17" t="s">
        <v>687</v>
      </c>
      <c r="C11" s="13" t="s">
        <v>688</v>
      </c>
      <c r="D11" s="13" t="s">
        <v>685</v>
      </c>
      <c r="E11" s="18">
        <v>1370726</v>
      </c>
      <c r="F11" s="19">
        <v>9606.73</v>
      </c>
      <c r="G11" s="20">
        <v>6.4899999999999999E-2</v>
      </c>
      <c r="H11" s="36"/>
      <c r="I11" s="22"/>
      <c r="J11" s="2"/>
    </row>
    <row r="12" spans="1:13" ht="12.95" customHeight="1">
      <c r="A12" s="16" t="s">
        <v>720</v>
      </c>
      <c r="B12" s="17" t="s">
        <v>721</v>
      </c>
      <c r="C12" s="13" t="s">
        <v>722</v>
      </c>
      <c r="D12" s="13" t="s">
        <v>723</v>
      </c>
      <c r="E12" s="18">
        <v>113891</v>
      </c>
      <c r="F12" s="19">
        <v>8733.2800000000007</v>
      </c>
      <c r="G12" s="20">
        <v>5.8999999999999997E-2</v>
      </c>
      <c r="H12" s="36"/>
      <c r="I12" s="22"/>
      <c r="J12" s="2"/>
    </row>
    <row r="13" spans="1:13" ht="12.95" customHeight="1">
      <c r="A13" s="16" t="s">
        <v>732</v>
      </c>
      <c r="B13" s="17" t="s">
        <v>733</v>
      </c>
      <c r="C13" s="13" t="s">
        <v>734</v>
      </c>
      <c r="D13" s="13" t="s">
        <v>735</v>
      </c>
      <c r="E13" s="18">
        <v>304832</v>
      </c>
      <c r="F13" s="19">
        <v>7679.48</v>
      </c>
      <c r="G13" s="20">
        <v>5.1900000000000002E-2</v>
      </c>
      <c r="H13" s="36"/>
      <c r="I13" s="22"/>
      <c r="J13" s="2"/>
    </row>
    <row r="14" spans="1:13" ht="12.95" customHeight="1">
      <c r="A14" s="16" t="s">
        <v>873</v>
      </c>
      <c r="B14" s="17" t="s">
        <v>874</v>
      </c>
      <c r="C14" s="13" t="s">
        <v>875</v>
      </c>
      <c r="D14" s="13" t="s">
        <v>789</v>
      </c>
      <c r="E14" s="18">
        <v>24570</v>
      </c>
      <c r="F14" s="19">
        <v>4777.7700000000004</v>
      </c>
      <c r="G14" s="20">
        <v>3.2300000000000002E-2</v>
      </c>
      <c r="H14" s="36"/>
      <c r="I14" s="22"/>
      <c r="J14" s="2"/>
    </row>
    <row r="15" spans="1:13" ht="12.95" customHeight="1">
      <c r="A15" s="16" t="s">
        <v>786</v>
      </c>
      <c r="B15" s="17" t="s">
        <v>787</v>
      </c>
      <c r="C15" s="13" t="s">
        <v>788</v>
      </c>
      <c r="D15" s="13" t="s">
        <v>789</v>
      </c>
      <c r="E15" s="18">
        <v>169040</v>
      </c>
      <c r="F15" s="19">
        <v>4567.12</v>
      </c>
      <c r="G15" s="20">
        <v>3.09E-2</v>
      </c>
      <c r="H15" s="36"/>
      <c r="I15" s="22"/>
      <c r="J15" s="2"/>
    </row>
    <row r="16" spans="1:13" ht="12.95" customHeight="1">
      <c r="A16" s="16" t="s">
        <v>876</v>
      </c>
      <c r="B16" s="17" t="s">
        <v>877</v>
      </c>
      <c r="C16" s="13" t="s">
        <v>878</v>
      </c>
      <c r="D16" s="13" t="s">
        <v>763</v>
      </c>
      <c r="E16" s="18">
        <v>36549</v>
      </c>
      <c r="F16" s="19">
        <v>4122.3999999999996</v>
      </c>
      <c r="G16" s="20">
        <v>2.7900000000000001E-2</v>
      </c>
      <c r="H16" s="36"/>
      <c r="I16" s="22"/>
      <c r="J16" s="2"/>
    </row>
    <row r="17" spans="1:10" ht="12.95" customHeight="1">
      <c r="A17" s="16" t="s">
        <v>879</v>
      </c>
      <c r="B17" s="17" t="s">
        <v>880</v>
      </c>
      <c r="C17" s="13" t="s">
        <v>881</v>
      </c>
      <c r="D17" s="13" t="s">
        <v>723</v>
      </c>
      <c r="E17" s="18">
        <v>168068</v>
      </c>
      <c r="F17" s="19">
        <v>4117.92</v>
      </c>
      <c r="G17" s="20">
        <v>2.7799999999999998E-2</v>
      </c>
      <c r="H17" s="36"/>
      <c r="I17" s="22"/>
      <c r="J17" s="2"/>
    </row>
    <row r="18" spans="1:10" ht="12.95" customHeight="1">
      <c r="A18" s="16" t="s">
        <v>779</v>
      </c>
      <c r="B18" s="17" t="s">
        <v>780</v>
      </c>
      <c r="C18" s="13" t="s">
        <v>781</v>
      </c>
      <c r="D18" s="13" t="s">
        <v>782</v>
      </c>
      <c r="E18" s="18">
        <v>987168</v>
      </c>
      <c r="F18" s="19">
        <v>3950.65</v>
      </c>
      <c r="G18" s="20">
        <v>2.6700000000000002E-2</v>
      </c>
      <c r="H18" s="36"/>
      <c r="I18" s="22"/>
      <c r="J18" s="2"/>
    </row>
    <row r="19" spans="1:10" ht="12.95" customHeight="1">
      <c r="A19" s="16" t="s">
        <v>824</v>
      </c>
      <c r="B19" s="17" t="s">
        <v>825</v>
      </c>
      <c r="C19" s="13" t="s">
        <v>826</v>
      </c>
      <c r="D19" s="13" t="s">
        <v>763</v>
      </c>
      <c r="E19" s="18">
        <v>422404</v>
      </c>
      <c r="F19" s="19">
        <v>3927.72</v>
      </c>
      <c r="G19" s="20">
        <v>2.6499999999999999E-2</v>
      </c>
      <c r="H19" s="36"/>
      <c r="I19" s="22"/>
      <c r="J19" s="2"/>
    </row>
    <row r="20" spans="1:10" ht="12.95" customHeight="1">
      <c r="A20" s="16" t="s">
        <v>882</v>
      </c>
      <c r="B20" s="17" t="s">
        <v>883</v>
      </c>
      <c r="C20" s="13" t="s">
        <v>884</v>
      </c>
      <c r="D20" s="13" t="s">
        <v>763</v>
      </c>
      <c r="E20" s="18">
        <v>117787</v>
      </c>
      <c r="F20" s="19">
        <v>3878.84</v>
      </c>
      <c r="G20" s="20">
        <v>2.6200000000000001E-2</v>
      </c>
      <c r="H20" s="36"/>
      <c r="I20" s="22"/>
      <c r="J20" s="2"/>
    </row>
    <row r="21" spans="1:10" ht="12.95" customHeight="1">
      <c r="A21" s="16" t="s">
        <v>743</v>
      </c>
      <c r="B21" s="17" t="s">
        <v>744</v>
      </c>
      <c r="C21" s="13" t="s">
        <v>745</v>
      </c>
      <c r="D21" s="13" t="s">
        <v>723</v>
      </c>
      <c r="E21" s="18">
        <v>131895</v>
      </c>
      <c r="F21" s="19">
        <v>3632.78</v>
      </c>
      <c r="G21" s="20">
        <v>2.4500000000000001E-2</v>
      </c>
      <c r="H21" s="36"/>
      <c r="I21" s="22"/>
      <c r="J21" s="2"/>
    </row>
    <row r="22" spans="1:10" ht="12.95" customHeight="1">
      <c r="A22" s="16" t="s">
        <v>885</v>
      </c>
      <c r="B22" s="17" t="s">
        <v>886</v>
      </c>
      <c r="C22" s="13" t="s">
        <v>887</v>
      </c>
      <c r="D22" s="13" t="s">
        <v>782</v>
      </c>
      <c r="E22" s="18">
        <v>486230</v>
      </c>
      <c r="F22" s="19">
        <v>3004.42</v>
      </c>
      <c r="G22" s="20">
        <v>2.0299999999999999E-2</v>
      </c>
      <c r="H22" s="36"/>
      <c r="I22" s="22"/>
      <c r="J22" s="2"/>
    </row>
    <row r="23" spans="1:10" ht="12.95" customHeight="1">
      <c r="A23" s="16" t="s">
        <v>888</v>
      </c>
      <c r="B23" s="17" t="s">
        <v>889</v>
      </c>
      <c r="C23" s="13" t="s">
        <v>890</v>
      </c>
      <c r="D23" s="13" t="s">
        <v>789</v>
      </c>
      <c r="E23" s="18">
        <v>90727</v>
      </c>
      <c r="F23" s="19">
        <v>2943.77</v>
      </c>
      <c r="G23" s="20">
        <v>1.9900000000000001E-2</v>
      </c>
      <c r="H23" s="36"/>
      <c r="I23" s="22"/>
      <c r="J23" s="2"/>
    </row>
    <row r="24" spans="1:10" ht="12.95" customHeight="1">
      <c r="A24" s="16" t="s">
        <v>891</v>
      </c>
      <c r="B24" s="17" t="s">
        <v>892</v>
      </c>
      <c r="C24" s="13" t="s">
        <v>893</v>
      </c>
      <c r="D24" s="13" t="s">
        <v>782</v>
      </c>
      <c r="E24" s="18">
        <v>37173</v>
      </c>
      <c r="F24" s="19">
        <v>2749.35</v>
      </c>
      <c r="G24" s="20">
        <v>1.8599999999999998E-2</v>
      </c>
      <c r="H24" s="36"/>
      <c r="I24" s="22"/>
      <c r="J24" s="2"/>
    </row>
    <row r="25" spans="1:10" ht="12.95" customHeight="1">
      <c r="A25" s="16" t="s">
        <v>894</v>
      </c>
      <c r="B25" s="17" t="s">
        <v>895</v>
      </c>
      <c r="C25" s="13" t="s">
        <v>896</v>
      </c>
      <c r="D25" s="13" t="s">
        <v>731</v>
      </c>
      <c r="E25" s="18">
        <v>47606</v>
      </c>
      <c r="F25" s="19">
        <v>2495.17</v>
      </c>
      <c r="G25" s="20">
        <v>1.6899999999999998E-2</v>
      </c>
      <c r="H25" s="36"/>
      <c r="I25" s="22"/>
      <c r="J25" s="2"/>
    </row>
    <row r="26" spans="1:10" ht="12.95" customHeight="1">
      <c r="A26" s="16" t="s">
        <v>689</v>
      </c>
      <c r="B26" s="17" t="s">
        <v>690</v>
      </c>
      <c r="C26" s="13" t="s">
        <v>691</v>
      </c>
      <c r="D26" s="13" t="s">
        <v>685</v>
      </c>
      <c r="E26" s="18">
        <v>540192</v>
      </c>
      <c r="F26" s="19">
        <v>2447.0700000000002</v>
      </c>
      <c r="G26" s="20">
        <v>1.6500000000000001E-2</v>
      </c>
      <c r="H26" s="36"/>
      <c r="I26" s="22"/>
      <c r="J26" s="2"/>
    </row>
    <row r="27" spans="1:10" ht="12.95" customHeight="1">
      <c r="A27" s="16" t="s">
        <v>775</v>
      </c>
      <c r="B27" s="17" t="s">
        <v>776</v>
      </c>
      <c r="C27" s="13" t="s">
        <v>777</v>
      </c>
      <c r="D27" s="13" t="s">
        <v>778</v>
      </c>
      <c r="E27" s="18">
        <v>32783</v>
      </c>
      <c r="F27" s="19">
        <v>2405.63</v>
      </c>
      <c r="G27" s="20">
        <v>1.6299999999999999E-2</v>
      </c>
      <c r="H27" s="36"/>
      <c r="I27" s="22"/>
      <c r="J27" s="2"/>
    </row>
    <row r="28" spans="1:10" ht="12.95" customHeight="1">
      <c r="A28" s="16" t="s">
        <v>897</v>
      </c>
      <c r="B28" s="17" t="s">
        <v>898</v>
      </c>
      <c r="C28" s="13" t="s">
        <v>899</v>
      </c>
      <c r="D28" s="13" t="s">
        <v>900</v>
      </c>
      <c r="E28" s="18">
        <v>12300</v>
      </c>
      <c r="F28" s="19">
        <v>2187.77</v>
      </c>
      <c r="G28" s="20">
        <v>1.4800000000000001E-2</v>
      </c>
      <c r="H28" s="36"/>
      <c r="I28" s="22"/>
      <c r="J28" s="2"/>
    </row>
    <row r="29" spans="1:10" ht="12.95" customHeight="1">
      <c r="A29" s="16" t="s">
        <v>901</v>
      </c>
      <c r="B29" s="17" t="s">
        <v>902</v>
      </c>
      <c r="C29" s="13" t="s">
        <v>903</v>
      </c>
      <c r="D29" s="13" t="s">
        <v>767</v>
      </c>
      <c r="E29" s="18">
        <v>100000</v>
      </c>
      <c r="F29" s="19">
        <v>2161.85</v>
      </c>
      <c r="G29" s="20">
        <v>1.46E-2</v>
      </c>
      <c r="H29" s="36"/>
      <c r="I29" s="22"/>
      <c r="J29" s="2"/>
    </row>
    <row r="30" spans="1:10" ht="12.95" customHeight="1">
      <c r="A30" s="16" t="s">
        <v>904</v>
      </c>
      <c r="B30" s="17" t="s">
        <v>905</v>
      </c>
      <c r="C30" s="13" t="s">
        <v>906</v>
      </c>
      <c r="D30" s="13" t="s">
        <v>731</v>
      </c>
      <c r="E30" s="18">
        <v>69020</v>
      </c>
      <c r="F30" s="19">
        <v>2142.66</v>
      </c>
      <c r="G30" s="20">
        <v>1.4500000000000001E-2</v>
      </c>
      <c r="H30" s="36"/>
      <c r="I30" s="22"/>
      <c r="J30" s="2"/>
    </row>
    <row r="31" spans="1:10" ht="12.95" customHeight="1">
      <c r="A31" s="16" t="s">
        <v>692</v>
      </c>
      <c r="B31" s="17" t="s">
        <v>693</v>
      </c>
      <c r="C31" s="13" t="s">
        <v>694</v>
      </c>
      <c r="D31" s="13" t="s">
        <v>685</v>
      </c>
      <c r="E31" s="18">
        <v>96973</v>
      </c>
      <c r="F31" s="19">
        <v>1944.79</v>
      </c>
      <c r="G31" s="20">
        <v>1.3100000000000001E-2</v>
      </c>
      <c r="H31" s="36"/>
      <c r="I31" s="22"/>
      <c r="J31" s="2"/>
    </row>
    <row r="32" spans="1:10" ht="12.95" customHeight="1">
      <c r="A32" s="16" t="s">
        <v>907</v>
      </c>
      <c r="B32" s="17" t="s">
        <v>908</v>
      </c>
      <c r="C32" s="13" t="s">
        <v>909</v>
      </c>
      <c r="D32" s="13" t="s">
        <v>910</v>
      </c>
      <c r="E32" s="18">
        <v>145440</v>
      </c>
      <c r="F32" s="19">
        <v>1776.26</v>
      </c>
      <c r="G32" s="20">
        <v>1.2E-2</v>
      </c>
      <c r="H32" s="36"/>
      <c r="I32" s="22"/>
      <c r="J32" s="2"/>
    </row>
    <row r="33" spans="1:10" ht="12.95" customHeight="1">
      <c r="A33" s="16" t="s">
        <v>911</v>
      </c>
      <c r="B33" s="17" t="s">
        <v>912</v>
      </c>
      <c r="C33" s="13" t="s">
        <v>913</v>
      </c>
      <c r="D33" s="13" t="s">
        <v>789</v>
      </c>
      <c r="E33" s="18">
        <v>167550</v>
      </c>
      <c r="F33" s="19">
        <v>1725.6</v>
      </c>
      <c r="G33" s="20">
        <v>1.17E-2</v>
      </c>
      <c r="H33" s="36"/>
      <c r="I33" s="22"/>
      <c r="J33" s="2"/>
    </row>
    <row r="34" spans="1:10" ht="12.95" customHeight="1">
      <c r="A34" s="16" t="s">
        <v>914</v>
      </c>
      <c r="B34" s="17" t="s">
        <v>915</v>
      </c>
      <c r="C34" s="13" t="s">
        <v>916</v>
      </c>
      <c r="D34" s="13" t="s">
        <v>731</v>
      </c>
      <c r="E34" s="18">
        <v>40500</v>
      </c>
      <c r="F34" s="19">
        <v>1701.04</v>
      </c>
      <c r="G34" s="20">
        <v>1.15E-2</v>
      </c>
      <c r="H34" s="36"/>
      <c r="I34" s="22"/>
      <c r="J34" s="2"/>
    </row>
    <row r="35" spans="1:10" ht="12.95" customHeight="1">
      <c r="A35" s="16" t="s">
        <v>917</v>
      </c>
      <c r="B35" s="17" t="s">
        <v>918</v>
      </c>
      <c r="C35" s="13" t="s">
        <v>919</v>
      </c>
      <c r="D35" s="13" t="s">
        <v>731</v>
      </c>
      <c r="E35" s="18">
        <v>45714</v>
      </c>
      <c r="F35" s="19">
        <v>1698.87</v>
      </c>
      <c r="G35" s="20">
        <v>1.15E-2</v>
      </c>
      <c r="H35" s="36"/>
      <c r="I35" s="22"/>
      <c r="J35" s="2"/>
    </row>
    <row r="36" spans="1:10" ht="12.95" customHeight="1">
      <c r="A36" s="16" t="s">
        <v>920</v>
      </c>
      <c r="B36" s="17" t="s">
        <v>921</v>
      </c>
      <c r="C36" s="13" t="s">
        <v>922</v>
      </c>
      <c r="D36" s="13" t="s">
        <v>923</v>
      </c>
      <c r="E36" s="18">
        <v>258458</v>
      </c>
      <c r="F36" s="19">
        <v>1686.7</v>
      </c>
      <c r="G36" s="20">
        <v>1.14E-2</v>
      </c>
      <c r="H36" s="36"/>
      <c r="I36" s="22"/>
      <c r="J36" s="2"/>
    </row>
    <row r="37" spans="1:10" ht="12.95" customHeight="1">
      <c r="A37" s="16" t="s">
        <v>736</v>
      </c>
      <c r="B37" s="17" t="s">
        <v>737</v>
      </c>
      <c r="C37" s="13" t="s">
        <v>738</v>
      </c>
      <c r="D37" s="13" t="s">
        <v>739</v>
      </c>
      <c r="E37" s="18">
        <v>36750</v>
      </c>
      <c r="F37" s="19">
        <v>1561.95</v>
      </c>
      <c r="G37" s="20">
        <v>1.06E-2</v>
      </c>
      <c r="H37" s="36"/>
      <c r="I37" s="22"/>
      <c r="J37" s="2"/>
    </row>
    <row r="38" spans="1:10" ht="12.95" customHeight="1">
      <c r="A38" s="16" t="s">
        <v>924</v>
      </c>
      <c r="B38" s="17" t="s">
        <v>925</v>
      </c>
      <c r="C38" s="13" t="s">
        <v>926</v>
      </c>
      <c r="D38" s="13" t="s">
        <v>771</v>
      </c>
      <c r="E38" s="18">
        <v>278327</v>
      </c>
      <c r="F38" s="19">
        <v>1547.08</v>
      </c>
      <c r="G38" s="20">
        <v>1.0500000000000001E-2</v>
      </c>
      <c r="H38" s="36"/>
      <c r="I38" s="22"/>
      <c r="J38" s="2"/>
    </row>
    <row r="39" spans="1:10" ht="12.95" customHeight="1">
      <c r="A39" s="16" t="s">
        <v>772</v>
      </c>
      <c r="B39" s="17" t="s">
        <v>773</v>
      </c>
      <c r="C39" s="13" t="s">
        <v>774</v>
      </c>
      <c r="D39" s="13" t="s">
        <v>731</v>
      </c>
      <c r="E39" s="18">
        <v>106401</v>
      </c>
      <c r="F39" s="19">
        <v>1468.97</v>
      </c>
      <c r="G39" s="20">
        <v>9.9000000000000008E-3</v>
      </c>
      <c r="H39" s="36"/>
      <c r="I39" s="22"/>
      <c r="J39" s="2"/>
    </row>
    <row r="40" spans="1:10" ht="12.95" customHeight="1">
      <c r="A40" s="16" t="s">
        <v>746</v>
      </c>
      <c r="B40" s="17" t="s">
        <v>747</v>
      </c>
      <c r="C40" s="13" t="s">
        <v>748</v>
      </c>
      <c r="D40" s="13" t="s">
        <v>749</v>
      </c>
      <c r="E40" s="18">
        <v>30000</v>
      </c>
      <c r="F40" s="19">
        <v>1439.61</v>
      </c>
      <c r="G40" s="20">
        <v>9.7000000000000003E-3</v>
      </c>
      <c r="H40" s="36"/>
      <c r="I40" s="22"/>
      <c r="J40" s="2"/>
    </row>
    <row r="41" spans="1:10" ht="12.95" customHeight="1">
      <c r="A41" s="16" t="s">
        <v>857</v>
      </c>
      <c r="B41" s="17" t="s">
        <v>858</v>
      </c>
      <c r="C41" s="13" t="s">
        <v>859</v>
      </c>
      <c r="D41" s="13" t="s">
        <v>763</v>
      </c>
      <c r="E41" s="18">
        <v>221805</v>
      </c>
      <c r="F41" s="19">
        <v>1358.44</v>
      </c>
      <c r="G41" s="20">
        <v>9.1999999999999998E-3</v>
      </c>
      <c r="H41" s="36"/>
      <c r="I41" s="22"/>
      <c r="J41" s="2"/>
    </row>
    <row r="42" spans="1:10" ht="12.95" customHeight="1">
      <c r="A42" s="16" t="s">
        <v>927</v>
      </c>
      <c r="B42" s="17" t="s">
        <v>928</v>
      </c>
      <c r="C42" s="13" t="s">
        <v>929</v>
      </c>
      <c r="D42" s="13" t="s">
        <v>685</v>
      </c>
      <c r="E42" s="18">
        <v>843231</v>
      </c>
      <c r="F42" s="19">
        <v>1329.35</v>
      </c>
      <c r="G42" s="20">
        <v>8.9999999999999993E-3</v>
      </c>
      <c r="H42" s="36"/>
      <c r="I42" s="22"/>
      <c r="J42" s="2"/>
    </row>
    <row r="43" spans="1:10" ht="12.95" customHeight="1">
      <c r="A43" s="16" t="s">
        <v>799</v>
      </c>
      <c r="B43" s="17" t="s">
        <v>800</v>
      </c>
      <c r="C43" s="13" t="s">
        <v>801</v>
      </c>
      <c r="D43" s="13" t="s">
        <v>749</v>
      </c>
      <c r="E43" s="18">
        <v>153541</v>
      </c>
      <c r="F43" s="19">
        <v>1256.3499999999999</v>
      </c>
      <c r="G43" s="20">
        <v>8.5000000000000006E-3</v>
      </c>
      <c r="H43" s="36"/>
      <c r="I43" s="22"/>
      <c r="J43" s="2"/>
    </row>
    <row r="44" spans="1:10" ht="12.95" customHeight="1">
      <c r="A44" s="16" t="s">
        <v>930</v>
      </c>
      <c r="B44" s="17" t="s">
        <v>931</v>
      </c>
      <c r="C44" s="13" t="s">
        <v>932</v>
      </c>
      <c r="D44" s="13" t="s">
        <v>723</v>
      </c>
      <c r="E44" s="18">
        <v>211398</v>
      </c>
      <c r="F44" s="19">
        <v>1192.81</v>
      </c>
      <c r="G44" s="20">
        <v>8.0999999999999996E-3</v>
      </c>
      <c r="H44" s="36"/>
      <c r="I44" s="22"/>
      <c r="J44" s="2"/>
    </row>
    <row r="45" spans="1:10" ht="12.95" customHeight="1">
      <c r="A45" s="16" t="s">
        <v>811</v>
      </c>
      <c r="B45" s="17" t="s">
        <v>812</v>
      </c>
      <c r="C45" s="13" t="s">
        <v>813</v>
      </c>
      <c r="D45" s="13" t="s">
        <v>814</v>
      </c>
      <c r="E45" s="18">
        <v>158880</v>
      </c>
      <c r="F45" s="19">
        <v>1118.99</v>
      </c>
      <c r="G45" s="20">
        <v>7.6E-3</v>
      </c>
      <c r="H45" s="36"/>
      <c r="I45" s="22"/>
      <c r="J45" s="2"/>
    </row>
    <row r="46" spans="1:10" ht="12.95" customHeight="1">
      <c r="A46" s="16" t="s">
        <v>933</v>
      </c>
      <c r="B46" s="17" t="s">
        <v>934</v>
      </c>
      <c r="C46" s="13" t="s">
        <v>935</v>
      </c>
      <c r="D46" s="13" t="s">
        <v>789</v>
      </c>
      <c r="E46" s="18">
        <v>223401</v>
      </c>
      <c r="F46" s="19">
        <v>859.09</v>
      </c>
      <c r="G46" s="20">
        <v>5.7999999999999996E-3</v>
      </c>
      <c r="H46" s="36"/>
      <c r="I46" s="22"/>
      <c r="J46" s="2"/>
    </row>
    <row r="47" spans="1:10" ht="12.95" customHeight="1">
      <c r="A47" s="16" t="s">
        <v>936</v>
      </c>
      <c r="B47" s="17" t="s">
        <v>937</v>
      </c>
      <c r="C47" s="13" t="s">
        <v>938</v>
      </c>
      <c r="D47" s="13" t="s">
        <v>727</v>
      </c>
      <c r="E47" s="18">
        <v>353488</v>
      </c>
      <c r="F47" s="19">
        <v>834.76</v>
      </c>
      <c r="G47" s="20">
        <v>5.5999999999999999E-3</v>
      </c>
      <c r="H47" s="36"/>
      <c r="I47" s="22"/>
      <c r="J47" s="2"/>
    </row>
    <row r="48" spans="1:10" ht="12.95" customHeight="1">
      <c r="A48" s="16" t="s">
        <v>796</v>
      </c>
      <c r="B48" s="17" t="s">
        <v>797</v>
      </c>
      <c r="C48" s="13" t="s">
        <v>798</v>
      </c>
      <c r="D48" s="13" t="s">
        <v>771</v>
      </c>
      <c r="E48" s="18">
        <v>362713</v>
      </c>
      <c r="F48" s="19">
        <v>819.55</v>
      </c>
      <c r="G48" s="20">
        <v>5.4999999999999997E-3</v>
      </c>
      <c r="H48" s="36"/>
      <c r="I48" s="22"/>
      <c r="J48" s="2"/>
    </row>
    <row r="49" spans="1:10" ht="12.95" customHeight="1">
      <c r="A49" s="16" t="s">
        <v>939</v>
      </c>
      <c r="B49" s="17" t="s">
        <v>940</v>
      </c>
      <c r="C49" s="13" t="s">
        <v>941</v>
      </c>
      <c r="D49" s="13" t="s">
        <v>782</v>
      </c>
      <c r="E49" s="18">
        <v>2590</v>
      </c>
      <c r="F49" s="19">
        <v>748.55</v>
      </c>
      <c r="G49" s="20">
        <v>5.1000000000000004E-3</v>
      </c>
      <c r="H49" s="36"/>
      <c r="I49" s="22"/>
      <c r="J49" s="2"/>
    </row>
    <row r="50" spans="1:10" ht="12.95" customHeight="1">
      <c r="A50" s="16" t="s">
        <v>942</v>
      </c>
      <c r="B50" s="17" t="s">
        <v>943</v>
      </c>
      <c r="C50" s="13" t="s">
        <v>944</v>
      </c>
      <c r="D50" s="13" t="s">
        <v>945</v>
      </c>
      <c r="E50" s="18">
        <v>42082</v>
      </c>
      <c r="F50" s="19">
        <v>716.64</v>
      </c>
      <c r="G50" s="20">
        <v>4.7999999999999996E-3</v>
      </c>
      <c r="H50" s="36"/>
      <c r="I50" s="22"/>
      <c r="J50" s="2"/>
    </row>
    <row r="51" spans="1:10" ht="12.95" customHeight="1">
      <c r="A51" s="16" t="s">
        <v>946</v>
      </c>
      <c r="B51" s="17" t="s">
        <v>947</v>
      </c>
      <c r="C51" s="13" t="s">
        <v>948</v>
      </c>
      <c r="D51" s="13" t="s">
        <v>949</v>
      </c>
      <c r="E51" s="18">
        <v>48809</v>
      </c>
      <c r="F51" s="19">
        <v>629.1</v>
      </c>
      <c r="G51" s="20">
        <v>4.3E-3</v>
      </c>
      <c r="H51" s="36"/>
      <c r="I51" s="22"/>
      <c r="J51" s="2"/>
    </row>
    <row r="52" spans="1:10" ht="12.95" customHeight="1">
      <c r="A52" s="16" t="s">
        <v>840</v>
      </c>
      <c r="B52" s="17" t="s">
        <v>3924</v>
      </c>
      <c r="C52" s="13" t="s">
        <v>841</v>
      </c>
      <c r="D52" s="13" t="s">
        <v>735</v>
      </c>
      <c r="E52" s="18">
        <v>21400</v>
      </c>
      <c r="F52" s="19">
        <v>400.43</v>
      </c>
      <c r="G52" s="20">
        <v>2.7000000000000001E-3</v>
      </c>
      <c r="H52" s="36"/>
      <c r="I52" s="22"/>
      <c r="J52" s="2"/>
    </row>
    <row r="53" spans="1:10" ht="12.95" customHeight="1">
      <c r="A53" s="16" t="s">
        <v>950</v>
      </c>
      <c r="B53" s="17" t="s">
        <v>951</v>
      </c>
      <c r="C53" s="13" t="s">
        <v>952</v>
      </c>
      <c r="D53" s="13" t="s">
        <v>910</v>
      </c>
      <c r="E53" s="18">
        <v>64880</v>
      </c>
      <c r="F53" s="19">
        <v>369.78</v>
      </c>
      <c r="G53" s="20">
        <v>2.5000000000000001E-3</v>
      </c>
      <c r="H53" s="36"/>
      <c r="I53" s="22"/>
      <c r="J53" s="2"/>
    </row>
    <row r="54" spans="1:10" ht="12.95" customHeight="1">
      <c r="A54" s="2"/>
      <c r="B54" s="12" t="s">
        <v>172</v>
      </c>
      <c r="C54" s="13"/>
      <c r="D54" s="13"/>
      <c r="E54" s="13"/>
      <c r="F54" s="23">
        <v>141692.60999999999</v>
      </c>
      <c r="G54" s="24">
        <v>0.9577</v>
      </c>
      <c r="H54" s="25"/>
      <c r="I54" s="26"/>
      <c r="J54" s="2"/>
    </row>
    <row r="55" spans="1:10" ht="12.95" customHeight="1">
      <c r="A55" s="2"/>
      <c r="B55" s="27" t="s">
        <v>719</v>
      </c>
      <c r="C55" s="1"/>
      <c r="D55" s="1"/>
      <c r="E55" s="1"/>
      <c r="F55" s="25" t="s">
        <v>204</v>
      </c>
      <c r="G55" s="25" t="s">
        <v>204</v>
      </c>
      <c r="H55" s="25"/>
      <c r="I55" s="26"/>
      <c r="J55" s="2"/>
    </row>
    <row r="56" spans="1:10" ht="12.95" customHeight="1">
      <c r="A56" s="2"/>
      <c r="B56" s="27" t="s">
        <v>172</v>
      </c>
      <c r="C56" s="1"/>
      <c r="D56" s="1"/>
      <c r="E56" s="1"/>
      <c r="F56" s="25" t="s">
        <v>204</v>
      </c>
      <c r="G56" s="25" t="s">
        <v>204</v>
      </c>
      <c r="H56" s="25"/>
      <c r="I56" s="26"/>
      <c r="J56" s="2"/>
    </row>
    <row r="57" spans="1:10" ht="12.95" customHeight="1">
      <c r="A57" s="2"/>
      <c r="B57" s="27" t="s">
        <v>177</v>
      </c>
      <c r="C57" s="28"/>
      <c r="D57" s="1"/>
      <c r="E57" s="28"/>
      <c r="F57" s="23">
        <v>141692.60999999999</v>
      </c>
      <c r="G57" s="24">
        <v>0.9577</v>
      </c>
      <c r="H57" s="25"/>
      <c r="I57" s="26"/>
      <c r="J57" s="2"/>
    </row>
    <row r="58" spans="1:10" ht="12.95" customHeight="1">
      <c r="A58" s="2"/>
      <c r="B58" s="12" t="s">
        <v>127</v>
      </c>
      <c r="C58" s="13"/>
      <c r="D58" s="13"/>
      <c r="E58" s="13"/>
      <c r="F58" s="13"/>
      <c r="G58" s="13"/>
      <c r="H58" s="14"/>
      <c r="I58" s="15"/>
      <c r="J58" s="2"/>
    </row>
    <row r="59" spans="1:10" ht="12.95" customHeight="1">
      <c r="A59" s="2"/>
      <c r="B59" s="12" t="s">
        <v>128</v>
      </c>
      <c r="C59" s="13"/>
      <c r="D59" s="13"/>
      <c r="E59" s="13"/>
      <c r="F59" s="2"/>
      <c r="G59" s="14"/>
      <c r="H59" s="14"/>
      <c r="I59" s="15"/>
      <c r="J59" s="2"/>
    </row>
    <row r="60" spans="1:10" ht="12.95" customHeight="1">
      <c r="A60" s="16" t="s">
        <v>574</v>
      </c>
      <c r="B60" s="17" t="s">
        <v>575</v>
      </c>
      <c r="C60" s="13" t="s">
        <v>576</v>
      </c>
      <c r="D60" s="13" t="s">
        <v>132</v>
      </c>
      <c r="E60" s="18">
        <v>140</v>
      </c>
      <c r="F60" s="19">
        <v>1441.41</v>
      </c>
      <c r="G60" s="20">
        <v>9.7000000000000003E-3</v>
      </c>
      <c r="H60" s="21">
        <v>4.7750000000000001E-2</v>
      </c>
      <c r="I60" s="22"/>
      <c r="J60" s="2"/>
    </row>
    <row r="61" spans="1:10" ht="12.95" customHeight="1">
      <c r="A61" s="2"/>
      <c r="B61" s="12" t="s">
        <v>172</v>
      </c>
      <c r="C61" s="13"/>
      <c r="D61" s="13"/>
      <c r="E61" s="13"/>
      <c r="F61" s="23">
        <v>1441.41</v>
      </c>
      <c r="G61" s="24">
        <v>9.7000000000000003E-3</v>
      </c>
      <c r="H61" s="25"/>
      <c r="I61" s="26"/>
      <c r="J61" s="2"/>
    </row>
    <row r="62" spans="1:10" ht="12.95" customHeight="1">
      <c r="A62" s="2"/>
      <c r="B62" s="27" t="s">
        <v>173</v>
      </c>
      <c r="C62" s="1"/>
      <c r="D62" s="1"/>
      <c r="E62" s="1"/>
      <c r="F62" s="25" t="s">
        <v>204</v>
      </c>
      <c r="G62" s="25" t="s">
        <v>204</v>
      </c>
      <c r="H62" s="25"/>
      <c r="I62" s="26"/>
      <c r="J62" s="2"/>
    </row>
    <row r="63" spans="1:10" ht="12.95" customHeight="1">
      <c r="A63" s="2"/>
      <c r="B63" s="27" t="s">
        <v>172</v>
      </c>
      <c r="C63" s="1"/>
      <c r="D63" s="1"/>
      <c r="E63" s="1"/>
      <c r="F63" s="25" t="s">
        <v>204</v>
      </c>
      <c r="G63" s="25" t="s">
        <v>204</v>
      </c>
      <c r="H63" s="25"/>
      <c r="I63" s="26"/>
      <c r="J63" s="2"/>
    </row>
    <row r="64" spans="1:10" ht="12.95" customHeight="1">
      <c r="A64" s="2"/>
      <c r="B64" s="27" t="s">
        <v>177</v>
      </c>
      <c r="C64" s="28"/>
      <c r="D64" s="1"/>
      <c r="E64" s="28"/>
      <c r="F64" s="23">
        <v>1441.41</v>
      </c>
      <c r="G64" s="24">
        <v>9.7000000000000003E-3</v>
      </c>
      <c r="H64" s="25"/>
      <c r="I64" s="26"/>
      <c r="J64" s="2"/>
    </row>
    <row r="65" spans="1:10" ht="12.95" customHeight="1">
      <c r="A65" s="2"/>
      <c r="B65" s="12" t="s">
        <v>178</v>
      </c>
      <c r="C65" s="13"/>
      <c r="D65" s="13"/>
      <c r="E65" s="13"/>
      <c r="F65" s="13"/>
      <c r="G65" s="13"/>
      <c r="H65" s="14"/>
      <c r="I65" s="15"/>
      <c r="J65" s="2"/>
    </row>
    <row r="66" spans="1:10" ht="12.95" customHeight="1">
      <c r="A66" s="16" t="s">
        <v>179</v>
      </c>
      <c r="B66" s="17" t="s">
        <v>180</v>
      </c>
      <c r="C66" s="13"/>
      <c r="D66" s="13"/>
      <c r="E66" s="18"/>
      <c r="F66" s="19">
        <v>4667.42</v>
      </c>
      <c r="G66" s="20">
        <v>3.15E-2</v>
      </c>
      <c r="H66" s="21">
        <v>3.3046478252442196E-2</v>
      </c>
      <c r="I66" s="22"/>
      <c r="J66" s="2"/>
    </row>
    <row r="67" spans="1:10" ht="12.95" customHeight="1">
      <c r="A67" s="2"/>
      <c r="B67" s="12" t="s">
        <v>172</v>
      </c>
      <c r="C67" s="13"/>
      <c r="D67" s="13"/>
      <c r="E67" s="13"/>
      <c r="F67" s="23">
        <v>4667.42</v>
      </c>
      <c r="G67" s="24">
        <v>3.15E-2</v>
      </c>
      <c r="H67" s="25"/>
      <c r="I67" s="26"/>
      <c r="J67" s="2"/>
    </row>
    <row r="68" spans="1:10" ht="12.95" customHeight="1">
      <c r="A68" s="2"/>
      <c r="B68" s="27" t="s">
        <v>173</v>
      </c>
      <c r="C68" s="1"/>
      <c r="D68" s="1"/>
      <c r="E68" s="1"/>
      <c r="F68" s="25" t="s">
        <v>204</v>
      </c>
      <c r="G68" s="25" t="s">
        <v>204</v>
      </c>
      <c r="H68" s="25"/>
      <c r="I68" s="26"/>
      <c r="J68" s="2"/>
    </row>
    <row r="69" spans="1:10" ht="12.95" customHeight="1">
      <c r="A69" s="2"/>
      <c r="B69" s="27" t="s">
        <v>172</v>
      </c>
      <c r="C69" s="1"/>
      <c r="D69" s="1"/>
      <c r="E69" s="1"/>
      <c r="F69" s="25" t="s">
        <v>204</v>
      </c>
      <c r="G69" s="25" t="s">
        <v>204</v>
      </c>
      <c r="H69" s="25"/>
      <c r="I69" s="26"/>
      <c r="J69" s="2"/>
    </row>
    <row r="70" spans="1:10" ht="12.95" customHeight="1">
      <c r="A70" s="2"/>
      <c r="B70" s="27" t="s">
        <v>177</v>
      </c>
      <c r="C70" s="28"/>
      <c r="D70" s="1"/>
      <c r="E70" s="28"/>
      <c r="F70" s="23">
        <v>4667.42</v>
      </c>
      <c r="G70" s="24">
        <v>3.15E-2</v>
      </c>
      <c r="H70" s="25"/>
      <c r="I70" s="26"/>
      <c r="J70" s="2"/>
    </row>
    <row r="71" spans="1:10" ht="12.95" customHeight="1">
      <c r="A71" s="2"/>
      <c r="B71" s="27" t="s">
        <v>181</v>
      </c>
      <c r="C71" s="13"/>
      <c r="D71" s="1"/>
      <c r="E71" s="13"/>
      <c r="F71" s="29">
        <v>198.78</v>
      </c>
      <c r="G71" s="24">
        <v>1.1000000000000001E-3</v>
      </c>
      <c r="H71" s="25"/>
      <c r="I71" s="26"/>
      <c r="J71" s="2"/>
    </row>
    <row r="72" spans="1:10" ht="12.95" customHeight="1">
      <c r="A72" s="2"/>
      <c r="B72" s="30" t="s">
        <v>182</v>
      </c>
      <c r="C72" s="31"/>
      <c r="D72" s="31"/>
      <c r="E72" s="31"/>
      <c r="F72" s="32">
        <v>148000.22</v>
      </c>
      <c r="G72" s="33">
        <v>1</v>
      </c>
      <c r="H72" s="34"/>
      <c r="I72" s="35"/>
      <c r="J72" s="2"/>
    </row>
    <row r="73" spans="1:10" ht="12.95" customHeight="1">
      <c r="A73" s="2"/>
      <c r="B73" s="5"/>
      <c r="C73" s="2"/>
      <c r="D73" s="2"/>
      <c r="E73" s="2"/>
      <c r="F73" s="2"/>
      <c r="G73" s="2"/>
      <c r="H73" s="2"/>
      <c r="I73" s="2"/>
      <c r="J73" s="2"/>
    </row>
    <row r="74" spans="1:10" ht="12.95" customHeight="1">
      <c r="A74" s="2"/>
      <c r="B74" s="3" t="s">
        <v>244</v>
      </c>
      <c r="C74" s="2"/>
      <c r="D74" s="2"/>
      <c r="E74" s="2"/>
      <c r="F74" s="2"/>
      <c r="G74" s="2"/>
      <c r="H74" s="2"/>
      <c r="I74" s="2"/>
      <c r="J74" s="2"/>
    </row>
    <row r="75" spans="1:10" ht="12.95" customHeight="1">
      <c r="A75" s="2"/>
      <c r="B75" s="3" t="s">
        <v>184</v>
      </c>
      <c r="C75" s="2"/>
      <c r="D75" s="2"/>
      <c r="E75" s="2"/>
      <c r="F75" s="2"/>
      <c r="G75" s="2"/>
      <c r="H75" s="2"/>
      <c r="I75" s="2"/>
      <c r="J75" s="2"/>
    </row>
    <row r="76" spans="1:10" ht="12.95" customHeight="1">
      <c r="A76" s="2"/>
      <c r="B76" s="3" t="s">
        <v>186</v>
      </c>
      <c r="C76" s="2"/>
      <c r="D76" s="2"/>
      <c r="E76" s="2"/>
      <c r="F76" s="2"/>
      <c r="G76" s="2"/>
      <c r="H76" s="2"/>
      <c r="I76" s="2"/>
      <c r="J76" s="2"/>
    </row>
    <row r="77" spans="1:10" ht="26.25" customHeight="1">
      <c r="A77" s="2"/>
      <c r="B77" s="189" t="s">
        <v>4025</v>
      </c>
      <c r="C77" s="189"/>
      <c r="D77" s="189"/>
      <c r="E77" s="189"/>
      <c r="F77" s="189"/>
      <c r="G77" s="189"/>
      <c r="H77" s="189"/>
      <c r="I77" s="189"/>
      <c r="J77" s="2"/>
    </row>
    <row r="78" spans="1:10" ht="12.95" customHeight="1">
      <c r="A78" s="2"/>
      <c r="B78" s="3"/>
      <c r="C78" s="2"/>
      <c r="D78" s="2"/>
      <c r="E78" s="2"/>
      <c r="F78" s="2"/>
      <c r="G78" s="2"/>
      <c r="H78" s="2"/>
      <c r="I78" s="2"/>
      <c r="J78" s="2"/>
    </row>
    <row r="79" spans="1:10">
      <c r="C79" s="111" t="s">
        <v>3939</v>
      </c>
    </row>
    <row r="80" spans="1:10">
      <c r="B80" s="111" t="s">
        <v>3933</v>
      </c>
      <c r="C80" s="111" t="s">
        <v>3934</v>
      </c>
    </row>
  </sheetData>
  <mergeCells count="2">
    <mergeCell ref="B2:I2"/>
    <mergeCell ref="B77:I77"/>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3"/>
  <sheetViews>
    <sheetView workbookViewId="0"/>
  </sheetViews>
  <sheetFormatPr defaultRowHeight="15"/>
  <cols>
    <col min="1" max="1" width="3.28515625" customWidth="1"/>
    <col min="2" max="2" width="69.140625" customWidth="1"/>
    <col min="3" max="3" width="20.570312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AXISCETF</v>
      </c>
    </row>
    <row r="2" spans="1:13" ht="34.5" customHeight="1" thickBot="1">
      <c r="A2" s="135" t="str">
        <f>M2</f>
        <v>AXISCETF</v>
      </c>
      <c r="B2" s="186" t="s">
        <v>24</v>
      </c>
      <c r="C2" s="187"/>
      <c r="D2" s="187"/>
      <c r="E2" s="187"/>
      <c r="F2" s="187"/>
      <c r="G2" s="187"/>
      <c r="H2" s="187"/>
      <c r="I2" s="188"/>
      <c r="J2" s="2"/>
      <c r="M2" s="108" t="s">
        <v>23</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786</v>
      </c>
      <c r="B8" s="17" t="s">
        <v>787</v>
      </c>
      <c r="C8" s="13" t="s">
        <v>788</v>
      </c>
      <c r="D8" s="13" t="s">
        <v>789</v>
      </c>
      <c r="E8" s="18">
        <v>7840</v>
      </c>
      <c r="F8" s="19">
        <v>211.82</v>
      </c>
      <c r="G8" s="20">
        <v>0.1016</v>
      </c>
      <c r="H8" s="36"/>
      <c r="I8" s="22"/>
      <c r="J8" s="2"/>
    </row>
    <row r="9" spans="1:13" ht="12.95" customHeight="1">
      <c r="A9" s="16" t="s">
        <v>953</v>
      </c>
      <c r="B9" s="17" t="s">
        <v>954</v>
      </c>
      <c r="C9" s="13" t="s">
        <v>955</v>
      </c>
      <c r="D9" s="13" t="s">
        <v>789</v>
      </c>
      <c r="E9" s="18">
        <v>88960</v>
      </c>
      <c r="F9" s="19">
        <v>210.08</v>
      </c>
      <c r="G9" s="20">
        <v>0.1007</v>
      </c>
      <c r="H9" s="36"/>
      <c r="I9" s="22"/>
      <c r="J9" s="2"/>
    </row>
    <row r="10" spans="1:13" ht="12.95" customHeight="1">
      <c r="A10" s="16" t="s">
        <v>956</v>
      </c>
      <c r="B10" s="17" t="s">
        <v>957</v>
      </c>
      <c r="C10" s="13" t="s">
        <v>958</v>
      </c>
      <c r="D10" s="13" t="s">
        <v>959</v>
      </c>
      <c r="E10" s="18">
        <v>27972</v>
      </c>
      <c r="F10" s="19">
        <v>192.53</v>
      </c>
      <c r="G10" s="20">
        <v>9.2299999999999993E-2</v>
      </c>
      <c r="H10" s="36"/>
      <c r="I10" s="22"/>
      <c r="J10" s="2"/>
    </row>
    <row r="11" spans="1:13" ht="12.95" customHeight="1">
      <c r="A11" s="16" t="s">
        <v>888</v>
      </c>
      <c r="B11" s="17" t="s">
        <v>889</v>
      </c>
      <c r="C11" s="13" t="s">
        <v>890</v>
      </c>
      <c r="D11" s="13" t="s">
        <v>789</v>
      </c>
      <c r="E11" s="18">
        <v>5341</v>
      </c>
      <c r="F11" s="19">
        <v>173.3</v>
      </c>
      <c r="G11" s="20">
        <v>8.3099999999999993E-2</v>
      </c>
      <c r="H11" s="36"/>
      <c r="I11" s="22"/>
      <c r="J11" s="2"/>
    </row>
    <row r="12" spans="1:13" ht="12.95" customHeight="1">
      <c r="A12" s="16" t="s">
        <v>775</v>
      </c>
      <c r="B12" s="17" t="s">
        <v>776</v>
      </c>
      <c r="C12" s="13" t="s">
        <v>777</v>
      </c>
      <c r="D12" s="13" t="s">
        <v>778</v>
      </c>
      <c r="E12" s="18">
        <v>1579</v>
      </c>
      <c r="F12" s="19">
        <v>115.87</v>
      </c>
      <c r="G12" s="20">
        <v>5.5599999999999997E-2</v>
      </c>
      <c r="H12" s="36"/>
      <c r="I12" s="22"/>
      <c r="J12" s="2"/>
    </row>
    <row r="13" spans="1:13" ht="12.95" customHeight="1">
      <c r="A13" s="16" t="s">
        <v>901</v>
      </c>
      <c r="B13" s="17" t="s">
        <v>902</v>
      </c>
      <c r="C13" s="13" t="s">
        <v>903</v>
      </c>
      <c r="D13" s="13" t="s">
        <v>767</v>
      </c>
      <c r="E13" s="18">
        <v>4941</v>
      </c>
      <c r="F13" s="19">
        <v>106.82</v>
      </c>
      <c r="G13" s="20">
        <v>5.1200000000000002E-2</v>
      </c>
      <c r="H13" s="36"/>
      <c r="I13" s="22"/>
      <c r="J13" s="2"/>
    </row>
    <row r="14" spans="1:13" ht="12.95" customHeight="1">
      <c r="A14" s="16" t="s">
        <v>808</v>
      </c>
      <c r="B14" s="17" t="s">
        <v>809</v>
      </c>
      <c r="C14" s="13" t="s">
        <v>810</v>
      </c>
      <c r="D14" s="13" t="s">
        <v>778</v>
      </c>
      <c r="E14" s="18">
        <v>11356</v>
      </c>
      <c r="F14" s="19">
        <v>91.19</v>
      </c>
      <c r="G14" s="20">
        <v>4.3700000000000003E-2</v>
      </c>
      <c r="H14" s="36"/>
      <c r="I14" s="22"/>
      <c r="J14" s="2"/>
    </row>
    <row r="15" spans="1:13" ht="12.95" customHeight="1">
      <c r="A15" s="16" t="s">
        <v>873</v>
      </c>
      <c r="B15" s="17" t="s">
        <v>874</v>
      </c>
      <c r="C15" s="13" t="s">
        <v>875</v>
      </c>
      <c r="D15" s="13" t="s">
        <v>789</v>
      </c>
      <c r="E15" s="18">
        <v>423</v>
      </c>
      <c r="F15" s="19">
        <v>82.25</v>
      </c>
      <c r="G15" s="20">
        <v>3.9399999999999998E-2</v>
      </c>
      <c r="H15" s="36"/>
      <c r="I15" s="22"/>
      <c r="J15" s="2"/>
    </row>
    <row r="16" spans="1:13" ht="12.95" customHeight="1">
      <c r="A16" s="16" t="s">
        <v>736</v>
      </c>
      <c r="B16" s="17" t="s">
        <v>737</v>
      </c>
      <c r="C16" s="13" t="s">
        <v>738</v>
      </c>
      <c r="D16" s="13" t="s">
        <v>739</v>
      </c>
      <c r="E16" s="18">
        <v>1763</v>
      </c>
      <c r="F16" s="19">
        <v>74.930000000000007</v>
      </c>
      <c r="G16" s="20">
        <v>3.5900000000000001E-2</v>
      </c>
      <c r="H16" s="36"/>
      <c r="I16" s="22"/>
      <c r="J16" s="2"/>
    </row>
    <row r="17" spans="1:10" ht="12.95" customHeight="1">
      <c r="A17" s="16" t="s">
        <v>960</v>
      </c>
      <c r="B17" s="17" t="s">
        <v>961</v>
      </c>
      <c r="C17" s="13" t="s">
        <v>962</v>
      </c>
      <c r="D17" s="13" t="s">
        <v>778</v>
      </c>
      <c r="E17" s="18">
        <v>1541</v>
      </c>
      <c r="F17" s="19">
        <v>59.06</v>
      </c>
      <c r="G17" s="20">
        <v>2.8299999999999999E-2</v>
      </c>
      <c r="H17" s="36"/>
      <c r="I17" s="22"/>
      <c r="J17" s="2"/>
    </row>
    <row r="18" spans="1:10" ht="12.95" customHeight="1">
      <c r="A18" s="16" t="s">
        <v>963</v>
      </c>
      <c r="B18" s="17" t="s">
        <v>964</v>
      </c>
      <c r="C18" s="13" t="s">
        <v>965</v>
      </c>
      <c r="D18" s="13" t="s">
        <v>739</v>
      </c>
      <c r="E18" s="18">
        <v>916</v>
      </c>
      <c r="F18" s="19">
        <v>58.91</v>
      </c>
      <c r="G18" s="20">
        <v>2.8199999999999999E-2</v>
      </c>
      <c r="H18" s="36"/>
      <c r="I18" s="22"/>
      <c r="J18" s="2"/>
    </row>
    <row r="19" spans="1:10" ht="12.95" customHeight="1">
      <c r="A19" s="16" t="s">
        <v>966</v>
      </c>
      <c r="B19" s="17" t="s">
        <v>967</v>
      </c>
      <c r="C19" s="13" t="s">
        <v>968</v>
      </c>
      <c r="D19" s="13" t="s">
        <v>789</v>
      </c>
      <c r="E19" s="18">
        <v>7118</v>
      </c>
      <c r="F19" s="19">
        <v>57.91</v>
      </c>
      <c r="G19" s="20">
        <v>2.7799999999999998E-2</v>
      </c>
      <c r="H19" s="36"/>
      <c r="I19" s="22"/>
      <c r="J19" s="2"/>
    </row>
    <row r="20" spans="1:10" ht="12.95" customHeight="1">
      <c r="A20" s="16" t="s">
        <v>969</v>
      </c>
      <c r="B20" s="17" t="s">
        <v>970</v>
      </c>
      <c r="C20" s="13" t="s">
        <v>971</v>
      </c>
      <c r="D20" s="13" t="s">
        <v>789</v>
      </c>
      <c r="E20" s="18">
        <v>1394</v>
      </c>
      <c r="F20" s="19">
        <v>55.05</v>
      </c>
      <c r="G20" s="20">
        <v>2.64E-2</v>
      </c>
      <c r="H20" s="36"/>
      <c r="I20" s="22"/>
      <c r="J20" s="2"/>
    </row>
    <row r="21" spans="1:10" ht="12.95" customHeight="1">
      <c r="A21" s="16" t="s">
        <v>972</v>
      </c>
      <c r="B21" s="17" t="s">
        <v>973</v>
      </c>
      <c r="C21" s="13" t="s">
        <v>974</v>
      </c>
      <c r="D21" s="13" t="s">
        <v>910</v>
      </c>
      <c r="E21" s="18">
        <v>1191</v>
      </c>
      <c r="F21" s="19">
        <v>53.38</v>
      </c>
      <c r="G21" s="20">
        <v>2.5600000000000001E-2</v>
      </c>
      <c r="H21" s="36"/>
      <c r="I21" s="22"/>
      <c r="J21" s="2"/>
    </row>
    <row r="22" spans="1:10" ht="12.95" customHeight="1">
      <c r="A22" s="16" t="s">
        <v>911</v>
      </c>
      <c r="B22" s="17" t="s">
        <v>912</v>
      </c>
      <c r="C22" s="13" t="s">
        <v>913</v>
      </c>
      <c r="D22" s="13" t="s">
        <v>789</v>
      </c>
      <c r="E22" s="18">
        <v>4475</v>
      </c>
      <c r="F22" s="19">
        <v>46.09</v>
      </c>
      <c r="G22" s="20">
        <v>2.2100000000000002E-2</v>
      </c>
      <c r="H22" s="36"/>
      <c r="I22" s="22"/>
      <c r="J22" s="2"/>
    </row>
    <row r="23" spans="1:10" ht="12.95" customHeight="1">
      <c r="A23" s="16" t="s">
        <v>854</v>
      </c>
      <c r="B23" s="17" t="s">
        <v>855</v>
      </c>
      <c r="C23" s="13" t="s">
        <v>856</v>
      </c>
      <c r="D23" s="13" t="s">
        <v>778</v>
      </c>
      <c r="E23" s="18">
        <v>1647</v>
      </c>
      <c r="F23" s="19">
        <v>45.95</v>
      </c>
      <c r="G23" s="20">
        <v>2.1999999999999999E-2</v>
      </c>
      <c r="H23" s="36"/>
      <c r="I23" s="22"/>
      <c r="J23" s="2"/>
    </row>
    <row r="24" spans="1:10" ht="12.95" customHeight="1">
      <c r="A24" s="16" t="s">
        <v>975</v>
      </c>
      <c r="B24" s="17" t="s">
        <v>976</v>
      </c>
      <c r="C24" s="13" t="s">
        <v>977</v>
      </c>
      <c r="D24" s="13" t="s">
        <v>778</v>
      </c>
      <c r="E24" s="18">
        <v>1535</v>
      </c>
      <c r="F24" s="19">
        <v>43.48</v>
      </c>
      <c r="G24" s="20">
        <v>2.0799999999999999E-2</v>
      </c>
      <c r="H24" s="36"/>
      <c r="I24" s="22"/>
      <c r="J24" s="2"/>
    </row>
    <row r="25" spans="1:10" ht="12.95" customHeight="1">
      <c r="A25" s="16" t="s">
        <v>978</v>
      </c>
      <c r="B25" s="17" t="s">
        <v>979</v>
      </c>
      <c r="C25" s="13" t="s">
        <v>980</v>
      </c>
      <c r="D25" s="13" t="s">
        <v>789</v>
      </c>
      <c r="E25" s="18">
        <v>6903</v>
      </c>
      <c r="F25" s="19">
        <v>42.59</v>
      </c>
      <c r="G25" s="20">
        <v>2.0400000000000001E-2</v>
      </c>
      <c r="H25" s="36"/>
      <c r="I25" s="22"/>
      <c r="J25" s="2"/>
    </row>
    <row r="26" spans="1:10" ht="12.95" customHeight="1">
      <c r="A26" s="16" t="s">
        <v>981</v>
      </c>
      <c r="B26" s="17" t="s">
        <v>982</v>
      </c>
      <c r="C26" s="13" t="s">
        <v>983</v>
      </c>
      <c r="D26" s="13" t="s">
        <v>767</v>
      </c>
      <c r="E26" s="18">
        <v>2955</v>
      </c>
      <c r="F26" s="19">
        <v>40.58</v>
      </c>
      <c r="G26" s="20">
        <v>1.95E-2</v>
      </c>
      <c r="H26" s="36"/>
      <c r="I26" s="22"/>
      <c r="J26" s="2"/>
    </row>
    <row r="27" spans="1:10" ht="12.95" customHeight="1">
      <c r="A27" s="16" t="s">
        <v>984</v>
      </c>
      <c r="B27" s="17" t="s">
        <v>985</v>
      </c>
      <c r="C27" s="13" t="s">
        <v>986</v>
      </c>
      <c r="D27" s="13" t="s">
        <v>987</v>
      </c>
      <c r="E27" s="18">
        <v>908</v>
      </c>
      <c r="F27" s="19">
        <v>36.69</v>
      </c>
      <c r="G27" s="20">
        <v>1.7600000000000001E-2</v>
      </c>
      <c r="H27" s="36"/>
      <c r="I27" s="22"/>
      <c r="J27" s="2"/>
    </row>
    <row r="28" spans="1:10" ht="12.95" customHeight="1">
      <c r="A28" s="16" t="s">
        <v>988</v>
      </c>
      <c r="B28" s="17" t="s">
        <v>989</v>
      </c>
      <c r="C28" s="13" t="s">
        <v>990</v>
      </c>
      <c r="D28" s="13" t="s">
        <v>789</v>
      </c>
      <c r="E28" s="18">
        <v>6127</v>
      </c>
      <c r="F28" s="19">
        <v>33.549999999999997</v>
      </c>
      <c r="G28" s="20">
        <v>1.61E-2</v>
      </c>
      <c r="H28" s="36"/>
      <c r="I28" s="22"/>
      <c r="J28" s="2"/>
    </row>
    <row r="29" spans="1:10" ht="12.95" customHeight="1">
      <c r="A29" s="16" t="s">
        <v>991</v>
      </c>
      <c r="B29" s="17" t="s">
        <v>992</v>
      </c>
      <c r="C29" s="13" t="s">
        <v>993</v>
      </c>
      <c r="D29" s="13" t="s">
        <v>767</v>
      </c>
      <c r="E29" s="18">
        <v>2744</v>
      </c>
      <c r="F29" s="19">
        <v>33.42</v>
      </c>
      <c r="G29" s="20">
        <v>1.6E-2</v>
      </c>
      <c r="H29" s="36"/>
      <c r="I29" s="22"/>
      <c r="J29" s="2"/>
    </row>
    <row r="30" spans="1:10" ht="12.95" customHeight="1">
      <c r="A30" s="16" t="s">
        <v>994</v>
      </c>
      <c r="B30" s="17" t="s">
        <v>995</v>
      </c>
      <c r="C30" s="13" t="s">
        <v>996</v>
      </c>
      <c r="D30" s="13" t="s">
        <v>767</v>
      </c>
      <c r="E30" s="18">
        <v>6969</v>
      </c>
      <c r="F30" s="19">
        <v>33.369999999999997</v>
      </c>
      <c r="G30" s="20">
        <v>1.6E-2</v>
      </c>
      <c r="H30" s="36"/>
      <c r="I30" s="22"/>
      <c r="J30" s="2"/>
    </row>
    <row r="31" spans="1:10" ht="12.95" customHeight="1">
      <c r="A31" s="16" t="s">
        <v>997</v>
      </c>
      <c r="B31" s="17" t="s">
        <v>998</v>
      </c>
      <c r="C31" s="13" t="s">
        <v>999</v>
      </c>
      <c r="D31" s="13" t="s">
        <v>1000</v>
      </c>
      <c r="E31" s="18">
        <v>10935</v>
      </c>
      <c r="F31" s="19">
        <v>33.15</v>
      </c>
      <c r="G31" s="20">
        <v>1.5900000000000001E-2</v>
      </c>
      <c r="H31" s="36"/>
      <c r="I31" s="22"/>
      <c r="J31" s="2"/>
    </row>
    <row r="32" spans="1:10" ht="12.95" customHeight="1">
      <c r="A32" s="16" t="s">
        <v>1001</v>
      </c>
      <c r="B32" s="17" t="s">
        <v>1002</v>
      </c>
      <c r="C32" s="13" t="s">
        <v>1003</v>
      </c>
      <c r="D32" s="13" t="s">
        <v>789</v>
      </c>
      <c r="E32" s="18">
        <v>3533</v>
      </c>
      <c r="F32" s="19">
        <v>30.14</v>
      </c>
      <c r="G32" s="20">
        <v>1.4500000000000001E-2</v>
      </c>
      <c r="H32" s="36"/>
      <c r="I32" s="22"/>
      <c r="J32" s="2"/>
    </row>
    <row r="33" spans="1:10" ht="12.95" customHeight="1">
      <c r="A33" s="16" t="s">
        <v>1004</v>
      </c>
      <c r="B33" s="17" t="s">
        <v>1005</v>
      </c>
      <c r="C33" s="13" t="s">
        <v>1006</v>
      </c>
      <c r="D33" s="13" t="s">
        <v>739</v>
      </c>
      <c r="E33" s="18">
        <v>2648</v>
      </c>
      <c r="F33" s="19">
        <v>27.16</v>
      </c>
      <c r="G33" s="20">
        <v>1.2999999999999999E-2</v>
      </c>
      <c r="H33" s="36"/>
      <c r="I33" s="22"/>
      <c r="J33" s="2"/>
    </row>
    <row r="34" spans="1:10" ht="12.95" customHeight="1">
      <c r="A34" s="16" t="s">
        <v>1007</v>
      </c>
      <c r="B34" s="17" t="s">
        <v>1008</v>
      </c>
      <c r="C34" s="13" t="s">
        <v>1009</v>
      </c>
      <c r="D34" s="13" t="s">
        <v>789</v>
      </c>
      <c r="E34" s="18">
        <v>1573</v>
      </c>
      <c r="F34" s="19">
        <v>26.26</v>
      </c>
      <c r="G34" s="20">
        <v>1.26E-2</v>
      </c>
      <c r="H34" s="36"/>
      <c r="I34" s="22"/>
      <c r="J34" s="2"/>
    </row>
    <row r="35" spans="1:10" ht="12.95" customHeight="1">
      <c r="A35" s="16" t="s">
        <v>1010</v>
      </c>
      <c r="B35" s="17" t="s">
        <v>1011</v>
      </c>
      <c r="C35" s="13" t="s">
        <v>1012</v>
      </c>
      <c r="D35" s="13" t="s">
        <v>789</v>
      </c>
      <c r="E35" s="18">
        <v>2874</v>
      </c>
      <c r="F35" s="19">
        <v>23.25</v>
      </c>
      <c r="G35" s="20">
        <v>1.11E-2</v>
      </c>
      <c r="H35" s="36"/>
      <c r="I35" s="22"/>
      <c r="J35" s="2"/>
    </row>
    <row r="36" spans="1:10" ht="12.95" customHeight="1">
      <c r="A36" s="16" t="s">
        <v>1013</v>
      </c>
      <c r="B36" s="17" t="s">
        <v>1014</v>
      </c>
      <c r="C36" s="13" t="s">
        <v>1015</v>
      </c>
      <c r="D36" s="13" t="s">
        <v>814</v>
      </c>
      <c r="E36" s="18">
        <v>1130</v>
      </c>
      <c r="F36" s="19">
        <v>22.85</v>
      </c>
      <c r="G36" s="20">
        <v>1.0999999999999999E-2</v>
      </c>
      <c r="H36" s="36"/>
      <c r="I36" s="22"/>
      <c r="J36" s="2"/>
    </row>
    <row r="37" spans="1:10" ht="12.95" customHeight="1">
      <c r="A37" s="16" t="s">
        <v>1016</v>
      </c>
      <c r="B37" s="17" t="s">
        <v>1017</v>
      </c>
      <c r="C37" s="13" t="s">
        <v>1018</v>
      </c>
      <c r="D37" s="13" t="s">
        <v>923</v>
      </c>
      <c r="E37" s="18">
        <v>68</v>
      </c>
      <c r="F37" s="19">
        <v>21.56</v>
      </c>
      <c r="G37" s="20">
        <v>1.03E-2</v>
      </c>
      <c r="H37" s="36"/>
      <c r="I37" s="22"/>
      <c r="J37" s="2"/>
    </row>
    <row r="38" spans="1:10" ht="12.95" customHeight="1">
      <c r="A38" s="2"/>
      <c r="B38" s="12" t="s">
        <v>172</v>
      </c>
      <c r="C38" s="13"/>
      <c r="D38" s="13"/>
      <c r="E38" s="13"/>
      <c r="F38" s="23">
        <v>2083.19</v>
      </c>
      <c r="G38" s="24">
        <v>0.99870000000000003</v>
      </c>
      <c r="H38" s="25"/>
      <c r="I38" s="26"/>
      <c r="J38" s="2"/>
    </row>
    <row r="39" spans="1:10" ht="12.95" customHeight="1">
      <c r="A39" s="2"/>
      <c r="B39" s="27" t="s">
        <v>719</v>
      </c>
      <c r="C39" s="1"/>
      <c r="D39" s="1"/>
      <c r="E39" s="1"/>
      <c r="F39" s="25" t="s">
        <v>204</v>
      </c>
      <c r="G39" s="25" t="s">
        <v>204</v>
      </c>
      <c r="H39" s="25"/>
      <c r="I39" s="26"/>
      <c r="J39" s="2"/>
    </row>
    <row r="40" spans="1:10" ht="12.95" customHeight="1">
      <c r="A40" s="2"/>
      <c r="B40" s="27" t="s">
        <v>172</v>
      </c>
      <c r="C40" s="1"/>
      <c r="D40" s="1"/>
      <c r="E40" s="1"/>
      <c r="F40" s="25" t="s">
        <v>204</v>
      </c>
      <c r="G40" s="25" t="s">
        <v>204</v>
      </c>
      <c r="H40" s="25"/>
      <c r="I40" s="26"/>
      <c r="J40" s="2"/>
    </row>
    <row r="41" spans="1:10" ht="12.95" customHeight="1">
      <c r="A41" s="2"/>
      <c r="B41" s="27" t="s">
        <v>177</v>
      </c>
      <c r="C41" s="28"/>
      <c r="D41" s="1"/>
      <c r="E41" s="28"/>
      <c r="F41" s="23">
        <v>2083.19</v>
      </c>
      <c r="G41" s="24">
        <v>0.99870000000000003</v>
      </c>
      <c r="H41" s="25"/>
      <c r="I41" s="26"/>
      <c r="J41" s="2"/>
    </row>
    <row r="42" spans="1:10" ht="12.95" customHeight="1">
      <c r="A42" s="2"/>
      <c r="B42" s="12" t="s">
        <v>178</v>
      </c>
      <c r="C42" s="13"/>
      <c r="D42" s="13"/>
      <c r="E42" s="13"/>
      <c r="F42" s="13"/>
      <c r="G42" s="13"/>
      <c r="H42" s="14"/>
      <c r="I42" s="15"/>
      <c r="J42" s="2"/>
    </row>
    <row r="43" spans="1:10" ht="12.95" customHeight="1">
      <c r="A43" s="16" t="s">
        <v>179</v>
      </c>
      <c r="B43" s="17" t="s">
        <v>180</v>
      </c>
      <c r="C43" s="13"/>
      <c r="D43" s="13"/>
      <c r="E43" s="18"/>
      <c r="F43" s="19">
        <v>0.86</v>
      </c>
      <c r="G43" s="20">
        <v>4.0000000000000002E-4</v>
      </c>
      <c r="H43" s="21">
        <v>3.3192553090292627E-2</v>
      </c>
      <c r="I43" s="22"/>
      <c r="J43" s="2"/>
    </row>
    <row r="44" spans="1:10" ht="12.95" customHeight="1">
      <c r="A44" s="2"/>
      <c r="B44" s="12" t="s">
        <v>172</v>
      </c>
      <c r="C44" s="13"/>
      <c r="D44" s="13"/>
      <c r="E44" s="13"/>
      <c r="F44" s="23">
        <v>0.86</v>
      </c>
      <c r="G44" s="24">
        <v>4.0000000000000002E-4</v>
      </c>
      <c r="H44" s="25"/>
      <c r="I44" s="26"/>
      <c r="J44" s="2"/>
    </row>
    <row r="45" spans="1:10" ht="12.95" customHeight="1">
      <c r="A45" s="2"/>
      <c r="B45" s="27" t="s">
        <v>177</v>
      </c>
      <c r="C45" s="28"/>
      <c r="D45" s="1"/>
      <c r="E45" s="28"/>
      <c r="F45" s="23">
        <v>0.86</v>
      </c>
      <c r="G45" s="24">
        <v>4.0000000000000002E-4</v>
      </c>
      <c r="H45" s="25"/>
      <c r="I45" s="26"/>
      <c r="J45" s="2"/>
    </row>
    <row r="46" spans="1:10" ht="12.95" customHeight="1">
      <c r="A46" s="2"/>
      <c r="B46" s="27" t="s">
        <v>181</v>
      </c>
      <c r="C46" s="13"/>
      <c r="D46" s="1"/>
      <c r="E46" s="13"/>
      <c r="F46" s="29">
        <v>1.72</v>
      </c>
      <c r="G46" s="24">
        <v>8.9999999999999998E-4</v>
      </c>
      <c r="H46" s="25"/>
      <c r="I46" s="26"/>
      <c r="J46" s="2"/>
    </row>
    <row r="47" spans="1:10" ht="12.95" customHeight="1" thickBot="1">
      <c r="A47" s="2"/>
      <c r="B47" s="30" t="s">
        <v>182</v>
      </c>
      <c r="C47" s="31"/>
      <c r="D47" s="31"/>
      <c r="E47" s="31"/>
      <c r="F47" s="32">
        <v>2085.77</v>
      </c>
      <c r="G47" s="33">
        <v>1</v>
      </c>
      <c r="H47" s="34"/>
      <c r="I47" s="35"/>
      <c r="J47" s="2"/>
    </row>
    <row r="48" spans="1:10" ht="12.95" customHeight="1">
      <c r="A48" s="2"/>
      <c r="B48" s="3" t="s">
        <v>244</v>
      </c>
      <c r="C48" s="2"/>
      <c r="D48" s="2"/>
      <c r="E48" s="2"/>
      <c r="F48" s="2"/>
      <c r="G48" s="2"/>
      <c r="H48" s="2"/>
      <c r="I48" s="2"/>
      <c r="J48" s="2"/>
    </row>
    <row r="49" spans="1:10" ht="12.95" customHeight="1">
      <c r="A49" s="2"/>
      <c r="B49" s="3" t="s">
        <v>186</v>
      </c>
      <c r="C49" s="2"/>
      <c r="D49" s="2"/>
      <c r="E49" s="2"/>
      <c r="F49" s="2"/>
      <c r="G49" s="2"/>
      <c r="H49" s="2"/>
      <c r="I49" s="2"/>
      <c r="J49" s="2"/>
    </row>
    <row r="50" spans="1:10" ht="26.25" customHeight="1">
      <c r="A50" s="2"/>
      <c r="B50" s="189" t="s">
        <v>4025</v>
      </c>
      <c r="C50" s="189"/>
      <c r="D50" s="189"/>
      <c r="E50" s="189"/>
      <c r="F50" s="189"/>
      <c r="G50" s="189"/>
      <c r="H50" s="189"/>
      <c r="I50" s="189"/>
      <c r="J50" s="2"/>
    </row>
    <row r="51" spans="1:10" ht="12.95" customHeight="1">
      <c r="A51" s="2"/>
      <c r="B51" s="3"/>
      <c r="C51" s="2"/>
      <c r="D51" s="2"/>
      <c r="E51" s="2"/>
      <c r="F51" s="2"/>
      <c r="G51" s="2"/>
      <c r="H51" s="2"/>
      <c r="I51" s="2"/>
      <c r="J51" s="2"/>
    </row>
    <row r="52" spans="1:10">
      <c r="C52" s="111" t="s">
        <v>3940</v>
      </c>
    </row>
    <row r="53" spans="1:10">
      <c r="B53" s="111" t="s">
        <v>3933</v>
      </c>
      <c r="C53" s="111" t="s">
        <v>3934</v>
      </c>
    </row>
  </sheetData>
  <mergeCells count="2">
    <mergeCell ref="B2:I2"/>
    <mergeCell ref="B50:I5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93"/>
  <sheetViews>
    <sheetView workbookViewId="0"/>
  </sheetViews>
  <sheetFormatPr defaultRowHeight="15"/>
  <cols>
    <col min="1" max="1" width="3.28515625" customWidth="1"/>
    <col min="2" max="2" width="69.140625" customWidth="1"/>
    <col min="3" max="3" width="22.7109375" bestFit="1" customWidth="1"/>
    <col min="4" max="4" width="33.28515625" customWidth="1"/>
    <col min="5" max="5" width="25.7109375" customWidth="1"/>
    <col min="6" max="6" width="20.85546875" bestFit="1" customWidth="1"/>
    <col min="7" max="9" width="10.7109375" customWidth="1"/>
    <col min="10" max="10" width="10.85546875" customWidth="1"/>
  </cols>
  <sheetData>
    <row r="1" spans="1:13" ht="15.75" thickBot="1">
      <c r="A1" s="108" t="str">
        <f>M2</f>
        <v>AXISCGF</v>
      </c>
    </row>
    <row r="2" spans="1:13" ht="34.5" customHeight="1" thickBot="1">
      <c r="A2" s="135" t="str">
        <f>M2</f>
        <v>AXISCGF</v>
      </c>
      <c r="B2" s="186" t="s">
        <v>26</v>
      </c>
      <c r="C2" s="187"/>
      <c r="D2" s="187"/>
      <c r="E2" s="187"/>
      <c r="F2" s="187"/>
      <c r="G2" s="187"/>
      <c r="H2" s="187"/>
      <c r="I2" s="188"/>
      <c r="J2" s="2"/>
      <c r="M2" s="108" t="s">
        <v>25</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54376</v>
      </c>
      <c r="F8" s="19">
        <v>4169.6099999999997</v>
      </c>
      <c r="G8" s="20">
        <v>5.9299999999999999E-2</v>
      </c>
      <c r="H8" s="36"/>
      <c r="I8" s="22"/>
      <c r="J8" s="2"/>
    </row>
    <row r="9" spans="1:13" ht="12.95" customHeight="1">
      <c r="A9" s="16" t="s">
        <v>740</v>
      </c>
      <c r="B9" s="17" t="s">
        <v>741</v>
      </c>
      <c r="C9" s="13" t="s">
        <v>742</v>
      </c>
      <c r="D9" s="13" t="s">
        <v>731</v>
      </c>
      <c r="E9" s="18">
        <v>240376</v>
      </c>
      <c r="F9" s="19">
        <v>4026.78</v>
      </c>
      <c r="G9" s="20">
        <v>5.7299999999999997E-2</v>
      </c>
      <c r="H9" s="36"/>
      <c r="I9" s="22"/>
      <c r="J9" s="2"/>
    </row>
    <row r="10" spans="1:13" ht="12.95" customHeight="1">
      <c r="A10" s="16" t="s">
        <v>728</v>
      </c>
      <c r="B10" s="17" t="s">
        <v>729</v>
      </c>
      <c r="C10" s="13" t="s">
        <v>730</v>
      </c>
      <c r="D10" s="13" t="s">
        <v>731</v>
      </c>
      <c r="E10" s="18">
        <v>101050</v>
      </c>
      <c r="F10" s="19">
        <v>3815.19</v>
      </c>
      <c r="G10" s="20">
        <v>5.4300000000000001E-2</v>
      </c>
      <c r="H10" s="36"/>
      <c r="I10" s="22"/>
      <c r="J10" s="2"/>
    </row>
    <row r="11" spans="1:13" ht="12.95" customHeight="1">
      <c r="A11" s="16" t="s">
        <v>686</v>
      </c>
      <c r="B11" s="17" t="s">
        <v>687</v>
      </c>
      <c r="C11" s="13" t="s">
        <v>688</v>
      </c>
      <c r="D11" s="13" t="s">
        <v>685</v>
      </c>
      <c r="E11" s="18">
        <v>492144</v>
      </c>
      <c r="F11" s="19">
        <v>3449.19</v>
      </c>
      <c r="G11" s="20">
        <v>4.9099999999999998E-2</v>
      </c>
      <c r="H11" s="36"/>
      <c r="I11" s="22"/>
      <c r="J11" s="2"/>
    </row>
    <row r="12" spans="1:13" ht="12.95" customHeight="1">
      <c r="A12" s="16" t="s">
        <v>682</v>
      </c>
      <c r="B12" s="17" t="s">
        <v>683</v>
      </c>
      <c r="C12" s="13" t="s">
        <v>684</v>
      </c>
      <c r="D12" s="13" t="s">
        <v>685</v>
      </c>
      <c r="E12" s="18">
        <v>200000</v>
      </c>
      <c r="F12" s="19">
        <v>3189.9</v>
      </c>
      <c r="G12" s="20">
        <v>4.5400000000000003E-2</v>
      </c>
      <c r="H12" s="36"/>
      <c r="I12" s="22"/>
      <c r="J12" s="2"/>
    </row>
    <row r="13" spans="1:13" ht="12.95" customHeight="1">
      <c r="A13" s="16" t="s">
        <v>736</v>
      </c>
      <c r="B13" s="17" t="s">
        <v>737</v>
      </c>
      <c r="C13" s="13" t="s">
        <v>738</v>
      </c>
      <c r="D13" s="13" t="s">
        <v>739</v>
      </c>
      <c r="E13" s="18">
        <v>71563</v>
      </c>
      <c r="F13" s="19">
        <v>3041.57</v>
      </c>
      <c r="G13" s="20">
        <v>4.3299999999999998E-2</v>
      </c>
      <c r="H13" s="36"/>
      <c r="I13" s="22"/>
      <c r="J13" s="2"/>
    </row>
    <row r="14" spans="1:13" ht="12.95" customHeight="1">
      <c r="A14" s="16" t="s">
        <v>732</v>
      </c>
      <c r="B14" s="17" t="s">
        <v>733</v>
      </c>
      <c r="C14" s="13" t="s">
        <v>734</v>
      </c>
      <c r="D14" s="13" t="s">
        <v>735</v>
      </c>
      <c r="E14" s="18">
        <v>106749</v>
      </c>
      <c r="F14" s="19">
        <v>2689.27</v>
      </c>
      <c r="G14" s="20">
        <v>3.8300000000000001E-2</v>
      </c>
      <c r="H14" s="36"/>
      <c r="I14" s="22"/>
      <c r="J14" s="2"/>
    </row>
    <row r="15" spans="1:13" ht="12.95" customHeight="1">
      <c r="A15" s="16" t="s">
        <v>692</v>
      </c>
      <c r="B15" s="17" t="s">
        <v>693</v>
      </c>
      <c r="C15" s="13" t="s">
        <v>694</v>
      </c>
      <c r="D15" s="13" t="s">
        <v>685</v>
      </c>
      <c r="E15" s="18">
        <v>132244</v>
      </c>
      <c r="F15" s="19">
        <v>2652.15</v>
      </c>
      <c r="G15" s="20">
        <v>3.7699999999999997E-2</v>
      </c>
      <c r="H15" s="36"/>
      <c r="I15" s="22"/>
      <c r="J15" s="2"/>
    </row>
    <row r="16" spans="1:13" ht="12.95" customHeight="1">
      <c r="A16" s="16" t="s">
        <v>743</v>
      </c>
      <c r="B16" s="17" t="s">
        <v>744</v>
      </c>
      <c r="C16" s="13" t="s">
        <v>745</v>
      </c>
      <c r="D16" s="13" t="s">
        <v>723</v>
      </c>
      <c r="E16" s="18">
        <v>87750</v>
      </c>
      <c r="F16" s="19">
        <v>2416.9</v>
      </c>
      <c r="G16" s="20">
        <v>3.44E-2</v>
      </c>
      <c r="H16" s="36"/>
      <c r="I16" s="22"/>
      <c r="J16" s="2"/>
    </row>
    <row r="17" spans="1:10" ht="12.95" customHeight="1">
      <c r="A17" s="16" t="s">
        <v>1019</v>
      </c>
      <c r="B17" s="17" t="s">
        <v>1020</v>
      </c>
      <c r="C17" s="13" t="s">
        <v>1021</v>
      </c>
      <c r="D17" s="13" t="s">
        <v>763</v>
      </c>
      <c r="E17" s="18">
        <v>139583</v>
      </c>
      <c r="F17" s="19">
        <v>1728.81</v>
      </c>
      <c r="G17" s="20">
        <v>2.46E-2</v>
      </c>
      <c r="H17" s="36"/>
      <c r="I17" s="22"/>
      <c r="J17" s="2"/>
    </row>
    <row r="18" spans="1:10" ht="12.95" customHeight="1">
      <c r="A18" s="16" t="s">
        <v>750</v>
      </c>
      <c r="B18" s="17" t="s">
        <v>751</v>
      </c>
      <c r="C18" s="13" t="s">
        <v>752</v>
      </c>
      <c r="D18" s="13" t="s">
        <v>753</v>
      </c>
      <c r="E18" s="18">
        <v>50020</v>
      </c>
      <c r="F18" s="19">
        <v>1589.81</v>
      </c>
      <c r="G18" s="20">
        <v>2.2599999999999999E-2</v>
      </c>
      <c r="H18" s="36"/>
      <c r="I18" s="22"/>
      <c r="J18" s="2"/>
    </row>
    <row r="19" spans="1:10" ht="12.95" customHeight="1">
      <c r="A19" s="16" t="s">
        <v>1022</v>
      </c>
      <c r="B19" s="17" t="s">
        <v>3922</v>
      </c>
      <c r="C19" s="13" t="s">
        <v>1024</v>
      </c>
      <c r="D19" s="13" t="s">
        <v>1025</v>
      </c>
      <c r="E19" s="18">
        <v>98148</v>
      </c>
      <c r="F19" s="19">
        <v>1291.1300000000001</v>
      </c>
      <c r="G19" s="20">
        <v>1.84E-2</v>
      </c>
      <c r="H19" s="36"/>
      <c r="I19" s="22"/>
      <c r="J19" s="2"/>
    </row>
    <row r="20" spans="1:10" ht="12.95" customHeight="1">
      <c r="A20" s="16" t="s">
        <v>796</v>
      </c>
      <c r="B20" s="17" t="s">
        <v>797</v>
      </c>
      <c r="C20" s="13" t="s">
        <v>798</v>
      </c>
      <c r="D20" s="13" t="s">
        <v>771</v>
      </c>
      <c r="E20" s="18">
        <v>480000</v>
      </c>
      <c r="F20" s="19">
        <v>1084.56</v>
      </c>
      <c r="G20" s="20">
        <v>1.54E-2</v>
      </c>
      <c r="H20" s="36"/>
      <c r="I20" s="22"/>
      <c r="J20" s="2"/>
    </row>
    <row r="21" spans="1:10" ht="12.95" customHeight="1">
      <c r="A21" s="16" t="s">
        <v>939</v>
      </c>
      <c r="B21" s="17" t="s">
        <v>940</v>
      </c>
      <c r="C21" s="13" t="s">
        <v>941</v>
      </c>
      <c r="D21" s="13" t="s">
        <v>782</v>
      </c>
      <c r="E21" s="18">
        <v>3437</v>
      </c>
      <c r="F21" s="19">
        <v>993.35</v>
      </c>
      <c r="G21" s="20">
        <v>1.41E-2</v>
      </c>
      <c r="H21" s="36"/>
      <c r="I21" s="22"/>
      <c r="J21" s="2"/>
    </row>
    <row r="22" spans="1:10" ht="12.95" customHeight="1">
      <c r="A22" s="16" t="s">
        <v>775</v>
      </c>
      <c r="B22" s="17" t="s">
        <v>776</v>
      </c>
      <c r="C22" s="13" t="s">
        <v>777</v>
      </c>
      <c r="D22" s="13" t="s">
        <v>778</v>
      </c>
      <c r="E22" s="18">
        <v>13198</v>
      </c>
      <c r="F22" s="19">
        <v>968.48</v>
      </c>
      <c r="G22" s="20">
        <v>1.38E-2</v>
      </c>
      <c r="H22" s="36"/>
      <c r="I22" s="22"/>
      <c r="J22" s="2"/>
    </row>
    <row r="23" spans="1:10" ht="12.95" customHeight="1">
      <c r="A23" s="16" t="s">
        <v>768</v>
      </c>
      <c r="B23" s="17" t="s">
        <v>769</v>
      </c>
      <c r="C23" s="13" t="s">
        <v>770</v>
      </c>
      <c r="D23" s="13" t="s">
        <v>771</v>
      </c>
      <c r="E23" s="18">
        <v>59796</v>
      </c>
      <c r="F23" s="19">
        <v>947.44</v>
      </c>
      <c r="G23" s="20">
        <v>1.35E-2</v>
      </c>
      <c r="H23" s="36"/>
      <c r="I23" s="22"/>
      <c r="J23" s="2"/>
    </row>
    <row r="24" spans="1:10" ht="12.95" customHeight="1">
      <c r="A24" s="16" t="s">
        <v>746</v>
      </c>
      <c r="B24" s="17" t="s">
        <v>747</v>
      </c>
      <c r="C24" s="13" t="s">
        <v>748</v>
      </c>
      <c r="D24" s="13" t="s">
        <v>749</v>
      </c>
      <c r="E24" s="18">
        <v>19570</v>
      </c>
      <c r="F24" s="19">
        <v>939.11</v>
      </c>
      <c r="G24" s="20">
        <v>1.34E-2</v>
      </c>
      <c r="H24" s="36"/>
      <c r="I24" s="22"/>
      <c r="J24" s="2"/>
    </row>
    <row r="25" spans="1:10" ht="12.95" customHeight="1">
      <c r="A25" s="16" t="s">
        <v>830</v>
      </c>
      <c r="B25" s="17" t="s">
        <v>831</v>
      </c>
      <c r="C25" s="13" t="s">
        <v>832</v>
      </c>
      <c r="D25" s="13" t="s">
        <v>763</v>
      </c>
      <c r="E25" s="18">
        <v>46646</v>
      </c>
      <c r="F25" s="19">
        <v>870.65</v>
      </c>
      <c r="G25" s="20">
        <v>1.24E-2</v>
      </c>
      <c r="H25" s="36"/>
      <c r="I25" s="22"/>
      <c r="J25" s="2"/>
    </row>
    <row r="26" spans="1:10" ht="12.95" customHeight="1">
      <c r="A26" s="16" t="s">
        <v>942</v>
      </c>
      <c r="B26" s="17" t="s">
        <v>943</v>
      </c>
      <c r="C26" s="13" t="s">
        <v>944</v>
      </c>
      <c r="D26" s="13" t="s">
        <v>945</v>
      </c>
      <c r="E26" s="18">
        <v>50965</v>
      </c>
      <c r="F26" s="19">
        <v>867.91</v>
      </c>
      <c r="G26" s="20">
        <v>1.24E-2</v>
      </c>
      <c r="H26" s="36"/>
      <c r="I26" s="22"/>
      <c r="J26" s="2"/>
    </row>
    <row r="27" spans="1:10" ht="12.95" customHeight="1">
      <c r="A27" s="16" t="s">
        <v>799</v>
      </c>
      <c r="B27" s="17" t="s">
        <v>800</v>
      </c>
      <c r="C27" s="13" t="s">
        <v>801</v>
      </c>
      <c r="D27" s="13" t="s">
        <v>749</v>
      </c>
      <c r="E27" s="18">
        <v>105409</v>
      </c>
      <c r="F27" s="19">
        <v>862.51</v>
      </c>
      <c r="G27" s="20">
        <v>1.23E-2</v>
      </c>
      <c r="H27" s="36"/>
      <c r="I27" s="22"/>
      <c r="J27" s="2"/>
    </row>
    <row r="28" spans="1:10" ht="12.95" customHeight="1">
      <c r="A28" s="16" t="s">
        <v>1026</v>
      </c>
      <c r="B28" s="17" t="s">
        <v>1027</v>
      </c>
      <c r="C28" s="13" t="s">
        <v>1028</v>
      </c>
      <c r="D28" s="13" t="s">
        <v>763</v>
      </c>
      <c r="E28" s="18">
        <v>39462</v>
      </c>
      <c r="F28" s="19">
        <v>807.89</v>
      </c>
      <c r="G28" s="20">
        <v>1.15E-2</v>
      </c>
      <c r="H28" s="36"/>
      <c r="I28" s="22"/>
      <c r="J28" s="2"/>
    </row>
    <row r="29" spans="1:10" ht="12.95" customHeight="1">
      <c r="A29" s="16" t="s">
        <v>757</v>
      </c>
      <c r="B29" s="17" t="s">
        <v>758</v>
      </c>
      <c r="C29" s="13" t="s">
        <v>759</v>
      </c>
      <c r="D29" s="13" t="s">
        <v>749</v>
      </c>
      <c r="E29" s="18">
        <v>21336</v>
      </c>
      <c r="F29" s="19">
        <v>793.68</v>
      </c>
      <c r="G29" s="20">
        <v>1.1299999999999999E-2</v>
      </c>
      <c r="H29" s="36"/>
      <c r="I29" s="22"/>
      <c r="J29" s="2"/>
    </row>
    <row r="30" spans="1:10" ht="12.95" customHeight="1">
      <c r="A30" s="16" t="s">
        <v>904</v>
      </c>
      <c r="B30" s="17" t="s">
        <v>905</v>
      </c>
      <c r="C30" s="13" t="s">
        <v>906</v>
      </c>
      <c r="D30" s="13" t="s">
        <v>731</v>
      </c>
      <c r="E30" s="18">
        <v>25500</v>
      </c>
      <c r="F30" s="19">
        <v>791.62</v>
      </c>
      <c r="G30" s="20">
        <v>1.1299999999999999E-2</v>
      </c>
      <c r="H30" s="36"/>
      <c r="I30" s="22"/>
      <c r="J30" s="2"/>
    </row>
    <row r="31" spans="1:10" ht="12.95" customHeight="1">
      <c r="A31" s="16" t="s">
        <v>873</v>
      </c>
      <c r="B31" s="17" t="s">
        <v>874</v>
      </c>
      <c r="C31" s="13" t="s">
        <v>875</v>
      </c>
      <c r="D31" s="13" t="s">
        <v>789</v>
      </c>
      <c r="E31" s="18">
        <v>4000</v>
      </c>
      <c r="F31" s="19">
        <v>777.82</v>
      </c>
      <c r="G31" s="20">
        <v>1.11E-2</v>
      </c>
      <c r="H31" s="36"/>
      <c r="I31" s="22"/>
      <c r="J31" s="2"/>
    </row>
    <row r="32" spans="1:10" ht="12.95" customHeight="1">
      <c r="A32" s="16" t="s">
        <v>1029</v>
      </c>
      <c r="B32" s="17" t="s">
        <v>1030</v>
      </c>
      <c r="C32" s="13" t="s">
        <v>1031</v>
      </c>
      <c r="D32" s="13" t="s">
        <v>1032</v>
      </c>
      <c r="E32" s="18">
        <v>176373</v>
      </c>
      <c r="F32" s="19">
        <v>723.13</v>
      </c>
      <c r="G32" s="20">
        <v>1.03E-2</v>
      </c>
      <c r="H32" s="36"/>
      <c r="I32" s="22"/>
      <c r="J32" s="2"/>
    </row>
    <row r="33" spans="1:10" ht="12.95" customHeight="1">
      <c r="A33" s="16" t="s">
        <v>897</v>
      </c>
      <c r="B33" s="17" t="s">
        <v>898</v>
      </c>
      <c r="C33" s="13" t="s">
        <v>899</v>
      </c>
      <c r="D33" s="13" t="s">
        <v>900</v>
      </c>
      <c r="E33" s="18">
        <v>3500</v>
      </c>
      <c r="F33" s="19">
        <v>622.54</v>
      </c>
      <c r="G33" s="20">
        <v>8.8999999999999999E-3</v>
      </c>
      <c r="H33" s="36"/>
      <c r="I33" s="22"/>
      <c r="J33" s="2"/>
    </row>
    <row r="34" spans="1:10" ht="12.95" customHeight="1">
      <c r="A34" s="16" t="s">
        <v>1033</v>
      </c>
      <c r="B34" s="17" t="s">
        <v>1034</v>
      </c>
      <c r="C34" s="13" t="s">
        <v>1035</v>
      </c>
      <c r="D34" s="13" t="s">
        <v>814</v>
      </c>
      <c r="E34" s="18">
        <v>15000</v>
      </c>
      <c r="F34" s="19">
        <v>569.78</v>
      </c>
      <c r="G34" s="20">
        <v>8.0999999999999996E-3</v>
      </c>
      <c r="H34" s="36"/>
      <c r="I34" s="22"/>
      <c r="J34" s="2"/>
    </row>
    <row r="35" spans="1:10" ht="12.95" customHeight="1">
      <c r="A35" s="16" t="s">
        <v>821</v>
      </c>
      <c r="B35" s="17" t="s">
        <v>822</v>
      </c>
      <c r="C35" s="13" t="s">
        <v>823</v>
      </c>
      <c r="D35" s="13" t="s">
        <v>753</v>
      </c>
      <c r="E35" s="18">
        <v>137687</v>
      </c>
      <c r="F35" s="19">
        <v>553.71</v>
      </c>
      <c r="G35" s="20">
        <v>7.9000000000000008E-3</v>
      </c>
      <c r="H35" s="36"/>
      <c r="I35" s="22"/>
      <c r="J35" s="2"/>
    </row>
    <row r="36" spans="1:10" ht="12.95" customHeight="1">
      <c r="A36" s="16" t="s">
        <v>857</v>
      </c>
      <c r="B36" s="17" t="s">
        <v>858</v>
      </c>
      <c r="C36" s="13" t="s">
        <v>859</v>
      </c>
      <c r="D36" s="13" t="s">
        <v>763</v>
      </c>
      <c r="E36" s="18">
        <v>89853</v>
      </c>
      <c r="F36" s="19">
        <v>550.29999999999995</v>
      </c>
      <c r="G36" s="20">
        <v>7.7999999999999996E-3</v>
      </c>
      <c r="H36" s="36"/>
      <c r="I36" s="22"/>
      <c r="J36" s="2"/>
    </row>
    <row r="37" spans="1:10" ht="12.95" customHeight="1">
      <c r="A37" s="16" t="s">
        <v>851</v>
      </c>
      <c r="B37" s="17" t="s">
        <v>852</v>
      </c>
      <c r="C37" s="13" t="s">
        <v>853</v>
      </c>
      <c r="D37" s="13" t="s">
        <v>771</v>
      </c>
      <c r="E37" s="18">
        <v>72889</v>
      </c>
      <c r="F37" s="19">
        <v>538.42999999999995</v>
      </c>
      <c r="G37" s="20">
        <v>7.7000000000000002E-3</v>
      </c>
      <c r="H37" s="36"/>
      <c r="I37" s="22"/>
      <c r="J37" s="2"/>
    </row>
    <row r="38" spans="1:10" ht="12.95" customHeight="1">
      <c r="A38" s="16" t="s">
        <v>1036</v>
      </c>
      <c r="B38" s="17" t="s">
        <v>1037</v>
      </c>
      <c r="C38" s="13" t="s">
        <v>1038</v>
      </c>
      <c r="D38" s="13" t="s">
        <v>763</v>
      </c>
      <c r="E38" s="18">
        <v>78000</v>
      </c>
      <c r="F38" s="19">
        <v>513.36</v>
      </c>
      <c r="G38" s="20">
        <v>7.3000000000000001E-3</v>
      </c>
      <c r="H38" s="36"/>
      <c r="I38" s="22"/>
      <c r="J38" s="2"/>
    </row>
    <row r="39" spans="1:10" ht="12.95" customHeight="1">
      <c r="A39" s="16" t="s">
        <v>891</v>
      </c>
      <c r="B39" s="17" t="s">
        <v>892</v>
      </c>
      <c r="C39" s="13" t="s">
        <v>893</v>
      </c>
      <c r="D39" s="13" t="s">
        <v>782</v>
      </c>
      <c r="E39" s="18">
        <v>6827</v>
      </c>
      <c r="F39" s="19">
        <v>504.93</v>
      </c>
      <c r="G39" s="20">
        <v>7.1999999999999998E-3</v>
      </c>
      <c r="H39" s="36"/>
      <c r="I39" s="22"/>
      <c r="J39" s="2"/>
    </row>
    <row r="40" spans="1:10" ht="12.95" customHeight="1">
      <c r="A40" s="16" t="s">
        <v>927</v>
      </c>
      <c r="B40" s="17" t="s">
        <v>928</v>
      </c>
      <c r="C40" s="13" t="s">
        <v>929</v>
      </c>
      <c r="D40" s="13" t="s">
        <v>685</v>
      </c>
      <c r="E40" s="18">
        <v>311814</v>
      </c>
      <c r="F40" s="19">
        <v>491.57</v>
      </c>
      <c r="G40" s="20">
        <v>7.0000000000000001E-3</v>
      </c>
      <c r="H40" s="36"/>
      <c r="I40" s="22"/>
      <c r="J40" s="2"/>
    </row>
    <row r="41" spans="1:10" ht="12.95" customHeight="1">
      <c r="A41" s="16" t="s">
        <v>833</v>
      </c>
      <c r="B41" s="17" t="s">
        <v>834</v>
      </c>
      <c r="C41" s="13" t="s">
        <v>835</v>
      </c>
      <c r="D41" s="13" t="s">
        <v>836</v>
      </c>
      <c r="E41" s="18">
        <v>1063</v>
      </c>
      <c r="F41" s="19">
        <v>485.95</v>
      </c>
      <c r="G41" s="20">
        <v>6.8999999999999999E-3</v>
      </c>
      <c r="H41" s="36"/>
      <c r="I41" s="22"/>
      <c r="J41" s="2"/>
    </row>
    <row r="42" spans="1:10" ht="12.95" customHeight="1">
      <c r="A42" s="16" t="s">
        <v>1039</v>
      </c>
      <c r="B42" s="17" t="s">
        <v>1040</v>
      </c>
      <c r="C42" s="13" t="s">
        <v>1041</v>
      </c>
      <c r="D42" s="13" t="s">
        <v>900</v>
      </c>
      <c r="E42" s="18">
        <v>32922</v>
      </c>
      <c r="F42" s="19">
        <v>400.04</v>
      </c>
      <c r="G42" s="20">
        <v>5.7000000000000002E-3</v>
      </c>
      <c r="H42" s="36"/>
      <c r="I42" s="22"/>
      <c r="J42" s="2"/>
    </row>
    <row r="43" spans="1:10" ht="12.95" customHeight="1">
      <c r="A43" s="16" t="s">
        <v>840</v>
      </c>
      <c r="B43" s="17" t="s">
        <v>3924</v>
      </c>
      <c r="C43" s="13" t="s">
        <v>841</v>
      </c>
      <c r="D43" s="13" t="s">
        <v>735</v>
      </c>
      <c r="E43" s="18">
        <v>8666</v>
      </c>
      <c r="F43" s="19">
        <v>162.15</v>
      </c>
      <c r="G43" s="20">
        <v>2.3E-3</v>
      </c>
      <c r="H43" s="36"/>
      <c r="I43" s="22"/>
      <c r="J43" s="2"/>
    </row>
    <row r="44" spans="1:10" ht="12.95" customHeight="1">
      <c r="A44" s="16" t="s">
        <v>1042</v>
      </c>
      <c r="B44" s="17" t="s">
        <v>1043</v>
      </c>
      <c r="C44" s="13" t="s">
        <v>1044</v>
      </c>
      <c r="D44" s="13" t="s">
        <v>739</v>
      </c>
      <c r="E44" s="18">
        <v>49998</v>
      </c>
      <c r="F44" s="19">
        <v>123.17</v>
      </c>
      <c r="G44" s="20">
        <v>1.8E-3</v>
      </c>
      <c r="H44" s="36"/>
      <c r="I44" s="22"/>
      <c r="J44" s="2"/>
    </row>
    <row r="45" spans="1:10" ht="12.95" customHeight="1">
      <c r="A45" s="16" t="s">
        <v>848</v>
      </c>
      <c r="B45" s="17" t="s">
        <v>849</v>
      </c>
      <c r="C45" s="13" t="s">
        <v>850</v>
      </c>
      <c r="D45" s="13" t="s">
        <v>739</v>
      </c>
      <c r="E45" s="18">
        <v>56952</v>
      </c>
      <c r="F45" s="19">
        <v>77.8</v>
      </c>
      <c r="G45" s="20">
        <v>1.1000000000000001E-3</v>
      </c>
      <c r="H45" s="36"/>
      <c r="I45" s="22"/>
      <c r="J45" s="2"/>
    </row>
    <row r="46" spans="1:10" ht="12.95" customHeight="1">
      <c r="A46" s="16" t="s">
        <v>1045</v>
      </c>
      <c r="B46" s="17" t="s">
        <v>3930</v>
      </c>
      <c r="C46" s="13" t="s">
        <v>1046</v>
      </c>
      <c r="D46" s="13" t="s">
        <v>1047</v>
      </c>
      <c r="E46" s="18">
        <v>77260</v>
      </c>
      <c r="F46" s="19">
        <v>550.09</v>
      </c>
      <c r="G46" s="20">
        <v>7.7999999999999996E-3</v>
      </c>
      <c r="H46" s="36"/>
      <c r="I46" s="22"/>
      <c r="J46" s="2"/>
    </row>
    <row r="47" spans="1:10" ht="12.95" customHeight="1">
      <c r="A47" s="2"/>
      <c r="B47" s="27" t="s">
        <v>177</v>
      </c>
      <c r="C47" s="28"/>
      <c r="D47" s="1"/>
      <c r="E47" s="28"/>
      <c r="F47" s="23">
        <v>51632.28</v>
      </c>
      <c r="G47" s="24">
        <v>0.73499999999999999</v>
      </c>
      <c r="H47" s="25"/>
      <c r="I47" s="26"/>
      <c r="J47" s="2"/>
    </row>
    <row r="48" spans="1:10" ht="12.95" customHeight="1">
      <c r="A48" s="2"/>
      <c r="B48" s="12" t="s">
        <v>127</v>
      </c>
      <c r="C48" s="13"/>
      <c r="D48" s="13"/>
      <c r="E48" s="13"/>
      <c r="F48" s="13"/>
      <c r="G48" s="13"/>
      <c r="H48" s="14"/>
      <c r="I48" s="15"/>
      <c r="J48" s="2"/>
    </row>
    <row r="49" spans="1:10" ht="12.95" customHeight="1">
      <c r="A49" s="2"/>
      <c r="B49" s="12" t="s">
        <v>128</v>
      </c>
      <c r="C49" s="13"/>
      <c r="D49" s="13"/>
      <c r="E49" s="13"/>
      <c r="F49" s="2"/>
      <c r="G49" s="14"/>
      <c r="H49" s="14"/>
      <c r="I49" s="15"/>
      <c r="J49" s="2"/>
    </row>
    <row r="50" spans="1:10" ht="12.95" customHeight="1">
      <c r="A50" s="16" t="s">
        <v>1048</v>
      </c>
      <c r="B50" s="17" t="s">
        <v>1049</v>
      </c>
      <c r="C50" s="13" t="s">
        <v>1050</v>
      </c>
      <c r="D50" s="13" t="s">
        <v>200</v>
      </c>
      <c r="E50" s="18">
        <v>3500000</v>
      </c>
      <c r="F50" s="19">
        <v>3563.9</v>
      </c>
      <c r="G50" s="20">
        <v>5.0700000000000002E-2</v>
      </c>
      <c r="H50" s="36"/>
      <c r="I50" s="22"/>
      <c r="J50" s="2"/>
    </row>
    <row r="51" spans="1:10" ht="12.95" customHeight="1">
      <c r="A51" s="16" t="s">
        <v>1051</v>
      </c>
      <c r="B51" s="17" t="s">
        <v>1052</v>
      </c>
      <c r="C51" s="13" t="s">
        <v>1053</v>
      </c>
      <c r="D51" s="13" t="s">
        <v>200</v>
      </c>
      <c r="E51" s="18">
        <v>1500000</v>
      </c>
      <c r="F51" s="19">
        <v>1525.85</v>
      </c>
      <c r="G51" s="20">
        <v>2.1700000000000001E-2</v>
      </c>
      <c r="H51" s="21">
        <v>6.4994999999999997E-2</v>
      </c>
      <c r="I51" s="22"/>
      <c r="J51" s="2"/>
    </row>
    <row r="52" spans="1:10" ht="12.95" customHeight="1">
      <c r="A52" s="16" t="s">
        <v>1054</v>
      </c>
      <c r="B52" s="17" t="s">
        <v>1055</v>
      </c>
      <c r="C52" s="13" t="s">
        <v>1056</v>
      </c>
      <c r="D52" s="13" t="s">
        <v>161</v>
      </c>
      <c r="E52" s="18">
        <v>150</v>
      </c>
      <c r="F52" s="19">
        <v>1516.34</v>
      </c>
      <c r="G52" s="20">
        <v>2.1600000000000001E-2</v>
      </c>
      <c r="H52" s="21">
        <v>6.93E-2</v>
      </c>
      <c r="I52" s="22"/>
      <c r="J52" s="2"/>
    </row>
    <row r="53" spans="1:10" ht="12.95" customHeight="1">
      <c r="A53" s="16" t="s">
        <v>1057</v>
      </c>
      <c r="B53" s="17" t="s">
        <v>1058</v>
      </c>
      <c r="C53" s="13" t="s">
        <v>1059</v>
      </c>
      <c r="D53" s="13" t="s">
        <v>200</v>
      </c>
      <c r="E53" s="18">
        <v>1500000</v>
      </c>
      <c r="F53" s="19">
        <v>1458.03</v>
      </c>
      <c r="G53" s="20">
        <v>2.07E-2</v>
      </c>
      <c r="H53" s="21">
        <v>6.9682999999999995E-2</v>
      </c>
      <c r="I53" s="22"/>
      <c r="J53" s="2"/>
    </row>
    <row r="54" spans="1:10" ht="12.95" customHeight="1">
      <c r="A54" s="16" t="s">
        <v>1060</v>
      </c>
      <c r="B54" s="17" t="s">
        <v>1061</v>
      </c>
      <c r="C54" s="13" t="s">
        <v>1062</v>
      </c>
      <c r="D54" s="13" t="s">
        <v>200</v>
      </c>
      <c r="E54" s="18">
        <v>1000000</v>
      </c>
      <c r="F54" s="19">
        <v>1057.18</v>
      </c>
      <c r="G54" s="20">
        <v>1.4999999999999999E-2</v>
      </c>
      <c r="H54" s="21">
        <v>6.0576999999999999E-2</v>
      </c>
      <c r="I54" s="22"/>
      <c r="J54" s="2"/>
    </row>
    <row r="55" spans="1:10" ht="12.95" customHeight="1">
      <c r="A55" s="16" t="s">
        <v>1063</v>
      </c>
      <c r="B55" s="17" t="s">
        <v>1064</v>
      </c>
      <c r="C55" s="13" t="s">
        <v>1065</v>
      </c>
      <c r="D55" s="13" t="s">
        <v>132</v>
      </c>
      <c r="E55" s="18">
        <v>100</v>
      </c>
      <c r="F55" s="19">
        <v>1024.1400000000001</v>
      </c>
      <c r="G55" s="20">
        <v>1.46E-2</v>
      </c>
      <c r="H55" s="21">
        <v>4.2349999999999999E-2</v>
      </c>
      <c r="I55" s="22"/>
      <c r="J55" s="2"/>
    </row>
    <row r="56" spans="1:10" ht="12.95" customHeight="1">
      <c r="A56" s="16" t="s">
        <v>1066</v>
      </c>
      <c r="B56" s="17" t="s">
        <v>1067</v>
      </c>
      <c r="C56" s="13" t="s">
        <v>1068</v>
      </c>
      <c r="D56" s="13" t="s">
        <v>1069</v>
      </c>
      <c r="E56" s="18">
        <v>100</v>
      </c>
      <c r="F56" s="19">
        <v>1012.94</v>
      </c>
      <c r="G56" s="20">
        <v>1.44E-2</v>
      </c>
      <c r="H56" s="21">
        <v>8.3005999999999996E-2</v>
      </c>
      <c r="I56" s="37">
        <v>2.4670000000000001E-2</v>
      </c>
      <c r="J56" s="2"/>
    </row>
    <row r="57" spans="1:10" ht="12.95" customHeight="1">
      <c r="A57" s="16" t="s">
        <v>1070</v>
      </c>
      <c r="B57" s="17" t="s">
        <v>1071</v>
      </c>
      <c r="C57" s="13" t="s">
        <v>1072</v>
      </c>
      <c r="D57" s="13" t="s">
        <v>1073</v>
      </c>
      <c r="E57" s="18">
        <v>101</v>
      </c>
      <c r="F57" s="19">
        <v>1012.48</v>
      </c>
      <c r="G57" s="20">
        <v>1.44E-2</v>
      </c>
      <c r="H57" s="21">
        <v>8.3511000000000002E-2</v>
      </c>
      <c r="I57" s="37">
        <v>4.3054981999999999E-2</v>
      </c>
      <c r="J57" s="2"/>
    </row>
    <row r="58" spans="1:10" ht="12.95" customHeight="1">
      <c r="A58" s="16" t="s">
        <v>1074</v>
      </c>
      <c r="B58" s="17" t="s">
        <v>1075</v>
      </c>
      <c r="C58" s="13" t="s">
        <v>1076</v>
      </c>
      <c r="D58" s="13" t="s">
        <v>200</v>
      </c>
      <c r="E58" s="18">
        <v>1000000</v>
      </c>
      <c r="F58" s="19">
        <v>991.41</v>
      </c>
      <c r="G58" s="20">
        <v>1.41E-2</v>
      </c>
      <c r="H58" s="21">
        <v>6.2170000000000003E-2</v>
      </c>
      <c r="I58" s="37"/>
      <c r="J58" s="2"/>
    </row>
    <row r="59" spans="1:10" ht="12.95" customHeight="1">
      <c r="A59" s="16" t="s">
        <v>245</v>
      </c>
      <c r="B59" s="17" t="s">
        <v>246</v>
      </c>
      <c r="C59" s="13" t="s">
        <v>247</v>
      </c>
      <c r="D59" s="13" t="s">
        <v>132</v>
      </c>
      <c r="E59" s="18">
        <v>77</v>
      </c>
      <c r="F59" s="19">
        <v>808.31</v>
      </c>
      <c r="G59" s="20">
        <v>1.15E-2</v>
      </c>
      <c r="H59" s="21">
        <v>4.5400000000000003E-2</v>
      </c>
      <c r="I59" s="37"/>
      <c r="J59" s="2"/>
    </row>
    <row r="60" spans="1:10" ht="12.95" customHeight="1">
      <c r="A60" s="16" t="s">
        <v>1077</v>
      </c>
      <c r="B60" s="17" t="s">
        <v>1078</v>
      </c>
      <c r="C60" s="13" t="s">
        <v>1079</v>
      </c>
      <c r="D60" s="13" t="s">
        <v>132</v>
      </c>
      <c r="E60" s="18">
        <v>70</v>
      </c>
      <c r="F60" s="19">
        <v>719.37</v>
      </c>
      <c r="G60" s="20">
        <v>1.0200000000000001E-2</v>
      </c>
      <c r="H60" s="21">
        <v>5.7756000000000002E-2</v>
      </c>
      <c r="I60" s="37"/>
      <c r="J60" s="2"/>
    </row>
    <row r="61" spans="1:10" ht="12.95" customHeight="1">
      <c r="A61" s="16" t="s">
        <v>1080</v>
      </c>
      <c r="B61" s="17" t="s">
        <v>1081</v>
      </c>
      <c r="C61" s="13" t="s">
        <v>1082</v>
      </c>
      <c r="D61" s="13" t="s">
        <v>200</v>
      </c>
      <c r="E61" s="18">
        <v>500000</v>
      </c>
      <c r="F61" s="19">
        <v>492.3</v>
      </c>
      <c r="G61" s="20">
        <v>7.0000000000000001E-3</v>
      </c>
      <c r="H61" s="21">
        <v>6.7849999999999994E-2</v>
      </c>
      <c r="I61" s="37"/>
      <c r="J61" s="2"/>
    </row>
    <row r="62" spans="1:10" ht="12.95" customHeight="1">
      <c r="A62" s="16" t="s">
        <v>1083</v>
      </c>
      <c r="B62" s="17" t="s">
        <v>1084</v>
      </c>
      <c r="C62" s="13" t="s">
        <v>1085</v>
      </c>
      <c r="D62" s="13" t="s">
        <v>200</v>
      </c>
      <c r="E62" s="18">
        <v>500000</v>
      </c>
      <c r="F62" s="19">
        <v>479.67</v>
      </c>
      <c r="G62" s="20">
        <v>6.7999999999999996E-3</v>
      </c>
      <c r="H62" s="21">
        <v>6.6629999999999995E-2</v>
      </c>
      <c r="I62" s="37"/>
      <c r="J62" s="2"/>
    </row>
    <row r="63" spans="1:10" ht="12.95" customHeight="1">
      <c r="A63" s="16" t="s">
        <v>1086</v>
      </c>
      <c r="B63" s="17" t="s">
        <v>1087</v>
      </c>
      <c r="C63" s="13" t="s">
        <v>1088</v>
      </c>
      <c r="D63" s="13" t="s">
        <v>200</v>
      </c>
      <c r="E63" s="18">
        <v>300000</v>
      </c>
      <c r="F63" s="19">
        <v>323.31</v>
      </c>
      <c r="G63" s="20">
        <v>4.5999999999999999E-3</v>
      </c>
      <c r="H63" s="21">
        <v>6.6048999999999997E-2</v>
      </c>
      <c r="I63" s="37"/>
      <c r="J63" s="2"/>
    </row>
    <row r="64" spans="1:10" ht="12.95" customHeight="1">
      <c r="A64" s="16" t="s">
        <v>1089</v>
      </c>
      <c r="B64" s="17" t="s">
        <v>1090</v>
      </c>
      <c r="C64" s="13" t="s">
        <v>1091</v>
      </c>
      <c r="D64" s="13" t="s">
        <v>200</v>
      </c>
      <c r="E64" s="18">
        <v>250000</v>
      </c>
      <c r="F64" s="19">
        <v>251.08</v>
      </c>
      <c r="G64" s="20">
        <v>3.5999999999999999E-3</v>
      </c>
      <c r="H64" s="21">
        <v>6.7750000000000005E-2</v>
      </c>
      <c r="I64" s="37"/>
      <c r="J64" s="2"/>
    </row>
    <row r="65" spans="1:10" ht="12.95" customHeight="1">
      <c r="A65" s="16" t="s">
        <v>1092</v>
      </c>
      <c r="B65" s="17" t="s">
        <v>1093</v>
      </c>
      <c r="C65" s="13" t="s">
        <v>1094</v>
      </c>
      <c r="D65" s="13" t="s">
        <v>1095</v>
      </c>
      <c r="E65" s="18">
        <v>10</v>
      </c>
      <c r="F65" s="19">
        <v>100.53</v>
      </c>
      <c r="G65" s="20">
        <v>1.4E-3</v>
      </c>
      <c r="H65" s="21">
        <v>9.1184500000000002E-2</v>
      </c>
      <c r="I65" s="37">
        <v>7.7492582000000004E-2</v>
      </c>
      <c r="J65" s="2"/>
    </row>
    <row r="66" spans="1:10" ht="12.95" customHeight="1">
      <c r="A66" s="16" t="s">
        <v>1096</v>
      </c>
      <c r="B66" s="17" t="s">
        <v>1097</v>
      </c>
      <c r="C66" s="13" t="s">
        <v>1098</v>
      </c>
      <c r="D66" s="13" t="s">
        <v>1099</v>
      </c>
      <c r="E66" s="18">
        <v>10</v>
      </c>
      <c r="F66" s="19">
        <v>99.72</v>
      </c>
      <c r="G66" s="20">
        <v>1.4E-3</v>
      </c>
      <c r="H66" s="21">
        <v>9.9928500000000003E-2</v>
      </c>
      <c r="I66" s="37">
        <v>0.130434247</v>
      </c>
      <c r="J66" s="2"/>
    </row>
    <row r="67" spans="1:10" ht="12.95" customHeight="1">
      <c r="A67" s="16" t="s">
        <v>1100</v>
      </c>
      <c r="B67" s="17" t="s">
        <v>1101</v>
      </c>
      <c r="C67" s="13" t="s">
        <v>1102</v>
      </c>
      <c r="D67" s="13" t="s">
        <v>200</v>
      </c>
      <c r="E67" s="18">
        <v>50000</v>
      </c>
      <c r="F67" s="19">
        <v>53.7</v>
      </c>
      <c r="G67" s="20">
        <v>8.0000000000000004E-4</v>
      </c>
      <c r="H67" s="21">
        <v>5.6170999999999999E-2</v>
      </c>
      <c r="I67" s="37"/>
      <c r="J67" s="2"/>
    </row>
    <row r="68" spans="1:10" ht="12.95" customHeight="1">
      <c r="A68" s="16" t="s">
        <v>1103</v>
      </c>
      <c r="B68" s="17" t="s">
        <v>1104</v>
      </c>
      <c r="C68" s="13" t="s">
        <v>1105</v>
      </c>
      <c r="D68" s="13" t="s">
        <v>1095</v>
      </c>
      <c r="E68" s="18">
        <v>3</v>
      </c>
      <c r="F68" s="19">
        <v>30.44</v>
      </c>
      <c r="G68" s="20">
        <v>4.0000000000000002E-4</v>
      </c>
      <c r="H68" s="21">
        <v>8.86575E-2</v>
      </c>
      <c r="I68" s="37">
        <v>5.8150294999999998E-2</v>
      </c>
      <c r="J68" s="2"/>
    </row>
    <row r="69" spans="1:10" ht="12.95" customHeight="1">
      <c r="A69" s="2"/>
      <c r="B69" s="12" t="s">
        <v>172</v>
      </c>
      <c r="C69" s="13"/>
      <c r="D69" s="13"/>
      <c r="E69" s="13"/>
      <c r="F69" s="23">
        <v>16520.7</v>
      </c>
      <c r="G69" s="24">
        <v>0.2349</v>
      </c>
      <c r="H69" s="25"/>
      <c r="I69" s="26"/>
      <c r="J69" s="2"/>
    </row>
    <row r="70" spans="1:10" ht="12.95" customHeight="1">
      <c r="A70" s="2"/>
      <c r="B70" s="27" t="s">
        <v>173</v>
      </c>
      <c r="C70" s="1"/>
      <c r="D70" s="1"/>
      <c r="E70" s="1"/>
      <c r="F70" s="25" t="s">
        <v>204</v>
      </c>
      <c r="G70" s="25" t="s">
        <v>204</v>
      </c>
      <c r="H70" s="25"/>
      <c r="I70" s="26"/>
      <c r="J70" s="2"/>
    </row>
    <row r="71" spans="1:10" ht="12.95" customHeight="1">
      <c r="A71" s="2"/>
      <c r="B71" s="27" t="s">
        <v>172</v>
      </c>
      <c r="C71" s="1"/>
      <c r="D71" s="1"/>
      <c r="E71" s="1"/>
      <c r="F71" s="25" t="s">
        <v>204</v>
      </c>
      <c r="G71" s="25" t="s">
        <v>204</v>
      </c>
      <c r="H71" s="25"/>
      <c r="I71" s="26"/>
      <c r="J71" s="2"/>
    </row>
    <row r="72" spans="1:10" ht="12.95" customHeight="1">
      <c r="A72" s="2"/>
      <c r="B72" s="27" t="s">
        <v>177</v>
      </c>
      <c r="C72" s="28"/>
      <c r="D72" s="1"/>
      <c r="E72" s="28"/>
      <c r="F72" s="23">
        <v>16520.7</v>
      </c>
      <c r="G72" s="24">
        <v>0.2349</v>
      </c>
      <c r="H72" s="25"/>
      <c r="I72" s="26"/>
      <c r="J72" s="2"/>
    </row>
    <row r="73" spans="1:10" ht="12.95" customHeight="1">
      <c r="A73" s="2"/>
      <c r="B73" s="12" t="s">
        <v>219</v>
      </c>
      <c r="C73" s="13"/>
      <c r="D73" s="13"/>
      <c r="E73" s="13"/>
      <c r="F73" s="13"/>
      <c r="G73" s="13"/>
      <c r="H73" s="14"/>
      <c r="I73" s="15"/>
      <c r="J73" s="2"/>
    </row>
    <row r="74" spans="1:10" ht="12.95" customHeight="1">
      <c r="A74" s="2"/>
      <c r="B74" s="12" t="s">
        <v>1106</v>
      </c>
      <c r="C74" s="13"/>
      <c r="D74" s="38" t="s">
        <v>1107</v>
      </c>
      <c r="E74" s="13"/>
      <c r="F74" s="2"/>
      <c r="G74" s="14"/>
      <c r="H74" s="14"/>
      <c r="I74" s="15"/>
      <c r="J74" s="2"/>
    </row>
    <row r="75" spans="1:10" ht="12.95" customHeight="1">
      <c r="A75" s="16" t="s">
        <v>1108</v>
      </c>
      <c r="B75" s="17" t="s">
        <v>1109</v>
      </c>
      <c r="C75" s="13"/>
      <c r="D75" s="39" t="s">
        <v>1110</v>
      </c>
      <c r="E75" s="40"/>
      <c r="F75" s="19">
        <v>122.75</v>
      </c>
      <c r="G75" s="20">
        <v>1.6999999999999999E-3</v>
      </c>
      <c r="H75" s="21">
        <v>3.5306249999999997E-2</v>
      </c>
      <c r="I75" s="37"/>
      <c r="J75" s="2"/>
    </row>
    <row r="76" spans="1:10" ht="12.95" customHeight="1">
      <c r="A76" s="2"/>
      <c r="B76" s="12" t="s">
        <v>172</v>
      </c>
      <c r="C76" s="13"/>
      <c r="D76" s="13"/>
      <c r="E76" s="13"/>
      <c r="F76" s="23">
        <v>122.75</v>
      </c>
      <c r="G76" s="24">
        <v>1.6999999999999999E-3</v>
      </c>
      <c r="H76" s="25"/>
      <c r="I76" s="26"/>
      <c r="J76" s="2"/>
    </row>
    <row r="77" spans="1:10" ht="12.95" customHeight="1">
      <c r="A77" s="2"/>
      <c r="B77" s="27" t="s">
        <v>177</v>
      </c>
      <c r="C77" s="28"/>
      <c r="D77" s="1"/>
      <c r="E77" s="28"/>
      <c r="F77" s="23">
        <v>122.75</v>
      </c>
      <c r="G77" s="24">
        <v>1.6999999999999999E-3</v>
      </c>
      <c r="H77" s="25"/>
      <c r="I77" s="26"/>
      <c r="J77" s="2"/>
    </row>
    <row r="78" spans="1:10" ht="12.95" customHeight="1">
      <c r="A78" s="2"/>
      <c r="B78" s="12" t="s">
        <v>178</v>
      </c>
      <c r="C78" s="13"/>
      <c r="D78" s="13"/>
      <c r="E78" s="13"/>
      <c r="F78" s="13"/>
      <c r="G78" s="13"/>
      <c r="H78" s="14"/>
      <c r="I78" s="15"/>
      <c r="J78" s="2"/>
    </row>
    <row r="79" spans="1:10" ht="12.95" customHeight="1">
      <c r="A79" s="16" t="s">
        <v>179</v>
      </c>
      <c r="B79" s="17" t="s">
        <v>180</v>
      </c>
      <c r="C79" s="13"/>
      <c r="D79" s="13"/>
      <c r="E79" s="18"/>
      <c r="F79" s="19">
        <v>1367.03</v>
      </c>
      <c r="G79" s="20">
        <v>1.95E-2</v>
      </c>
      <c r="H79" s="21">
        <v>3.3046247842381735E-2</v>
      </c>
      <c r="I79" s="37"/>
      <c r="J79" s="2"/>
    </row>
    <row r="80" spans="1:10" ht="12.95" customHeight="1">
      <c r="A80" s="2"/>
      <c r="B80" s="12" t="s">
        <v>172</v>
      </c>
      <c r="C80" s="13"/>
      <c r="D80" s="13"/>
      <c r="E80" s="13"/>
      <c r="F80" s="23">
        <v>1367.03</v>
      </c>
      <c r="G80" s="24">
        <v>1.95E-2</v>
      </c>
      <c r="H80" s="25"/>
      <c r="I80" s="26"/>
      <c r="J80" s="2"/>
    </row>
    <row r="81" spans="1:10" ht="12.95" customHeight="1">
      <c r="A81" s="2"/>
      <c r="B81" s="27" t="s">
        <v>173</v>
      </c>
      <c r="C81" s="1"/>
      <c r="D81" s="1"/>
      <c r="E81" s="1"/>
      <c r="F81" s="25" t="s">
        <v>204</v>
      </c>
      <c r="G81" s="25" t="s">
        <v>204</v>
      </c>
      <c r="H81" s="25"/>
      <c r="I81" s="26"/>
      <c r="J81" s="2"/>
    </row>
    <row r="82" spans="1:10" ht="12.95" customHeight="1">
      <c r="A82" s="2"/>
      <c r="B82" s="27" t="s">
        <v>172</v>
      </c>
      <c r="C82" s="1"/>
      <c r="D82" s="1"/>
      <c r="E82" s="1"/>
      <c r="F82" s="25" t="s">
        <v>204</v>
      </c>
      <c r="G82" s="25" t="s">
        <v>204</v>
      </c>
      <c r="H82" s="25"/>
      <c r="I82" s="26"/>
      <c r="J82" s="2"/>
    </row>
    <row r="83" spans="1:10" ht="12.95" customHeight="1">
      <c r="A83" s="2"/>
      <c r="B83" s="27" t="s">
        <v>177</v>
      </c>
      <c r="C83" s="28"/>
      <c r="D83" s="1"/>
      <c r="E83" s="28"/>
      <c r="F83" s="23">
        <v>1367.03</v>
      </c>
      <c r="G83" s="24">
        <v>1.95E-2</v>
      </c>
      <c r="H83" s="25"/>
      <c r="I83" s="26"/>
      <c r="J83" s="2"/>
    </row>
    <row r="84" spans="1:10" ht="12.95" customHeight="1">
      <c r="A84" s="2"/>
      <c r="B84" s="27" t="s">
        <v>181</v>
      </c>
      <c r="C84" s="13"/>
      <c r="D84" s="1"/>
      <c r="E84" s="13"/>
      <c r="F84" s="29">
        <v>629.22</v>
      </c>
      <c r="G84" s="24">
        <v>8.8999999999999999E-3</v>
      </c>
      <c r="H84" s="25"/>
      <c r="I84" s="26"/>
      <c r="J84" s="2"/>
    </row>
    <row r="85" spans="1:10" ht="12.95" customHeight="1">
      <c r="A85" s="2"/>
      <c r="B85" s="30" t="s">
        <v>182</v>
      </c>
      <c r="C85" s="31"/>
      <c r="D85" s="31"/>
      <c r="E85" s="31"/>
      <c r="F85" s="32">
        <v>70271.98</v>
      </c>
      <c r="G85" s="33">
        <v>1</v>
      </c>
      <c r="H85" s="34"/>
      <c r="I85" s="35"/>
      <c r="J85" s="2"/>
    </row>
    <row r="86" spans="1:10" ht="12.95" customHeight="1">
      <c r="A86" s="2"/>
      <c r="B86" s="5"/>
      <c r="C86" s="2"/>
      <c r="D86" s="2"/>
      <c r="E86" s="2"/>
      <c r="F86" s="2"/>
      <c r="G86" s="2"/>
      <c r="H86" s="2"/>
      <c r="I86" s="2"/>
      <c r="J86" s="2"/>
    </row>
    <row r="87" spans="1:10" ht="12.95" customHeight="1">
      <c r="A87" s="2"/>
      <c r="B87" s="3" t="s">
        <v>244</v>
      </c>
      <c r="C87" s="2"/>
      <c r="D87" s="2"/>
      <c r="E87" s="2"/>
      <c r="F87" s="2"/>
      <c r="G87" s="2"/>
      <c r="H87" s="2"/>
      <c r="I87" s="2"/>
      <c r="J87" s="2"/>
    </row>
    <row r="88" spans="1:10" ht="12.95" customHeight="1">
      <c r="A88" s="2"/>
      <c r="B88" s="3" t="s">
        <v>184</v>
      </c>
      <c r="C88" s="2"/>
      <c r="D88" s="2"/>
      <c r="E88" s="2"/>
      <c r="F88" s="2"/>
      <c r="G88" s="2"/>
      <c r="H88" s="2"/>
      <c r="I88" s="2"/>
      <c r="J88" s="2"/>
    </row>
    <row r="89" spans="1:10" ht="12.95" customHeight="1">
      <c r="A89" s="2"/>
      <c r="B89" s="3" t="s">
        <v>186</v>
      </c>
      <c r="C89" s="2"/>
      <c r="D89" s="2"/>
      <c r="E89" s="2"/>
      <c r="F89" s="2"/>
      <c r="G89" s="2"/>
      <c r="H89" s="2"/>
      <c r="I89" s="2"/>
      <c r="J89" s="2"/>
    </row>
    <row r="90" spans="1:10" ht="26.25" customHeight="1">
      <c r="A90" s="2"/>
      <c r="B90" s="189" t="s">
        <v>4025</v>
      </c>
      <c r="C90" s="189"/>
      <c r="D90" s="189"/>
      <c r="E90" s="189"/>
      <c r="F90" s="189"/>
      <c r="G90" s="189"/>
      <c r="H90" s="189"/>
      <c r="I90" s="189"/>
      <c r="J90" s="2"/>
    </row>
    <row r="91" spans="1:10" ht="12.95" customHeight="1">
      <c r="A91" s="2"/>
      <c r="B91" s="3"/>
      <c r="C91" s="2"/>
      <c r="D91" s="2"/>
      <c r="E91" s="2"/>
      <c r="F91" s="2"/>
      <c r="G91" s="2"/>
      <c r="H91" s="2"/>
      <c r="I91" s="2"/>
      <c r="J91" s="2"/>
    </row>
    <row r="92" spans="1:10">
      <c r="C92" s="111" t="s">
        <v>3941</v>
      </c>
    </row>
    <row r="93" spans="1:10">
      <c r="B93" s="111" t="s">
        <v>3933</v>
      </c>
      <c r="C93" s="111" t="s">
        <v>3934</v>
      </c>
    </row>
  </sheetData>
  <mergeCells count="2">
    <mergeCell ref="B2:I2"/>
    <mergeCell ref="B90:I9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51"/>
  <sheetViews>
    <sheetView workbookViewId="0"/>
  </sheetViews>
  <sheetFormatPr defaultRowHeight="15"/>
  <cols>
    <col min="1" max="1" width="3.28515625" customWidth="1"/>
    <col min="2" max="2" width="71.28515625" customWidth="1"/>
    <col min="3" max="3" width="26.140625" bestFit="1" customWidth="1"/>
    <col min="4" max="4" width="33.28515625" customWidth="1"/>
    <col min="5" max="5" width="25.7109375" customWidth="1"/>
    <col min="6" max="6" width="20.85546875" bestFit="1" customWidth="1"/>
    <col min="7" max="9" width="10.7109375" customWidth="1"/>
    <col min="10" max="10" width="3.85546875" bestFit="1" customWidth="1"/>
  </cols>
  <sheetData>
    <row r="1" spans="1:13" ht="15.75" thickBot="1">
      <c r="A1" s="108" t="str">
        <f>M2</f>
        <v>AXISCOF</v>
      </c>
    </row>
    <row r="2" spans="1:13" ht="34.5" customHeight="1" thickBot="1">
      <c r="A2" s="135" t="str">
        <f>M2</f>
        <v>AXISCOF</v>
      </c>
      <c r="B2" s="186" t="s">
        <v>28</v>
      </c>
      <c r="C2" s="187"/>
      <c r="D2" s="187"/>
      <c r="E2" s="187"/>
      <c r="F2" s="187"/>
      <c r="G2" s="187"/>
      <c r="H2" s="187"/>
      <c r="I2" s="188"/>
      <c r="J2" s="2"/>
      <c r="M2" s="108" t="s">
        <v>27</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860</v>
      </c>
      <c r="C6" s="13"/>
      <c r="D6" s="13"/>
      <c r="E6" s="13"/>
      <c r="F6" s="13"/>
      <c r="G6" s="13"/>
      <c r="H6" s="14"/>
      <c r="I6" s="15"/>
      <c r="J6" s="2"/>
    </row>
    <row r="7" spans="1:13" ht="12.95" customHeight="1">
      <c r="A7" s="2"/>
      <c r="B7" s="104" t="s">
        <v>3920</v>
      </c>
      <c r="C7" s="13"/>
      <c r="D7" s="13"/>
      <c r="E7" s="13"/>
      <c r="F7" s="2"/>
      <c r="G7" s="14"/>
      <c r="H7" s="14"/>
      <c r="I7" s="15"/>
      <c r="J7" s="2"/>
    </row>
    <row r="8" spans="1:13" ht="12.95" customHeight="1">
      <c r="A8" s="16" t="s">
        <v>1111</v>
      </c>
      <c r="B8" s="133" t="s">
        <v>3992</v>
      </c>
      <c r="C8" s="13"/>
      <c r="D8" s="13"/>
      <c r="E8" s="18"/>
      <c r="F8" s="19">
        <f>-2496.78+2500</f>
        <v>3.2199999999997999</v>
      </c>
      <c r="G8" s="20">
        <v>0</v>
      </c>
      <c r="H8" s="21">
        <v>4.437E-2</v>
      </c>
      <c r="I8" s="22"/>
      <c r="J8" s="2"/>
    </row>
    <row r="9" spans="1:13" ht="12.95" customHeight="1">
      <c r="A9" s="16" t="s">
        <v>1112</v>
      </c>
      <c r="B9" s="133" t="s">
        <v>4023</v>
      </c>
      <c r="C9" s="13"/>
      <c r="D9" s="13"/>
      <c r="E9" s="18"/>
      <c r="F9" s="19">
        <f>-4997.21+5000</f>
        <v>2.7899999999999636</v>
      </c>
      <c r="G9" s="20">
        <v>0</v>
      </c>
      <c r="H9" s="21">
        <v>3.9683000000000003E-2</v>
      </c>
      <c r="I9" s="22"/>
      <c r="J9" s="2"/>
    </row>
    <row r="10" spans="1:13" ht="12.95" customHeight="1">
      <c r="A10" s="16" t="s">
        <v>1113</v>
      </c>
      <c r="B10" s="133" t="s">
        <v>3993</v>
      </c>
      <c r="C10" s="13"/>
      <c r="D10" s="13"/>
      <c r="E10" s="18"/>
      <c r="F10" s="19">
        <f>-4997.81+5000</f>
        <v>2.1899999999995998</v>
      </c>
      <c r="G10" s="20">
        <v>0</v>
      </c>
      <c r="H10" s="21">
        <v>3.9696000000000002E-2</v>
      </c>
      <c r="I10" s="22"/>
      <c r="J10" s="2"/>
    </row>
    <row r="11" spans="1:13" ht="12.95" customHeight="1">
      <c r="A11" s="16" t="s">
        <v>1114</v>
      </c>
      <c r="B11" s="133" t="s">
        <v>3994</v>
      </c>
      <c r="C11" s="13"/>
      <c r="D11" s="13"/>
      <c r="E11" s="18"/>
      <c r="F11" s="19">
        <f>-9995.84+10000</f>
        <v>4.1599999999998545</v>
      </c>
      <c r="G11" s="20">
        <v>0</v>
      </c>
      <c r="H11" s="21">
        <v>3.9696000000000002E-2</v>
      </c>
      <c r="I11" s="22"/>
      <c r="J11" s="2"/>
    </row>
    <row r="12" spans="1:13" ht="12.95" customHeight="1">
      <c r="A12" s="2"/>
      <c r="B12" s="12" t="s">
        <v>172</v>
      </c>
      <c r="C12" s="13"/>
      <c r="D12" s="13"/>
      <c r="E12" s="13"/>
      <c r="F12" s="23">
        <v>12.36</v>
      </c>
      <c r="G12" s="24">
        <v>0</v>
      </c>
      <c r="H12" s="25"/>
      <c r="I12" s="26"/>
      <c r="J12" s="2"/>
    </row>
    <row r="13" spans="1:13" ht="12.95" customHeight="1">
      <c r="A13" s="2"/>
      <c r="B13" s="27" t="s">
        <v>177</v>
      </c>
      <c r="C13" s="28"/>
      <c r="D13" s="1"/>
      <c r="E13" s="28"/>
      <c r="F13" s="23">
        <v>12.36</v>
      </c>
      <c r="G13" s="24">
        <v>0</v>
      </c>
      <c r="H13" s="25"/>
      <c r="I13" s="26"/>
      <c r="J13" s="2"/>
    </row>
    <row r="14" spans="1:13" ht="12.95" customHeight="1">
      <c r="A14" s="2"/>
      <c r="B14" s="12" t="s">
        <v>127</v>
      </c>
      <c r="C14" s="13"/>
      <c r="D14" s="13"/>
      <c r="E14" s="13"/>
      <c r="F14" s="13"/>
      <c r="G14" s="13"/>
      <c r="H14" s="14"/>
      <c r="I14" s="15"/>
      <c r="J14" s="2"/>
    </row>
    <row r="15" spans="1:13" ht="12.95" customHeight="1">
      <c r="A15" s="2"/>
      <c r="B15" s="12" t="s">
        <v>128</v>
      </c>
      <c r="C15" s="13"/>
      <c r="D15" s="13"/>
      <c r="E15" s="13"/>
      <c r="F15" s="2"/>
      <c r="G15" s="14"/>
      <c r="H15" s="14"/>
      <c r="I15" s="15"/>
      <c r="J15" s="2"/>
    </row>
    <row r="16" spans="1:13" ht="12.95" customHeight="1">
      <c r="A16" s="16" t="s">
        <v>332</v>
      </c>
      <c r="B16" s="17" t="s">
        <v>333</v>
      </c>
      <c r="C16" s="13" t="s">
        <v>334</v>
      </c>
      <c r="D16" s="13" t="s">
        <v>171</v>
      </c>
      <c r="E16" s="18">
        <v>2750</v>
      </c>
      <c r="F16" s="19">
        <v>27568.09</v>
      </c>
      <c r="G16" s="20">
        <v>5.0299999999999997E-2</v>
      </c>
      <c r="H16" s="21">
        <v>4.2549999999999998E-2</v>
      </c>
      <c r="I16" s="22"/>
      <c r="J16" s="2"/>
    </row>
    <row r="17" spans="1:10" ht="12.95" customHeight="1">
      <c r="A17" s="16" t="s">
        <v>1115</v>
      </c>
      <c r="B17" s="17" t="s">
        <v>1116</v>
      </c>
      <c r="C17" s="13" t="s">
        <v>1117</v>
      </c>
      <c r="D17" s="13" t="s">
        <v>200</v>
      </c>
      <c r="E17" s="18">
        <v>23500000</v>
      </c>
      <c r="F17" s="19">
        <v>23468.28</v>
      </c>
      <c r="G17" s="20">
        <v>4.2799999999999998E-2</v>
      </c>
      <c r="H17" s="21">
        <v>5.6635999999999999E-2</v>
      </c>
      <c r="I17" s="22"/>
      <c r="J17" s="2"/>
    </row>
    <row r="18" spans="1:10" ht="12.95" customHeight="1">
      <c r="A18" s="16" t="s">
        <v>1118</v>
      </c>
      <c r="B18" s="17" t="s">
        <v>1119</v>
      </c>
      <c r="C18" s="13" t="s">
        <v>1120</v>
      </c>
      <c r="D18" s="13" t="s">
        <v>132</v>
      </c>
      <c r="E18" s="18">
        <v>1795</v>
      </c>
      <c r="F18" s="19">
        <v>22397.85</v>
      </c>
      <c r="G18" s="20">
        <v>4.0800000000000003E-2</v>
      </c>
      <c r="H18" s="21">
        <v>6.7150000000000001E-2</v>
      </c>
      <c r="I18" s="22"/>
      <c r="J18" s="2"/>
    </row>
    <row r="19" spans="1:10" ht="12.95" customHeight="1">
      <c r="A19" s="16" t="s">
        <v>1048</v>
      </c>
      <c r="B19" s="17" t="s">
        <v>1049</v>
      </c>
      <c r="C19" s="13" t="s">
        <v>1050</v>
      </c>
      <c r="D19" s="13" t="s">
        <v>200</v>
      </c>
      <c r="E19" s="18">
        <v>21500000</v>
      </c>
      <c r="F19" s="19">
        <v>21892.53</v>
      </c>
      <c r="G19" s="20">
        <v>3.9899999999999998E-2</v>
      </c>
      <c r="H19" s="21"/>
      <c r="I19" s="22"/>
      <c r="J19" s="2"/>
    </row>
    <row r="20" spans="1:10" ht="12.95" customHeight="1">
      <c r="A20" s="16" t="s">
        <v>1121</v>
      </c>
      <c r="B20" s="17" t="s">
        <v>1122</v>
      </c>
      <c r="C20" s="13" t="s">
        <v>1123</v>
      </c>
      <c r="D20" s="13" t="s">
        <v>196</v>
      </c>
      <c r="E20" s="18">
        <v>1850</v>
      </c>
      <c r="F20" s="19">
        <v>18914.990000000002</v>
      </c>
      <c r="G20" s="20">
        <v>3.4500000000000003E-2</v>
      </c>
      <c r="H20" s="21">
        <v>5.4050000000000001E-2</v>
      </c>
      <c r="I20" s="22"/>
      <c r="J20" s="2"/>
    </row>
    <row r="21" spans="1:10" ht="12.95" customHeight="1">
      <c r="A21" s="16" t="s">
        <v>1124</v>
      </c>
      <c r="B21" s="17" t="s">
        <v>1125</v>
      </c>
      <c r="C21" s="13" t="s">
        <v>1126</v>
      </c>
      <c r="D21" s="13" t="s">
        <v>132</v>
      </c>
      <c r="E21" s="18">
        <v>1540</v>
      </c>
      <c r="F21" s="19">
        <v>16294.69</v>
      </c>
      <c r="G21" s="20">
        <v>2.9700000000000001E-2</v>
      </c>
      <c r="H21" s="21">
        <v>4.7550000000000002E-2</v>
      </c>
      <c r="I21" s="22"/>
      <c r="J21" s="2"/>
    </row>
    <row r="22" spans="1:10" ht="12.95" customHeight="1">
      <c r="A22" s="16" t="s">
        <v>1127</v>
      </c>
      <c r="B22" s="17" t="s">
        <v>1128</v>
      </c>
      <c r="C22" s="13" t="s">
        <v>1129</v>
      </c>
      <c r="D22" s="13" t="s">
        <v>132</v>
      </c>
      <c r="E22" s="18">
        <v>1500</v>
      </c>
      <c r="F22" s="19">
        <v>15008.58</v>
      </c>
      <c r="G22" s="20">
        <v>2.7400000000000001E-2</v>
      </c>
      <c r="H22" s="21">
        <v>3.9749E-2</v>
      </c>
      <c r="I22" s="22"/>
      <c r="J22" s="2"/>
    </row>
    <row r="23" spans="1:10" ht="12.95" customHeight="1">
      <c r="A23" s="16" t="s">
        <v>577</v>
      </c>
      <c r="B23" s="17" t="s">
        <v>578</v>
      </c>
      <c r="C23" s="13" t="s">
        <v>579</v>
      </c>
      <c r="D23" s="13" t="s">
        <v>132</v>
      </c>
      <c r="E23" s="18">
        <v>1400</v>
      </c>
      <c r="F23" s="19">
        <v>14242.7</v>
      </c>
      <c r="G23" s="20">
        <v>2.5999999999999999E-2</v>
      </c>
      <c r="H23" s="21">
        <v>4.2000000000000003E-2</v>
      </c>
      <c r="I23" s="22"/>
      <c r="J23" s="2"/>
    </row>
    <row r="24" spans="1:10" ht="12.95" customHeight="1">
      <c r="A24" s="16" t="s">
        <v>152</v>
      </c>
      <c r="B24" s="17" t="s">
        <v>153</v>
      </c>
      <c r="C24" s="13" t="s">
        <v>154</v>
      </c>
      <c r="D24" s="13" t="s">
        <v>132</v>
      </c>
      <c r="E24" s="18">
        <v>1200</v>
      </c>
      <c r="F24" s="19">
        <v>12220.82</v>
      </c>
      <c r="G24" s="20">
        <v>2.23E-2</v>
      </c>
      <c r="H24" s="21">
        <v>3.7999999999999999E-2</v>
      </c>
      <c r="I24" s="22"/>
      <c r="J24" s="2"/>
    </row>
    <row r="25" spans="1:10" ht="12.95" customHeight="1">
      <c r="A25" s="16" t="s">
        <v>1054</v>
      </c>
      <c r="B25" s="17" t="s">
        <v>1055</v>
      </c>
      <c r="C25" s="13" t="s">
        <v>1056</v>
      </c>
      <c r="D25" s="13" t="s">
        <v>161</v>
      </c>
      <c r="E25" s="18">
        <v>1150</v>
      </c>
      <c r="F25" s="19">
        <v>11625.28</v>
      </c>
      <c r="G25" s="20">
        <v>2.12E-2</v>
      </c>
      <c r="H25" s="21">
        <v>6.93E-2</v>
      </c>
      <c r="I25" s="22"/>
      <c r="J25" s="2"/>
    </row>
    <row r="26" spans="1:10" ht="12.95" customHeight="1">
      <c r="A26" s="16" t="s">
        <v>1130</v>
      </c>
      <c r="B26" s="17" t="s">
        <v>1131</v>
      </c>
      <c r="C26" s="13" t="s">
        <v>1132</v>
      </c>
      <c r="D26" s="13" t="s">
        <v>132</v>
      </c>
      <c r="E26" s="18">
        <v>1000</v>
      </c>
      <c r="F26" s="19">
        <v>10372.450000000001</v>
      </c>
      <c r="G26" s="20">
        <v>1.89E-2</v>
      </c>
      <c r="H26" s="21">
        <v>5.21E-2</v>
      </c>
      <c r="I26" s="22"/>
      <c r="J26" s="2"/>
    </row>
    <row r="27" spans="1:10" ht="12.95" customHeight="1">
      <c r="A27" s="16" t="s">
        <v>1133</v>
      </c>
      <c r="B27" s="17" t="s">
        <v>1134</v>
      </c>
      <c r="C27" s="13" t="s">
        <v>1135</v>
      </c>
      <c r="D27" s="13" t="s">
        <v>132</v>
      </c>
      <c r="E27" s="18">
        <v>1000</v>
      </c>
      <c r="F27" s="19">
        <v>10324.98</v>
      </c>
      <c r="G27" s="20">
        <v>1.8800000000000001E-2</v>
      </c>
      <c r="H27" s="21">
        <v>5.21E-2</v>
      </c>
      <c r="I27" s="22"/>
      <c r="J27" s="2"/>
    </row>
    <row r="28" spans="1:10" ht="12.95" customHeight="1">
      <c r="A28" s="16" t="s">
        <v>380</v>
      </c>
      <c r="B28" s="17" t="s">
        <v>381</v>
      </c>
      <c r="C28" s="13" t="s">
        <v>382</v>
      </c>
      <c r="D28" s="13" t="s">
        <v>132</v>
      </c>
      <c r="E28" s="18">
        <v>1000</v>
      </c>
      <c r="F28" s="19">
        <v>10248.48</v>
      </c>
      <c r="G28" s="20">
        <v>1.8700000000000001E-2</v>
      </c>
      <c r="H28" s="21">
        <v>4.3499999999999997E-2</v>
      </c>
      <c r="I28" s="22"/>
      <c r="J28" s="2"/>
    </row>
    <row r="29" spans="1:10" ht="12.95" customHeight="1">
      <c r="A29" s="16" t="s">
        <v>305</v>
      </c>
      <c r="B29" s="17" t="s">
        <v>306</v>
      </c>
      <c r="C29" s="13" t="s">
        <v>307</v>
      </c>
      <c r="D29" s="13" t="s">
        <v>132</v>
      </c>
      <c r="E29" s="18">
        <v>1000</v>
      </c>
      <c r="F29" s="19">
        <v>10223.9</v>
      </c>
      <c r="G29" s="20">
        <v>1.8599999999999998E-2</v>
      </c>
      <c r="H29" s="21">
        <v>4.3298999999999997E-2</v>
      </c>
      <c r="I29" s="22"/>
      <c r="J29" s="2"/>
    </row>
    <row r="30" spans="1:10" ht="12.95" customHeight="1">
      <c r="A30" s="16" t="s">
        <v>430</v>
      </c>
      <c r="B30" s="17" t="s">
        <v>431</v>
      </c>
      <c r="C30" s="13" t="s">
        <v>432</v>
      </c>
      <c r="D30" s="13" t="s">
        <v>171</v>
      </c>
      <c r="E30" s="18">
        <v>1000</v>
      </c>
      <c r="F30" s="19">
        <v>10154.32</v>
      </c>
      <c r="G30" s="20">
        <v>1.8499999999999999E-2</v>
      </c>
      <c r="H30" s="21">
        <v>5.1499999999999997E-2</v>
      </c>
      <c r="I30" s="22"/>
      <c r="J30" s="2"/>
    </row>
    <row r="31" spans="1:10" ht="12.95" customHeight="1">
      <c r="A31" s="16" t="s">
        <v>1136</v>
      </c>
      <c r="B31" s="17" t="s">
        <v>1137</v>
      </c>
      <c r="C31" s="13" t="s">
        <v>1138</v>
      </c>
      <c r="D31" s="13" t="s">
        <v>132</v>
      </c>
      <c r="E31" s="18">
        <v>1000</v>
      </c>
      <c r="F31" s="19">
        <v>10083.14</v>
      </c>
      <c r="G31" s="20">
        <v>1.84E-2</v>
      </c>
      <c r="H31" s="21">
        <v>6.4118999999999995E-2</v>
      </c>
      <c r="I31" s="22"/>
      <c r="J31" s="2"/>
    </row>
    <row r="32" spans="1:10" ht="12.95" customHeight="1">
      <c r="A32" s="16" t="s">
        <v>1139</v>
      </c>
      <c r="B32" s="17" t="s">
        <v>1140</v>
      </c>
      <c r="C32" s="13" t="s">
        <v>1141</v>
      </c>
      <c r="D32" s="13" t="s">
        <v>132</v>
      </c>
      <c r="E32" s="18">
        <v>1000</v>
      </c>
      <c r="F32" s="19">
        <v>10076.200000000001</v>
      </c>
      <c r="G32" s="20">
        <v>1.84E-2</v>
      </c>
      <c r="H32" s="21">
        <v>5.4199999999999998E-2</v>
      </c>
      <c r="I32" s="22"/>
      <c r="J32" s="2"/>
    </row>
    <row r="33" spans="1:10" ht="12.95" customHeight="1">
      <c r="A33" s="16" t="s">
        <v>1142</v>
      </c>
      <c r="B33" s="17" t="s">
        <v>1143</v>
      </c>
      <c r="C33" s="13" t="s">
        <v>1144</v>
      </c>
      <c r="D33" s="13" t="s">
        <v>132</v>
      </c>
      <c r="E33" s="18">
        <v>1000</v>
      </c>
      <c r="F33" s="19">
        <v>10076.08</v>
      </c>
      <c r="G33" s="20">
        <v>1.84E-2</v>
      </c>
      <c r="H33" s="21">
        <v>6.8207000000000004E-2</v>
      </c>
      <c r="I33" s="22"/>
      <c r="J33" s="2"/>
    </row>
    <row r="34" spans="1:10" ht="12.95" customHeight="1">
      <c r="A34" s="16" t="s">
        <v>1145</v>
      </c>
      <c r="B34" s="17" t="s">
        <v>1146</v>
      </c>
      <c r="C34" s="13" t="s">
        <v>1147</v>
      </c>
      <c r="D34" s="13" t="s">
        <v>196</v>
      </c>
      <c r="E34" s="18">
        <v>1000</v>
      </c>
      <c r="F34" s="19">
        <v>9937.39</v>
      </c>
      <c r="G34" s="20">
        <v>1.8100000000000002E-2</v>
      </c>
      <c r="H34" s="21">
        <v>6.275E-2</v>
      </c>
      <c r="I34" s="22"/>
      <c r="J34" s="2"/>
    </row>
    <row r="35" spans="1:10" ht="12.95" customHeight="1">
      <c r="A35" s="16" t="s">
        <v>526</v>
      </c>
      <c r="B35" s="17" t="s">
        <v>527</v>
      </c>
      <c r="C35" s="13" t="s">
        <v>528</v>
      </c>
      <c r="D35" s="13" t="s">
        <v>132</v>
      </c>
      <c r="E35" s="18">
        <v>800</v>
      </c>
      <c r="F35" s="19">
        <v>8295.26</v>
      </c>
      <c r="G35" s="20">
        <v>1.5100000000000001E-2</v>
      </c>
      <c r="H35" s="21">
        <v>4.7149999999999997E-2</v>
      </c>
      <c r="I35" s="22"/>
      <c r="J35" s="2"/>
    </row>
    <row r="36" spans="1:10" ht="12.95" customHeight="1">
      <c r="A36" s="16" t="s">
        <v>460</v>
      </c>
      <c r="B36" s="17" t="s">
        <v>461</v>
      </c>
      <c r="C36" s="13" t="s">
        <v>462</v>
      </c>
      <c r="D36" s="13" t="s">
        <v>200</v>
      </c>
      <c r="E36" s="18">
        <v>7500000</v>
      </c>
      <c r="F36" s="19">
        <v>7921.36</v>
      </c>
      <c r="G36" s="20">
        <v>1.44E-2</v>
      </c>
      <c r="H36" s="21">
        <v>4.8341000000000002E-2</v>
      </c>
      <c r="I36" s="22"/>
      <c r="J36" s="2"/>
    </row>
    <row r="37" spans="1:10" ht="12.95" customHeight="1">
      <c r="A37" s="16" t="s">
        <v>1148</v>
      </c>
      <c r="B37" s="17" t="s">
        <v>1149</v>
      </c>
      <c r="C37" s="13" t="s">
        <v>1150</v>
      </c>
      <c r="D37" s="13" t="s">
        <v>132</v>
      </c>
      <c r="E37" s="18">
        <v>750</v>
      </c>
      <c r="F37" s="19">
        <v>7584.86</v>
      </c>
      <c r="G37" s="20">
        <v>1.38E-2</v>
      </c>
      <c r="H37" s="21">
        <v>6.6699999999999995E-2</v>
      </c>
      <c r="I37" s="22"/>
      <c r="J37" s="2"/>
    </row>
    <row r="38" spans="1:10" ht="12.95" customHeight="1">
      <c r="A38" s="16" t="s">
        <v>1151</v>
      </c>
      <c r="B38" s="17" t="s">
        <v>1152</v>
      </c>
      <c r="C38" s="13" t="s">
        <v>1153</v>
      </c>
      <c r="D38" s="13" t="s">
        <v>132</v>
      </c>
      <c r="E38" s="18">
        <v>750</v>
      </c>
      <c r="F38" s="19">
        <v>7569.44</v>
      </c>
      <c r="G38" s="20">
        <v>1.38E-2</v>
      </c>
      <c r="H38" s="21">
        <v>6.0600000000000001E-2</v>
      </c>
      <c r="I38" s="22"/>
      <c r="J38" s="2"/>
    </row>
    <row r="39" spans="1:10" ht="12.95" customHeight="1">
      <c r="A39" s="16" t="s">
        <v>1154</v>
      </c>
      <c r="B39" s="17" t="s">
        <v>1155</v>
      </c>
      <c r="C39" s="13" t="s">
        <v>1156</v>
      </c>
      <c r="D39" s="13" t="s">
        <v>132</v>
      </c>
      <c r="E39" s="18">
        <v>750</v>
      </c>
      <c r="F39" s="19">
        <v>7482.82</v>
      </c>
      <c r="G39" s="20">
        <v>1.3599999999999999E-2</v>
      </c>
      <c r="H39" s="21">
        <v>6.8150000000000002E-2</v>
      </c>
      <c r="I39" s="22"/>
      <c r="J39" s="2"/>
    </row>
    <row r="40" spans="1:10" ht="12.95" customHeight="1">
      <c r="A40" s="16" t="s">
        <v>1157</v>
      </c>
      <c r="B40" s="17" t="s">
        <v>1158</v>
      </c>
      <c r="C40" s="13" t="s">
        <v>1159</v>
      </c>
      <c r="D40" s="13" t="s">
        <v>200</v>
      </c>
      <c r="E40" s="18">
        <v>6000000</v>
      </c>
      <c r="F40" s="19">
        <v>6323.41</v>
      </c>
      <c r="G40" s="20">
        <v>1.15E-2</v>
      </c>
      <c r="H40" s="21">
        <v>4.5037000000000001E-2</v>
      </c>
      <c r="I40" s="22"/>
      <c r="J40" s="2"/>
    </row>
    <row r="41" spans="1:10" ht="12.95" customHeight="1">
      <c r="A41" s="16" t="s">
        <v>158</v>
      </c>
      <c r="B41" s="17" t="s">
        <v>159</v>
      </c>
      <c r="C41" s="13" t="s">
        <v>160</v>
      </c>
      <c r="D41" s="13" t="s">
        <v>161</v>
      </c>
      <c r="E41" s="18">
        <v>600</v>
      </c>
      <c r="F41" s="19">
        <v>6151.55</v>
      </c>
      <c r="G41" s="20">
        <v>1.12E-2</v>
      </c>
      <c r="H41" s="21">
        <v>3.7691000000000002E-2</v>
      </c>
      <c r="I41" s="22"/>
      <c r="J41" s="2"/>
    </row>
    <row r="42" spans="1:10" ht="12.95" customHeight="1">
      <c r="A42" s="16" t="s">
        <v>1160</v>
      </c>
      <c r="B42" s="17" t="s">
        <v>1161</v>
      </c>
      <c r="C42" s="13" t="s">
        <v>1162</v>
      </c>
      <c r="D42" s="13" t="s">
        <v>132</v>
      </c>
      <c r="E42" s="18">
        <v>570</v>
      </c>
      <c r="F42" s="19">
        <v>5795.63</v>
      </c>
      <c r="G42" s="20">
        <v>1.06E-2</v>
      </c>
      <c r="H42" s="21">
        <v>4.1600999999999999E-2</v>
      </c>
      <c r="I42" s="22"/>
      <c r="J42" s="2"/>
    </row>
    <row r="43" spans="1:10" ht="12.95" customHeight="1">
      <c r="A43" s="16" t="s">
        <v>1074</v>
      </c>
      <c r="B43" s="17" t="s">
        <v>1075</v>
      </c>
      <c r="C43" s="13" t="s">
        <v>1076</v>
      </c>
      <c r="D43" s="13" t="s">
        <v>200</v>
      </c>
      <c r="E43" s="18">
        <v>5500000</v>
      </c>
      <c r="F43" s="19">
        <v>5452.74</v>
      </c>
      <c r="G43" s="20">
        <v>9.9000000000000008E-3</v>
      </c>
      <c r="H43" s="21">
        <v>6.2170000000000003E-2</v>
      </c>
      <c r="I43" s="22"/>
      <c r="J43" s="2"/>
    </row>
    <row r="44" spans="1:10" ht="12.95" customHeight="1">
      <c r="A44" s="16" t="s">
        <v>1163</v>
      </c>
      <c r="B44" s="17" t="s">
        <v>1164</v>
      </c>
      <c r="C44" s="13" t="s">
        <v>1165</v>
      </c>
      <c r="D44" s="13" t="s">
        <v>200</v>
      </c>
      <c r="E44" s="18">
        <v>5000000</v>
      </c>
      <c r="F44" s="19">
        <v>5232.32</v>
      </c>
      <c r="G44" s="20">
        <v>9.4999999999999998E-3</v>
      </c>
      <c r="H44" s="21">
        <v>6.2136999999999998E-2</v>
      </c>
      <c r="I44" s="22"/>
      <c r="J44" s="2"/>
    </row>
    <row r="45" spans="1:10" ht="12.95" customHeight="1">
      <c r="A45" s="16" t="s">
        <v>1166</v>
      </c>
      <c r="B45" s="17" t="s">
        <v>1167</v>
      </c>
      <c r="C45" s="13" t="s">
        <v>1168</v>
      </c>
      <c r="D45" s="13" t="s">
        <v>132</v>
      </c>
      <c r="E45" s="18">
        <v>500</v>
      </c>
      <c r="F45" s="19">
        <v>5157.75</v>
      </c>
      <c r="G45" s="20">
        <v>9.4000000000000004E-3</v>
      </c>
      <c r="H45" s="21">
        <v>6.5099000000000004E-2</v>
      </c>
      <c r="I45" s="22"/>
      <c r="J45" s="2"/>
    </row>
    <row r="46" spans="1:10" ht="12.95" customHeight="1">
      <c r="A46" s="16" t="s">
        <v>1063</v>
      </c>
      <c r="B46" s="17" t="s">
        <v>1064</v>
      </c>
      <c r="C46" s="13" t="s">
        <v>1065</v>
      </c>
      <c r="D46" s="13" t="s">
        <v>132</v>
      </c>
      <c r="E46" s="18">
        <v>500</v>
      </c>
      <c r="F46" s="19">
        <v>5120.68</v>
      </c>
      <c r="G46" s="20">
        <v>9.2999999999999992E-3</v>
      </c>
      <c r="H46" s="21">
        <v>4.2349999999999999E-2</v>
      </c>
      <c r="I46" s="22"/>
      <c r="J46" s="2"/>
    </row>
    <row r="47" spans="1:10" ht="12.95" customHeight="1">
      <c r="A47" s="16" t="s">
        <v>1169</v>
      </c>
      <c r="B47" s="17" t="s">
        <v>1170</v>
      </c>
      <c r="C47" s="13" t="s">
        <v>1171</v>
      </c>
      <c r="D47" s="13" t="s">
        <v>132</v>
      </c>
      <c r="E47" s="18">
        <v>500</v>
      </c>
      <c r="F47" s="19">
        <v>5109.95</v>
      </c>
      <c r="G47" s="20">
        <v>9.2999999999999992E-3</v>
      </c>
      <c r="H47" s="21">
        <v>4.4600000000000001E-2</v>
      </c>
      <c r="I47" s="22"/>
      <c r="J47" s="2"/>
    </row>
    <row r="48" spans="1:10" ht="12.95" customHeight="1">
      <c r="A48" s="16" t="s">
        <v>1172</v>
      </c>
      <c r="B48" s="17" t="s">
        <v>1173</v>
      </c>
      <c r="C48" s="13" t="s">
        <v>1174</v>
      </c>
      <c r="D48" s="13" t="s">
        <v>132</v>
      </c>
      <c r="E48" s="18">
        <v>500</v>
      </c>
      <c r="F48" s="19">
        <v>5107.76</v>
      </c>
      <c r="G48" s="20">
        <v>9.2999999999999992E-3</v>
      </c>
      <c r="H48" s="21">
        <v>6.1800000000000001E-2</v>
      </c>
      <c r="I48" s="22"/>
      <c r="J48" s="2"/>
    </row>
    <row r="49" spans="1:10" ht="12.95" customHeight="1">
      <c r="A49" s="16" t="s">
        <v>165</v>
      </c>
      <c r="B49" s="17" t="s">
        <v>166</v>
      </c>
      <c r="C49" s="13" t="s">
        <v>167</v>
      </c>
      <c r="D49" s="13" t="s">
        <v>132</v>
      </c>
      <c r="E49" s="18">
        <v>500</v>
      </c>
      <c r="F49" s="19">
        <v>5099.92</v>
      </c>
      <c r="G49" s="20">
        <v>9.2999999999999992E-3</v>
      </c>
      <c r="H49" s="21">
        <v>3.9751000000000002E-2</v>
      </c>
      <c r="I49" s="22"/>
      <c r="J49" s="2"/>
    </row>
    <row r="50" spans="1:10" ht="12.95" customHeight="1">
      <c r="A50" s="16" t="s">
        <v>1175</v>
      </c>
      <c r="B50" s="17" t="s">
        <v>1176</v>
      </c>
      <c r="C50" s="13" t="s">
        <v>1177</v>
      </c>
      <c r="D50" s="13" t="s">
        <v>132</v>
      </c>
      <c r="E50" s="18">
        <v>500</v>
      </c>
      <c r="F50" s="19">
        <v>5054.03</v>
      </c>
      <c r="G50" s="20">
        <v>9.1999999999999998E-3</v>
      </c>
      <c r="H50" s="21">
        <v>6.0468000000000001E-2</v>
      </c>
      <c r="I50" s="22"/>
      <c r="J50" s="2"/>
    </row>
    <row r="51" spans="1:10" ht="12.95" customHeight="1">
      <c r="A51" s="16" t="s">
        <v>1178</v>
      </c>
      <c r="B51" s="17" t="s">
        <v>1179</v>
      </c>
      <c r="C51" s="13" t="s">
        <v>1180</v>
      </c>
      <c r="D51" s="13" t="s">
        <v>132</v>
      </c>
      <c r="E51" s="18">
        <v>500</v>
      </c>
      <c r="F51" s="19">
        <v>5039.16</v>
      </c>
      <c r="G51" s="20">
        <v>9.1999999999999998E-3</v>
      </c>
      <c r="H51" s="21">
        <v>4.7E-2</v>
      </c>
      <c r="I51" s="22"/>
      <c r="J51" s="2"/>
    </row>
    <row r="52" spans="1:10" ht="12.95" customHeight="1">
      <c r="A52" s="16" t="s">
        <v>1181</v>
      </c>
      <c r="B52" s="17" t="s">
        <v>1182</v>
      </c>
      <c r="C52" s="13" t="s">
        <v>1183</v>
      </c>
      <c r="D52" s="13" t="s">
        <v>196</v>
      </c>
      <c r="E52" s="18">
        <v>500</v>
      </c>
      <c r="F52" s="19">
        <v>5037.75</v>
      </c>
      <c r="G52" s="20">
        <v>9.1999999999999998E-3</v>
      </c>
      <c r="H52" s="21">
        <v>6.565E-2</v>
      </c>
      <c r="I52" s="22"/>
      <c r="J52" s="2"/>
    </row>
    <row r="53" spans="1:10" ht="12.95" customHeight="1">
      <c r="A53" s="16" t="s">
        <v>1184</v>
      </c>
      <c r="B53" s="17" t="s">
        <v>1185</v>
      </c>
      <c r="C53" s="13" t="s">
        <v>1186</v>
      </c>
      <c r="D53" s="13" t="s">
        <v>200</v>
      </c>
      <c r="E53" s="18">
        <v>5000000</v>
      </c>
      <c r="F53" s="19">
        <v>5020.3100000000004</v>
      </c>
      <c r="G53" s="20">
        <v>9.1999999999999998E-3</v>
      </c>
      <c r="H53" s="21">
        <v>3.9144999999999999E-2</v>
      </c>
      <c r="I53" s="22"/>
      <c r="J53" s="2"/>
    </row>
    <row r="54" spans="1:10" ht="12.95" customHeight="1">
      <c r="A54" s="16" t="s">
        <v>1187</v>
      </c>
      <c r="B54" s="17" t="s">
        <v>1188</v>
      </c>
      <c r="C54" s="13" t="s">
        <v>1189</v>
      </c>
      <c r="D54" s="13" t="s">
        <v>132</v>
      </c>
      <c r="E54" s="18">
        <v>500</v>
      </c>
      <c r="F54" s="19">
        <v>5008.67</v>
      </c>
      <c r="G54" s="20">
        <v>9.1000000000000004E-3</v>
      </c>
      <c r="H54" s="21">
        <v>6.8469000000000002E-2</v>
      </c>
      <c r="I54" s="22"/>
      <c r="J54" s="2"/>
    </row>
    <row r="55" spans="1:10" ht="12.95" customHeight="1">
      <c r="A55" s="16" t="s">
        <v>436</v>
      </c>
      <c r="B55" s="17" t="s">
        <v>437</v>
      </c>
      <c r="C55" s="13" t="s">
        <v>438</v>
      </c>
      <c r="D55" s="13" t="s">
        <v>132</v>
      </c>
      <c r="E55" s="18">
        <v>500</v>
      </c>
      <c r="F55" s="19">
        <v>4915.75</v>
      </c>
      <c r="G55" s="20">
        <v>8.9999999999999993E-3</v>
      </c>
      <c r="H55" s="21">
        <v>6.0761000000000003E-2</v>
      </c>
      <c r="I55" s="37">
        <v>6.3109437000000004E-2</v>
      </c>
      <c r="J55" s="2"/>
    </row>
    <row r="56" spans="1:10" ht="12.95" customHeight="1">
      <c r="A56" s="16" t="s">
        <v>1190</v>
      </c>
      <c r="B56" s="17" t="s">
        <v>1191</v>
      </c>
      <c r="C56" s="13" t="s">
        <v>1192</v>
      </c>
      <c r="D56" s="13" t="s">
        <v>196</v>
      </c>
      <c r="E56" s="18">
        <v>400</v>
      </c>
      <c r="F56" s="19">
        <v>4075.29</v>
      </c>
      <c r="G56" s="20">
        <v>7.4000000000000003E-3</v>
      </c>
      <c r="H56" s="21">
        <v>3.7600000000000001E-2</v>
      </c>
      <c r="I56" s="37"/>
      <c r="J56" s="2"/>
    </row>
    <row r="57" spans="1:10" ht="12.95" customHeight="1">
      <c r="A57" s="16" t="s">
        <v>260</v>
      </c>
      <c r="B57" s="17" t="s">
        <v>261</v>
      </c>
      <c r="C57" s="13" t="s">
        <v>262</v>
      </c>
      <c r="D57" s="13" t="s">
        <v>132</v>
      </c>
      <c r="E57" s="18">
        <v>390</v>
      </c>
      <c r="F57" s="19">
        <v>4007.39</v>
      </c>
      <c r="G57" s="20">
        <v>7.3000000000000001E-3</v>
      </c>
      <c r="H57" s="21">
        <v>4.2200000000000001E-2</v>
      </c>
      <c r="I57" s="37"/>
      <c r="J57" s="2"/>
    </row>
    <row r="58" spans="1:10" ht="12.95" customHeight="1">
      <c r="A58" s="16" t="s">
        <v>1193</v>
      </c>
      <c r="B58" s="17" t="s">
        <v>1194</v>
      </c>
      <c r="C58" s="13" t="s">
        <v>1195</v>
      </c>
      <c r="D58" s="13" t="s">
        <v>132</v>
      </c>
      <c r="E58" s="18">
        <v>350</v>
      </c>
      <c r="F58" s="19">
        <v>3652.2</v>
      </c>
      <c r="G58" s="20">
        <v>6.7000000000000002E-3</v>
      </c>
      <c r="H58" s="21">
        <v>4.6699999999999998E-2</v>
      </c>
      <c r="I58" s="37"/>
      <c r="J58" s="2"/>
    </row>
    <row r="59" spans="1:10" ht="12.95" customHeight="1">
      <c r="A59" s="16" t="s">
        <v>870</v>
      </c>
      <c r="B59" s="17" t="s">
        <v>871</v>
      </c>
      <c r="C59" s="13" t="s">
        <v>872</v>
      </c>
      <c r="D59" s="13" t="s">
        <v>132</v>
      </c>
      <c r="E59" s="18">
        <v>350</v>
      </c>
      <c r="F59" s="19">
        <v>3543.64</v>
      </c>
      <c r="G59" s="20">
        <v>6.4999999999999997E-3</v>
      </c>
      <c r="H59" s="21">
        <v>3.7600000000000001E-2</v>
      </c>
      <c r="I59" s="37"/>
      <c r="J59" s="2"/>
    </row>
    <row r="60" spans="1:10" ht="12.95" customHeight="1">
      <c r="A60" s="16" t="s">
        <v>1196</v>
      </c>
      <c r="B60" s="17" t="s">
        <v>1197</v>
      </c>
      <c r="C60" s="13" t="s">
        <v>1198</v>
      </c>
      <c r="D60" s="13" t="s">
        <v>132</v>
      </c>
      <c r="E60" s="18">
        <v>330</v>
      </c>
      <c r="F60" s="19">
        <v>3399.93</v>
      </c>
      <c r="G60" s="20">
        <v>6.1999999999999998E-3</v>
      </c>
      <c r="H60" s="21">
        <v>4.5749999999999999E-2</v>
      </c>
      <c r="I60" s="37"/>
      <c r="J60" s="2"/>
    </row>
    <row r="61" spans="1:10" ht="12.95" customHeight="1">
      <c r="A61" s="16" t="s">
        <v>412</v>
      </c>
      <c r="B61" s="17" t="s">
        <v>413</v>
      </c>
      <c r="C61" s="13" t="s">
        <v>414</v>
      </c>
      <c r="D61" s="13" t="s">
        <v>132</v>
      </c>
      <c r="E61" s="18">
        <v>300</v>
      </c>
      <c r="F61" s="19">
        <v>3117.09</v>
      </c>
      <c r="G61" s="20">
        <v>5.7000000000000002E-3</v>
      </c>
      <c r="H61" s="21">
        <v>4.9748000000000001E-2</v>
      </c>
      <c r="I61" s="37"/>
      <c r="J61" s="2"/>
    </row>
    <row r="62" spans="1:10" ht="12.95" customHeight="1">
      <c r="A62" s="16" t="s">
        <v>278</v>
      </c>
      <c r="B62" s="17" t="s">
        <v>279</v>
      </c>
      <c r="C62" s="13" t="s">
        <v>280</v>
      </c>
      <c r="D62" s="13" t="s">
        <v>132</v>
      </c>
      <c r="E62" s="18">
        <v>300</v>
      </c>
      <c r="F62" s="19">
        <v>3102.16</v>
      </c>
      <c r="G62" s="20">
        <v>5.7000000000000002E-3</v>
      </c>
      <c r="H62" s="21">
        <v>4.3298999999999997E-2</v>
      </c>
      <c r="I62" s="37"/>
      <c r="J62" s="2"/>
    </row>
    <row r="63" spans="1:10" ht="12.95" customHeight="1">
      <c r="A63" s="16" t="s">
        <v>493</v>
      </c>
      <c r="B63" s="17" t="s">
        <v>494</v>
      </c>
      <c r="C63" s="13" t="s">
        <v>495</v>
      </c>
      <c r="D63" s="13" t="s">
        <v>196</v>
      </c>
      <c r="E63" s="18">
        <v>300</v>
      </c>
      <c r="F63" s="19">
        <v>3071.93</v>
      </c>
      <c r="G63" s="20">
        <v>5.5999999999999999E-3</v>
      </c>
      <c r="H63" s="21">
        <v>4.2200000000000001E-2</v>
      </c>
      <c r="I63" s="37"/>
      <c r="J63" s="2"/>
    </row>
    <row r="64" spans="1:10" ht="12.95" customHeight="1">
      <c r="A64" s="16" t="s">
        <v>1199</v>
      </c>
      <c r="B64" s="17" t="s">
        <v>1200</v>
      </c>
      <c r="C64" s="13" t="s">
        <v>1201</v>
      </c>
      <c r="D64" s="13" t="s">
        <v>132</v>
      </c>
      <c r="E64" s="18">
        <v>250</v>
      </c>
      <c r="F64" s="19">
        <v>2768.52</v>
      </c>
      <c r="G64" s="20">
        <v>5.0000000000000001E-3</v>
      </c>
      <c r="H64" s="21">
        <v>6.4056000000000002E-2</v>
      </c>
      <c r="I64" s="37"/>
      <c r="J64" s="2"/>
    </row>
    <row r="65" spans="1:10" ht="12.95" customHeight="1">
      <c r="A65" s="16" t="s">
        <v>1202</v>
      </c>
      <c r="B65" s="17" t="s">
        <v>1203</v>
      </c>
      <c r="C65" s="13" t="s">
        <v>1204</v>
      </c>
      <c r="D65" s="13" t="s">
        <v>132</v>
      </c>
      <c r="E65" s="18">
        <v>250</v>
      </c>
      <c r="F65" s="19">
        <v>2721.6</v>
      </c>
      <c r="G65" s="20">
        <v>5.0000000000000001E-3</v>
      </c>
      <c r="H65" s="21">
        <v>5.6300000000000003E-2</v>
      </c>
      <c r="I65" s="37"/>
      <c r="J65" s="2"/>
    </row>
    <row r="66" spans="1:10" ht="12.95" customHeight="1">
      <c r="A66" s="16" t="s">
        <v>1205</v>
      </c>
      <c r="B66" s="17" t="s">
        <v>1206</v>
      </c>
      <c r="C66" s="13" t="s">
        <v>1207</v>
      </c>
      <c r="D66" s="13" t="s">
        <v>132</v>
      </c>
      <c r="E66" s="18">
        <v>250</v>
      </c>
      <c r="F66" s="19">
        <v>2654.05</v>
      </c>
      <c r="G66" s="20">
        <v>4.7999999999999996E-3</v>
      </c>
      <c r="H66" s="21">
        <v>6.4197000000000004E-2</v>
      </c>
      <c r="I66" s="37"/>
      <c r="J66" s="2"/>
    </row>
    <row r="67" spans="1:10" ht="12.95" customHeight="1">
      <c r="A67" s="16" t="s">
        <v>257</v>
      </c>
      <c r="B67" s="17" t="s">
        <v>258</v>
      </c>
      <c r="C67" s="13" t="s">
        <v>259</v>
      </c>
      <c r="D67" s="13" t="s">
        <v>200</v>
      </c>
      <c r="E67" s="18">
        <v>2500000</v>
      </c>
      <c r="F67" s="19">
        <v>2605.9499999999998</v>
      </c>
      <c r="G67" s="20">
        <v>4.7999999999999996E-3</v>
      </c>
      <c r="H67" s="21">
        <v>4.4408999999999997E-2</v>
      </c>
      <c r="I67" s="37"/>
      <c r="J67" s="2"/>
    </row>
    <row r="68" spans="1:10" ht="12.95" customHeight="1">
      <c r="A68" s="16" t="s">
        <v>1208</v>
      </c>
      <c r="B68" s="17" t="s">
        <v>1209</v>
      </c>
      <c r="C68" s="13" t="s">
        <v>1210</v>
      </c>
      <c r="D68" s="13" t="s">
        <v>132</v>
      </c>
      <c r="E68" s="18">
        <v>250</v>
      </c>
      <c r="F68" s="19">
        <v>2579.65</v>
      </c>
      <c r="G68" s="20">
        <v>4.7000000000000002E-3</v>
      </c>
      <c r="H68" s="21">
        <v>4.4999999999999998E-2</v>
      </c>
      <c r="I68" s="37"/>
      <c r="J68" s="2"/>
    </row>
    <row r="69" spans="1:10" ht="12.95" customHeight="1">
      <c r="A69" s="16" t="s">
        <v>383</v>
      </c>
      <c r="B69" s="17" t="s">
        <v>384</v>
      </c>
      <c r="C69" s="13" t="s">
        <v>385</v>
      </c>
      <c r="D69" s="13" t="s">
        <v>132</v>
      </c>
      <c r="E69" s="18">
        <v>250</v>
      </c>
      <c r="F69" s="19">
        <v>2569.67</v>
      </c>
      <c r="G69" s="20">
        <v>4.7000000000000002E-3</v>
      </c>
      <c r="H69" s="21">
        <v>4.3900000000000002E-2</v>
      </c>
      <c r="I69" s="37"/>
      <c r="J69" s="2"/>
    </row>
    <row r="70" spans="1:10" ht="12.95" customHeight="1">
      <c r="A70" s="16" t="s">
        <v>371</v>
      </c>
      <c r="B70" s="17" t="s">
        <v>372</v>
      </c>
      <c r="C70" s="13" t="s">
        <v>373</v>
      </c>
      <c r="D70" s="13" t="s">
        <v>132</v>
      </c>
      <c r="E70" s="18">
        <v>250</v>
      </c>
      <c r="F70" s="19">
        <v>2547.9299999999998</v>
      </c>
      <c r="G70" s="20">
        <v>4.5999999999999999E-3</v>
      </c>
      <c r="H70" s="21">
        <v>4.1549999999999997E-2</v>
      </c>
      <c r="I70" s="37"/>
      <c r="J70" s="2"/>
    </row>
    <row r="71" spans="1:10" ht="12.95" customHeight="1">
      <c r="A71" s="16" t="s">
        <v>1051</v>
      </c>
      <c r="B71" s="17" t="s">
        <v>1052</v>
      </c>
      <c r="C71" s="13" t="s">
        <v>1053</v>
      </c>
      <c r="D71" s="13" t="s">
        <v>200</v>
      </c>
      <c r="E71" s="18">
        <v>2500000</v>
      </c>
      <c r="F71" s="19">
        <v>2543.08</v>
      </c>
      <c r="G71" s="20">
        <v>4.5999999999999999E-3</v>
      </c>
      <c r="H71" s="21">
        <v>6.4994999999999997E-2</v>
      </c>
      <c r="I71" s="37"/>
      <c r="J71" s="2"/>
    </row>
    <row r="72" spans="1:10" ht="12.95" customHeight="1">
      <c r="A72" s="16" t="s">
        <v>263</v>
      </c>
      <c r="B72" s="17" t="s">
        <v>264</v>
      </c>
      <c r="C72" s="13" t="s">
        <v>265</v>
      </c>
      <c r="D72" s="13" t="s">
        <v>132</v>
      </c>
      <c r="E72" s="18">
        <v>250</v>
      </c>
      <c r="F72" s="19">
        <v>2521.9</v>
      </c>
      <c r="G72" s="20">
        <v>4.5999999999999999E-3</v>
      </c>
      <c r="H72" s="21">
        <v>4.2549999999999998E-2</v>
      </c>
      <c r="I72" s="37"/>
      <c r="J72" s="2"/>
    </row>
    <row r="73" spans="1:10" ht="12.95" customHeight="1">
      <c r="A73" s="16" t="s">
        <v>1211</v>
      </c>
      <c r="B73" s="17" t="s">
        <v>1212</v>
      </c>
      <c r="C73" s="13" t="s">
        <v>1213</v>
      </c>
      <c r="D73" s="13" t="s">
        <v>132</v>
      </c>
      <c r="E73" s="18">
        <v>250</v>
      </c>
      <c r="F73" s="19">
        <v>2511.1799999999998</v>
      </c>
      <c r="G73" s="20">
        <v>4.5999999999999999E-3</v>
      </c>
      <c r="H73" s="21">
        <v>6.83E-2</v>
      </c>
      <c r="I73" s="37"/>
      <c r="J73" s="2"/>
    </row>
    <row r="74" spans="1:10" ht="12.95" customHeight="1">
      <c r="A74" s="16" t="s">
        <v>1214</v>
      </c>
      <c r="B74" s="17" t="s">
        <v>1215</v>
      </c>
      <c r="C74" s="13" t="s">
        <v>1216</v>
      </c>
      <c r="D74" s="13" t="s">
        <v>132</v>
      </c>
      <c r="E74" s="18">
        <v>250</v>
      </c>
      <c r="F74" s="19">
        <v>2500.89</v>
      </c>
      <c r="G74" s="20">
        <v>4.5999999999999999E-3</v>
      </c>
      <c r="H74" s="21">
        <v>7.6019000000000003E-2</v>
      </c>
      <c r="I74" s="37"/>
      <c r="J74" s="2"/>
    </row>
    <row r="75" spans="1:10" ht="12.95" customHeight="1">
      <c r="A75" s="16" t="s">
        <v>1217</v>
      </c>
      <c r="B75" s="17" t="s">
        <v>1218</v>
      </c>
      <c r="C75" s="13" t="s">
        <v>1219</v>
      </c>
      <c r="D75" s="13" t="s">
        <v>132</v>
      </c>
      <c r="E75" s="18">
        <v>210</v>
      </c>
      <c r="F75" s="19">
        <v>2199.98</v>
      </c>
      <c r="G75" s="20">
        <v>4.0000000000000001E-3</v>
      </c>
      <c r="H75" s="21">
        <v>5.5898999999999997E-2</v>
      </c>
      <c r="I75" s="37"/>
      <c r="J75" s="2"/>
    </row>
    <row r="76" spans="1:10" ht="12.95" customHeight="1">
      <c r="A76" s="16" t="s">
        <v>1220</v>
      </c>
      <c r="B76" s="17" t="s">
        <v>1221</v>
      </c>
      <c r="C76" s="13" t="s">
        <v>1222</v>
      </c>
      <c r="D76" s="13" t="s">
        <v>132</v>
      </c>
      <c r="E76" s="18">
        <v>200</v>
      </c>
      <c r="F76" s="19">
        <v>2086.81</v>
      </c>
      <c r="G76" s="20">
        <v>3.8E-3</v>
      </c>
      <c r="H76" s="21">
        <v>5.4269499999999998E-2</v>
      </c>
      <c r="I76" s="37"/>
      <c r="J76" s="2"/>
    </row>
    <row r="77" spans="1:10" ht="12.95" customHeight="1">
      <c r="A77" s="16" t="s">
        <v>1223</v>
      </c>
      <c r="B77" s="17" t="s">
        <v>1224</v>
      </c>
      <c r="C77" s="13" t="s">
        <v>1225</v>
      </c>
      <c r="D77" s="13" t="s">
        <v>200</v>
      </c>
      <c r="E77" s="18">
        <v>2000000</v>
      </c>
      <c r="F77" s="19">
        <v>2080.0500000000002</v>
      </c>
      <c r="G77" s="20">
        <v>3.8E-3</v>
      </c>
      <c r="H77" s="21">
        <v>5.9402000000000003E-2</v>
      </c>
      <c r="I77" s="37"/>
      <c r="J77" s="2"/>
    </row>
    <row r="78" spans="1:10" ht="12.95" customHeight="1">
      <c r="A78" s="16" t="s">
        <v>1226</v>
      </c>
      <c r="B78" s="17" t="s">
        <v>1227</v>
      </c>
      <c r="C78" s="13" t="s">
        <v>1228</v>
      </c>
      <c r="D78" s="13" t="s">
        <v>200</v>
      </c>
      <c r="E78" s="18">
        <v>1500000</v>
      </c>
      <c r="F78" s="19">
        <v>1635.99</v>
      </c>
      <c r="G78" s="20">
        <v>3.0000000000000001E-3</v>
      </c>
      <c r="H78" s="21">
        <v>5.7500000000000002E-2</v>
      </c>
      <c r="I78" s="37"/>
      <c r="J78" s="2"/>
    </row>
    <row r="79" spans="1:10" ht="12.95" customHeight="1">
      <c r="A79" s="16" t="s">
        <v>1229</v>
      </c>
      <c r="B79" s="17" t="s">
        <v>1230</v>
      </c>
      <c r="C79" s="13" t="s">
        <v>1231</v>
      </c>
      <c r="D79" s="13" t="s">
        <v>200</v>
      </c>
      <c r="E79" s="18">
        <v>1500000</v>
      </c>
      <c r="F79" s="19">
        <v>1579.83</v>
      </c>
      <c r="G79" s="20">
        <v>2.8999999999999998E-3</v>
      </c>
      <c r="H79" s="21">
        <v>4.5350000000000001E-2</v>
      </c>
      <c r="I79" s="37"/>
      <c r="J79" s="2"/>
    </row>
    <row r="80" spans="1:10" ht="12.95" customHeight="1">
      <c r="A80" s="16" t="s">
        <v>1232</v>
      </c>
      <c r="B80" s="17" t="s">
        <v>1233</v>
      </c>
      <c r="C80" s="13" t="s">
        <v>1234</v>
      </c>
      <c r="D80" s="13" t="s">
        <v>196</v>
      </c>
      <c r="E80" s="18">
        <v>150</v>
      </c>
      <c r="F80" s="19">
        <v>1526.19</v>
      </c>
      <c r="G80" s="20">
        <v>2.8E-3</v>
      </c>
      <c r="H80" s="21">
        <v>4.7199999999999999E-2</v>
      </c>
      <c r="I80" s="37"/>
      <c r="J80" s="2"/>
    </row>
    <row r="81" spans="1:10" ht="12.95" customHeight="1">
      <c r="A81" s="16" t="s">
        <v>1235</v>
      </c>
      <c r="B81" s="17" t="s">
        <v>1236</v>
      </c>
      <c r="C81" s="13" t="s">
        <v>1237</v>
      </c>
      <c r="D81" s="13" t="s">
        <v>132</v>
      </c>
      <c r="E81" s="18">
        <v>144</v>
      </c>
      <c r="F81" s="19">
        <v>1449.18</v>
      </c>
      <c r="G81" s="20">
        <v>2.5999999999999999E-3</v>
      </c>
      <c r="H81" s="21">
        <v>3.6049999999999999E-2</v>
      </c>
      <c r="I81" s="37"/>
      <c r="J81" s="2"/>
    </row>
    <row r="82" spans="1:10" ht="12.95" customHeight="1">
      <c r="A82" s="16" t="s">
        <v>1238</v>
      </c>
      <c r="B82" s="17" t="s">
        <v>1239</v>
      </c>
      <c r="C82" s="13" t="s">
        <v>1240</v>
      </c>
      <c r="D82" s="13" t="s">
        <v>200</v>
      </c>
      <c r="E82" s="18">
        <v>1000000</v>
      </c>
      <c r="F82" s="19">
        <v>1114.53</v>
      </c>
      <c r="G82" s="20">
        <v>2E-3</v>
      </c>
      <c r="H82" s="21">
        <v>6.4964999999999995E-2</v>
      </c>
      <c r="I82" s="37"/>
      <c r="J82" s="2"/>
    </row>
    <row r="83" spans="1:10" ht="12.95" customHeight="1">
      <c r="A83" s="16" t="s">
        <v>1241</v>
      </c>
      <c r="B83" s="17" t="s">
        <v>1242</v>
      </c>
      <c r="C83" s="13" t="s">
        <v>1243</v>
      </c>
      <c r="D83" s="13" t="s">
        <v>200</v>
      </c>
      <c r="E83" s="18">
        <v>1000000</v>
      </c>
      <c r="F83" s="19">
        <v>1095.6199999999999</v>
      </c>
      <c r="G83" s="20">
        <v>2E-3</v>
      </c>
      <c r="H83" s="21">
        <v>6.4963999999999994E-2</v>
      </c>
      <c r="I83" s="37"/>
      <c r="J83" s="2"/>
    </row>
    <row r="84" spans="1:10" ht="12.95" customHeight="1">
      <c r="A84" s="16" t="s">
        <v>1244</v>
      </c>
      <c r="B84" s="17" t="s">
        <v>1245</v>
      </c>
      <c r="C84" s="13" t="s">
        <v>1246</v>
      </c>
      <c r="D84" s="13" t="s">
        <v>200</v>
      </c>
      <c r="E84" s="18">
        <v>1000000</v>
      </c>
      <c r="F84" s="19">
        <v>1090.75</v>
      </c>
      <c r="G84" s="20">
        <v>2E-3</v>
      </c>
      <c r="H84" s="21">
        <v>6.4860000000000001E-2</v>
      </c>
      <c r="I84" s="37"/>
      <c r="J84" s="2"/>
    </row>
    <row r="85" spans="1:10" ht="12.95" customHeight="1">
      <c r="A85" s="16" t="s">
        <v>647</v>
      </c>
      <c r="B85" s="17" t="s">
        <v>648</v>
      </c>
      <c r="C85" s="13" t="s">
        <v>649</v>
      </c>
      <c r="D85" s="13" t="s">
        <v>200</v>
      </c>
      <c r="E85" s="18">
        <v>1000000</v>
      </c>
      <c r="F85" s="19">
        <v>1085.68</v>
      </c>
      <c r="G85" s="20">
        <v>2E-3</v>
      </c>
      <c r="H85" s="21">
        <v>4.5940000000000002E-2</v>
      </c>
      <c r="I85" s="37"/>
      <c r="J85" s="2"/>
    </row>
    <row r="86" spans="1:10" ht="12.95" customHeight="1">
      <c r="A86" s="16" t="s">
        <v>1247</v>
      </c>
      <c r="B86" s="17" t="s">
        <v>1248</v>
      </c>
      <c r="C86" s="13" t="s">
        <v>1249</v>
      </c>
      <c r="D86" s="13" t="s">
        <v>132</v>
      </c>
      <c r="E86" s="18">
        <v>100</v>
      </c>
      <c r="F86" s="19">
        <v>1057.2</v>
      </c>
      <c r="G86" s="20">
        <v>1.9E-3</v>
      </c>
      <c r="H86" s="21">
        <v>4.8300000000000003E-2</v>
      </c>
      <c r="I86" s="37"/>
      <c r="J86" s="2"/>
    </row>
    <row r="87" spans="1:10" ht="12.95" customHeight="1">
      <c r="A87" s="16" t="s">
        <v>1250</v>
      </c>
      <c r="B87" s="17" t="s">
        <v>1251</v>
      </c>
      <c r="C87" s="13" t="s">
        <v>1252</v>
      </c>
      <c r="D87" s="13" t="s">
        <v>132</v>
      </c>
      <c r="E87" s="18">
        <v>100</v>
      </c>
      <c r="F87" s="19">
        <v>1024.53</v>
      </c>
      <c r="G87" s="20">
        <v>1.9E-3</v>
      </c>
      <c r="H87" s="21">
        <v>5.7875000000000003E-2</v>
      </c>
      <c r="I87" s="37"/>
      <c r="J87" s="2"/>
    </row>
    <row r="88" spans="1:10" ht="12.95" customHeight="1">
      <c r="A88" s="16" t="s">
        <v>1253</v>
      </c>
      <c r="B88" s="17" t="s">
        <v>1254</v>
      </c>
      <c r="C88" s="13" t="s">
        <v>1255</v>
      </c>
      <c r="D88" s="13" t="s">
        <v>200</v>
      </c>
      <c r="E88" s="18">
        <v>1000000</v>
      </c>
      <c r="F88" s="19">
        <v>1016.18</v>
      </c>
      <c r="G88" s="20">
        <v>1.9E-3</v>
      </c>
      <c r="H88" s="21">
        <v>6.4920000000000005E-2</v>
      </c>
      <c r="I88" s="37"/>
      <c r="J88" s="2"/>
    </row>
    <row r="89" spans="1:10" ht="12.95" customHeight="1">
      <c r="A89" s="16" t="s">
        <v>1256</v>
      </c>
      <c r="B89" s="17" t="s">
        <v>1257</v>
      </c>
      <c r="C89" s="13" t="s">
        <v>1258</v>
      </c>
      <c r="D89" s="13" t="s">
        <v>200</v>
      </c>
      <c r="E89" s="18">
        <v>1000000</v>
      </c>
      <c r="F89" s="19">
        <v>1014.64</v>
      </c>
      <c r="G89" s="20">
        <v>1.9E-3</v>
      </c>
      <c r="H89" s="21">
        <v>6.4994999999999997E-2</v>
      </c>
      <c r="I89" s="37"/>
      <c r="J89" s="2"/>
    </row>
    <row r="90" spans="1:10" ht="12.95" customHeight="1">
      <c r="A90" s="16" t="s">
        <v>472</v>
      </c>
      <c r="B90" s="17" t="s">
        <v>473</v>
      </c>
      <c r="C90" s="13" t="s">
        <v>474</v>
      </c>
      <c r="D90" s="13" t="s">
        <v>200</v>
      </c>
      <c r="E90" s="18">
        <v>1000000</v>
      </c>
      <c r="F90" s="19">
        <v>1001.26</v>
      </c>
      <c r="G90" s="20">
        <v>1.8E-3</v>
      </c>
      <c r="H90" s="21">
        <v>4.4145999999999998E-2</v>
      </c>
      <c r="I90" s="37"/>
      <c r="J90" s="2"/>
    </row>
    <row r="91" spans="1:10" ht="12.95" customHeight="1">
      <c r="A91" s="16" t="s">
        <v>1259</v>
      </c>
      <c r="B91" s="17" t="s">
        <v>1260</v>
      </c>
      <c r="C91" s="13" t="s">
        <v>1261</v>
      </c>
      <c r="D91" s="13" t="s">
        <v>200</v>
      </c>
      <c r="E91" s="18">
        <v>1000000</v>
      </c>
      <c r="F91" s="19">
        <v>999.87</v>
      </c>
      <c r="G91" s="20">
        <v>1.8E-3</v>
      </c>
      <c r="H91" s="21">
        <v>6.2324999999999998E-2</v>
      </c>
      <c r="I91" s="37"/>
      <c r="J91" s="2"/>
    </row>
    <row r="92" spans="1:10" ht="12.95" customHeight="1">
      <c r="A92" s="16" t="s">
        <v>1262</v>
      </c>
      <c r="B92" s="17" t="s">
        <v>1263</v>
      </c>
      <c r="C92" s="13" t="s">
        <v>1264</v>
      </c>
      <c r="D92" s="13" t="s">
        <v>132</v>
      </c>
      <c r="E92" s="18">
        <v>94</v>
      </c>
      <c r="F92" s="19">
        <v>991.12</v>
      </c>
      <c r="G92" s="20">
        <v>1.8E-3</v>
      </c>
      <c r="H92" s="21">
        <v>6.4197000000000004E-2</v>
      </c>
      <c r="I92" s="37"/>
      <c r="J92" s="2"/>
    </row>
    <row r="93" spans="1:10" ht="12.95" customHeight="1">
      <c r="A93" s="16" t="s">
        <v>1265</v>
      </c>
      <c r="B93" s="17" t="s">
        <v>1266</v>
      </c>
      <c r="C93" s="13" t="s">
        <v>1267</v>
      </c>
      <c r="D93" s="13" t="s">
        <v>132</v>
      </c>
      <c r="E93" s="18">
        <v>50</v>
      </c>
      <c r="F93" s="19">
        <v>556.21</v>
      </c>
      <c r="G93" s="20">
        <v>1E-3</v>
      </c>
      <c r="H93" s="21">
        <v>6.4404000000000003E-2</v>
      </c>
      <c r="I93" s="37"/>
      <c r="J93" s="2"/>
    </row>
    <row r="94" spans="1:10" ht="12.95" customHeight="1">
      <c r="A94" s="16" t="s">
        <v>1268</v>
      </c>
      <c r="B94" s="17" t="s">
        <v>1269</v>
      </c>
      <c r="C94" s="13" t="s">
        <v>1270</v>
      </c>
      <c r="D94" s="13" t="s">
        <v>132</v>
      </c>
      <c r="E94" s="18">
        <v>50</v>
      </c>
      <c r="F94" s="19">
        <v>551.88</v>
      </c>
      <c r="G94" s="20">
        <v>1E-3</v>
      </c>
      <c r="H94" s="21">
        <v>6.6309999999999994E-2</v>
      </c>
      <c r="I94" s="37"/>
      <c r="J94" s="2"/>
    </row>
    <row r="95" spans="1:10" ht="12.95" customHeight="1">
      <c r="A95" s="16" t="s">
        <v>350</v>
      </c>
      <c r="B95" s="17" t="s">
        <v>351</v>
      </c>
      <c r="C95" s="13" t="s">
        <v>352</v>
      </c>
      <c r="D95" s="13" t="s">
        <v>132</v>
      </c>
      <c r="E95" s="18">
        <v>50</v>
      </c>
      <c r="F95" s="19">
        <v>535.38</v>
      </c>
      <c r="G95" s="20">
        <v>1E-3</v>
      </c>
      <c r="H95" s="21">
        <v>6.77735E-2</v>
      </c>
      <c r="I95" s="37">
        <v>5.1417850000000001E-2</v>
      </c>
      <c r="J95" s="2"/>
    </row>
    <row r="96" spans="1:10" ht="12.95" customHeight="1">
      <c r="A96" s="16" t="s">
        <v>1271</v>
      </c>
      <c r="B96" s="17" t="s">
        <v>1272</v>
      </c>
      <c r="C96" s="13" t="s">
        <v>1273</v>
      </c>
      <c r="D96" s="13" t="s">
        <v>132</v>
      </c>
      <c r="E96" s="18">
        <v>50</v>
      </c>
      <c r="F96" s="19">
        <v>524.03</v>
      </c>
      <c r="G96" s="20">
        <v>1E-3</v>
      </c>
      <c r="H96" s="21">
        <v>5.7049000000000002E-2</v>
      </c>
      <c r="I96" s="37"/>
      <c r="J96" s="2"/>
    </row>
    <row r="97" spans="1:10" ht="12.95" customHeight="1">
      <c r="A97" s="16" t="s">
        <v>1274</v>
      </c>
      <c r="B97" s="17" t="s">
        <v>1275</v>
      </c>
      <c r="C97" s="13" t="s">
        <v>1276</v>
      </c>
      <c r="D97" s="13" t="s">
        <v>132</v>
      </c>
      <c r="E97" s="18">
        <v>50</v>
      </c>
      <c r="F97" s="19">
        <v>518.01</v>
      </c>
      <c r="G97" s="20">
        <v>8.9999999999999998E-4</v>
      </c>
      <c r="H97" s="21">
        <v>6.9699999999999998E-2</v>
      </c>
      <c r="I97" s="37"/>
      <c r="J97" s="2"/>
    </row>
    <row r="98" spans="1:10" ht="12.95" customHeight="1">
      <c r="A98" s="16" t="s">
        <v>392</v>
      </c>
      <c r="B98" s="17" t="s">
        <v>393</v>
      </c>
      <c r="C98" s="13" t="s">
        <v>394</v>
      </c>
      <c r="D98" s="13" t="s">
        <v>132</v>
      </c>
      <c r="E98" s="18">
        <v>50</v>
      </c>
      <c r="F98" s="19">
        <v>516.84</v>
      </c>
      <c r="G98" s="20">
        <v>8.9999999999999998E-4</v>
      </c>
      <c r="H98" s="21">
        <v>4.3999999999999997E-2</v>
      </c>
      <c r="I98" s="37"/>
      <c r="J98" s="2"/>
    </row>
    <row r="99" spans="1:10" ht="12.95" customHeight="1">
      <c r="A99" s="16" t="s">
        <v>1277</v>
      </c>
      <c r="B99" s="17" t="s">
        <v>1278</v>
      </c>
      <c r="C99" s="13" t="s">
        <v>1279</v>
      </c>
      <c r="D99" s="13" t="s">
        <v>132</v>
      </c>
      <c r="E99" s="18">
        <v>50</v>
      </c>
      <c r="F99" s="19">
        <v>515.62</v>
      </c>
      <c r="G99" s="20">
        <v>8.9999999999999998E-4</v>
      </c>
      <c r="H99" s="21">
        <v>5.355E-2</v>
      </c>
      <c r="I99" s="37"/>
      <c r="J99" s="2"/>
    </row>
    <row r="100" spans="1:10" ht="12.95" customHeight="1">
      <c r="A100" s="16" t="s">
        <v>139</v>
      </c>
      <c r="B100" s="17" t="s">
        <v>140</v>
      </c>
      <c r="C100" s="13" t="s">
        <v>141</v>
      </c>
      <c r="D100" s="13" t="s">
        <v>132</v>
      </c>
      <c r="E100" s="18">
        <v>51</v>
      </c>
      <c r="F100" s="19">
        <v>514.54999999999995</v>
      </c>
      <c r="G100" s="20">
        <v>8.9999999999999998E-4</v>
      </c>
      <c r="H100" s="21">
        <v>6.1865999999999997E-2</v>
      </c>
      <c r="I100" s="37"/>
      <c r="J100" s="2"/>
    </row>
    <row r="101" spans="1:10" ht="12.95" customHeight="1">
      <c r="A101" s="16" t="s">
        <v>1280</v>
      </c>
      <c r="B101" s="17" t="s">
        <v>1281</v>
      </c>
      <c r="C101" s="13" t="s">
        <v>1282</v>
      </c>
      <c r="D101" s="13" t="s">
        <v>132</v>
      </c>
      <c r="E101" s="18">
        <v>500</v>
      </c>
      <c r="F101" s="19">
        <v>506.23</v>
      </c>
      <c r="G101" s="20">
        <v>8.9999999999999998E-4</v>
      </c>
      <c r="H101" s="21">
        <v>5.7480000000000003E-2</v>
      </c>
      <c r="I101" s="37"/>
      <c r="J101" s="2"/>
    </row>
    <row r="102" spans="1:10" ht="12.95" customHeight="1">
      <c r="A102" s="16" t="s">
        <v>433</v>
      </c>
      <c r="B102" s="17" t="s">
        <v>434</v>
      </c>
      <c r="C102" s="13" t="s">
        <v>435</v>
      </c>
      <c r="D102" s="13" t="s">
        <v>171</v>
      </c>
      <c r="E102" s="18">
        <v>50</v>
      </c>
      <c r="F102" s="19">
        <v>503.26</v>
      </c>
      <c r="G102" s="20">
        <v>8.9999999999999998E-4</v>
      </c>
      <c r="H102" s="21">
        <v>4.5650000000000003E-2</v>
      </c>
      <c r="I102" s="37"/>
      <c r="J102" s="2"/>
    </row>
    <row r="103" spans="1:10" ht="12.95" customHeight="1">
      <c r="A103" s="16" t="s">
        <v>356</v>
      </c>
      <c r="B103" s="17" t="s">
        <v>357</v>
      </c>
      <c r="C103" s="13" t="s">
        <v>358</v>
      </c>
      <c r="D103" s="13" t="s">
        <v>132</v>
      </c>
      <c r="E103" s="18">
        <v>50</v>
      </c>
      <c r="F103" s="19">
        <v>502.95</v>
      </c>
      <c r="G103" s="20">
        <v>8.9999999999999998E-4</v>
      </c>
      <c r="H103" s="21">
        <v>4.6634000000000002E-2</v>
      </c>
      <c r="I103" s="37"/>
      <c r="J103" s="2"/>
    </row>
    <row r="104" spans="1:10" ht="12.95" customHeight="1">
      <c r="A104" s="16" t="s">
        <v>535</v>
      </c>
      <c r="B104" s="17" t="s">
        <v>536</v>
      </c>
      <c r="C104" s="13" t="s">
        <v>537</v>
      </c>
      <c r="D104" s="13" t="s">
        <v>132</v>
      </c>
      <c r="E104" s="18">
        <v>50</v>
      </c>
      <c r="F104" s="19">
        <v>499.63</v>
      </c>
      <c r="G104" s="20">
        <v>8.9999999999999998E-4</v>
      </c>
      <c r="H104" s="21">
        <v>6.2503500000000004E-2</v>
      </c>
      <c r="I104" s="37">
        <v>6.2604106000000007E-2</v>
      </c>
      <c r="J104" s="2"/>
    </row>
    <row r="105" spans="1:10" ht="12.95" customHeight="1">
      <c r="A105" s="16" t="s">
        <v>1283</v>
      </c>
      <c r="B105" s="17" t="s">
        <v>1284</v>
      </c>
      <c r="C105" s="13" t="s">
        <v>1285</v>
      </c>
      <c r="D105" s="13" t="s">
        <v>132</v>
      </c>
      <c r="E105" s="18">
        <v>50</v>
      </c>
      <c r="F105" s="19">
        <v>499.54</v>
      </c>
      <c r="G105" s="20">
        <v>8.9999999999999998E-4</v>
      </c>
      <c r="H105" s="21">
        <v>5.8644000000000002E-2</v>
      </c>
      <c r="I105" s="37"/>
      <c r="J105" s="2"/>
    </row>
    <row r="106" spans="1:10" ht="12.95" customHeight="1">
      <c r="A106" s="16" t="s">
        <v>1286</v>
      </c>
      <c r="B106" s="17" t="s">
        <v>1287</v>
      </c>
      <c r="C106" s="13" t="s">
        <v>1288</v>
      </c>
      <c r="D106" s="13" t="s">
        <v>200</v>
      </c>
      <c r="E106" s="18">
        <v>500000</v>
      </c>
      <c r="F106" s="19">
        <v>498.99</v>
      </c>
      <c r="G106" s="20">
        <v>8.9999999999999998E-4</v>
      </c>
      <c r="H106" s="21">
        <v>6.6932000000000005E-2</v>
      </c>
      <c r="I106" s="37"/>
      <c r="J106" s="2"/>
    </row>
    <row r="107" spans="1:10" ht="12.95" customHeight="1">
      <c r="A107" s="16" t="s">
        <v>502</v>
      </c>
      <c r="B107" s="17" t="s">
        <v>503</v>
      </c>
      <c r="C107" s="13" t="s">
        <v>504</v>
      </c>
      <c r="D107" s="13" t="s">
        <v>171</v>
      </c>
      <c r="E107" s="18">
        <v>40</v>
      </c>
      <c r="F107" s="19">
        <v>413.81</v>
      </c>
      <c r="G107" s="20">
        <v>8.0000000000000004E-4</v>
      </c>
      <c r="H107" s="21">
        <v>6.5435499999999994E-2</v>
      </c>
      <c r="I107" s="37">
        <v>5.9274424999999999E-2</v>
      </c>
      <c r="J107" s="2"/>
    </row>
    <row r="108" spans="1:10" ht="12.95" customHeight="1">
      <c r="A108" s="16" t="s">
        <v>1289</v>
      </c>
      <c r="B108" s="17" t="s">
        <v>1290</v>
      </c>
      <c r="C108" s="13" t="s">
        <v>1291</v>
      </c>
      <c r="D108" s="13" t="s">
        <v>200</v>
      </c>
      <c r="E108" s="18">
        <v>250000</v>
      </c>
      <c r="F108" s="19">
        <v>244.45</v>
      </c>
      <c r="G108" s="20">
        <v>4.0000000000000002E-4</v>
      </c>
      <c r="H108" s="21">
        <v>6.1691999999999997E-2</v>
      </c>
      <c r="I108" s="37"/>
      <c r="J108" s="2"/>
    </row>
    <row r="109" spans="1:10" ht="12.95" customHeight="1">
      <c r="A109" s="16" t="s">
        <v>287</v>
      </c>
      <c r="B109" s="17" t="s">
        <v>288</v>
      </c>
      <c r="C109" s="13" t="s">
        <v>289</v>
      </c>
      <c r="D109" s="13" t="s">
        <v>132</v>
      </c>
      <c r="E109" s="18">
        <v>19</v>
      </c>
      <c r="F109" s="19">
        <v>195.36</v>
      </c>
      <c r="G109" s="20">
        <v>4.0000000000000002E-4</v>
      </c>
      <c r="H109" s="21">
        <v>4.6616999999999999E-2</v>
      </c>
      <c r="I109" s="37"/>
      <c r="J109" s="2"/>
    </row>
    <row r="110" spans="1:10" ht="12.95" customHeight="1">
      <c r="A110" s="16" t="s">
        <v>190</v>
      </c>
      <c r="B110" s="17" t="s">
        <v>191</v>
      </c>
      <c r="C110" s="13" t="s">
        <v>192</v>
      </c>
      <c r="D110" s="13" t="s">
        <v>132</v>
      </c>
      <c r="E110" s="18">
        <v>10</v>
      </c>
      <c r="F110" s="19">
        <v>102.17</v>
      </c>
      <c r="G110" s="20">
        <v>2.0000000000000001E-4</v>
      </c>
      <c r="H110" s="21">
        <v>3.7600000000000001E-2</v>
      </c>
      <c r="I110" s="37"/>
      <c r="J110" s="2"/>
    </row>
    <row r="111" spans="1:10" ht="12.95" customHeight="1">
      <c r="A111" s="2"/>
      <c r="B111" s="12" t="s">
        <v>172</v>
      </c>
      <c r="C111" s="13"/>
      <c r="D111" s="13"/>
      <c r="E111" s="13"/>
      <c r="F111" s="23">
        <v>487354.24</v>
      </c>
      <c r="G111" s="24">
        <v>0.88839999999999997</v>
      </c>
      <c r="H111" s="25"/>
      <c r="I111" s="26"/>
      <c r="J111" s="2"/>
    </row>
    <row r="112" spans="1:10" ht="12.95" customHeight="1">
      <c r="A112" s="2"/>
      <c r="B112" s="27" t="s">
        <v>173</v>
      </c>
      <c r="C112" s="1"/>
      <c r="D112" s="1"/>
      <c r="E112" s="1"/>
      <c r="F112" s="25" t="s">
        <v>204</v>
      </c>
      <c r="G112" s="25" t="s">
        <v>204</v>
      </c>
      <c r="H112" s="25"/>
      <c r="I112" s="26"/>
      <c r="J112" s="2"/>
    </row>
    <row r="113" spans="1:10" ht="12.95" customHeight="1">
      <c r="A113" s="2"/>
      <c r="B113" s="27" t="s">
        <v>172</v>
      </c>
      <c r="C113" s="1"/>
      <c r="D113" s="1"/>
      <c r="E113" s="1"/>
      <c r="F113" s="25" t="s">
        <v>204</v>
      </c>
      <c r="G113" s="25" t="s">
        <v>204</v>
      </c>
      <c r="H113" s="25"/>
      <c r="I113" s="26"/>
      <c r="J113" s="2"/>
    </row>
    <row r="114" spans="1:10" ht="12.95" customHeight="1">
      <c r="A114" s="2"/>
      <c r="B114" s="12" t="s">
        <v>1292</v>
      </c>
      <c r="C114" s="13"/>
      <c r="D114" s="13"/>
      <c r="E114" s="13"/>
      <c r="F114" s="2"/>
      <c r="G114" s="14"/>
      <c r="H114" s="14"/>
      <c r="I114" s="15"/>
      <c r="J114" s="2"/>
    </row>
    <row r="115" spans="1:10" ht="12.95" customHeight="1">
      <c r="A115" s="16" t="s">
        <v>1293</v>
      </c>
      <c r="B115" s="17" t="s">
        <v>1294</v>
      </c>
      <c r="C115" s="13" t="s">
        <v>1295</v>
      </c>
      <c r="D115" s="13" t="s">
        <v>1296</v>
      </c>
      <c r="E115" s="18">
        <v>19</v>
      </c>
      <c r="F115" s="19">
        <v>1785.49</v>
      </c>
      <c r="G115" s="20">
        <v>3.3E-3</v>
      </c>
      <c r="H115" s="21">
        <v>5.0899E-2</v>
      </c>
      <c r="I115" s="37"/>
      <c r="J115" s="2"/>
    </row>
    <row r="116" spans="1:10" ht="12.95" customHeight="1">
      <c r="A116" s="16" t="s">
        <v>1297</v>
      </c>
      <c r="B116" s="17" t="s">
        <v>1298</v>
      </c>
      <c r="C116" s="13" t="s">
        <v>1299</v>
      </c>
      <c r="D116" s="13" t="s">
        <v>1296</v>
      </c>
      <c r="E116" s="18">
        <v>14</v>
      </c>
      <c r="F116" s="19">
        <v>1233.06</v>
      </c>
      <c r="G116" s="20">
        <v>2.2000000000000001E-3</v>
      </c>
      <c r="H116" s="21">
        <v>5.8000000000000003E-2</v>
      </c>
      <c r="I116" s="37"/>
      <c r="J116" s="2"/>
    </row>
    <row r="117" spans="1:10" ht="12.95" customHeight="1">
      <c r="A117" s="16" t="s">
        <v>1300</v>
      </c>
      <c r="B117" s="17" t="s">
        <v>1301</v>
      </c>
      <c r="C117" s="13" t="s">
        <v>1302</v>
      </c>
      <c r="D117" s="13" t="s">
        <v>1296</v>
      </c>
      <c r="E117" s="18">
        <v>8</v>
      </c>
      <c r="F117" s="19">
        <v>653.41999999999996</v>
      </c>
      <c r="G117" s="20">
        <v>1.1999999999999999E-3</v>
      </c>
      <c r="H117" s="21">
        <v>6.4212000000000005E-2</v>
      </c>
      <c r="I117" s="37"/>
      <c r="J117" s="2"/>
    </row>
    <row r="118" spans="1:10" ht="12.95" customHeight="1">
      <c r="A118" s="16" t="s">
        <v>1303</v>
      </c>
      <c r="B118" s="17" t="s">
        <v>1304</v>
      </c>
      <c r="C118" s="13" t="s">
        <v>1305</v>
      </c>
      <c r="D118" s="13" t="s">
        <v>1296</v>
      </c>
      <c r="E118" s="18">
        <v>6</v>
      </c>
      <c r="F118" s="19">
        <v>540.80999999999995</v>
      </c>
      <c r="G118" s="20">
        <v>1E-3</v>
      </c>
      <c r="H118" s="21">
        <v>5.33E-2</v>
      </c>
      <c r="I118" s="37"/>
      <c r="J118" s="2"/>
    </row>
    <row r="119" spans="1:10" ht="12.95" customHeight="1">
      <c r="A119" s="2"/>
      <c r="B119" s="12" t="s">
        <v>172</v>
      </c>
      <c r="C119" s="13"/>
      <c r="D119" s="13"/>
      <c r="E119" s="13"/>
      <c r="F119" s="23">
        <v>4212.78</v>
      </c>
      <c r="G119" s="24">
        <v>7.7000000000000002E-3</v>
      </c>
      <c r="H119" s="25"/>
      <c r="I119" s="26"/>
      <c r="J119" s="2"/>
    </row>
    <row r="120" spans="1:10" ht="12.95" customHeight="1">
      <c r="A120" s="2"/>
      <c r="B120" s="27" t="s">
        <v>173</v>
      </c>
      <c r="C120" s="1"/>
      <c r="D120" s="1"/>
      <c r="E120" s="1"/>
      <c r="F120" s="25" t="s">
        <v>204</v>
      </c>
      <c r="G120" s="25" t="s">
        <v>204</v>
      </c>
      <c r="H120" s="25"/>
      <c r="I120" s="26"/>
      <c r="J120" s="2"/>
    </row>
    <row r="121" spans="1:10" ht="12.95" customHeight="1">
      <c r="A121" s="2"/>
      <c r="B121" s="27" t="s">
        <v>172</v>
      </c>
      <c r="C121" s="1"/>
      <c r="D121" s="1"/>
      <c r="E121" s="1"/>
      <c r="F121" s="25" t="s">
        <v>204</v>
      </c>
      <c r="G121" s="25" t="s">
        <v>204</v>
      </c>
      <c r="H121" s="25"/>
      <c r="I121" s="26"/>
      <c r="J121" s="2"/>
    </row>
    <row r="122" spans="1:10" ht="12.95" customHeight="1">
      <c r="A122" s="2"/>
      <c r="B122" s="27" t="s">
        <v>177</v>
      </c>
      <c r="C122" s="28"/>
      <c r="D122" s="1"/>
      <c r="E122" s="28"/>
      <c r="F122" s="23">
        <v>491567.02</v>
      </c>
      <c r="G122" s="24">
        <v>0.89610000000000001</v>
      </c>
      <c r="H122" s="25"/>
      <c r="I122" s="26"/>
      <c r="J122" s="2"/>
    </row>
    <row r="123" spans="1:10" ht="12.95" customHeight="1">
      <c r="A123" s="2"/>
      <c r="B123" s="12" t="s">
        <v>656</v>
      </c>
      <c r="C123" s="13"/>
      <c r="D123" s="13"/>
      <c r="E123" s="13"/>
      <c r="F123" s="13"/>
      <c r="G123" s="13"/>
      <c r="H123" s="14"/>
      <c r="I123" s="15"/>
      <c r="J123" s="2"/>
    </row>
    <row r="124" spans="1:10" ht="12.95" customHeight="1">
      <c r="A124" s="2"/>
      <c r="B124" s="12" t="s">
        <v>657</v>
      </c>
      <c r="C124" s="13"/>
      <c r="D124" s="13"/>
      <c r="E124" s="13"/>
      <c r="F124" s="2"/>
      <c r="G124" s="14"/>
      <c r="H124" s="14"/>
      <c r="I124" s="15"/>
      <c r="J124" s="2"/>
    </row>
    <row r="125" spans="1:10" ht="12.95" customHeight="1">
      <c r="A125" s="16" t="s">
        <v>1306</v>
      </c>
      <c r="B125" s="17" t="s">
        <v>1307</v>
      </c>
      <c r="C125" s="13" t="s">
        <v>1308</v>
      </c>
      <c r="D125" s="13" t="s">
        <v>661</v>
      </c>
      <c r="E125" s="18">
        <v>10000</v>
      </c>
      <c r="F125" s="19">
        <v>9722.75</v>
      </c>
      <c r="G125" s="20">
        <v>1.77E-2</v>
      </c>
      <c r="H125" s="21">
        <v>4.1799999999999997E-2</v>
      </c>
      <c r="I125" s="37"/>
      <c r="J125" s="2"/>
    </row>
    <row r="126" spans="1:10" ht="12.95" customHeight="1">
      <c r="A126" s="2"/>
      <c r="B126" s="12" t="s">
        <v>172</v>
      </c>
      <c r="C126" s="13"/>
      <c r="D126" s="13"/>
      <c r="E126" s="13"/>
      <c r="F126" s="23">
        <v>9722.75</v>
      </c>
      <c r="G126" s="24">
        <v>1.77E-2</v>
      </c>
      <c r="H126" s="25"/>
      <c r="I126" s="26"/>
      <c r="J126" s="2"/>
    </row>
    <row r="127" spans="1:10" ht="12.95" customHeight="1">
      <c r="A127" s="2"/>
      <c r="B127" s="12" t="s">
        <v>662</v>
      </c>
      <c r="C127" s="13"/>
      <c r="D127" s="13"/>
      <c r="E127" s="13"/>
      <c r="F127" s="2"/>
      <c r="G127" s="14"/>
      <c r="H127" s="14"/>
      <c r="I127" s="15"/>
      <c r="J127" s="2"/>
    </row>
    <row r="128" spans="1:10" ht="12.95" customHeight="1">
      <c r="A128" s="16" t="s">
        <v>1309</v>
      </c>
      <c r="B128" s="17" t="s">
        <v>1310</v>
      </c>
      <c r="C128" s="13" t="s">
        <v>1311</v>
      </c>
      <c r="D128" s="13" t="s">
        <v>1312</v>
      </c>
      <c r="E128" s="18">
        <v>500</v>
      </c>
      <c r="F128" s="19">
        <v>2459.94</v>
      </c>
      <c r="G128" s="20">
        <v>4.4999999999999997E-3</v>
      </c>
      <c r="H128" s="21">
        <v>4.1000000000000002E-2</v>
      </c>
      <c r="I128" s="37"/>
      <c r="J128" s="2"/>
    </row>
    <row r="129" spans="1:10" ht="12.95" customHeight="1">
      <c r="A129" s="16" t="s">
        <v>1313</v>
      </c>
      <c r="B129" s="17" t="s">
        <v>1314</v>
      </c>
      <c r="C129" s="13" t="s">
        <v>1315</v>
      </c>
      <c r="D129" s="13" t="s">
        <v>661</v>
      </c>
      <c r="E129" s="18">
        <v>400</v>
      </c>
      <c r="F129" s="19">
        <v>1982.98</v>
      </c>
      <c r="G129" s="20">
        <v>3.5999999999999999E-3</v>
      </c>
      <c r="H129" s="21">
        <v>3.9150999999999998E-2</v>
      </c>
      <c r="I129" s="37"/>
      <c r="J129" s="2"/>
    </row>
    <row r="130" spans="1:10" ht="12.95" customHeight="1">
      <c r="A130" s="2"/>
      <c r="B130" s="12" t="s">
        <v>172</v>
      </c>
      <c r="C130" s="13"/>
      <c r="D130" s="13"/>
      <c r="E130" s="13"/>
      <c r="F130" s="23">
        <v>4442.92</v>
      </c>
      <c r="G130" s="24">
        <v>8.0999999999999996E-3</v>
      </c>
      <c r="H130" s="25"/>
      <c r="I130" s="26"/>
      <c r="J130" s="2"/>
    </row>
    <row r="131" spans="1:10" ht="12.95" customHeight="1">
      <c r="A131" s="2"/>
      <c r="B131" s="12" t="s">
        <v>1316</v>
      </c>
      <c r="C131" s="13"/>
      <c r="D131" s="13"/>
      <c r="E131" s="13"/>
      <c r="F131" s="2"/>
      <c r="G131" s="14"/>
      <c r="H131" s="14"/>
      <c r="I131" s="15"/>
      <c r="J131" s="2"/>
    </row>
    <row r="132" spans="1:10" ht="12.95" customHeight="1">
      <c r="A132" s="16" t="s">
        <v>1317</v>
      </c>
      <c r="B132" s="17" t="s">
        <v>1318</v>
      </c>
      <c r="C132" s="13" t="s">
        <v>1319</v>
      </c>
      <c r="D132" s="13" t="s">
        <v>200</v>
      </c>
      <c r="E132" s="18">
        <v>13500000</v>
      </c>
      <c r="F132" s="19">
        <v>13395.44</v>
      </c>
      <c r="G132" s="20">
        <v>2.4400000000000002E-2</v>
      </c>
      <c r="H132" s="21">
        <v>3.4325000000000001E-2</v>
      </c>
      <c r="I132" s="37"/>
      <c r="J132" s="2"/>
    </row>
    <row r="133" spans="1:10" ht="12.95" customHeight="1">
      <c r="A133" s="2"/>
      <c r="B133" s="12" t="s">
        <v>172</v>
      </c>
      <c r="C133" s="13"/>
      <c r="D133" s="13"/>
      <c r="E133" s="13"/>
      <c r="F133" s="23">
        <v>13395.44</v>
      </c>
      <c r="G133" s="24">
        <v>2.4400000000000002E-2</v>
      </c>
      <c r="H133" s="25"/>
      <c r="I133" s="26"/>
      <c r="J133" s="2"/>
    </row>
    <row r="134" spans="1:10" ht="12.95" customHeight="1">
      <c r="A134" s="2"/>
      <c r="B134" s="27" t="s">
        <v>177</v>
      </c>
      <c r="C134" s="28"/>
      <c r="D134" s="1"/>
      <c r="E134" s="28"/>
      <c r="F134" s="23">
        <v>27561.11</v>
      </c>
      <c r="G134" s="24">
        <v>5.0200000000000002E-2</v>
      </c>
      <c r="H134" s="25"/>
      <c r="I134" s="26"/>
      <c r="J134" s="2"/>
    </row>
    <row r="135" spans="1:10" ht="12.95" customHeight="1">
      <c r="A135" s="2"/>
      <c r="B135" s="12" t="s">
        <v>178</v>
      </c>
      <c r="C135" s="13"/>
      <c r="D135" s="13"/>
      <c r="E135" s="13"/>
      <c r="F135" s="13"/>
      <c r="G135" s="13"/>
      <c r="H135" s="14"/>
      <c r="I135" s="15"/>
      <c r="J135" s="2"/>
    </row>
    <row r="136" spans="1:10" ht="12.95" customHeight="1">
      <c r="A136" s="16" t="s">
        <v>179</v>
      </c>
      <c r="B136" s="17" t="s">
        <v>180</v>
      </c>
      <c r="C136" s="13"/>
      <c r="D136" s="13"/>
      <c r="E136" s="18"/>
      <c r="F136" s="19">
        <v>25415.61</v>
      </c>
      <c r="G136" s="20">
        <v>4.6399999999999997E-2</v>
      </c>
      <c r="H136" s="21">
        <v>3.3046243856704793E-2</v>
      </c>
      <c r="I136" s="37"/>
      <c r="J136" s="2"/>
    </row>
    <row r="137" spans="1:10" ht="12.95" customHeight="1">
      <c r="A137" s="2"/>
      <c r="B137" s="12" t="s">
        <v>172</v>
      </c>
      <c r="C137" s="13"/>
      <c r="D137" s="13"/>
      <c r="E137" s="13"/>
      <c r="F137" s="23">
        <v>25415.61</v>
      </c>
      <c r="G137" s="24">
        <v>4.6399999999999997E-2</v>
      </c>
      <c r="H137" s="25"/>
      <c r="I137" s="26"/>
      <c r="J137" s="2"/>
    </row>
    <row r="138" spans="1:10" ht="12.95" customHeight="1">
      <c r="A138" s="2"/>
      <c r="B138" s="27" t="s">
        <v>173</v>
      </c>
      <c r="C138" s="1"/>
      <c r="D138" s="1"/>
      <c r="E138" s="1"/>
      <c r="F138" s="25" t="s">
        <v>204</v>
      </c>
      <c r="G138" s="25" t="s">
        <v>204</v>
      </c>
      <c r="H138" s="25"/>
      <c r="I138" s="26"/>
      <c r="J138" s="2"/>
    </row>
    <row r="139" spans="1:10" ht="12.95" customHeight="1">
      <c r="A139" s="2"/>
      <c r="B139" s="27" t="s">
        <v>172</v>
      </c>
      <c r="C139" s="1"/>
      <c r="D139" s="1"/>
      <c r="E139" s="1"/>
      <c r="F139" s="25" t="s">
        <v>204</v>
      </c>
      <c r="G139" s="25" t="s">
        <v>204</v>
      </c>
      <c r="H139" s="25"/>
      <c r="I139" s="26"/>
      <c r="J139" s="2"/>
    </row>
    <row r="140" spans="1:10" ht="12.95" customHeight="1">
      <c r="A140" s="2"/>
      <c r="B140" s="27" t="s">
        <v>177</v>
      </c>
      <c r="C140" s="28"/>
      <c r="D140" s="1"/>
      <c r="E140" s="28"/>
      <c r="F140" s="23">
        <v>25415.61</v>
      </c>
      <c r="G140" s="24">
        <v>4.6399999999999997E-2</v>
      </c>
      <c r="H140" s="25"/>
      <c r="I140" s="26"/>
      <c r="J140" s="2"/>
    </row>
    <row r="141" spans="1:10" ht="12.95" customHeight="1">
      <c r="A141" s="2"/>
      <c r="B141" s="27" t="s">
        <v>181</v>
      </c>
      <c r="C141" s="13"/>
      <c r="D141" s="1"/>
      <c r="E141" s="13"/>
      <c r="F141" s="29">
        <v>3776.3</v>
      </c>
      <c r="G141" s="24">
        <v>7.3000000000000001E-3</v>
      </c>
      <c r="H141" s="25"/>
      <c r="I141" s="26"/>
      <c r="J141" s="2"/>
    </row>
    <row r="142" spans="1:10" ht="12.95" customHeight="1">
      <c r="A142" s="2"/>
      <c r="B142" s="30" t="s">
        <v>182</v>
      </c>
      <c r="C142" s="31"/>
      <c r="D142" s="31"/>
      <c r="E142" s="31"/>
      <c r="F142" s="32">
        <v>548332.4</v>
      </c>
      <c r="G142" s="33">
        <v>1</v>
      </c>
      <c r="H142" s="34"/>
      <c r="I142" s="35"/>
      <c r="J142" s="2"/>
    </row>
    <row r="143" spans="1:10" ht="12.95" customHeight="1">
      <c r="A143" s="2"/>
      <c r="B143" s="5"/>
      <c r="C143" s="2"/>
      <c r="D143" s="2"/>
      <c r="E143" s="2"/>
      <c r="F143" s="2"/>
      <c r="G143" s="2"/>
      <c r="H143" s="2"/>
      <c r="I143" s="2"/>
      <c r="J143" s="2"/>
    </row>
    <row r="144" spans="1:10" ht="12.95" customHeight="1">
      <c r="A144" s="2"/>
      <c r="B144" s="3" t="s">
        <v>1320</v>
      </c>
      <c r="C144" s="2"/>
      <c r="D144" s="2"/>
      <c r="E144" s="2"/>
      <c r="F144" s="2"/>
      <c r="G144" s="2"/>
      <c r="H144" s="2"/>
      <c r="I144" s="2"/>
      <c r="J144" s="2"/>
    </row>
    <row r="145" spans="1:10" ht="12.95" customHeight="1">
      <c r="A145" s="2"/>
      <c r="B145" s="3" t="s">
        <v>184</v>
      </c>
      <c r="C145" s="2"/>
      <c r="D145" s="2"/>
      <c r="E145" s="2"/>
      <c r="F145" s="2"/>
      <c r="G145" s="2"/>
      <c r="H145" s="2"/>
      <c r="I145" s="2"/>
      <c r="J145" s="2"/>
    </row>
    <row r="146" spans="1:10" ht="12.95" customHeight="1">
      <c r="A146" s="2"/>
      <c r="B146" s="3" t="s">
        <v>185</v>
      </c>
      <c r="C146" s="2"/>
      <c r="D146" s="2"/>
      <c r="E146" s="2"/>
      <c r="F146" s="2"/>
      <c r="G146" s="2"/>
      <c r="H146" s="2"/>
      <c r="I146" s="2"/>
      <c r="J146" s="2"/>
    </row>
    <row r="147" spans="1:10" ht="12.95" customHeight="1">
      <c r="A147" s="2"/>
      <c r="B147" s="3" t="s">
        <v>186</v>
      </c>
      <c r="C147" s="2"/>
      <c r="D147" s="2"/>
      <c r="E147" s="2"/>
      <c r="F147" s="2"/>
      <c r="G147" s="2"/>
      <c r="H147" s="2"/>
      <c r="I147" s="2"/>
      <c r="J147" s="2"/>
    </row>
    <row r="148" spans="1:10" ht="26.25" customHeight="1">
      <c r="A148" s="2"/>
      <c r="B148" s="189" t="s">
        <v>4025</v>
      </c>
      <c r="C148" s="189"/>
      <c r="D148" s="189"/>
      <c r="E148" s="189"/>
      <c r="F148" s="189"/>
      <c r="G148" s="189"/>
      <c r="H148" s="189"/>
      <c r="I148" s="189"/>
      <c r="J148" s="2"/>
    </row>
    <row r="149" spans="1:10" ht="12.95" customHeight="1">
      <c r="A149" s="2"/>
      <c r="B149" s="3"/>
      <c r="C149" s="2"/>
      <c r="D149" s="2"/>
      <c r="E149" s="2"/>
      <c r="F149" s="2"/>
      <c r="G149" s="2"/>
      <c r="H149" s="2"/>
      <c r="I149" s="2"/>
      <c r="J149" s="2"/>
    </row>
    <row r="150" spans="1:10">
      <c r="C150" s="111" t="s">
        <v>3942</v>
      </c>
    </row>
    <row r="151" spans="1:10">
      <c r="B151" s="111" t="s">
        <v>3933</v>
      </c>
      <c r="C151" s="111" t="s">
        <v>3934</v>
      </c>
    </row>
  </sheetData>
  <mergeCells count="2">
    <mergeCell ref="B2:I2"/>
    <mergeCell ref="B148:I148"/>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3"/>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AXISDBF</v>
      </c>
    </row>
    <row r="2" spans="1:13" ht="34.5" customHeight="1" thickBot="1">
      <c r="A2" s="135" t="str">
        <f>M2</f>
        <v>AXISDBF</v>
      </c>
      <c r="B2" s="186" t="s">
        <v>30</v>
      </c>
      <c r="C2" s="187"/>
      <c r="D2" s="187"/>
      <c r="E2" s="187"/>
      <c r="F2" s="187"/>
      <c r="G2" s="187"/>
      <c r="H2" s="187"/>
      <c r="I2" s="188"/>
      <c r="J2" s="2"/>
      <c r="M2" s="108" t="s">
        <v>29</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1321</v>
      </c>
      <c r="B8" s="17" t="s">
        <v>1322</v>
      </c>
      <c r="C8" s="13" t="s">
        <v>1323</v>
      </c>
      <c r="D8" s="13" t="s">
        <v>200</v>
      </c>
      <c r="E8" s="18">
        <v>11864800</v>
      </c>
      <c r="F8" s="19">
        <v>11650.09</v>
      </c>
      <c r="G8" s="20">
        <v>6.2199999999999998E-2</v>
      </c>
      <c r="H8" s="21">
        <v>6.7745E-2</v>
      </c>
      <c r="I8" s="22"/>
      <c r="J8" s="2"/>
    </row>
    <row r="9" spans="1:13" ht="12.95" customHeight="1">
      <c r="A9" s="16" t="s">
        <v>1074</v>
      </c>
      <c r="B9" s="17" t="s">
        <v>1075</v>
      </c>
      <c r="C9" s="13" t="s">
        <v>1076</v>
      </c>
      <c r="D9" s="13" t="s">
        <v>200</v>
      </c>
      <c r="E9" s="18">
        <v>10000000</v>
      </c>
      <c r="F9" s="19">
        <v>9914.07</v>
      </c>
      <c r="G9" s="20">
        <v>5.2999999999999999E-2</v>
      </c>
      <c r="H9" s="21">
        <v>6.2170000000000003E-2</v>
      </c>
      <c r="I9" s="22"/>
      <c r="J9" s="2"/>
    </row>
    <row r="10" spans="1:13" ht="12.95" customHeight="1">
      <c r="A10" s="16" t="s">
        <v>1324</v>
      </c>
      <c r="B10" s="17" t="s">
        <v>1325</v>
      </c>
      <c r="C10" s="13" t="s">
        <v>1326</v>
      </c>
      <c r="D10" s="13" t="s">
        <v>132</v>
      </c>
      <c r="E10" s="18">
        <v>870</v>
      </c>
      <c r="F10" s="19">
        <v>8661.6</v>
      </c>
      <c r="G10" s="20">
        <v>4.6300000000000001E-2</v>
      </c>
      <c r="H10" s="21">
        <v>6.8609500000000004E-2</v>
      </c>
      <c r="I10" s="37">
        <v>6.8646036999999993E-2</v>
      </c>
      <c r="J10" s="2"/>
    </row>
    <row r="11" spans="1:13" ht="12.95" customHeight="1">
      <c r="A11" s="16" t="s">
        <v>1327</v>
      </c>
      <c r="B11" s="17" t="s">
        <v>1328</v>
      </c>
      <c r="C11" s="13" t="s">
        <v>1329</v>
      </c>
      <c r="D11" s="13" t="s">
        <v>200</v>
      </c>
      <c r="E11" s="18">
        <v>6000000</v>
      </c>
      <c r="F11" s="19">
        <v>6032.69</v>
      </c>
      <c r="G11" s="20">
        <v>3.2199999999999999E-2</v>
      </c>
      <c r="H11" s="21">
        <v>6.7878999999999995E-2</v>
      </c>
      <c r="I11" s="37"/>
      <c r="J11" s="2"/>
    </row>
    <row r="12" spans="1:13" ht="12.95" customHeight="1">
      <c r="A12" s="16" t="s">
        <v>1330</v>
      </c>
      <c r="B12" s="17" t="s">
        <v>1331</v>
      </c>
      <c r="C12" s="13" t="s">
        <v>1332</v>
      </c>
      <c r="D12" s="13" t="s">
        <v>132</v>
      </c>
      <c r="E12" s="18">
        <v>560</v>
      </c>
      <c r="F12" s="19">
        <v>5932.58</v>
      </c>
      <c r="G12" s="20">
        <v>3.1699999999999999E-2</v>
      </c>
      <c r="H12" s="21">
        <v>6.7100000000000007E-2</v>
      </c>
      <c r="I12" s="37"/>
      <c r="J12" s="2"/>
    </row>
    <row r="13" spans="1:13" ht="12.95" customHeight="1">
      <c r="A13" s="16" t="s">
        <v>1333</v>
      </c>
      <c r="B13" s="17" t="s">
        <v>1334</v>
      </c>
      <c r="C13" s="13" t="s">
        <v>1335</v>
      </c>
      <c r="D13" s="13" t="s">
        <v>161</v>
      </c>
      <c r="E13" s="18">
        <v>540</v>
      </c>
      <c r="F13" s="19">
        <v>5712.41</v>
      </c>
      <c r="G13" s="20">
        <v>3.0499999999999999E-2</v>
      </c>
      <c r="H13" s="21">
        <v>6.6937999999999998E-2</v>
      </c>
      <c r="I13" s="37"/>
      <c r="J13" s="2"/>
    </row>
    <row r="14" spans="1:13" ht="12.95" customHeight="1">
      <c r="A14" s="16" t="s">
        <v>1336</v>
      </c>
      <c r="B14" s="17" t="s">
        <v>1337</v>
      </c>
      <c r="C14" s="13" t="s">
        <v>1338</v>
      </c>
      <c r="D14" s="13" t="s">
        <v>132</v>
      </c>
      <c r="E14" s="18">
        <v>500</v>
      </c>
      <c r="F14" s="19">
        <v>5504.43</v>
      </c>
      <c r="G14" s="20">
        <v>2.9399999999999999E-2</v>
      </c>
      <c r="H14" s="21">
        <v>6.5549999999999997E-2</v>
      </c>
      <c r="I14" s="37"/>
      <c r="J14" s="2"/>
    </row>
    <row r="15" spans="1:13" ht="12.95" customHeight="1">
      <c r="A15" s="16" t="s">
        <v>1339</v>
      </c>
      <c r="B15" s="17" t="s">
        <v>1340</v>
      </c>
      <c r="C15" s="13" t="s">
        <v>1341</v>
      </c>
      <c r="D15" s="13" t="s">
        <v>161</v>
      </c>
      <c r="E15" s="18">
        <v>500</v>
      </c>
      <c r="F15" s="19">
        <v>5233.59</v>
      </c>
      <c r="G15" s="20">
        <v>2.8000000000000001E-2</v>
      </c>
      <c r="H15" s="21">
        <v>6.8339999999999998E-2</v>
      </c>
      <c r="I15" s="37"/>
      <c r="J15" s="2"/>
    </row>
    <row r="16" spans="1:13" ht="12.95" customHeight="1">
      <c r="A16" s="16" t="s">
        <v>1342</v>
      </c>
      <c r="B16" s="17" t="s">
        <v>1343</v>
      </c>
      <c r="C16" s="13" t="s">
        <v>1344</v>
      </c>
      <c r="D16" s="13" t="s">
        <v>132</v>
      </c>
      <c r="E16" s="18">
        <v>500</v>
      </c>
      <c r="F16" s="19">
        <v>5184.33</v>
      </c>
      <c r="G16" s="20">
        <v>2.7699999999999999E-2</v>
      </c>
      <c r="H16" s="21">
        <v>6.7599999999999993E-2</v>
      </c>
      <c r="I16" s="37"/>
      <c r="J16" s="2"/>
    </row>
    <row r="17" spans="1:10" ht="12.95" customHeight="1">
      <c r="A17" s="16" t="s">
        <v>1345</v>
      </c>
      <c r="B17" s="17" t="s">
        <v>1346</v>
      </c>
      <c r="C17" s="13" t="s">
        <v>1347</v>
      </c>
      <c r="D17" s="13" t="s">
        <v>132</v>
      </c>
      <c r="E17" s="18">
        <v>500</v>
      </c>
      <c r="F17" s="19">
        <v>4994.3999999999996</v>
      </c>
      <c r="G17" s="20">
        <v>2.6700000000000002E-2</v>
      </c>
      <c r="H17" s="21">
        <v>6.8953E-2</v>
      </c>
      <c r="I17" s="37"/>
      <c r="J17" s="2"/>
    </row>
    <row r="18" spans="1:10" ht="12.95" customHeight="1">
      <c r="A18" s="16" t="s">
        <v>1348</v>
      </c>
      <c r="B18" s="17" t="s">
        <v>1349</v>
      </c>
      <c r="C18" s="13" t="s">
        <v>1350</v>
      </c>
      <c r="D18" s="13" t="s">
        <v>200</v>
      </c>
      <c r="E18" s="18">
        <v>5000000</v>
      </c>
      <c r="F18" s="19">
        <v>4993.01</v>
      </c>
      <c r="G18" s="20">
        <v>2.6700000000000002E-2</v>
      </c>
      <c r="H18" s="21">
        <v>6.7983000000000002E-2</v>
      </c>
      <c r="I18" s="37"/>
      <c r="J18" s="2"/>
    </row>
    <row r="19" spans="1:10" ht="12.95" customHeight="1">
      <c r="A19" s="16" t="s">
        <v>1351</v>
      </c>
      <c r="B19" s="17" t="s">
        <v>1352</v>
      </c>
      <c r="C19" s="13" t="s">
        <v>1353</v>
      </c>
      <c r="D19" s="13" t="s">
        <v>1354</v>
      </c>
      <c r="E19" s="18">
        <v>500</v>
      </c>
      <c r="F19" s="19">
        <v>4938.71</v>
      </c>
      <c r="G19" s="20">
        <v>2.64E-2</v>
      </c>
      <c r="H19" s="21">
        <v>6.8339999999999998E-2</v>
      </c>
      <c r="I19" s="37"/>
      <c r="J19" s="2"/>
    </row>
    <row r="20" spans="1:10" ht="12.95" customHeight="1">
      <c r="A20" s="16" t="s">
        <v>1355</v>
      </c>
      <c r="B20" s="17" t="s">
        <v>1356</v>
      </c>
      <c r="C20" s="13" t="s">
        <v>1357</v>
      </c>
      <c r="D20" s="13" t="s">
        <v>171</v>
      </c>
      <c r="E20" s="18">
        <v>500</v>
      </c>
      <c r="F20" s="19">
        <v>4933.34</v>
      </c>
      <c r="G20" s="20">
        <v>2.64E-2</v>
      </c>
      <c r="H20" s="21">
        <v>6.7446000000000006E-2</v>
      </c>
      <c r="I20" s="37"/>
      <c r="J20" s="2"/>
    </row>
    <row r="21" spans="1:10" ht="12.95" customHeight="1">
      <c r="A21" s="16" t="s">
        <v>1358</v>
      </c>
      <c r="B21" s="17" t="s">
        <v>1359</v>
      </c>
      <c r="C21" s="13" t="s">
        <v>1360</v>
      </c>
      <c r="D21" s="13" t="s">
        <v>171</v>
      </c>
      <c r="E21" s="18">
        <v>2250</v>
      </c>
      <c r="F21" s="19">
        <v>4820.8</v>
      </c>
      <c r="G21" s="20">
        <v>2.58E-2</v>
      </c>
      <c r="H21" s="21">
        <v>6.2149999999999997E-2</v>
      </c>
      <c r="I21" s="37"/>
      <c r="J21" s="2"/>
    </row>
    <row r="22" spans="1:10" ht="12.95" customHeight="1">
      <c r="A22" s="16" t="s">
        <v>1361</v>
      </c>
      <c r="B22" s="17" t="s">
        <v>1362</v>
      </c>
      <c r="C22" s="13" t="s">
        <v>1363</v>
      </c>
      <c r="D22" s="13" t="s">
        <v>132</v>
      </c>
      <c r="E22" s="18">
        <v>450</v>
      </c>
      <c r="F22" s="19">
        <v>4600.5200000000004</v>
      </c>
      <c r="G22" s="20">
        <v>2.46E-2</v>
      </c>
      <c r="H22" s="21">
        <v>6.8927000000000002E-2</v>
      </c>
      <c r="I22" s="37"/>
      <c r="J22" s="2"/>
    </row>
    <row r="23" spans="1:10" ht="12.95" customHeight="1">
      <c r="A23" s="16" t="s">
        <v>1364</v>
      </c>
      <c r="B23" s="17" t="s">
        <v>1365</v>
      </c>
      <c r="C23" s="13" t="s">
        <v>1366</v>
      </c>
      <c r="D23" s="13" t="s">
        <v>132</v>
      </c>
      <c r="E23" s="18">
        <v>350</v>
      </c>
      <c r="F23" s="19">
        <v>3862.13</v>
      </c>
      <c r="G23" s="20">
        <v>2.06E-2</v>
      </c>
      <c r="H23" s="21">
        <v>6.5549999999999997E-2</v>
      </c>
      <c r="I23" s="37"/>
      <c r="J23" s="2"/>
    </row>
    <row r="24" spans="1:10" ht="12.95" customHeight="1">
      <c r="A24" s="16" t="s">
        <v>1367</v>
      </c>
      <c r="B24" s="17" t="s">
        <v>1368</v>
      </c>
      <c r="C24" s="13" t="s">
        <v>1369</v>
      </c>
      <c r="D24" s="13" t="s">
        <v>132</v>
      </c>
      <c r="E24" s="18">
        <v>310</v>
      </c>
      <c r="F24" s="19">
        <v>3408.83</v>
      </c>
      <c r="G24" s="20">
        <v>1.8200000000000001E-2</v>
      </c>
      <c r="H24" s="21">
        <v>6.6402000000000003E-2</v>
      </c>
      <c r="I24" s="37"/>
      <c r="J24" s="2"/>
    </row>
    <row r="25" spans="1:10" ht="12.95" customHeight="1">
      <c r="A25" s="16" t="s">
        <v>1370</v>
      </c>
      <c r="B25" s="17" t="s">
        <v>1371</v>
      </c>
      <c r="C25" s="13" t="s">
        <v>1372</v>
      </c>
      <c r="D25" s="13" t="s">
        <v>200</v>
      </c>
      <c r="E25" s="18">
        <v>3394100</v>
      </c>
      <c r="F25" s="19">
        <v>3361.58</v>
      </c>
      <c r="G25" s="20">
        <v>1.7999999999999999E-2</v>
      </c>
      <c r="H25" s="21">
        <v>6.7728999999999998E-2</v>
      </c>
      <c r="I25" s="37"/>
      <c r="J25" s="2"/>
    </row>
    <row r="26" spans="1:10" ht="12.95" customHeight="1">
      <c r="A26" s="16" t="s">
        <v>1373</v>
      </c>
      <c r="B26" s="17" t="s">
        <v>1374</v>
      </c>
      <c r="C26" s="13" t="s">
        <v>1375</v>
      </c>
      <c r="D26" s="13" t="s">
        <v>132</v>
      </c>
      <c r="E26" s="18">
        <v>300</v>
      </c>
      <c r="F26" s="19">
        <v>3152.11</v>
      </c>
      <c r="G26" s="20">
        <v>1.6799999999999999E-2</v>
      </c>
      <c r="H26" s="21">
        <v>6.9449999999999998E-2</v>
      </c>
      <c r="I26" s="37"/>
      <c r="J26" s="2"/>
    </row>
    <row r="27" spans="1:10" ht="12.95" customHeight="1">
      <c r="A27" s="16" t="s">
        <v>1376</v>
      </c>
      <c r="B27" s="17" t="s">
        <v>1377</v>
      </c>
      <c r="C27" s="13" t="s">
        <v>1378</v>
      </c>
      <c r="D27" s="13" t="s">
        <v>200</v>
      </c>
      <c r="E27" s="18">
        <v>3000000</v>
      </c>
      <c r="F27" s="19">
        <v>2944.31</v>
      </c>
      <c r="G27" s="20">
        <v>1.5699999999999999E-2</v>
      </c>
      <c r="H27" s="21">
        <v>6.7750000000000005E-2</v>
      </c>
      <c r="I27" s="37"/>
      <c r="J27" s="2"/>
    </row>
    <row r="28" spans="1:10" ht="12.95" customHeight="1">
      <c r="A28" s="16" t="s">
        <v>1379</v>
      </c>
      <c r="B28" s="17" t="s">
        <v>1380</v>
      </c>
      <c r="C28" s="13" t="s">
        <v>1381</v>
      </c>
      <c r="D28" s="13" t="s">
        <v>171</v>
      </c>
      <c r="E28" s="18">
        <v>250</v>
      </c>
      <c r="F28" s="19">
        <v>2776.42</v>
      </c>
      <c r="G28" s="20">
        <v>1.4800000000000001E-2</v>
      </c>
      <c r="H28" s="21">
        <v>6.5854999999999997E-2</v>
      </c>
      <c r="I28" s="37"/>
      <c r="J28" s="2"/>
    </row>
    <row r="29" spans="1:10" ht="12.95" customHeight="1">
      <c r="A29" s="16" t="s">
        <v>1382</v>
      </c>
      <c r="B29" s="17" t="s">
        <v>1383</v>
      </c>
      <c r="C29" s="13" t="s">
        <v>1384</v>
      </c>
      <c r="D29" s="13" t="s">
        <v>171</v>
      </c>
      <c r="E29" s="18">
        <v>250</v>
      </c>
      <c r="F29" s="19">
        <v>2624.78</v>
      </c>
      <c r="G29" s="20">
        <v>1.4E-2</v>
      </c>
      <c r="H29" s="21">
        <v>6.7486000000000004E-2</v>
      </c>
      <c r="I29" s="37"/>
      <c r="J29" s="2"/>
    </row>
    <row r="30" spans="1:10" ht="12.95" customHeight="1">
      <c r="A30" s="16" t="s">
        <v>1385</v>
      </c>
      <c r="B30" s="17" t="s">
        <v>1386</v>
      </c>
      <c r="C30" s="13" t="s">
        <v>1387</v>
      </c>
      <c r="D30" s="13" t="s">
        <v>132</v>
      </c>
      <c r="E30" s="18">
        <v>250</v>
      </c>
      <c r="F30" s="19">
        <v>2613.6799999999998</v>
      </c>
      <c r="G30" s="20">
        <v>1.4E-2</v>
      </c>
      <c r="H30" s="21">
        <v>6.5500000000000003E-2</v>
      </c>
      <c r="I30" s="37"/>
      <c r="J30" s="2"/>
    </row>
    <row r="31" spans="1:10" ht="12.95" customHeight="1">
      <c r="A31" s="16" t="s">
        <v>1388</v>
      </c>
      <c r="B31" s="17" t="s">
        <v>1389</v>
      </c>
      <c r="C31" s="13" t="s">
        <v>1390</v>
      </c>
      <c r="D31" s="13" t="s">
        <v>132</v>
      </c>
      <c r="E31" s="18">
        <v>250</v>
      </c>
      <c r="F31" s="19">
        <v>2566.96</v>
      </c>
      <c r="G31" s="20">
        <v>1.37E-2</v>
      </c>
      <c r="H31" s="21">
        <v>6.8334000000000006E-2</v>
      </c>
      <c r="I31" s="37"/>
      <c r="J31" s="2"/>
    </row>
    <row r="32" spans="1:10" ht="12.95" customHeight="1">
      <c r="A32" s="16" t="s">
        <v>1391</v>
      </c>
      <c r="B32" s="17" t="s">
        <v>1392</v>
      </c>
      <c r="C32" s="13" t="s">
        <v>1393</v>
      </c>
      <c r="D32" s="13" t="s">
        <v>132</v>
      </c>
      <c r="E32" s="18">
        <v>250</v>
      </c>
      <c r="F32" s="19">
        <v>2516.0700000000002</v>
      </c>
      <c r="G32" s="20">
        <v>1.34E-2</v>
      </c>
      <c r="H32" s="21">
        <v>6.9449999999999998E-2</v>
      </c>
      <c r="I32" s="37"/>
      <c r="J32" s="2"/>
    </row>
    <row r="33" spans="1:10" ht="12.95" customHeight="1">
      <c r="A33" s="16" t="s">
        <v>1394</v>
      </c>
      <c r="B33" s="17" t="s">
        <v>1395</v>
      </c>
      <c r="C33" s="13" t="s">
        <v>1396</v>
      </c>
      <c r="D33" s="13" t="s">
        <v>200</v>
      </c>
      <c r="E33" s="18">
        <v>2500000</v>
      </c>
      <c r="F33" s="19">
        <v>2505.9499999999998</v>
      </c>
      <c r="G33" s="20">
        <v>1.34E-2</v>
      </c>
      <c r="H33" s="21">
        <v>6.7941000000000001E-2</v>
      </c>
      <c r="I33" s="37"/>
      <c r="J33" s="2"/>
    </row>
    <row r="34" spans="1:10" ht="12.95" customHeight="1">
      <c r="A34" s="16" t="s">
        <v>1397</v>
      </c>
      <c r="B34" s="17" t="s">
        <v>1398</v>
      </c>
      <c r="C34" s="13" t="s">
        <v>1399</v>
      </c>
      <c r="D34" s="13" t="s">
        <v>132</v>
      </c>
      <c r="E34" s="18">
        <v>250</v>
      </c>
      <c r="F34" s="19">
        <v>2499.4</v>
      </c>
      <c r="G34" s="20">
        <v>1.34E-2</v>
      </c>
      <c r="H34" s="21">
        <v>6.6919999999999993E-2</v>
      </c>
      <c r="I34" s="37"/>
      <c r="J34" s="2"/>
    </row>
    <row r="35" spans="1:10" ht="12.95" customHeight="1">
      <c r="A35" s="16" t="s">
        <v>1400</v>
      </c>
      <c r="B35" s="17" t="s">
        <v>1401</v>
      </c>
      <c r="C35" s="13" t="s">
        <v>1402</v>
      </c>
      <c r="D35" s="13" t="s">
        <v>171</v>
      </c>
      <c r="E35" s="18">
        <v>250</v>
      </c>
      <c r="F35" s="19">
        <v>2474.4</v>
      </c>
      <c r="G35" s="20">
        <v>1.32E-2</v>
      </c>
      <c r="H35" s="21">
        <v>6.7482E-2</v>
      </c>
      <c r="I35" s="37"/>
      <c r="J35" s="2"/>
    </row>
    <row r="36" spans="1:10" ht="12.95" customHeight="1">
      <c r="A36" s="16" t="s">
        <v>1403</v>
      </c>
      <c r="B36" s="17" t="s">
        <v>1404</v>
      </c>
      <c r="C36" s="13" t="s">
        <v>1405</v>
      </c>
      <c r="D36" s="13" t="s">
        <v>132</v>
      </c>
      <c r="E36" s="18">
        <v>250</v>
      </c>
      <c r="F36" s="19">
        <v>2470.4499999999998</v>
      </c>
      <c r="G36" s="20">
        <v>1.32E-2</v>
      </c>
      <c r="H36" s="21">
        <v>6.9699999999999998E-2</v>
      </c>
      <c r="I36" s="37"/>
      <c r="J36" s="2"/>
    </row>
    <row r="37" spans="1:10" ht="12.95" customHeight="1">
      <c r="A37" s="16" t="s">
        <v>1406</v>
      </c>
      <c r="B37" s="17" t="s">
        <v>1407</v>
      </c>
      <c r="C37" s="13" t="s">
        <v>1408</v>
      </c>
      <c r="D37" s="13" t="s">
        <v>200</v>
      </c>
      <c r="E37" s="18">
        <v>2500000</v>
      </c>
      <c r="F37" s="19">
        <v>2453.4</v>
      </c>
      <c r="G37" s="20">
        <v>1.3100000000000001E-2</v>
      </c>
      <c r="H37" s="21">
        <v>6.7750000000000005E-2</v>
      </c>
      <c r="I37" s="37"/>
      <c r="J37" s="2"/>
    </row>
    <row r="38" spans="1:10" ht="12.95" customHeight="1">
      <c r="A38" s="16" t="s">
        <v>1409</v>
      </c>
      <c r="B38" s="17" t="s">
        <v>1410</v>
      </c>
      <c r="C38" s="13" t="s">
        <v>1411</v>
      </c>
      <c r="D38" s="13" t="s">
        <v>132</v>
      </c>
      <c r="E38" s="18">
        <v>250</v>
      </c>
      <c r="F38" s="19">
        <v>2427.16</v>
      </c>
      <c r="G38" s="20">
        <v>1.2999999999999999E-2</v>
      </c>
      <c r="H38" s="21">
        <v>6.8284999999999998E-2</v>
      </c>
      <c r="I38" s="37"/>
      <c r="J38" s="2"/>
    </row>
    <row r="39" spans="1:10" ht="12.95" customHeight="1">
      <c r="A39" s="16" t="s">
        <v>1412</v>
      </c>
      <c r="B39" s="17" t="s">
        <v>1413</v>
      </c>
      <c r="C39" s="13" t="s">
        <v>1414</v>
      </c>
      <c r="D39" s="13" t="s">
        <v>132</v>
      </c>
      <c r="E39" s="18">
        <v>200</v>
      </c>
      <c r="F39" s="19">
        <v>2093.5100000000002</v>
      </c>
      <c r="G39" s="20">
        <v>1.12E-2</v>
      </c>
      <c r="H39" s="21">
        <v>6.9449999999999998E-2</v>
      </c>
      <c r="I39" s="37"/>
      <c r="J39" s="2"/>
    </row>
    <row r="40" spans="1:10" ht="12.95" customHeight="1">
      <c r="A40" s="16" t="s">
        <v>1274</v>
      </c>
      <c r="B40" s="17" t="s">
        <v>1275</v>
      </c>
      <c r="C40" s="13" t="s">
        <v>1276</v>
      </c>
      <c r="D40" s="13" t="s">
        <v>132</v>
      </c>
      <c r="E40" s="18">
        <v>200</v>
      </c>
      <c r="F40" s="19">
        <v>2072.0300000000002</v>
      </c>
      <c r="G40" s="20">
        <v>1.11E-2</v>
      </c>
      <c r="H40" s="21">
        <v>6.9699999999999998E-2</v>
      </c>
      <c r="I40" s="37"/>
      <c r="J40" s="2"/>
    </row>
    <row r="41" spans="1:10" ht="12.95" customHeight="1">
      <c r="A41" s="16" t="s">
        <v>1415</v>
      </c>
      <c r="B41" s="17" t="s">
        <v>1416</v>
      </c>
      <c r="C41" s="13" t="s">
        <v>1417</v>
      </c>
      <c r="D41" s="13" t="s">
        <v>200</v>
      </c>
      <c r="E41" s="18">
        <v>2000000</v>
      </c>
      <c r="F41" s="19">
        <v>1990.05</v>
      </c>
      <c r="G41" s="20">
        <v>1.06E-2</v>
      </c>
      <c r="H41" s="21">
        <v>6.7746000000000001E-2</v>
      </c>
      <c r="I41" s="37"/>
      <c r="J41" s="2"/>
    </row>
    <row r="42" spans="1:10" ht="12.95" customHeight="1">
      <c r="A42" s="16" t="s">
        <v>1418</v>
      </c>
      <c r="B42" s="17" t="s">
        <v>1419</v>
      </c>
      <c r="C42" s="13" t="s">
        <v>1420</v>
      </c>
      <c r="D42" s="13" t="s">
        <v>200</v>
      </c>
      <c r="E42" s="18">
        <v>2000000</v>
      </c>
      <c r="F42" s="19">
        <v>1966.75</v>
      </c>
      <c r="G42" s="20">
        <v>1.0500000000000001E-2</v>
      </c>
      <c r="H42" s="21">
        <v>6.7746000000000001E-2</v>
      </c>
      <c r="I42" s="37"/>
      <c r="J42" s="2"/>
    </row>
    <row r="43" spans="1:10" ht="12.95" customHeight="1">
      <c r="A43" s="16" t="s">
        <v>1421</v>
      </c>
      <c r="B43" s="17" t="s">
        <v>1422</v>
      </c>
      <c r="C43" s="13" t="s">
        <v>1423</v>
      </c>
      <c r="D43" s="13" t="s">
        <v>132</v>
      </c>
      <c r="E43" s="18">
        <v>170</v>
      </c>
      <c r="F43" s="19">
        <v>1785.87</v>
      </c>
      <c r="G43" s="20">
        <v>9.4999999999999998E-3</v>
      </c>
      <c r="H43" s="21">
        <v>6.5801999999999999E-2</v>
      </c>
      <c r="I43" s="37"/>
      <c r="J43" s="2"/>
    </row>
    <row r="44" spans="1:10" ht="12.95" customHeight="1">
      <c r="A44" s="16" t="s">
        <v>1424</v>
      </c>
      <c r="B44" s="17" t="s">
        <v>1425</v>
      </c>
      <c r="C44" s="13" t="s">
        <v>1426</v>
      </c>
      <c r="D44" s="13" t="s">
        <v>171</v>
      </c>
      <c r="E44" s="18">
        <v>150</v>
      </c>
      <c r="F44" s="19">
        <v>1682.13</v>
      </c>
      <c r="G44" s="20">
        <v>8.9999999999999993E-3</v>
      </c>
      <c r="H44" s="21">
        <v>6.5850000000000006E-2</v>
      </c>
      <c r="I44" s="37"/>
      <c r="J44" s="2"/>
    </row>
    <row r="45" spans="1:10" ht="12.95" customHeight="1">
      <c r="A45" s="16" t="s">
        <v>1427</v>
      </c>
      <c r="B45" s="17" t="s">
        <v>1428</v>
      </c>
      <c r="C45" s="13" t="s">
        <v>1429</v>
      </c>
      <c r="D45" s="13" t="s">
        <v>196</v>
      </c>
      <c r="E45" s="18">
        <v>150</v>
      </c>
      <c r="F45" s="19">
        <v>1658.33</v>
      </c>
      <c r="G45" s="20">
        <v>8.8999999999999999E-3</v>
      </c>
      <c r="H45" s="21">
        <v>6.4293000000000003E-2</v>
      </c>
      <c r="I45" s="37"/>
      <c r="J45" s="2"/>
    </row>
    <row r="46" spans="1:10" ht="12.95" customHeight="1">
      <c r="A46" s="16" t="s">
        <v>1430</v>
      </c>
      <c r="B46" s="17" t="s">
        <v>1431</v>
      </c>
      <c r="C46" s="13" t="s">
        <v>1432</v>
      </c>
      <c r="D46" s="13" t="s">
        <v>132</v>
      </c>
      <c r="E46" s="18">
        <v>150</v>
      </c>
      <c r="F46" s="19">
        <v>1647.59</v>
      </c>
      <c r="G46" s="20">
        <v>8.8000000000000005E-3</v>
      </c>
      <c r="H46" s="21">
        <v>6.5500000000000003E-2</v>
      </c>
      <c r="I46" s="37"/>
      <c r="J46" s="2"/>
    </row>
    <row r="47" spans="1:10" ht="12.95" customHeight="1">
      <c r="A47" s="16" t="s">
        <v>1433</v>
      </c>
      <c r="B47" s="17" t="s">
        <v>1434</v>
      </c>
      <c r="C47" s="13" t="s">
        <v>1435</v>
      </c>
      <c r="D47" s="13" t="s">
        <v>200</v>
      </c>
      <c r="E47" s="18">
        <v>1620300</v>
      </c>
      <c r="F47" s="19">
        <v>1647.03</v>
      </c>
      <c r="G47" s="20">
        <v>8.8000000000000005E-3</v>
      </c>
      <c r="H47" s="21">
        <v>6.7799999999999999E-2</v>
      </c>
      <c r="I47" s="37"/>
      <c r="J47" s="2"/>
    </row>
    <row r="48" spans="1:10" ht="12.95" customHeight="1">
      <c r="A48" s="16" t="s">
        <v>1436</v>
      </c>
      <c r="B48" s="17" t="s">
        <v>1437</v>
      </c>
      <c r="C48" s="13" t="s">
        <v>1438</v>
      </c>
      <c r="D48" s="13" t="s">
        <v>132</v>
      </c>
      <c r="E48" s="18">
        <v>150</v>
      </c>
      <c r="F48" s="19">
        <v>1633.29</v>
      </c>
      <c r="G48" s="20">
        <v>8.6999999999999994E-3</v>
      </c>
      <c r="H48" s="21">
        <v>6.7100000000000007E-2</v>
      </c>
      <c r="I48" s="37"/>
      <c r="J48" s="2"/>
    </row>
    <row r="49" spans="1:10" ht="12.95" customHeight="1">
      <c r="A49" s="16" t="s">
        <v>1439</v>
      </c>
      <c r="B49" s="17" t="s">
        <v>1440</v>
      </c>
      <c r="C49" s="13" t="s">
        <v>1441</v>
      </c>
      <c r="D49" s="13" t="s">
        <v>200</v>
      </c>
      <c r="E49" s="18">
        <v>1500000</v>
      </c>
      <c r="F49" s="19">
        <v>1605.19</v>
      </c>
      <c r="G49" s="20">
        <v>8.6E-3</v>
      </c>
      <c r="H49" s="21">
        <v>6.5776000000000001E-2</v>
      </c>
      <c r="I49" s="37"/>
      <c r="J49" s="2"/>
    </row>
    <row r="50" spans="1:10" ht="12.95" customHeight="1">
      <c r="A50" s="16" t="s">
        <v>1442</v>
      </c>
      <c r="B50" s="17" t="s">
        <v>1443</v>
      </c>
      <c r="C50" s="13" t="s">
        <v>1444</v>
      </c>
      <c r="D50" s="13" t="s">
        <v>132</v>
      </c>
      <c r="E50" s="18">
        <v>150</v>
      </c>
      <c r="F50" s="19">
        <v>1591.52</v>
      </c>
      <c r="G50" s="20">
        <v>8.5000000000000006E-3</v>
      </c>
      <c r="H50" s="21">
        <v>6.5549999999999997E-2</v>
      </c>
      <c r="I50" s="37"/>
      <c r="J50" s="2"/>
    </row>
    <row r="51" spans="1:10" ht="12.95" customHeight="1">
      <c r="A51" s="16" t="s">
        <v>1445</v>
      </c>
      <c r="B51" s="17" t="s">
        <v>1446</v>
      </c>
      <c r="C51" s="13" t="s">
        <v>1447</v>
      </c>
      <c r="D51" s="13" t="s">
        <v>132</v>
      </c>
      <c r="E51" s="18">
        <v>150</v>
      </c>
      <c r="F51" s="19">
        <v>1546.49</v>
      </c>
      <c r="G51" s="20">
        <v>8.3000000000000001E-3</v>
      </c>
      <c r="H51" s="21">
        <v>6.8927000000000002E-2</v>
      </c>
      <c r="I51" s="37"/>
      <c r="J51" s="2"/>
    </row>
    <row r="52" spans="1:10" ht="12.95" customHeight="1">
      <c r="A52" s="16" t="s">
        <v>1448</v>
      </c>
      <c r="B52" s="17" t="s">
        <v>1449</v>
      </c>
      <c r="C52" s="13" t="s">
        <v>1450</v>
      </c>
      <c r="D52" s="13" t="s">
        <v>171</v>
      </c>
      <c r="E52" s="18">
        <v>150</v>
      </c>
      <c r="F52" s="19">
        <v>1534.34</v>
      </c>
      <c r="G52" s="20">
        <v>8.2000000000000007E-3</v>
      </c>
      <c r="H52" s="21">
        <v>6.7499000000000003E-2</v>
      </c>
      <c r="I52" s="37"/>
      <c r="J52" s="2"/>
    </row>
    <row r="53" spans="1:10" ht="12.95" customHeight="1">
      <c r="A53" s="16" t="s">
        <v>1451</v>
      </c>
      <c r="B53" s="17" t="s">
        <v>1452</v>
      </c>
      <c r="C53" s="13" t="s">
        <v>1453</v>
      </c>
      <c r="D53" s="13" t="s">
        <v>132</v>
      </c>
      <c r="E53" s="18">
        <v>130</v>
      </c>
      <c r="F53" s="19">
        <v>1424.44</v>
      </c>
      <c r="G53" s="20">
        <v>7.6E-3</v>
      </c>
      <c r="H53" s="21">
        <v>6.8599999999999994E-2</v>
      </c>
      <c r="I53" s="37"/>
      <c r="J53" s="2"/>
    </row>
    <row r="54" spans="1:10" ht="12.95" customHeight="1">
      <c r="A54" s="16" t="s">
        <v>1454</v>
      </c>
      <c r="B54" s="17" t="s">
        <v>1455</v>
      </c>
      <c r="C54" s="13" t="s">
        <v>1456</v>
      </c>
      <c r="D54" s="13" t="s">
        <v>132</v>
      </c>
      <c r="E54" s="18">
        <v>100</v>
      </c>
      <c r="F54" s="19">
        <v>1122.6600000000001</v>
      </c>
      <c r="G54" s="20">
        <v>6.0000000000000001E-3</v>
      </c>
      <c r="H54" s="21">
        <v>6.7748000000000003E-2</v>
      </c>
      <c r="I54" s="37"/>
      <c r="J54" s="2"/>
    </row>
    <row r="55" spans="1:10" ht="12.95" customHeight="1">
      <c r="A55" s="16" t="s">
        <v>1457</v>
      </c>
      <c r="B55" s="17" t="s">
        <v>1458</v>
      </c>
      <c r="C55" s="13" t="s">
        <v>1459</v>
      </c>
      <c r="D55" s="13" t="s">
        <v>132</v>
      </c>
      <c r="E55" s="18">
        <v>100</v>
      </c>
      <c r="F55" s="19">
        <v>1108.8399999999999</v>
      </c>
      <c r="G55" s="20">
        <v>5.8999999999999999E-3</v>
      </c>
      <c r="H55" s="21">
        <v>6.6352999999999995E-2</v>
      </c>
      <c r="I55" s="37"/>
      <c r="J55" s="2"/>
    </row>
    <row r="56" spans="1:10" ht="12.95" customHeight="1">
      <c r="A56" s="16" t="s">
        <v>1460</v>
      </c>
      <c r="B56" s="17" t="s">
        <v>1461</v>
      </c>
      <c r="C56" s="13" t="s">
        <v>1462</v>
      </c>
      <c r="D56" s="13" t="s">
        <v>132</v>
      </c>
      <c r="E56" s="18">
        <v>100</v>
      </c>
      <c r="F56" s="19">
        <v>1103.17</v>
      </c>
      <c r="G56" s="20">
        <v>5.8999999999999999E-3</v>
      </c>
      <c r="H56" s="21">
        <v>6.6298999999999997E-2</v>
      </c>
      <c r="I56" s="37"/>
      <c r="J56" s="2"/>
    </row>
    <row r="57" spans="1:10" ht="12.95" customHeight="1">
      <c r="A57" s="16" t="s">
        <v>1463</v>
      </c>
      <c r="B57" s="17" t="s">
        <v>1464</v>
      </c>
      <c r="C57" s="13" t="s">
        <v>1465</v>
      </c>
      <c r="D57" s="13" t="s">
        <v>132</v>
      </c>
      <c r="E57" s="18">
        <v>90</v>
      </c>
      <c r="F57" s="19">
        <v>1004.9</v>
      </c>
      <c r="G57" s="20">
        <v>5.4000000000000003E-3</v>
      </c>
      <c r="H57" s="21">
        <v>6.8099000000000007E-2</v>
      </c>
      <c r="I57" s="37"/>
      <c r="J57" s="2"/>
    </row>
    <row r="58" spans="1:10" ht="12.95" customHeight="1">
      <c r="A58" s="16" t="s">
        <v>1466</v>
      </c>
      <c r="B58" s="17" t="s">
        <v>1416</v>
      </c>
      <c r="C58" s="13" t="s">
        <v>1467</v>
      </c>
      <c r="D58" s="13" t="s">
        <v>200</v>
      </c>
      <c r="E58" s="18">
        <v>1000000</v>
      </c>
      <c r="F58" s="19">
        <v>994.99</v>
      </c>
      <c r="G58" s="20">
        <v>5.3E-3</v>
      </c>
      <c r="H58" s="21">
        <v>6.7750000000000005E-2</v>
      </c>
      <c r="I58" s="37"/>
      <c r="J58" s="2"/>
    </row>
    <row r="59" spans="1:10" ht="12.95" customHeight="1">
      <c r="A59" s="16" t="s">
        <v>1468</v>
      </c>
      <c r="B59" s="17" t="s">
        <v>1469</v>
      </c>
      <c r="C59" s="13" t="s">
        <v>1470</v>
      </c>
      <c r="D59" s="13" t="s">
        <v>132</v>
      </c>
      <c r="E59" s="18">
        <v>88</v>
      </c>
      <c r="F59" s="19">
        <v>968.04</v>
      </c>
      <c r="G59" s="20">
        <v>5.1999999999999998E-3</v>
      </c>
      <c r="H59" s="21">
        <v>6.7100000000000007E-2</v>
      </c>
      <c r="I59" s="37"/>
      <c r="J59" s="2"/>
    </row>
    <row r="60" spans="1:10" ht="12.95" customHeight="1">
      <c r="A60" s="16" t="s">
        <v>1471</v>
      </c>
      <c r="B60" s="17" t="s">
        <v>1472</v>
      </c>
      <c r="C60" s="13" t="s">
        <v>1473</v>
      </c>
      <c r="D60" s="13" t="s">
        <v>132</v>
      </c>
      <c r="E60" s="18">
        <v>50</v>
      </c>
      <c r="F60" s="19">
        <v>562.02</v>
      </c>
      <c r="G60" s="20">
        <v>3.0000000000000001E-3</v>
      </c>
      <c r="H60" s="21">
        <v>6.7748000000000003E-2</v>
      </c>
      <c r="I60" s="37"/>
      <c r="J60" s="2"/>
    </row>
    <row r="61" spans="1:10" ht="12.95" customHeight="1">
      <c r="A61" s="16" t="s">
        <v>1474</v>
      </c>
      <c r="B61" s="17" t="s">
        <v>1475</v>
      </c>
      <c r="C61" s="13" t="s">
        <v>1476</v>
      </c>
      <c r="D61" s="13" t="s">
        <v>132</v>
      </c>
      <c r="E61" s="18">
        <v>50</v>
      </c>
      <c r="F61" s="19">
        <v>560.53</v>
      </c>
      <c r="G61" s="20">
        <v>3.0000000000000001E-3</v>
      </c>
      <c r="H61" s="21">
        <v>6.7597000000000004E-2</v>
      </c>
      <c r="I61" s="37"/>
      <c r="J61" s="2"/>
    </row>
    <row r="62" spans="1:10" ht="12.95" customHeight="1">
      <c r="A62" s="16" t="s">
        <v>1477</v>
      </c>
      <c r="B62" s="17" t="s">
        <v>1478</v>
      </c>
      <c r="C62" s="13" t="s">
        <v>1479</v>
      </c>
      <c r="D62" s="13" t="s">
        <v>132</v>
      </c>
      <c r="E62" s="18">
        <v>50</v>
      </c>
      <c r="F62" s="19">
        <v>557.30999999999995</v>
      </c>
      <c r="G62" s="20">
        <v>3.0000000000000001E-3</v>
      </c>
      <c r="H62" s="21">
        <v>6.8099000000000007E-2</v>
      </c>
      <c r="I62" s="37"/>
      <c r="J62" s="2"/>
    </row>
    <row r="63" spans="1:10" ht="12.95" customHeight="1">
      <c r="A63" s="16" t="s">
        <v>1480</v>
      </c>
      <c r="B63" s="17" t="s">
        <v>1481</v>
      </c>
      <c r="C63" s="13" t="s">
        <v>1482</v>
      </c>
      <c r="D63" s="13" t="s">
        <v>132</v>
      </c>
      <c r="E63" s="18">
        <v>50</v>
      </c>
      <c r="F63" s="19">
        <v>556.97</v>
      </c>
      <c r="G63" s="20">
        <v>3.0000000000000001E-3</v>
      </c>
      <c r="H63" s="21">
        <v>6.6402000000000003E-2</v>
      </c>
      <c r="I63" s="37"/>
      <c r="J63" s="2"/>
    </row>
    <row r="64" spans="1:10" ht="12.95" customHeight="1">
      <c r="A64" s="16" t="s">
        <v>1483</v>
      </c>
      <c r="B64" s="17" t="s">
        <v>1484</v>
      </c>
      <c r="C64" s="13" t="s">
        <v>1485</v>
      </c>
      <c r="D64" s="13" t="s">
        <v>171</v>
      </c>
      <c r="E64" s="18">
        <v>50</v>
      </c>
      <c r="F64" s="19">
        <v>556.30999999999995</v>
      </c>
      <c r="G64" s="20">
        <v>3.0000000000000001E-3</v>
      </c>
      <c r="H64" s="21">
        <v>6.5894999999999995E-2</v>
      </c>
      <c r="I64" s="37"/>
      <c r="J64" s="2"/>
    </row>
    <row r="65" spans="1:10" ht="12.95" customHeight="1">
      <c r="A65" s="16" t="s">
        <v>1265</v>
      </c>
      <c r="B65" s="17" t="s">
        <v>1266</v>
      </c>
      <c r="C65" s="13" t="s">
        <v>1267</v>
      </c>
      <c r="D65" s="13" t="s">
        <v>132</v>
      </c>
      <c r="E65" s="18">
        <v>50</v>
      </c>
      <c r="F65" s="19">
        <v>556.21</v>
      </c>
      <c r="G65" s="20">
        <v>3.0000000000000001E-3</v>
      </c>
      <c r="H65" s="21">
        <v>6.4404000000000003E-2</v>
      </c>
      <c r="I65" s="37"/>
      <c r="J65" s="2"/>
    </row>
    <row r="66" spans="1:10" ht="12.95" customHeight="1">
      <c r="A66" s="16" t="s">
        <v>1486</v>
      </c>
      <c r="B66" s="17" t="s">
        <v>1487</v>
      </c>
      <c r="C66" s="13" t="s">
        <v>1488</v>
      </c>
      <c r="D66" s="13" t="s">
        <v>132</v>
      </c>
      <c r="E66" s="18">
        <v>50</v>
      </c>
      <c r="F66" s="19">
        <v>548.51</v>
      </c>
      <c r="G66" s="20">
        <v>2.8999999999999998E-3</v>
      </c>
      <c r="H66" s="21">
        <v>6.5549999999999997E-2</v>
      </c>
      <c r="I66" s="37"/>
      <c r="J66" s="2"/>
    </row>
    <row r="67" spans="1:10" ht="12.95" customHeight="1">
      <c r="A67" s="16" t="s">
        <v>1489</v>
      </c>
      <c r="B67" s="17" t="s">
        <v>1490</v>
      </c>
      <c r="C67" s="13" t="s">
        <v>1491</v>
      </c>
      <c r="D67" s="13" t="s">
        <v>132</v>
      </c>
      <c r="E67" s="18">
        <v>50</v>
      </c>
      <c r="F67" s="19">
        <v>547.78</v>
      </c>
      <c r="G67" s="20">
        <v>2.8999999999999998E-3</v>
      </c>
      <c r="H67" s="21">
        <v>6.6250000000000003E-2</v>
      </c>
      <c r="I67" s="37"/>
      <c r="J67" s="2"/>
    </row>
    <row r="68" spans="1:10" ht="12.95" customHeight="1">
      <c r="A68" s="16" t="s">
        <v>1492</v>
      </c>
      <c r="B68" s="17" t="s">
        <v>1493</v>
      </c>
      <c r="C68" s="13" t="s">
        <v>1494</v>
      </c>
      <c r="D68" s="13" t="s">
        <v>132</v>
      </c>
      <c r="E68" s="18">
        <v>50</v>
      </c>
      <c r="F68" s="19">
        <v>547.27</v>
      </c>
      <c r="G68" s="20">
        <v>2.8999999999999998E-3</v>
      </c>
      <c r="H68" s="21">
        <v>6.6442000000000001E-2</v>
      </c>
      <c r="I68" s="37"/>
      <c r="J68" s="2"/>
    </row>
    <row r="69" spans="1:10" ht="12.95" customHeight="1">
      <c r="A69" s="16" t="s">
        <v>1495</v>
      </c>
      <c r="B69" s="17" t="s">
        <v>1496</v>
      </c>
      <c r="C69" s="13" t="s">
        <v>1497</v>
      </c>
      <c r="D69" s="13" t="s">
        <v>132</v>
      </c>
      <c r="E69" s="18">
        <v>50</v>
      </c>
      <c r="F69" s="19">
        <v>535.85</v>
      </c>
      <c r="G69" s="20">
        <v>2.8999999999999998E-3</v>
      </c>
      <c r="H69" s="21">
        <v>6.8599999999999994E-2</v>
      </c>
      <c r="I69" s="37"/>
      <c r="J69" s="2"/>
    </row>
    <row r="70" spans="1:10" ht="12.95" customHeight="1">
      <c r="A70" s="16" t="s">
        <v>1498</v>
      </c>
      <c r="B70" s="17" t="s">
        <v>1499</v>
      </c>
      <c r="C70" s="13" t="s">
        <v>1500</v>
      </c>
      <c r="D70" s="13" t="s">
        <v>171</v>
      </c>
      <c r="E70" s="18">
        <v>250</v>
      </c>
      <c r="F70" s="19">
        <v>535.27</v>
      </c>
      <c r="G70" s="20">
        <v>2.8999999999999998E-3</v>
      </c>
      <c r="H70" s="21">
        <v>6.0649000000000002E-2</v>
      </c>
      <c r="I70" s="37"/>
      <c r="J70" s="2"/>
    </row>
    <row r="71" spans="1:10" ht="12.95" customHeight="1">
      <c r="A71" s="16" t="s">
        <v>1501</v>
      </c>
      <c r="B71" s="17" t="s">
        <v>1502</v>
      </c>
      <c r="C71" s="13" t="s">
        <v>1503</v>
      </c>
      <c r="D71" s="13" t="s">
        <v>200</v>
      </c>
      <c r="E71" s="18">
        <v>500000</v>
      </c>
      <c r="F71" s="19">
        <v>533.11</v>
      </c>
      <c r="G71" s="20">
        <v>2.8E-3</v>
      </c>
      <c r="H71" s="21">
        <v>6.7929000000000003E-2</v>
      </c>
      <c r="I71" s="37"/>
      <c r="J71" s="2"/>
    </row>
    <row r="72" spans="1:10" ht="12.95" customHeight="1">
      <c r="A72" s="16" t="s">
        <v>1504</v>
      </c>
      <c r="B72" s="17" t="s">
        <v>1505</v>
      </c>
      <c r="C72" s="13" t="s">
        <v>1506</v>
      </c>
      <c r="D72" s="13" t="s">
        <v>132</v>
      </c>
      <c r="E72" s="18">
        <v>50</v>
      </c>
      <c r="F72" s="19">
        <v>532.77</v>
      </c>
      <c r="G72" s="20">
        <v>2.8E-3</v>
      </c>
      <c r="H72" s="21">
        <v>6.6299999999999998E-2</v>
      </c>
      <c r="I72" s="37"/>
      <c r="J72" s="2"/>
    </row>
    <row r="73" spans="1:10" ht="12.95" customHeight="1">
      <c r="A73" s="16" t="s">
        <v>1507</v>
      </c>
      <c r="B73" s="17" t="s">
        <v>1508</v>
      </c>
      <c r="C73" s="13" t="s">
        <v>1509</v>
      </c>
      <c r="D73" s="13" t="s">
        <v>171</v>
      </c>
      <c r="E73" s="18">
        <v>250</v>
      </c>
      <c r="F73" s="19">
        <v>531.58000000000004</v>
      </c>
      <c r="G73" s="20">
        <v>2.8E-3</v>
      </c>
      <c r="H73" s="21">
        <v>6.4649999999999999E-2</v>
      </c>
      <c r="I73" s="37"/>
      <c r="J73" s="2"/>
    </row>
    <row r="74" spans="1:10" ht="12.95" customHeight="1">
      <c r="A74" s="16" t="s">
        <v>1510</v>
      </c>
      <c r="B74" s="17" t="s">
        <v>1511</v>
      </c>
      <c r="C74" s="13" t="s">
        <v>1512</v>
      </c>
      <c r="D74" s="13" t="s">
        <v>132</v>
      </c>
      <c r="E74" s="18">
        <v>50</v>
      </c>
      <c r="F74" s="19">
        <v>526.95000000000005</v>
      </c>
      <c r="G74" s="20">
        <v>2.8E-3</v>
      </c>
      <c r="H74" s="21">
        <v>6.9449999999999998E-2</v>
      </c>
      <c r="I74" s="37"/>
      <c r="J74" s="2"/>
    </row>
    <row r="75" spans="1:10" ht="12.95" customHeight="1">
      <c r="A75" s="16" t="s">
        <v>1513</v>
      </c>
      <c r="B75" s="17" t="s">
        <v>1514</v>
      </c>
      <c r="C75" s="13" t="s">
        <v>1515</v>
      </c>
      <c r="D75" s="13" t="s">
        <v>132</v>
      </c>
      <c r="E75" s="18">
        <v>50</v>
      </c>
      <c r="F75" s="19">
        <v>523.01</v>
      </c>
      <c r="G75" s="20">
        <v>2.8E-3</v>
      </c>
      <c r="H75" s="21">
        <v>6.7100000000000007E-2</v>
      </c>
      <c r="I75" s="37"/>
      <c r="J75" s="2"/>
    </row>
    <row r="76" spans="1:10" ht="12.95" customHeight="1">
      <c r="A76" s="16" t="s">
        <v>1516</v>
      </c>
      <c r="B76" s="17" t="s">
        <v>1517</v>
      </c>
      <c r="C76" s="13" t="s">
        <v>1518</v>
      </c>
      <c r="D76" s="13" t="s">
        <v>132</v>
      </c>
      <c r="E76" s="18">
        <v>50</v>
      </c>
      <c r="F76" s="19">
        <v>514.07000000000005</v>
      </c>
      <c r="G76" s="20">
        <v>2.7000000000000001E-3</v>
      </c>
      <c r="H76" s="21">
        <v>6.9449999999999998E-2</v>
      </c>
      <c r="I76" s="37"/>
      <c r="J76" s="2"/>
    </row>
    <row r="77" spans="1:10" ht="12.95" customHeight="1">
      <c r="A77" s="16" t="s">
        <v>1089</v>
      </c>
      <c r="B77" s="17" t="s">
        <v>1090</v>
      </c>
      <c r="C77" s="13" t="s">
        <v>1091</v>
      </c>
      <c r="D77" s="13" t="s">
        <v>200</v>
      </c>
      <c r="E77" s="18">
        <v>500000</v>
      </c>
      <c r="F77" s="19">
        <v>502.16</v>
      </c>
      <c r="G77" s="20">
        <v>2.7000000000000001E-3</v>
      </c>
      <c r="H77" s="21">
        <v>6.7750000000000005E-2</v>
      </c>
      <c r="I77" s="37"/>
      <c r="J77" s="2"/>
    </row>
    <row r="78" spans="1:10" ht="12.95" customHeight="1">
      <c r="A78" s="16" t="s">
        <v>1519</v>
      </c>
      <c r="B78" s="17" t="s">
        <v>1520</v>
      </c>
      <c r="C78" s="13" t="s">
        <v>1521</v>
      </c>
      <c r="D78" s="13" t="s">
        <v>132</v>
      </c>
      <c r="E78" s="18">
        <v>40</v>
      </c>
      <c r="F78" s="19">
        <v>439.07</v>
      </c>
      <c r="G78" s="20">
        <v>2.3E-3</v>
      </c>
      <c r="H78" s="21">
        <v>6.6250000000000003E-2</v>
      </c>
      <c r="I78" s="37"/>
      <c r="J78" s="2"/>
    </row>
    <row r="79" spans="1:10" ht="12.95" customHeight="1">
      <c r="A79" s="16" t="s">
        <v>1522</v>
      </c>
      <c r="B79" s="17" t="s">
        <v>1523</v>
      </c>
      <c r="C79" s="13" t="s">
        <v>1524</v>
      </c>
      <c r="D79" s="13" t="s">
        <v>132</v>
      </c>
      <c r="E79" s="18">
        <v>30</v>
      </c>
      <c r="F79" s="19">
        <v>316.56</v>
      </c>
      <c r="G79" s="20">
        <v>1.6999999999999999E-3</v>
      </c>
      <c r="H79" s="21">
        <v>6.5549999999999997E-2</v>
      </c>
      <c r="I79" s="37"/>
      <c r="J79" s="2"/>
    </row>
    <row r="80" spans="1:10" ht="12.95" customHeight="1">
      <c r="A80" s="16" t="s">
        <v>1525</v>
      </c>
      <c r="B80" s="17" t="s">
        <v>1526</v>
      </c>
      <c r="C80" s="13" t="s">
        <v>1527</v>
      </c>
      <c r="D80" s="13" t="s">
        <v>132</v>
      </c>
      <c r="E80" s="18">
        <v>25</v>
      </c>
      <c r="F80" s="19">
        <v>304.41000000000003</v>
      </c>
      <c r="G80" s="20">
        <v>1.6000000000000001E-3</v>
      </c>
      <c r="H80" s="21">
        <v>7.0749999999999993E-2</v>
      </c>
      <c r="I80" s="37"/>
      <c r="J80" s="2"/>
    </row>
    <row r="81" spans="1:10" ht="12.95" customHeight="1">
      <c r="A81" s="16" t="s">
        <v>1528</v>
      </c>
      <c r="B81" s="17" t="s">
        <v>1529</v>
      </c>
      <c r="C81" s="13" t="s">
        <v>1530</v>
      </c>
      <c r="D81" s="13" t="s">
        <v>132</v>
      </c>
      <c r="E81" s="18">
        <v>15</v>
      </c>
      <c r="F81" s="19">
        <v>166.8</v>
      </c>
      <c r="G81" s="20">
        <v>8.9999999999999998E-4</v>
      </c>
      <c r="H81" s="21">
        <v>6.6794000000000006E-2</v>
      </c>
      <c r="I81" s="37"/>
      <c r="J81" s="2"/>
    </row>
    <row r="82" spans="1:10" ht="12.95" customHeight="1">
      <c r="A82" s="16" t="s">
        <v>1083</v>
      </c>
      <c r="B82" s="17" t="s">
        <v>1084</v>
      </c>
      <c r="C82" s="13" t="s">
        <v>1085</v>
      </c>
      <c r="D82" s="13" t="s">
        <v>200</v>
      </c>
      <c r="E82" s="18">
        <v>100000</v>
      </c>
      <c r="F82" s="19">
        <v>95.93</v>
      </c>
      <c r="G82" s="20">
        <v>5.0000000000000001E-4</v>
      </c>
      <c r="H82" s="21">
        <v>6.6629999999999995E-2</v>
      </c>
      <c r="I82" s="37"/>
      <c r="J82" s="2"/>
    </row>
    <row r="83" spans="1:10" ht="12.95" customHeight="1">
      <c r="A83" s="16" t="s">
        <v>1531</v>
      </c>
      <c r="B83" s="17" t="s">
        <v>1532</v>
      </c>
      <c r="C83" s="13" t="s">
        <v>1533</v>
      </c>
      <c r="D83" s="13" t="s">
        <v>200</v>
      </c>
      <c r="E83" s="18">
        <v>30000</v>
      </c>
      <c r="F83" s="19">
        <v>33.92</v>
      </c>
      <c r="G83" s="20">
        <v>2.0000000000000001E-4</v>
      </c>
      <c r="H83" s="21">
        <v>6.1800000000000001E-2</v>
      </c>
      <c r="I83" s="37"/>
      <c r="J83" s="2"/>
    </row>
    <row r="84" spans="1:10" ht="12.95" customHeight="1">
      <c r="A84" s="2"/>
      <c r="B84" s="12" t="s">
        <v>172</v>
      </c>
      <c r="C84" s="13"/>
      <c r="D84" s="13"/>
      <c r="E84" s="13"/>
      <c r="F84" s="23">
        <v>181029.73</v>
      </c>
      <c r="G84" s="24">
        <v>0.96719999999999995</v>
      </c>
      <c r="H84" s="25"/>
      <c r="I84" s="26"/>
      <c r="J84" s="2"/>
    </row>
    <row r="85" spans="1:10" ht="12.95" customHeight="1">
      <c r="A85" s="2"/>
      <c r="B85" s="27" t="s">
        <v>173</v>
      </c>
      <c r="C85" s="1"/>
      <c r="D85" s="1"/>
      <c r="E85" s="1"/>
      <c r="F85" s="25" t="s">
        <v>204</v>
      </c>
      <c r="G85" s="25" t="s">
        <v>204</v>
      </c>
      <c r="H85" s="25"/>
      <c r="I85" s="26"/>
      <c r="J85" s="2"/>
    </row>
    <row r="86" spans="1:10" ht="12.95" customHeight="1">
      <c r="A86" s="2"/>
      <c r="B86" s="27" t="s">
        <v>172</v>
      </c>
      <c r="C86" s="1"/>
      <c r="D86" s="1"/>
      <c r="E86" s="1"/>
      <c r="F86" s="25" t="s">
        <v>204</v>
      </c>
      <c r="G86" s="25" t="s">
        <v>204</v>
      </c>
      <c r="H86" s="25"/>
      <c r="I86" s="26"/>
      <c r="J86" s="2"/>
    </row>
    <row r="87" spans="1:10" ht="12.95" customHeight="1">
      <c r="A87" s="2"/>
      <c r="B87" s="27" t="s">
        <v>177</v>
      </c>
      <c r="C87" s="28"/>
      <c r="D87" s="1"/>
      <c r="E87" s="28"/>
      <c r="F87" s="23">
        <v>181029.73</v>
      </c>
      <c r="G87" s="24">
        <v>0.96719999999999995</v>
      </c>
      <c r="H87" s="25"/>
      <c r="I87" s="26"/>
      <c r="J87" s="2"/>
    </row>
    <row r="88" spans="1:10" ht="12.95" customHeight="1">
      <c r="A88" s="2"/>
      <c r="B88" s="12" t="s">
        <v>178</v>
      </c>
      <c r="C88" s="13"/>
      <c r="D88" s="13"/>
      <c r="E88" s="13"/>
      <c r="F88" s="13"/>
      <c r="G88" s="13"/>
      <c r="H88" s="14"/>
      <c r="I88" s="15"/>
      <c r="J88" s="2"/>
    </row>
    <row r="89" spans="1:10" ht="12.95" customHeight="1">
      <c r="A89" s="16" t="s">
        <v>179</v>
      </c>
      <c r="B89" s="17" t="s">
        <v>180</v>
      </c>
      <c r="C89" s="13"/>
      <c r="D89" s="13"/>
      <c r="E89" s="18"/>
      <c r="F89" s="19">
        <v>1204.55</v>
      </c>
      <c r="G89" s="20">
        <v>6.4000000000000003E-3</v>
      </c>
      <c r="H89" s="21">
        <v>3.3046771588887962E-2</v>
      </c>
      <c r="I89" s="37"/>
      <c r="J89" s="2"/>
    </row>
    <row r="90" spans="1:10" ht="12.95" customHeight="1">
      <c r="A90" s="2"/>
      <c r="B90" s="12" t="s">
        <v>172</v>
      </c>
      <c r="C90" s="13"/>
      <c r="D90" s="13"/>
      <c r="E90" s="13"/>
      <c r="F90" s="23">
        <v>1204.55</v>
      </c>
      <c r="G90" s="24">
        <v>6.4000000000000003E-3</v>
      </c>
      <c r="H90" s="25"/>
      <c r="I90" s="26"/>
      <c r="J90" s="2"/>
    </row>
    <row r="91" spans="1:10" ht="12.95" customHeight="1">
      <c r="A91" s="2"/>
      <c r="B91" s="27" t="s">
        <v>173</v>
      </c>
      <c r="C91" s="1"/>
      <c r="D91" s="1"/>
      <c r="E91" s="1"/>
      <c r="F91" s="25" t="s">
        <v>204</v>
      </c>
      <c r="G91" s="25" t="s">
        <v>204</v>
      </c>
      <c r="H91" s="25"/>
      <c r="I91" s="26"/>
      <c r="J91" s="2"/>
    </row>
    <row r="92" spans="1:10" ht="12.95" customHeight="1">
      <c r="A92" s="2"/>
      <c r="B92" s="27" t="s">
        <v>172</v>
      </c>
      <c r="C92" s="1"/>
      <c r="D92" s="1"/>
      <c r="E92" s="1"/>
      <c r="F92" s="25" t="s">
        <v>204</v>
      </c>
      <c r="G92" s="25" t="s">
        <v>204</v>
      </c>
      <c r="H92" s="25"/>
      <c r="I92" s="26"/>
      <c r="J92" s="2"/>
    </row>
    <row r="93" spans="1:10" ht="12.95" customHeight="1">
      <c r="A93" s="2"/>
      <c r="B93" s="27" t="s">
        <v>177</v>
      </c>
      <c r="C93" s="28"/>
      <c r="D93" s="1"/>
      <c r="E93" s="28"/>
      <c r="F93" s="23">
        <v>1204.55</v>
      </c>
      <c r="G93" s="24">
        <v>6.4000000000000003E-3</v>
      </c>
      <c r="H93" s="25"/>
      <c r="I93" s="26"/>
      <c r="J93" s="2"/>
    </row>
    <row r="94" spans="1:10" ht="12.95" customHeight="1">
      <c r="A94" s="2"/>
      <c r="B94" s="27" t="s">
        <v>181</v>
      </c>
      <c r="C94" s="13"/>
      <c r="D94" s="1"/>
      <c r="E94" s="13"/>
      <c r="F94" s="29">
        <v>4966.72</v>
      </c>
      <c r="G94" s="24">
        <v>2.64E-2</v>
      </c>
      <c r="H94" s="25"/>
      <c r="I94" s="26"/>
      <c r="J94" s="2"/>
    </row>
    <row r="95" spans="1:10" ht="12.95" customHeight="1">
      <c r="A95" s="2"/>
      <c r="B95" s="30" t="s">
        <v>182</v>
      </c>
      <c r="C95" s="31"/>
      <c r="D95" s="31"/>
      <c r="E95" s="31"/>
      <c r="F95" s="32">
        <v>187201</v>
      </c>
      <c r="G95" s="33">
        <v>1</v>
      </c>
      <c r="H95" s="34"/>
      <c r="I95" s="35"/>
      <c r="J95" s="2"/>
    </row>
    <row r="96" spans="1:10" ht="12.95" customHeight="1">
      <c r="A96" s="2"/>
      <c r="B96" s="5"/>
      <c r="C96" s="2"/>
      <c r="D96" s="2"/>
      <c r="E96" s="2"/>
      <c r="F96" s="2"/>
      <c r="G96" s="2"/>
      <c r="H96" s="2"/>
      <c r="I96" s="2"/>
      <c r="J96" s="2"/>
    </row>
    <row r="97" spans="1:10" ht="12.95" customHeight="1">
      <c r="A97" s="2"/>
      <c r="B97" s="3" t="s">
        <v>244</v>
      </c>
      <c r="C97" s="2"/>
      <c r="D97" s="2"/>
      <c r="E97" s="2"/>
      <c r="F97" s="2"/>
      <c r="G97" s="2"/>
      <c r="H97" s="2"/>
      <c r="I97" s="2"/>
      <c r="J97" s="2"/>
    </row>
    <row r="98" spans="1:10" ht="12.95" customHeight="1">
      <c r="A98" s="2"/>
      <c r="B98" s="3" t="s">
        <v>184</v>
      </c>
      <c r="C98" s="2"/>
      <c r="D98" s="2"/>
      <c r="E98" s="2"/>
      <c r="F98" s="2"/>
      <c r="G98" s="2"/>
      <c r="H98" s="2"/>
      <c r="I98" s="2"/>
      <c r="J98" s="2"/>
    </row>
    <row r="99" spans="1:10" ht="12.95" customHeight="1">
      <c r="A99" s="2"/>
      <c r="B99" s="3" t="s">
        <v>186</v>
      </c>
      <c r="C99" s="2"/>
      <c r="D99" s="2"/>
      <c r="E99" s="2"/>
      <c r="F99" s="2"/>
      <c r="G99" s="2"/>
      <c r="H99" s="2"/>
      <c r="I99" s="2"/>
      <c r="J99" s="2"/>
    </row>
    <row r="100" spans="1:10" ht="26.25" customHeight="1">
      <c r="A100" s="2"/>
      <c r="B100" s="189" t="s">
        <v>4025</v>
      </c>
      <c r="C100" s="189"/>
      <c r="D100" s="189"/>
      <c r="E100" s="189"/>
      <c r="F100" s="189"/>
      <c r="G100" s="189"/>
      <c r="H100" s="189"/>
      <c r="I100" s="189"/>
      <c r="J100" s="2"/>
    </row>
    <row r="101" spans="1:10" ht="12.95" customHeight="1">
      <c r="A101" s="2"/>
      <c r="B101" s="3"/>
      <c r="C101" s="2"/>
      <c r="D101" s="2"/>
      <c r="E101" s="2"/>
      <c r="F101" s="2"/>
      <c r="G101" s="2"/>
      <c r="H101" s="2"/>
      <c r="I101" s="2"/>
      <c r="J101" s="2"/>
    </row>
    <row r="102" spans="1:10">
      <c r="C102" s="111" t="s">
        <v>3936</v>
      </c>
    </row>
    <row r="103" spans="1:10">
      <c r="B103" s="111" t="s">
        <v>3933</v>
      </c>
      <c r="C103" s="111" t="s">
        <v>3934</v>
      </c>
    </row>
  </sheetData>
  <mergeCells count="2">
    <mergeCell ref="B2:I2"/>
    <mergeCell ref="B100:I10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69"/>
  <sheetViews>
    <sheetView workbookViewId="0"/>
  </sheetViews>
  <sheetFormatPr defaultRowHeight="15"/>
  <cols>
    <col min="1" max="1" width="3.28515625" style="137" customWidth="1"/>
    <col min="2" max="2" width="69.140625" style="137" customWidth="1"/>
    <col min="3" max="3" width="18.7109375" style="137" bestFit="1" customWidth="1"/>
    <col min="4" max="4" width="25.5703125" style="137" bestFit="1" customWidth="1"/>
    <col min="5" max="5" width="25.7109375" style="137" customWidth="1"/>
    <col min="6" max="6" width="20.85546875" style="137" bestFit="1" customWidth="1"/>
    <col min="7" max="9" width="10.7109375" style="137" customWidth="1"/>
    <col min="10" max="10" width="3.85546875" style="137" bestFit="1" customWidth="1"/>
    <col min="11" max="16384" width="9.140625" style="137"/>
  </cols>
  <sheetData>
    <row r="1" spans="1:13" ht="15.75" thickBot="1">
      <c r="A1" s="136" t="str">
        <f>M2</f>
        <v>AXISDEF</v>
      </c>
    </row>
    <row r="2" spans="1:13" ht="34.5" customHeight="1" thickBot="1">
      <c r="A2" s="138" t="str">
        <f>M2</f>
        <v>AXISDEF</v>
      </c>
      <c r="B2" s="190" t="s">
        <v>4026</v>
      </c>
      <c r="C2" s="191"/>
      <c r="D2" s="191"/>
      <c r="E2" s="191"/>
      <c r="F2" s="191"/>
      <c r="G2" s="191"/>
      <c r="H2" s="191"/>
      <c r="I2" s="192"/>
      <c r="J2" s="139"/>
      <c r="M2" s="136" t="s">
        <v>31</v>
      </c>
    </row>
    <row r="3" spans="1:13" ht="12.95" customHeight="1">
      <c r="A3" s="139"/>
      <c r="B3" s="140"/>
      <c r="C3" s="139"/>
      <c r="D3" s="139"/>
      <c r="E3" s="139"/>
      <c r="F3" s="139"/>
      <c r="G3" s="139"/>
      <c r="H3" s="139"/>
      <c r="I3" s="139"/>
      <c r="J3" s="139"/>
    </row>
    <row r="4" spans="1:13" ht="12.95" customHeight="1">
      <c r="A4" s="141" t="s">
        <v>118</v>
      </c>
      <c r="B4" s="142" t="s">
        <v>4035</v>
      </c>
      <c r="C4" s="139"/>
      <c r="D4" s="139"/>
      <c r="E4" s="139"/>
      <c r="F4" s="139"/>
      <c r="G4" s="139"/>
      <c r="H4" s="139"/>
      <c r="I4" s="139"/>
      <c r="J4" s="139"/>
    </row>
    <row r="5" spans="1:13" ht="27.95" customHeight="1">
      <c r="A5" s="139"/>
      <c r="B5" s="143" t="s">
        <v>119</v>
      </c>
      <c r="C5" s="144" t="s">
        <v>120</v>
      </c>
      <c r="D5" s="145" t="s">
        <v>217</v>
      </c>
      <c r="E5" s="145" t="s">
        <v>122</v>
      </c>
      <c r="F5" s="145" t="s">
        <v>123</v>
      </c>
      <c r="G5" s="145" t="s">
        <v>124</v>
      </c>
      <c r="H5" s="145" t="s">
        <v>125</v>
      </c>
      <c r="I5" s="146" t="s">
        <v>126</v>
      </c>
      <c r="J5" s="147" t="s">
        <v>218</v>
      </c>
    </row>
    <row r="6" spans="1:13" ht="12.95" customHeight="1">
      <c r="A6" s="139"/>
      <c r="B6" s="148" t="s">
        <v>680</v>
      </c>
      <c r="C6" s="149"/>
      <c r="D6" s="149"/>
      <c r="E6" s="149"/>
      <c r="F6" s="149"/>
      <c r="G6" s="149"/>
      <c r="H6" s="150"/>
      <c r="I6" s="151"/>
      <c r="J6" s="139"/>
    </row>
    <row r="7" spans="1:13" ht="12.95" customHeight="1">
      <c r="A7" s="139"/>
      <c r="B7" s="148" t="s">
        <v>681</v>
      </c>
      <c r="C7" s="149"/>
      <c r="D7" s="149"/>
      <c r="E7" s="149"/>
      <c r="F7" s="139"/>
      <c r="G7" s="150"/>
      <c r="H7" s="150"/>
      <c r="I7" s="151"/>
      <c r="J7" s="139"/>
    </row>
    <row r="8" spans="1:13" ht="12.95" customHeight="1">
      <c r="A8" s="152" t="s">
        <v>686</v>
      </c>
      <c r="B8" s="153" t="s">
        <v>687</v>
      </c>
      <c r="C8" s="149" t="s">
        <v>688</v>
      </c>
      <c r="D8" s="149" t="s">
        <v>685</v>
      </c>
      <c r="E8" s="154">
        <v>1164632</v>
      </c>
      <c r="F8" s="155">
        <v>8162.32</v>
      </c>
      <c r="G8" s="156">
        <v>5.2900000000000003E-2</v>
      </c>
      <c r="H8" s="157"/>
      <c r="I8" s="158"/>
      <c r="J8" s="139"/>
    </row>
    <row r="9" spans="1:13" ht="12.95" customHeight="1">
      <c r="A9" s="152" t="s">
        <v>728</v>
      </c>
      <c r="B9" s="153" t="s">
        <v>729</v>
      </c>
      <c r="C9" s="149" t="s">
        <v>730</v>
      </c>
      <c r="D9" s="149" t="s">
        <v>731</v>
      </c>
      <c r="E9" s="154">
        <v>215237</v>
      </c>
      <c r="F9" s="155">
        <v>8126.38</v>
      </c>
      <c r="G9" s="156">
        <v>5.2699999999999997E-2</v>
      </c>
      <c r="H9" s="157"/>
      <c r="I9" s="158"/>
      <c r="J9" s="139"/>
    </row>
    <row r="10" spans="1:13" ht="12.95" customHeight="1">
      <c r="A10" s="152" t="s">
        <v>740</v>
      </c>
      <c r="B10" s="153" t="s">
        <v>741</v>
      </c>
      <c r="C10" s="149" t="s">
        <v>742</v>
      </c>
      <c r="D10" s="149" t="s">
        <v>731</v>
      </c>
      <c r="E10" s="154">
        <v>453613</v>
      </c>
      <c r="F10" s="155">
        <v>7598.92</v>
      </c>
      <c r="G10" s="156">
        <v>4.9299999999999997E-2</v>
      </c>
      <c r="H10" s="157"/>
      <c r="I10" s="158"/>
      <c r="J10" s="139"/>
    </row>
    <row r="11" spans="1:13" ht="12.95" customHeight="1">
      <c r="A11" s="152" t="s">
        <v>682</v>
      </c>
      <c r="B11" s="153" t="s">
        <v>683</v>
      </c>
      <c r="C11" s="149" t="s">
        <v>684</v>
      </c>
      <c r="D11" s="149" t="s">
        <v>685</v>
      </c>
      <c r="E11" s="154">
        <v>401287</v>
      </c>
      <c r="F11" s="155">
        <v>6400.33</v>
      </c>
      <c r="G11" s="156">
        <v>4.1500000000000002E-2</v>
      </c>
      <c r="H11" s="157"/>
      <c r="I11" s="158"/>
      <c r="J11" s="139"/>
    </row>
    <row r="12" spans="1:13" ht="12.95" customHeight="1">
      <c r="A12" s="152" t="s">
        <v>732</v>
      </c>
      <c r="B12" s="153" t="s">
        <v>733</v>
      </c>
      <c r="C12" s="149" t="s">
        <v>734</v>
      </c>
      <c r="D12" s="149" t="s">
        <v>735</v>
      </c>
      <c r="E12" s="154">
        <v>251331</v>
      </c>
      <c r="F12" s="155">
        <v>6331.66</v>
      </c>
      <c r="G12" s="156">
        <v>4.1099999999999998E-2</v>
      </c>
      <c r="H12" s="157"/>
      <c r="I12" s="158"/>
      <c r="J12" s="139"/>
    </row>
    <row r="13" spans="1:13" ht="12.95" customHeight="1">
      <c r="A13" s="152" t="s">
        <v>720</v>
      </c>
      <c r="B13" s="153" t="s">
        <v>721</v>
      </c>
      <c r="C13" s="149" t="s">
        <v>722</v>
      </c>
      <c r="D13" s="149" t="s">
        <v>723</v>
      </c>
      <c r="E13" s="154">
        <v>67422</v>
      </c>
      <c r="F13" s="155">
        <v>5169.99</v>
      </c>
      <c r="G13" s="156">
        <v>3.3500000000000002E-2</v>
      </c>
      <c r="H13" s="157"/>
      <c r="I13" s="158"/>
      <c r="J13" s="139"/>
    </row>
    <row r="14" spans="1:13" ht="12.95" customHeight="1">
      <c r="A14" s="152" t="s">
        <v>743</v>
      </c>
      <c r="B14" s="153" t="s">
        <v>744</v>
      </c>
      <c r="C14" s="149" t="s">
        <v>745</v>
      </c>
      <c r="D14" s="149" t="s">
        <v>723</v>
      </c>
      <c r="E14" s="154">
        <v>180606</v>
      </c>
      <c r="F14" s="155">
        <v>4974.43</v>
      </c>
      <c r="G14" s="156">
        <v>3.2300000000000002E-2</v>
      </c>
      <c r="H14" s="157"/>
      <c r="I14" s="158"/>
      <c r="J14" s="139"/>
    </row>
    <row r="15" spans="1:13" ht="12.95" customHeight="1">
      <c r="A15" s="152" t="s">
        <v>736</v>
      </c>
      <c r="B15" s="153" t="s">
        <v>737</v>
      </c>
      <c r="C15" s="149" t="s">
        <v>738</v>
      </c>
      <c r="D15" s="149" t="s">
        <v>739</v>
      </c>
      <c r="E15" s="154">
        <v>91810</v>
      </c>
      <c r="F15" s="155">
        <v>3902.11</v>
      </c>
      <c r="G15" s="156">
        <v>2.53E-2</v>
      </c>
      <c r="H15" s="157"/>
      <c r="I15" s="158"/>
      <c r="J15" s="139"/>
    </row>
    <row r="16" spans="1:13" ht="12.95" customHeight="1">
      <c r="A16" s="152" t="s">
        <v>888</v>
      </c>
      <c r="B16" s="153" t="s">
        <v>889</v>
      </c>
      <c r="C16" s="149" t="s">
        <v>890</v>
      </c>
      <c r="D16" s="149" t="s">
        <v>789</v>
      </c>
      <c r="E16" s="154">
        <v>105351</v>
      </c>
      <c r="F16" s="155">
        <v>3418.27</v>
      </c>
      <c r="G16" s="156">
        <v>2.2200000000000001E-2</v>
      </c>
      <c r="H16" s="157"/>
      <c r="I16" s="158"/>
      <c r="J16" s="139"/>
    </row>
    <row r="17" spans="1:10" ht="12.95" customHeight="1">
      <c r="A17" s="152" t="s">
        <v>786</v>
      </c>
      <c r="B17" s="153" t="s">
        <v>787</v>
      </c>
      <c r="C17" s="149" t="s">
        <v>788</v>
      </c>
      <c r="D17" s="149" t="s">
        <v>789</v>
      </c>
      <c r="E17" s="154">
        <v>126007</v>
      </c>
      <c r="F17" s="155">
        <v>3404.46</v>
      </c>
      <c r="G17" s="156">
        <v>2.2100000000000002E-2</v>
      </c>
      <c r="H17" s="157"/>
      <c r="I17" s="158"/>
      <c r="J17" s="139"/>
    </row>
    <row r="18" spans="1:10" ht="12.95" customHeight="1">
      <c r="A18" s="152" t="s">
        <v>891</v>
      </c>
      <c r="B18" s="153" t="s">
        <v>892</v>
      </c>
      <c r="C18" s="149" t="s">
        <v>893</v>
      </c>
      <c r="D18" s="149" t="s">
        <v>782</v>
      </c>
      <c r="E18" s="154">
        <v>39929</v>
      </c>
      <c r="F18" s="155">
        <v>2953.19</v>
      </c>
      <c r="G18" s="156">
        <v>1.9099999999999999E-2</v>
      </c>
      <c r="H18" s="157"/>
      <c r="I18" s="158"/>
      <c r="J18" s="139"/>
    </row>
    <row r="19" spans="1:10" ht="12.95" customHeight="1">
      <c r="A19" s="152" t="s">
        <v>894</v>
      </c>
      <c r="B19" s="153" t="s">
        <v>895</v>
      </c>
      <c r="C19" s="149" t="s">
        <v>896</v>
      </c>
      <c r="D19" s="149" t="s">
        <v>731</v>
      </c>
      <c r="E19" s="154">
        <v>51523</v>
      </c>
      <c r="F19" s="155">
        <v>2700.47</v>
      </c>
      <c r="G19" s="156">
        <v>1.7500000000000002E-2</v>
      </c>
      <c r="H19" s="157"/>
      <c r="I19" s="158"/>
      <c r="J19" s="139"/>
    </row>
    <row r="20" spans="1:10" ht="12.95" customHeight="1">
      <c r="A20" s="152" t="s">
        <v>779</v>
      </c>
      <c r="B20" s="153" t="s">
        <v>780</v>
      </c>
      <c r="C20" s="149" t="s">
        <v>781</v>
      </c>
      <c r="D20" s="149" t="s">
        <v>782</v>
      </c>
      <c r="E20" s="154">
        <v>624625</v>
      </c>
      <c r="F20" s="155">
        <v>2499.75</v>
      </c>
      <c r="G20" s="156">
        <v>1.6199999999999999E-2</v>
      </c>
      <c r="H20" s="157"/>
      <c r="I20" s="158"/>
      <c r="J20" s="139"/>
    </row>
    <row r="21" spans="1:10" ht="12.95" customHeight="1">
      <c r="A21" s="152" t="s">
        <v>746</v>
      </c>
      <c r="B21" s="153" t="s">
        <v>747</v>
      </c>
      <c r="C21" s="149" t="s">
        <v>748</v>
      </c>
      <c r="D21" s="149" t="s">
        <v>749</v>
      </c>
      <c r="E21" s="154">
        <v>48260</v>
      </c>
      <c r="F21" s="155">
        <v>2315.85</v>
      </c>
      <c r="G21" s="156">
        <v>1.4999999999999999E-2</v>
      </c>
      <c r="H21" s="157"/>
      <c r="I21" s="158"/>
      <c r="J21" s="139"/>
    </row>
    <row r="22" spans="1:10" ht="12.95" customHeight="1">
      <c r="A22" s="152" t="s">
        <v>873</v>
      </c>
      <c r="B22" s="153" t="s">
        <v>874</v>
      </c>
      <c r="C22" s="149" t="s">
        <v>875</v>
      </c>
      <c r="D22" s="149" t="s">
        <v>789</v>
      </c>
      <c r="E22" s="154">
        <v>10208</v>
      </c>
      <c r="F22" s="155">
        <v>1985</v>
      </c>
      <c r="G22" s="156">
        <v>1.29E-2</v>
      </c>
      <c r="H22" s="157"/>
      <c r="I22" s="158"/>
      <c r="J22" s="139"/>
    </row>
    <row r="23" spans="1:10" ht="12.95" customHeight="1">
      <c r="A23" s="152" t="s">
        <v>692</v>
      </c>
      <c r="B23" s="153" t="s">
        <v>693</v>
      </c>
      <c r="C23" s="149" t="s">
        <v>694</v>
      </c>
      <c r="D23" s="149" t="s">
        <v>685</v>
      </c>
      <c r="E23" s="154">
        <v>98976</v>
      </c>
      <c r="F23" s="155">
        <v>1984.96</v>
      </c>
      <c r="G23" s="156">
        <v>1.29E-2</v>
      </c>
      <c r="H23" s="157"/>
      <c r="I23" s="158"/>
      <c r="J23" s="139"/>
    </row>
    <row r="24" spans="1:10" ht="12.95" customHeight="1">
      <c r="A24" s="152" t="s">
        <v>775</v>
      </c>
      <c r="B24" s="153" t="s">
        <v>776</v>
      </c>
      <c r="C24" s="149" t="s">
        <v>777</v>
      </c>
      <c r="D24" s="149" t="s">
        <v>778</v>
      </c>
      <c r="E24" s="154">
        <v>23973</v>
      </c>
      <c r="F24" s="155">
        <v>1759.15</v>
      </c>
      <c r="G24" s="156">
        <v>1.14E-2</v>
      </c>
      <c r="H24" s="157"/>
      <c r="I24" s="158"/>
      <c r="J24" s="139"/>
    </row>
    <row r="25" spans="1:10" ht="12.95" customHeight="1">
      <c r="A25" s="152" t="s">
        <v>911</v>
      </c>
      <c r="B25" s="153" t="s">
        <v>912</v>
      </c>
      <c r="C25" s="149" t="s">
        <v>913</v>
      </c>
      <c r="D25" s="149" t="s">
        <v>789</v>
      </c>
      <c r="E25" s="154">
        <v>162523</v>
      </c>
      <c r="F25" s="155">
        <v>1673.82</v>
      </c>
      <c r="G25" s="156">
        <v>1.09E-2</v>
      </c>
      <c r="H25" s="157"/>
      <c r="I25" s="158"/>
      <c r="J25" s="139"/>
    </row>
    <row r="26" spans="1:10" ht="12.95" customHeight="1">
      <c r="A26" s="152" t="s">
        <v>924</v>
      </c>
      <c r="B26" s="153" t="s">
        <v>925</v>
      </c>
      <c r="C26" s="149" t="s">
        <v>926</v>
      </c>
      <c r="D26" s="149" t="s">
        <v>771</v>
      </c>
      <c r="E26" s="154">
        <v>296882</v>
      </c>
      <c r="F26" s="155">
        <v>1650.22</v>
      </c>
      <c r="G26" s="156">
        <v>1.0699999999999999E-2</v>
      </c>
      <c r="H26" s="157"/>
      <c r="I26" s="158"/>
      <c r="J26" s="139"/>
    </row>
    <row r="27" spans="1:10" ht="12.95" customHeight="1">
      <c r="A27" s="152" t="s">
        <v>939</v>
      </c>
      <c r="B27" s="153" t="s">
        <v>940</v>
      </c>
      <c r="C27" s="149" t="s">
        <v>941</v>
      </c>
      <c r="D27" s="149" t="s">
        <v>782</v>
      </c>
      <c r="E27" s="154">
        <v>5151</v>
      </c>
      <c r="F27" s="155">
        <v>1488.72</v>
      </c>
      <c r="G27" s="156">
        <v>9.7000000000000003E-3</v>
      </c>
      <c r="H27" s="157"/>
      <c r="I27" s="158"/>
      <c r="J27" s="139"/>
    </row>
    <row r="28" spans="1:10" ht="12.95" customHeight="1">
      <c r="A28" s="152" t="s">
        <v>942</v>
      </c>
      <c r="B28" s="153" t="s">
        <v>943</v>
      </c>
      <c r="C28" s="149" t="s">
        <v>944</v>
      </c>
      <c r="D28" s="149" t="s">
        <v>945</v>
      </c>
      <c r="E28" s="154">
        <v>83483</v>
      </c>
      <c r="F28" s="155">
        <v>1421.67</v>
      </c>
      <c r="G28" s="156">
        <v>9.1999999999999998E-3</v>
      </c>
      <c r="H28" s="157"/>
      <c r="I28" s="158"/>
      <c r="J28" s="139"/>
    </row>
    <row r="29" spans="1:10" ht="12.95" customHeight="1">
      <c r="A29" s="152" t="s">
        <v>772</v>
      </c>
      <c r="B29" s="153" t="s">
        <v>773</v>
      </c>
      <c r="C29" s="149" t="s">
        <v>774</v>
      </c>
      <c r="D29" s="149" t="s">
        <v>731</v>
      </c>
      <c r="E29" s="154">
        <v>101200</v>
      </c>
      <c r="F29" s="155">
        <v>1397.17</v>
      </c>
      <c r="G29" s="156">
        <v>9.1000000000000004E-3</v>
      </c>
      <c r="H29" s="157"/>
      <c r="I29" s="158"/>
      <c r="J29" s="139"/>
    </row>
    <row r="30" spans="1:10" ht="12.95" customHeight="1">
      <c r="A30" s="152" t="s">
        <v>689</v>
      </c>
      <c r="B30" s="153" t="s">
        <v>690</v>
      </c>
      <c r="C30" s="149" t="s">
        <v>691</v>
      </c>
      <c r="D30" s="149" t="s">
        <v>685</v>
      </c>
      <c r="E30" s="154">
        <v>295023</v>
      </c>
      <c r="F30" s="155">
        <v>1336.45</v>
      </c>
      <c r="G30" s="156">
        <v>8.6999999999999994E-3</v>
      </c>
      <c r="H30" s="157"/>
      <c r="I30" s="158"/>
      <c r="J30" s="139"/>
    </row>
    <row r="31" spans="1:10" ht="12.95" customHeight="1">
      <c r="A31" s="152" t="s">
        <v>946</v>
      </c>
      <c r="B31" s="153" t="s">
        <v>947</v>
      </c>
      <c r="C31" s="149" t="s">
        <v>948</v>
      </c>
      <c r="D31" s="149" t="s">
        <v>949</v>
      </c>
      <c r="E31" s="154">
        <v>87568</v>
      </c>
      <c r="F31" s="155">
        <v>1128.6600000000001</v>
      </c>
      <c r="G31" s="156">
        <v>7.3000000000000001E-3</v>
      </c>
      <c r="H31" s="157"/>
      <c r="I31" s="158"/>
      <c r="J31" s="139"/>
    </row>
    <row r="32" spans="1:10" ht="12.95" customHeight="1">
      <c r="A32" s="152" t="s">
        <v>1534</v>
      </c>
      <c r="B32" s="153" t="s">
        <v>1535</v>
      </c>
      <c r="C32" s="149" t="s">
        <v>1536</v>
      </c>
      <c r="D32" s="149" t="s">
        <v>789</v>
      </c>
      <c r="E32" s="154">
        <v>43578</v>
      </c>
      <c r="F32" s="155">
        <v>1115.71</v>
      </c>
      <c r="G32" s="156">
        <v>7.1999999999999998E-3</v>
      </c>
      <c r="H32" s="157"/>
      <c r="I32" s="158"/>
      <c r="J32" s="139"/>
    </row>
    <row r="33" spans="1:10" ht="12.95" customHeight="1">
      <c r="A33" s="152" t="s">
        <v>904</v>
      </c>
      <c r="B33" s="153" t="s">
        <v>905</v>
      </c>
      <c r="C33" s="149" t="s">
        <v>906</v>
      </c>
      <c r="D33" s="149" t="s">
        <v>731</v>
      </c>
      <c r="E33" s="154">
        <v>34510</v>
      </c>
      <c r="F33" s="155">
        <v>1071.33</v>
      </c>
      <c r="G33" s="156">
        <v>6.8999999999999999E-3</v>
      </c>
      <c r="H33" s="157"/>
      <c r="I33" s="158"/>
      <c r="J33" s="139"/>
    </row>
    <row r="34" spans="1:10" ht="12.95" customHeight="1">
      <c r="A34" s="152" t="s">
        <v>917</v>
      </c>
      <c r="B34" s="153" t="s">
        <v>918</v>
      </c>
      <c r="C34" s="149" t="s">
        <v>919</v>
      </c>
      <c r="D34" s="149" t="s">
        <v>731</v>
      </c>
      <c r="E34" s="154">
        <v>28567</v>
      </c>
      <c r="F34" s="155">
        <v>1061.6400000000001</v>
      </c>
      <c r="G34" s="156">
        <v>6.8999999999999999E-3</v>
      </c>
      <c r="H34" s="157"/>
      <c r="I34" s="158"/>
      <c r="J34" s="139"/>
    </row>
    <row r="35" spans="1:10" ht="12.95" customHeight="1">
      <c r="A35" s="152" t="s">
        <v>981</v>
      </c>
      <c r="B35" s="153" t="s">
        <v>982</v>
      </c>
      <c r="C35" s="149" t="s">
        <v>983</v>
      </c>
      <c r="D35" s="149" t="s">
        <v>767</v>
      </c>
      <c r="E35" s="154">
        <v>68000</v>
      </c>
      <c r="F35" s="155">
        <v>933.71</v>
      </c>
      <c r="G35" s="156">
        <v>6.1000000000000004E-3</v>
      </c>
      <c r="H35" s="157"/>
      <c r="I35" s="158"/>
      <c r="J35" s="139"/>
    </row>
    <row r="36" spans="1:10" ht="12.95" customHeight="1">
      <c r="A36" s="152" t="s">
        <v>1537</v>
      </c>
      <c r="B36" s="153" t="s">
        <v>1538</v>
      </c>
      <c r="C36" s="149" t="s">
        <v>1539</v>
      </c>
      <c r="D36" s="149" t="s">
        <v>1540</v>
      </c>
      <c r="E36" s="154">
        <v>504000</v>
      </c>
      <c r="F36" s="155">
        <v>932.9</v>
      </c>
      <c r="G36" s="156">
        <v>6.0000000000000001E-3</v>
      </c>
      <c r="H36" s="157"/>
      <c r="I36" s="158"/>
      <c r="J36" s="139"/>
    </row>
    <row r="37" spans="1:10" ht="12.95" customHeight="1">
      <c r="A37" s="152" t="s">
        <v>901</v>
      </c>
      <c r="B37" s="153" t="s">
        <v>902</v>
      </c>
      <c r="C37" s="149" t="s">
        <v>903</v>
      </c>
      <c r="D37" s="149" t="s">
        <v>767</v>
      </c>
      <c r="E37" s="154">
        <v>40464</v>
      </c>
      <c r="F37" s="155">
        <v>874.77</v>
      </c>
      <c r="G37" s="156">
        <v>5.7000000000000002E-3</v>
      </c>
      <c r="H37" s="157"/>
      <c r="I37" s="158"/>
      <c r="J37" s="139"/>
    </row>
    <row r="38" spans="1:10" ht="12.95" customHeight="1">
      <c r="A38" s="152" t="s">
        <v>914</v>
      </c>
      <c r="B38" s="153" t="s">
        <v>915</v>
      </c>
      <c r="C38" s="149" t="s">
        <v>916</v>
      </c>
      <c r="D38" s="149" t="s">
        <v>731</v>
      </c>
      <c r="E38" s="154">
        <v>20250</v>
      </c>
      <c r="F38" s="155">
        <v>850.52</v>
      </c>
      <c r="G38" s="156">
        <v>5.4999999999999997E-3</v>
      </c>
      <c r="H38" s="157"/>
      <c r="I38" s="158"/>
      <c r="J38" s="139"/>
    </row>
    <row r="39" spans="1:10" ht="12.95" customHeight="1">
      <c r="A39" s="152" t="s">
        <v>840</v>
      </c>
      <c r="B39" s="153" t="s">
        <v>3924</v>
      </c>
      <c r="C39" s="149" t="s">
        <v>841</v>
      </c>
      <c r="D39" s="149" t="s">
        <v>735</v>
      </c>
      <c r="E39" s="154">
        <v>42012</v>
      </c>
      <c r="F39" s="155">
        <v>786.11</v>
      </c>
      <c r="G39" s="156">
        <v>5.1000000000000004E-3</v>
      </c>
      <c r="H39" s="157"/>
      <c r="I39" s="158"/>
      <c r="J39" s="139"/>
    </row>
    <row r="40" spans="1:10" ht="12.95" customHeight="1">
      <c r="A40" s="152" t="s">
        <v>1541</v>
      </c>
      <c r="B40" s="153" t="s">
        <v>1542</v>
      </c>
      <c r="C40" s="149" t="s">
        <v>1543</v>
      </c>
      <c r="D40" s="149" t="s">
        <v>814</v>
      </c>
      <c r="E40" s="154">
        <v>101250</v>
      </c>
      <c r="F40" s="155">
        <v>747.12</v>
      </c>
      <c r="G40" s="156">
        <v>4.7999999999999996E-3</v>
      </c>
      <c r="H40" s="157"/>
      <c r="I40" s="158"/>
      <c r="J40" s="139"/>
    </row>
    <row r="41" spans="1:10" ht="12.95" customHeight="1">
      <c r="A41" s="152" t="s">
        <v>757</v>
      </c>
      <c r="B41" s="153" t="s">
        <v>758</v>
      </c>
      <c r="C41" s="149" t="s">
        <v>759</v>
      </c>
      <c r="D41" s="149" t="s">
        <v>749</v>
      </c>
      <c r="E41" s="154">
        <v>19343</v>
      </c>
      <c r="F41" s="155">
        <v>719.54</v>
      </c>
      <c r="G41" s="156">
        <v>4.7000000000000002E-3</v>
      </c>
      <c r="H41" s="157"/>
      <c r="I41" s="158"/>
      <c r="J41" s="139"/>
    </row>
    <row r="42" spans="1:10" ht="12.95" customHeight="1">
      <c r="A42" s="152" t="s">
        <v>1544</v>
      </c>
      <c r="B42" s="153" t="s">
        <v>1545</v>
      </c>
      <c r="C42" s="149" t="s">
        <v>1546</v>
      </c>
      <c r="D42" s="149" t="s">
        <v>771</v>
      </c>
      <c r="E42" s="154">
        <v>66656</v>
      </c>
      <c r="F42" s="155">
        <v>704.89</v>
      </c>
      <c r="G42" s="156">
        <v>4.5999999999999999E-3</v>
      </c>
      <c r="H42" s="157"/>
      <c r="I42" s="158"/>
      <c r="J42" s="139"/>
    </row>
    <row r="43" spans="1:10" ht="12.95" customHeight="1">
      <c r="A43" s="152" t="s">
        <v>808</v>
      </c>
      <c r="B43" s="153" t="s">
        <v>809</v>
      </c>
      <c r="C43" s="149" t="s">
        <v>810</v>
      </c>
      <c r="D43" s="149" t="s">
        <v>778</v>
      </c>
      <c r="E43" s="154">
        <v>85400</v>
      </c>
      <c r="F43" s="155">
        <v>685.8</v>
      </c>
      <c r="G43" s="156">
        <v>4.4000000000000003E-3</v>
      </c>
      <c r="H43" s="157"/>
      <c r="I43" s="158"/>
      <c r="J43" s="139"/>
    </row>
    <row r="44" spans="1:10" ht="12.95" customHeight="1">
      <c r="A44" s="152" t="s">
        <v>799</v>
      </c>
      <c r="B44" s="153" t="s">
        <v>800</v>
      </c>
      <c r="C44" s="149" t="s">
        <v>801</v>
      </c>
      <c r="D44" s="149" t="s">
        <v>749</v>
      </c>
      <c r="E44" s="154">
        <v>81888</v>
      </c>
      <c r="F44" s="155">
        <v>670.05</v>
      </c>
      <c r="G44" s="156">
        <v>4.3E-3</v>
      </c>
      <c r="H44" s="157"/>
      <c r="I44" s="158"/>
      <c r="J44" s="139"/>
    </row>
    <row r="45" spans="1:10" ht="12.95" customHeight="1">
      <c r="A45" s="152" t="s">
        <v>1547</v>
      </c>
      <c r="B45" s="153" t="s">
        <v>1548</v>
      </c>
      <c r="C45" s="149" t="s">
        <v>1549</v>
      </c>
      <c r="D45" s="149" t="s">
        <v>778</v>
      </c>
      <c r="E45" s="154">
        <v>171000</v>
      </c>
      <c r="F45" s="155">
        <v>570.03</v>
      </c>
      <c r="G45" s="156">
        <v>3.7000000000000002E-3</v>
      </c>
      <c r="H45" s="157"/>
      <c r="I45" s="158"/>
      <c r="J45" s="139"/>
    </row>
    <row r="46" spans="1:10" ht="12.95" customHeight="1">
      <c r="A46" s="152" t="s">
        <v>930</v>
      </c>
      <c r="B46" s="153" t="s">
        <v>931</v>
      </c>
      <c r="C46" s="149" t="s">
        <v>932</v>
      </c>
      <c r="D46" s="149" t="s">
        <v>723</v>
      </c>
      <c r="E46" s="154">
        <v>99923</v>
      </c>
      <c r="F46" s="155">
        <v>563.82000000000005</v>
      </c>
      <c r="G46" s="156">
        <v>3.7000000000000002E-3</v>
      </c>
      <c r="H46" s="157"/>
      <c r="I46" s="158"/>
      <c r="J46" s="139"/>
    </row>
    <row r="47" spans="1:10" ht="12.95" customHeight="1">
      <c r="A47" s="152" t="s">
        <v>1550</v>
      </c>
      <c r="B47" s="153" t="s">
        <v>1551</v>
      </c>
      <c r="C47" s="149" t="s">
        <v>1552</v>
      </c>
      <c r="D47" s="149" t="s">
        <v>949</v>
      </c>
      <c r="E47" s="154">
        <v>494000</v>
      </c>
      <c r="F47" s="155">
        <v>561.42999999999995</v>
      </c>
      <c r="G47" s="156">
        <v>3.5999999999999999E-3</v>
      </c>
      <c r="H47" s="157"/>
      <c r="I47" s="158"/>
      <c r="J47" s="139"/>
    </row>
    <row r="48" spans="1:10" ht="12.95" customHeight="1">
      <c r="A48" s="152" t="s">
        <v>811</v>
      </c>
      <c r="B48" s="153" t="s">
        <v>812</v>
      </c>
      <c r="C48" s="149" t="s">
        <v>813</v>
      </c>
      <c r="D48" s="149" t="s">
        <v>814</v>
      </c>
      <c r="E48" s="154">
        <v>79439</v>
      </c>
      <c r="F48" s="155">
        <v>559.49</v>
      </c>
      <c r="G48" s="156">
        <v>3.5999999999999999E-3</v>
      </c>
      <c r="H48" s="157"/>
      <c r="I48" s="158"/>
      <c r="J48" s="139"/>
    </row>
    <row r="49" spans="1:10" ht="12.95" customHeight="1">
      <c r="A49" s="152" t="s">
        <v>796</v>
      </c>
      <c r="B49" s="153" t="s">
        <v>797</v>
      </c>
      <c r="C49" s="149" t="s">
        <v>798</v>
      </c>
      <c r="D49" s="149" t="s">
        <v>771</v>
      </c>
      <c r="E49" s="154">
        <v>233607</v>
      </c>
      <c r="F49" s="155">
        <v>527.84</v>
      </c>
      <c r="G49" s="156">
        <v>3.3999999999999998E-3</v>
      </c>
      <c r="H49" s="157"/>
      <c r="I49" s="158"/>
      <c r="J49" s="139"/>
    </row>
    <row r="50" spans="1:10" ht="12.95" customHeight="1">
      <c r="A50" s="152" t="s">
        <v>1026</v>
      </c>
      <c r="B50" s="153" t="s">
        <v>1027</v>
      </c>
      <c r="C50" s="149" t="s">
        <v>1028</v>
      </c>
      <c r="D50" s="149" t="s">
        <v>763</v>
      </c>
      <c r="E50" s="154">
        <v>24295</v>
      </c>
      <c r="F50" s="155">
        <v>497.38</v>
      </c>
      <c r="G50" s="156">
        <v>3.2000000000000002E-3</v>
      </c>
      <c r="H50" s="157"/>
      <c r="I50" s="158"/>
      <c r="J50" s="139"/>
    </row>
    <row r="51" spans="1:10" ht="12.95" customHeight="1">
      <c r="A51" s="152" t="s">
        <v>1553</v>
      </c>
      <c r="B51" s="153" t="s">
        <v>1554</v>
      </c>
      <c r="C51" s="149" t="s">
        <v>1555</v>
      </c>
      <c r="D51" s="149" t="s">
        <v>1556</v>
      </c>
      <c r="E51" s="154">
        <v>310500</v>
      </c>
      <c r="F51" s="155">
        <v>492.92</v>
      </c>
      <c r="G51" s="156">
        <v>3.2000000000000002E-3</v>
      </c>
      <c r="H51" s="157"/>
      <c r="I51" s="158"/>
      <c r="J51" s="139"/>
    </row>
    <row r="52" spans="1:10" ht="12.95" customHeight="1">
      <c r="A52" s="152" t="s">
        <v>1042</v>
      </c>
      <c r="B52" s="153" t="s">
        <v>1043</v>
      </c>
      <c r="C52" s="149" t="s">
        <v>1044</v>
      </c>
      <c r="D52" s="149" t="s">
        <v>739</v>
      </c>
      <c r="E52" s="154">
        <v>145600</v>
      </c>
      <c r="F52" s="155">
        <v>358.69</v>
      </c>
      <c r="G52" s="156">
        <v>2.3E-3</v>
      </c>
      <c r="H52" s="157"/>
      <c r="I52" s="158"/>
      <c r="J52" s="139"/>
    </row>
    <row r="53" spans="1:10" ht="12.95" customHeight="1">
      <c r="A53" s="152" t="s">
        <v>1557</v>
      </c>
      <c r="B53" s="153" t="s">
        <v>1558</v>
      </c>
      <c r="C53" s="149" t="s">
        <v>1559</v>
      </c>
      <c r="D53" s="149" t="s">
        <v>749</v>
      </c>
      <c r="E53" s="154">
        <v>7250</v>
      </c>
      <c r="F53" s="155">
        <v>353.85</v>
      </c>
      <c r="G53" s="156">
        <v>2.3E-3</v>
      </c>
      <c r="H53" s="157"/>
      <c r="I53" s="158"/>
      <c r="J53" s="139"/>
    </row>
    <row r="54" spans="1:10" ht="12.95" customHeight="1">
      <c r="A54" s="152" t="s">
        <v>978</v>
      </c>
      <c r="B54" s="153" t="s">
        <v>979</v>
      </c>
      <c r="C54" s="149" t="s">
        <v>980</v>
      </c>
      <c r="D54" s="149" t="s">
        <v>789</v>
      </c>
      <c r="E54" s="154">
        <v>55000</v>
      </c>
      <c r="F54" s="155">
        <v>339.38</v>
      </c>
      <c r="G54" s="156">
        <v>2.2000000000000001E-3</v>
      </c>
      <c r="H54" s="157"/>
      <c r="I54" s="158"/>
      <c r="J54" s="139"/>
    </row>
    <row r="55" spans="1:10" ht="12.95" customHeight="1">
      <c r="A55" s="152" t="s">
        <v>936</v>
      </c>
      <c r="B55" s="153" t="s">
        <v>937</v>
      </c>
      <c r="C55" s="149" t="s">
        <v>938</v>
      </c>
      <c r="D55" s="149" t="s">
        <v>727</v>
      </c>
      <c r="E55" s="154">
        <v>129244</v>
      </c>
      <c r="F55" s="155">
        <v>305.20999999999998</v>
      </c>
      <c r="G55" s="156">
        <v>2E-3</v>
      </c>
      <c r="H55" s="157"/>
      <c r="I55" s="158"/>
      <c r="J55" s="139"/>
    </row>
    <row r="56" spans="1:10" ht="12.95" customHeight="1">
      <c r="A56" s="152" t="s">
        <v>1560</v>
      </c>
      <c r="B56" s="153" t="s">
        <v>1561</v>
      </c>
      <c r="C56" s="149" t="s">
        <v>1562</v>
      </c>
      <c r="D56" s="149" t="s">
        <v>1540</v>
      </c>
      <c r="E56" s="154">
        <v>194300</v>
      </c>
      <c r="F56" s="155">
        <v>277.85000000000002</v>
      </c>
      <c r="G56" s="156">
        <v>1.8E-3</v>
      </c>
      <c r="H56" s="157"/>
      <c r="I56" s="158"/>
      <c r="J56" s="139"/>
    </row>
    <row r="57" spans="1:10" ht="12.95" customHeight="1">
      <c r="A57" s="152" t="s">
        <v>1563</v>
      </c>
      <c r="B57" s="153" t="s">
        <v>1564</v>
      </c>
      <c r="C57" s="149" t="s">
        <v>1565</v>
      </c>
      <c r="D57" s="149" t="s">
        <v>735</v>
      </c>
      <c r="E57" s="154">
        <v>63000</v>
      </c>
      <c r="F57" s="155">
        <v>272.29000000000002</v>
      </c>
      <c r="G57" s="156">
        <v>1.8E-3</v>
      </c>
      <c r="H57" s="157"/>
      <c r="I57" s="158"/>
      <c r="J57" s="139"/>
    </row>
    <row r="58" spans="1:10" ht="12.95" customHeight="1">
      <c r="A58" s="152" t="s">
        <v>1566</v>
      </c>
      <c r="B58" s="153" t="s">
        <v>1567</v>
      </c>
      <c r="C58" s="149" t="s">
        <v>1568</v>
      </c>
      <c r="D58" s="149" t="s">
        <v>1569</v>
      </c>
      <c r="E58" s="154">
        <v>45375</v>
      </c>
      <c r="F58" s="155">
        <v>241.89</v>
      </c>
      <c r="G58" s="156">
        <v>1.6000000000000001E-3</v>
      </c>
      <c r="H58" s="157"/>
      <c r="I58" s="158"/>
      <c r="J58" s="139"/>
    </row>
    <row r="59" spans="1:10" ht="12.95" customHeight="1">
      <c r="A59" s="152" t="s">
        <v>1570</v>
      </c>
      <c r="B59" s="153" t="s">
        <v>1571</v>
      </c>
      <c r="C59" s="149" t="s">
        <v>1572</v>
      </c>
      <c r="D59" s="149" t="s">
        <v>1569</v>
      </c>
      <c r="E59" s="154">
        <v>140300</v>
      </c>
      <c r="F59" s="155">
        <v>222.87</v>
      </c>
      <c r="G59" s="156">
        <v>1.4E-3</v>
      </c>
      <c r="H59" s="157"/>
      <c r="I59" s="158"/>
      <c r="J59" s="139"/>
    </row>
    <row r="60" spans="1:10" ht="12.95" customHeight="1">
      <c r="A60" s="152" t="s">
        <v>966</v>
      </c>
      <c r="B60" s="153" t="s">
        <v>967</v>
      </c>
      <c r="C60" s="149" t="s">
        <v>968</v>
      </c>
      <c r="D60" s="149" t="s">
        <v>789</v>
      </c>
      <c r="E60" s="154">
        <v>24300</v>
      </c>
      <c r="F60" s="155">
        <v>197.7</v>
      </c>
      <c r="G60" s="156">
        <v>1.2999999999999999E-3</v>
      </c>
      <c r="H60" s="157"/>
      <c r="I60" s="158"/>
      <c r="J60" s="139"/>
    </row>
    <row r="61" spans="1:10" ht="12.95" customHeight="1">
      <c r="A61" s="152" t="s">
        <v>1573</v>
      </c>
      <c r="B61" s="153" t="s">
        <v>1574</v>
      </c>
      <c r="C61" s="149" t="s">
        <v>1575</v>
      </c>
      <c r="D61" s="149" t="s">
        <v>949</v>
      </c>
      <c r="E61" s="154">
        <v>50000</v>
      </c>
      <c r="F61" s="155">
        <v>194.63</v>
      </c>
      <c r="G61" s="156">
        <v>1.2999999999999999E-3</v>
      </c>
      <c r="H61" s="157"/>
      <c r="I61" s="158"/>
      <c r="J61" s="139"/>
    </row>
    <row r="62" spans="1:10" ht="12.95" customHeight="1">
      <c r="A62" s="152" t="s">
        <v>1576</v>
      </c>
      <c r="B62" s="153" t="s">
        <v>1577</v>
      </c>
      <c r="C62" s="149" t="s">
        <v>1578</v>
      </c>
      <c r="D62" s="149" t="s">
        <v>1540</v>
      </c>
      <c r="E62" s="154">
        <v>13000</v>
      </c>
      <c r="F62" s="155">
        <v>190.85</v>
      </c>
      <c r="G62" s="156">
        <v>1.1999999999999999E-3</v>
      </c>
      <c r="H62" s="157"/>
      <c r="I62" s="158"/>
      <c r="J62" s="139"/>
    </row>
    <row r="63" spans="1:10" ht="12.95" customHeight="1">
      <c r="A63" s="152" t="s">
        <v>1579</v>
      </c>
      <c r="B63" s="153" t="s">
        <v>1580</v>
      </c>
      <c r="C63" s="149" t="s">
        <v>1581</v>
      </c>
      <c r="D63" s="149" t="s">
        <v>723</v>
      </c>
      <c r="E63" s="154">
        <v>10400</v>
      </c>
      <c r="F63" s="155">
        <v>135.08000000000001</v>
      </c>
      <c r="G63" s="156">
        <v>8.9999999999999998E-4</v>
      </c>
      <c r="H63" s="157"/>
      <c r="I63" s="158"/>
      <c r="J63" s="139"/>
    </row>
    <row r="64" spans="1:10" ht="12.95" customHeight="1">
      <c r="A64" s="152" t="s">
        <v>1582</v>
      </c>
      <c r="B64" s="153" t="s">
        <v>1583</v>
      </c>
      <c r="C64" s="149" t="s">
        <v>1584</v>
      </c>
      <c r="D64" s="149" t="s">
        <v>767</v>
      </c>
      <c r="E64" s="154">
        <v>4400</v>
      </c>
      <c r="F64" s="155">
        <v>78.239999999999995</v>
      </c>
      <c r="G64" s="156">
        <v>5.0000000000000001E-4</v>
      </c>
      <c r="H64" s="157"/>
      <c r="I64" s="158"/>
      <c r="J64" s="139"/>
    </row>
    <row r="65" spans="1:10" ht="12.95" customHeight="1">
      <c r="A65" s="152" t="s">
        <v>1585</v>
      </c>
      <c r="B65" s="153" t="s">
        <v>1586</v>
      </c>
      <c r="C65" s="149" t="s">
        <v>1587</v>
      </c>
      <c r="D65" s="149" t="s">
        <v>749</v>
      </c>
      <c r="E65" s="154">
        <v>12150</v>
      </c>
      <c r="F65" s="155">
        <v>71.62</v>
      </c>
      <c r="G65" s="156">
        <v>5.0000000000000001E-4</v>
      </c>
      <c r="H65" s="157"/>
      <c r="I65" s="158"/>
      <c r="J65" s="139"/>
    </row>
    <row r="66" spans="1:10" ht="12.95" customHeight="1">
      <c r="A66" s="152" t="s">
        <v>1588</v>
      </c>
      <c r="B66" s="153" t="s">
        <v>1589</v>
      </c>
      <c r="C66" s="149" t="s">
        <v>1590</v>
      </c>
      <c r="D66" s="149" t="s">
        <v>727</v>
      </c>
      <c r="E66" s="154">
        <v>9000</v>
      </c>
      <c r="F66" s="155">
        <v>66.37</v>
      </c>
      <c r="G66" s="156">
        <v>4.0000000000000002E-4</v>
      </c>
      <c r="H66" s="157"/>
      <c r="I66" s="158"/>
      <c r="J66" s="139"/>
    </row>
    <row r="67" spans="1:10" ht="12.95" customHeight="1">
      <c r="A67" s="152" t="s">
        <v>1591</v>
      </c>
      <c r="B67" s="153" t="s">
        <v>1592</v>
      </c>
      <c r="C67" s="149" t="s">
        <v>1593</v>
      </c>
      <c r="D67" s="149" t="s">
        <v>685</v>
      </c>
      <c r="E67" s="154">
        <v>21600</v>
      </c>
      <c r="F67" s="155">
        <v>37.369999999999997</v>
      </c>
      <c r="G67" s="156">
        <v>2.0000000000000001E-4</v>
      </c>
      <c r="H67" s="157"/>
      <c r="I67" s="158"/>
      <c r="J67" s="139"/>
    </row>
    <row r="68" spans="1:10" ht="12.95" customHeight="1">
      <c r="A68" s="152" t="s">
        <v>1594</v>
      </c>
      <c r="B68" s="153" t="s">
        <v>1595</v>
      </c>
      <c r="C68" s="149" t="s">
        <v>1596</v>
      </c>
      <c r="D68" s="149" t="s">
        <v>723</v>
      </c>
      <c r="E68" s="154">
        <v>6000</v>
      </c>
      <c r="F68" s="155">
        <v>25.62</v>
      </c>
      <c r="G68" s="156">
        <v>2.0000000000000001E-4</v>
      </c>
      <c r="H68" s="157"/>
      <c r="I68" s="158"/>
      <c r="J68" s="139"/>
    </row>
    <row r="69" spans="1:10" ht="12.95" customHeight="1">
      <c r="A69" s="152" t="s">
        <v>1597</v>
      </c>
      <c r="B69" s="153" t="s">
        <v>1598</v>
      </c>
      <c r="C69" s="149" t="s">
        <v>1599</v>
      </c>
      <c r="D69" s="149" t="s">
        <v>1600</v>
      </c>
      <c r="E69" s="154">
        <v>6200</v>
      </c>
      <c r="F69" s="155">
        <v>17.829999999999998</v>
      </c>
      <c r="G69" s="156">
        <v>1E-4</v>
      </c>
      <c r="H69" s="157"/>
      <c r="I69" s="158"/>
      <c r="J69" s="139"/>
    </row>
    <row r="70" spans="1:10" ht="12.95" customHeight="1">
      <c r="A70" s="139"/>
      <c r="B70" s="148" t="s">
        <v>172</v>
      </c>
      <c r="C70" s="149"/>
      <c r="D70" s="149"/>
      <c r="E70" s="149"/>
      <c r="F70" s="159">
        <v>102098.29</v>
      </c>
      <c r="G70" s="160">
        <v>0.66210000000000002</v>
      </c>
      <c r="H70" s="161"/>
      <c r="I70" s="162"/>
      <c r="J70" s="139"/>
    </row>
    <row r="71" spans="1:10" ht="12.95" customHeight="1">
      <c r="A71" s="139"/>
      <c r="B71" s="163" t="s">
        <v>719</v>
      </c>
      <c r="C71" s="164"/>
      <c r="D71" s="164"/>
      <c r="E71" s="164"/>
      <c r="F71" s="161" t="s">
        <v>204</v>
      </c>
      <c r="G71" s="161" t="s">
        <v>204</v>
      </c>
      <c r="H71" s="161"/>
      <c r="I71" s="162"/>
      <c r="J71" s="139"/>
    </row>
    <row r="72" spans="1:10" ht="12.95" customHeight="1">
      <c r="A72" s="139"/>
      <c r="B72" s="163" t="s">
        <v>172</v>
      </c>
      <c r="C72" s="164"/>
      <c r="D72" s="164"/>
      <c r="E72" s="164"/>
      <c r="F72" s="161" t="s">
        <v>204</v>
      </c>
      <c r="G72" s="161" t="s">
        <v>204</v>
      </c>
      <c r="H72" s="161"/>
      <c r="I72" s="162"/>
      <c r="J72" s="139"/>
    </row>
    <row r="73" spans="1:10" ht="12.95" customHeight="1">
      <c r="A73" s="139"/>
      <c r="B73" s="163" t="s">
        <v>177</v>
      </c>
      <c r="C73" s="165"/>
      <c r="D73" s="164"/>
      <c r="E73" s="165"/>
      <c r="F73" s="159">
        <v>102098.29</v>
      </c>
      <c r="G73" s="160">
        <v>0.66210000000000002</v>
      </c>
      <c r="H73" s="161"/>
      <c r="I73" s="162"/>
      <c r="J73" s="139"/>
    </row>
    <row r="74" spans="1:10" ht="12.95" customHeight="1">
      <c r="A74" s="139"/>
      <c r="B74" s="148" t="s">
        <v>860</v>
      </c>
      <c r="C74" s="149"/>
      <c r="D74" s="149"/>
      <c r="E74" s="149"/>
      <c r="F74" s="149"/>
      <c r="G74" s="149"/>
      <c r="H74" s="150"/>
      <c r="I74" s="151"/>
      <c r="J74" s="139"/>
    </row>
    <row r="75" spans="1:10" ht="12.95" customHeight="1">
      <c r="A75" s="139"/>
      <c r="B75" s="148" t="s">
        <v>1601</v>
      </c>
      <c r="C75" s="149"/>
      <c r="D75" s="149"/>
      <c r="E75" s="149"/>
      <c r="F75" s="139"/>
      <c r="G75" s="150"/>
      <c r="H75" s="150"/>
      <c r="I75" s="151"/>
      <c r="J75" s="139"/>
    </row>
    <row r="76" spans="1:10" ht="12.95" customHeight="1">
      <c r="A76" s="152" t="s">
        <v>1602</v>
      </c>
      <c r="B76" s="153" t="s">
        <v>1603</v>
      </c>
      <c r="C76" s="149"/>
      <c r="D76" s="149"/>
      <c r="E76" s="154">
        <v>-6200</v>
      </c>
      <c r="F76" s="155">
        <v>-17.88</v>
      </c>
      <c r="G76" s="156">
        <v>-1E-4</v>
      </c>
      <c r="H76" s="157"/>
      <c r="I76" s="158"/>
      <c r="J76" s="139"/>
    </row>
    <row r="77" spans="1:10" ht="12.95" customHeight="1">
      <c r="A77" s="152" t="s">
        <v>1604</v>
      </c>
      <c r="B77" s="153" t="s">
        <v>1605</v>
      </c>
      <c r="C77" s="149"/>
      <c r="D77" s="149"/>
      <c r="E77" s="154">
        <v>-6000</v>
      </c>
      <c r="F77" s="155">
        <v>-25.76</v>
      </c>
      <c r="G77" s="156">
        <v>-2.0000000000000001E-4</v>
      </c>
      <c r="H77" s="157"/>
      <c r="I77" s="158"/>
      <c r="J77" s="139"/>
    </row>
    <row r="78" spans="1:10" ht="12.95" customHeight="1">
      <c r="A78" s="152" t="s">
        <v>1606</v>
      </c>
      <c r="B78" s="153" t="s">
        <v>1607</v>
      </c>
      <c r="C78" s="149"/>
      <c r="D78" s="149"/>
      <c r="E78" s="154">
        <v>-21600</v>
      </c>
      <c r="F78" s="155">
        <v>-37.56</v>
      </c>
      <c r="G78" s="156">
        <v>-2.0000000000000001E-4</v>
      </c>
      <c r="H78" s="157"/>
      <c r="I78" s="158"/>
      <c r="J78" s="139"/>
    </row>
    <row r="79" spans="1:10" ht="12.95" customHeight="1">
      <c r="A79" s="152" t="s">
        <v>1608</v>
      </c>
      <c r="B79" s="153" t="s">
        <v>1609</v>
      </c>
      <c r="C79" s="149"/>
      <c r="D79" s="149"/>
      <c r="E79" s="154">
        <v>-1800</v>
      </c>
      <c r="F79" s="155">
        <v>-49.71</v>
      </c>
      <c r="G79" s="156">
        <v>-2.9999999999999997E-4</v>
      </c>
      <c r="H79" s="157"/>
      <c r="I79" s="158"/>
      <c r="J79" s="139"/>
    </row>
    <row r="80" spans="1:10" ht="12.95" customHeight="1">
      <c r="A80" s="152" t="s">
        <v>1610</v>
      </c>
      <c r="B80" s="153" t="s">
        <v>1611</v>
      </c>
      <c r="C80" s="149"/>
      <c r="D80" s="149"/>
      <c r="E80" s="154">
        <v>-9000</v>
      </c>
      <c r="F80" s="155">
        <v>-66.650000000000006</v>
      </c>
      <c r="G80" s="156">
        <v>-4.0000000000000002E-4</v>
      </c>
      <c r="H80" s="157"/>
      <c r="I80" s="158"/>
      <c r="J80" s="139"/>
    </row>
    <row r="81" spans="1:10" ht="12.95" customHeight="1">
      <c r="A81" s="152" t="s">
        <v>1612</v>
      </c>
      <c r="B81" s="153" t="s">
        <v>1613</v>
      </c>
      <c r="C81" s="149"/>
      <c r="D81" s="149"/>
      <c r="E81" s="154">
        <v>-12150</v>
      </c>
      <c r="F81" s="155">
        <v>-72.010000000000005</v>
      </c>
      <c r="G81" s="156">
        <v>-5.0000000000000001E-4</v>
      </c>
      <c r="H81" s="157"/>
      <c r="I81" s="158"/>
      <c r="J81" s="139"/>
    </row>
    <row r="82" spans="1:10" ht="12.95" customHeight="1">
      <c r="A82" s="152" t="s">
        <v>1614</v>
      </c>
      <c r="B82" s="153" t="s">
        <v>1615</v>
      </c>
      <c r="C82" s="149"/>
      <c r="D82" s="149"/>
      <c r="E82" s="154">
        <v>-1000</v>
      </c>
      <c r="F82" s="155">
        <v>-74.180000000000007</v>
      </c>
      <c r="G82" s="156">
        <v>-5.0000000000000001E-4</v>
      </c>
      <c r="H82" s="157"/>
      <c r="I82" s="158"/>
      <c r="J82" s="139"/>
    </row>
    <row r="83" spans="1:10" ht="12.95" customHeight="1">
      <c r="A83" s="152" t="s">
        <v>1616</v>
      </c>
      <c r="B83" s="153" t="s">
        <v>1617</v>
      </c>
      <c r="C83" s="149"/>
      <c r="D83" s="149"/>
      <c r="E83" s="154">
        <v>-4400</v>
      </c>
      <c r="F83" s="155">
        <v>-78.48</v>
      </c>
      <c r="G83" s="156">
        <v>-5.0000000000000001E-4</v>
      </c>
      <c r="H83" s="157"/>
      <c r="I83" s="158"/>
      <c r="J83" s="139"/>
    </row>
    <row r="84" spans="1:10" ht="12.95" customHeight="1">
      <c r="A84" s="152" t="s">
        <v>1618</v>
      </c>
      <c r="B84" s="153" t="s">
        <v>1619</v>
      </c>
      <c r="C84" s="149"/>
      <c r="D84" s="149"/>
      <c r="E84" s="154">
        <v>-1300</v>
      </c>
      <c r="F84" s="155">
        <v>-95.61</v>
      </c>
      <c r="G84" s="156">
        <v>-5.9999999999999995E-4</v>
      </c>
      <c r="H84" s="157"/>
      <c r="I84" s="158"/>
      <c r="J84" s="139"/>
    </row>
    <row r="85" spans="1:10" ht="12.95" customHeight="1">
      <c r="A85" s="152" t="s">
        <v>1620</v>
      </c>
      <c r="B85" s="153" t="s">
        <v>1621</v>
      </c>
      <c r="C85" s="149"/>
      <c r="D85" s="149"/>
      <c r="E85" s="154">
        <v>-10400</v>
      </c>
      <c r="F85" s="155">
        <v>-136</v>
      </c>
      <c r="G85" s="156">
        <v>-8.9999999999999998E-4</v>
      </c>
      <c r="H85" s="157"/>
      <c r="I85" s="158"/>
      <c r="J85" s="139"/>
    </row>
    <row r="86" spans="1:10" ht="12.95" customHeight="1">
      <c r="A86" s="152" t="s">
        <v>1622</v>
      </c>
      <c r="B86" s="153" t="s">
        <v>1623</v>
      </c>
      <c r="C86" s="149"/>
      <c r="D86" s="149"/>
      <c r="E86" s="154">
        <v>-13000</v>
      </c>
      <c r="F86" s="155">
        <v>-191.74</v>
      </c>
      <c r="G86" s="156">
        <v>-1.1999999999999999E-3</v>
      </c>
      <c r="H86" s="157"/>
      <c r="I86" s="158"/>
      <c r="J86" s="139"/>
    </row>
    <row r="87" spans="1:10" ht="12.95" customHeight="1">
      <c r="A87" s="152" t="s">
        <v>1624</v>
      </c>
      <c r="B87" s="153" t="s">
        <v>1625</v>
      </c>
      <c r="C87" s="149"/>
      <c r="D87" s="149"/>
      <c r="E87" s="154">
        <v>-50000</v>
      </c>
      <c r="F87" s="155">
        <v>-195.1</v>
      </c>
      <c r="G87" s="156">
        <v>-1.2999999999999999E-3</v>
      </c>
      <c r="H87" s="157"/>
      <c r="I87" s="158"/>
      <c r="J87" s="139"/>
    </row>
    <row r="88" spans="1:10" ht="12.95" customHeight="1">
      <c r="A88" s="152" t="s">
        <v>1626</v>
      </c>
      <c r="B88" s="153" t="s">
        <v>1627</v>
      </c>
      <c r="C88" s="149"/>
      <c r="D88" s="149"/>
      <c r="E88" s="154">
        <v>-24300</v>
      </c>
      <c r="F88" s="155">
        <v>-198.77</v>
      </c>
      <c r="G88" s="156">
        <v>-1.2999999999999999E-3</v>
      </c>
      <c r="H88" s="157"/>
      <c r="I88" s="158"/>
      <c r="J88" s="139"/>
    </row>
    <row r="89" spans="1:10" ht="12.95" customHeight="1">
      <c r="A89" s="152" t="s">
        <v>1628</v>
      </c>
      <c r="B89" s="153" t="s">
        <v>1629</v>
      </c>
      <c r="C89" s="149"/>
      <c r="D89" s="149"/>
      <c r="E89" s="154">
        <v>-140300</v>
      </c>
      <c r="F89" s="155">
        <v>-224.27</v>
      </c>
      <c r="G89" s="156">
        <v>-1.5E-3</v>
      </c>
      <c r="H89" s="157"/>
      <c r="I89" s="158"/>
      <c r="J89" s="139"/>
    </row>
    <row r="90" spans="1:10" ht="12.95" customHeight="1">
      <c r="A90" s="152" t="s">
        <v>1630</v>
      </c>
      <c r="B90" s="153" t="s">
        <v>1631</v>
      </c>
      <c r="C90" s="149"/>
      <c r="D90" s="149"/>
      <c r="E90" s="154">
        <v>-45375</v>
      </c>
      <c r="F90" s="155">
        <v>-242.92</v>
      </c>
      <c r="G90" s="156">
        <v>-1.6000000000000001E-3</v>
      </c>
      <c r="H90" s="157"/>
      <c r="I90" s="158"/>
      <c r="J90" s="139"/>
    </row>
    <row r="91" spans="1:10" ht="12.95" customHeight="1">
      <c r="A91" s="152" t="s">
        <v>1632</v>
      </c>
      <c r="B91" s="153" t="s">
        <v>1633</v>
      </c>
      <c r="C91" s="149"/>
      <c r="D91" s="149"/>
      <c r="E91" s="154">
        <v>-63000</v>
      </c>
      <c r="F91" s="155">
        <v>-272.88</v>
      </c>
      <c r="G91" s="156">
        <v>-1.8E-3</v>
      </c>
      <c r="H91" s="157"/>
      <c r="I91" s="158"/>
      <c r="J91" s="139"/>
    </row>
    <row r="92" spans="1:10" ht="12.95" customHeight="1">
      <c r="A92" s="152" t="s">
        <v>1634</v>
      </c>
      <c r="B92" s="153" t="s">
        <v>1635</v>
      </c>
      <c r="C92" s="149"/>
      <c r="D92" s="149"/>
      <c r="E92" s="154">
        <v>-194300</v>
      </c>
      <c r="F92" s="155">
        <v>-279.20999999999998</v>
      </c>
      <c r="G92" s="156">
        <v>-1.8E-3</v>
      </c>
      <c r="H92" s="157"/>
      <c r="I92" s="158"/>
      <c r="J92" s="139"/>
    </row>
    <row r="93" spans="1:10" ht="12.95" customHeight="1">
      <c r="A93" s="152" t="s">
        <v>1636</v>
      </c>
      <c r="B93" s="153" t="s">
        <v>1637</v>
      </c>
      <c r="C93" s="149"/>
      <c r="D93" s="149"/>
      <c r="E93" s="154">
        <v>-52500</v>
      </c>
      <c r="F93" s="155">
        <v>-297.64999999999998</v>
      </c>
      <c r="G93" s="156">
        <v>-1.9E-3</v>
      </c>
      <c r="H93" s="157"/>
      <c r="I93" s="158"/>
      <c r="J93" s="139"/>
    </row>
    <row r="94" spans="1:10" ht="12.95" customHeight="1">
      <c r="A94" s="152" t="s">
        <v>1638</v>
      </c>
      <c r="B94" s="153" t="s">
        <v>1639</v>
      </c>
      <c r="C94" s="149"/>
      <c r="D94" s="149"/>
      <c r="E94" s="154">
        <v>-55000</v>
      </c>
      <c r="F94" s="155">
        <v>-341.19</v>
      </c>
      <c r="G94" s="156">
        <v>-2.2000000000000001E-3</v>
      </c>
      <c r="H94" s="157"/>
      <c r="I94" s="158"/>
      <c r="J94" s="139"/>
    </row>
    <row r="95" spans="1:10" ht="12.95" customHeight="1">
      <c r="A95" s="152" t="s">
        <v>1640</v>
      </c>
      <c r="B95" s="153" t="s">
        <v>1641</v>
      </c>
      <c r="C95" s="149"/>
      <c r="D95" s="149"/>
      <c r="E95" s="154">
        <v>-7250</v>
      </c>
      <c r="F95" s="155">
        <v>-355.37</v>
      </c>
      <c r="G95" s="156">
        <v>-2.3E-3</v>
      </c>
      <c r="H95" s="157"/>
      <c r="I95" s="158"/>
      <c r="J95" s="139"/>
    </row>
    <row r="96" spans="1:10" ht="12.95" customHeight="1">
      <c r="A96" s="152" t="s">
        <v>1642</v>
      </c>
      <c r="B96" s="153" t="s">
        <v>1643</v>
      </c>
      <c r="C96" s="149"/>
      <c r="D96" s="149"/>
      <c r="E96" s="154">
        <v>-145600</v>
      </c>
      <c r="F96" s="155">
        <v>-360.07</v>
      </c>
      <c r="G96" s="156">
        <v>-2.3E-3</v>
      </c>
      <c r="H96" s="157"/>
      <c r="I96" s="158"/>
      <c r="J96" s="139"/>
    </row>
    <row r="97" spans="1:10" ht="12.95" customHeight="1">
      <c r="A97" s="152" t="s">
        <v>1644</v>
      </c>
      <c r="B97" s="153" t="s">
        <v>1645</v>
      </c>
      <c r="C97" s="149"/>
      <c r="D97" s="149"/>
      <c r="E97" s="154">
        <v>-21200</v>
      </c>
      <c r="F97" s="155">
        <v>-426.45</v>
      </c>
      <c r="G97" s="156">
        <v>-2.8E-3</v>
      </c>
      <c r="H97" s="157"/>
      <c r="I97" s="158"/>
      <c r="J97" s="139"/>
    </row>
    <row r="98" spans="1:10" ht="12.95" customHeight="1">
      <c r="A98" s="152" t="s">
        <v>1646</v>
      </c>
      <c r="B98" s="153" t="s">
        <v>1647</v>
      </c>
      <c r="C98" s="149"/>
      <c r="D98" s="149"/>
      <c r="E98" s="154">
        <v>-22500</v>
      </c>
      <c r="F98" s="155">
        <v>-487.56</v>
      </c>
      <c r="G98" s="156">
        <v>-3.2000000000000002E-3</v>
      </c>
      <c r="H98" s="157"/>
      <c r="I98" s="158"/>
      <c r="J98" s="139"/>
    </row>
    <row r="99" spans="1:10" ht="12.95" customHeight="1">
      <c r="A99" s="152" t="s">
        <v>1648</v>
      </c>
      <c r="B99" s="153" t="s">
        <v>1649</v>
      </c>
      <c r="C99" s="149"/>
      <c r="D99" s="149"/>
      <c r="E99" s="154">
        <v>-310500</v>
      </c>
      <c r="F99" s="155">
        <v>-495.71</v>
      </c>
      <c r="G99" s="156">
        <v>-3.2000000000000002E-3</v>
      </c>
      <c r="H99" s="157"/>
      <c r="I99" s="158"/>
      <c r="J99" s="139"/>
    </row>
    <row r="100" spans="1:10" ht="12.95" customHeight="1">
      <c r="A100" s="152" t="s">
        <v>1650</v>
      </c>
      <c r="B100" s="153" t="s">
        <v>1651</v>
      </c>
      <c r="C100" s="149"/>
      <c r="D100" s="149"/>
      <c r="E100" s="154">
        <v>-39100</v>
      </c>
      <c r="F100" s="155">
        <v>-505.56</v>
      </c>
      <c r="G100" s="156">
        <v>-3.3E-3</v>
      </c>
      <c r="H100" s="157"/>
      <c r="I100" s="158"/>
      <c r="J100" s="139"/>
    </row>
    <row r="101" spans="1:10" ht="12.95" customHeight="1">
      <c r="A101" s="152" t="s">
        <v>1652</v>
      </c>
      <c r="B101" s="153" t="s">
        <v>1653</v>
      </c>
      <c r="C101" s="149"/>
      <c r="D101" s="149"/>
      <c r="E101" s="154">
        <v>-494000</v>
      </c>
      <c r="F101" s="155">
        <v>-564.4</v>
      </c>
      <c r="G101" s="156">
        <v>-3.7000000000000002E-3</v>
      </c>
      <c r="H101" s="157"/>
      <c r="I101" s="158"/>
      <c r="J101" s="139"/>
    </row>
    <row r="102" spans="1:10" ht="12.95" customHeight="1">
      <c r="A102" s="152" t="s">
        <v>1654</v>
      </c>
      <c r="B102" s="153" t="s">
        <v>1655</v>
      </c>
      <c r="C102" s="149"/>
      <c r="D102" s="149"/>
      <c r="E102" s="154">
        <v>-171000</v>
      </c>
      <c r="F102" s="155">
        <v>-571.4</v>
      </c>
      <c r="G102" s="156">
        <v>-3.7000000000000002E-3</v>
      </c>
      <c r="H102" s="157"/>
      <c r="I102" s="158"/>
      <c r="J102" s="139"/>
    </row>
    <row r="103" spans="1:10" ht="12.95" customHeight="1">
      <c r="A103" s="152" t="s">
        <v>1656</v>
      </c>
      <c r="B103" s="153" t="s">
        <v>1657</v>
      </c>
      <c r="C103" s="149"/>
      <c r="D103" s="149"/>
      <c r="E103" s="154">
        <v>-48000</v>
      </c>
      <c r="F103" s="155">
        <v>-666.14</v>
      </c>
      <c r="G103" s="156">
        <v>-4.3E-3</v>
      </c>
      <c r="H103" s="157"/>
      <c r="I103" s="158"/>
      <c r="J103" s="139"/>
    </row>
    <row r="104" spans="1:10" ht="12.95" customHeight="1">
      <c r="A104" s="152" t="s">
        <v>1658</v>
      </c>
      <c r="B104" s="153" t="s">
        <v>1659</v>
      </c>
      <c r="C104" s="149"/>
      <c r="D104" s="149"/>
      <c r="E104" s="154">
        <v>-85400</v>
      </c>
      <c r="F104" s="155">
        <v>-687.38</v>
      </c>
      <c r="G104" s="156">
        <v>-4.4999999999999997E-3</v>
      </c>
      <c r="H104" s="157"/>
      <c r="I104" s="158"/>
      <c r="J104" s="139"/>
    </row>
    <row r="105" spans="1:10" ht="12.95" customHeight="1">
      <c r="A105" s="152" t="s">
        <v>1660</v>
      </c>
      <c r="B105" s="153" t="s">
        <v>1661</v>
      </c>
      <c r="C105" s="149"/>
      <c r="D105" s="149"/>
      <c r="E105" s="154">
        <v>-177000</v>
      </c>
      <c r="F105" s="155">
        <v>-712.16</v>
      </c>
      <c r="G105" s="156">
        <v>-4.5999999999999999E-3</v>
      </c>
      <c r="H105" s="157"/>
      <c r="I105" s="158"/>
      <c r="J105" s="139"/>
    </row>
    <row r="106" spans="1:10" ht="12.95" customHeight="1">
      <c r="A106" s="152" t="s">
        <v>1662</v>
      </c>
      <c r="B106" s="153" t="s">
        <v>1663</v>
      </c>
      <c r="C106" s="149"/>
      <c r="D106" s="149"/>
      <c r="E106" s="154">
        <v>-101250</v>
      </c>
      <c r="F106" s="155">
        <v>-749.2</v>
      </c>
      <c r="G106" s="156">
        <v>-4.8999999999999998E-3</v>
      </c>
      <c r="H106" s="157"/>
      <c r="I106" s="158"/>
      <c r="J106" s="139"/>
    </row>
    <row r="107" spans="1:10" ht="12.95" customHeight="1">
      <c r="A107" s="152" t="s">
        <v>1664</v>
      </c>
      <c r="B107" s="153" t="s">
        <v>1665</v>
      </c>
      <c r="C107" s="149"/>
      <c r="D107" s="149"/>
      <c r="E107" s="154">
        <v>-30300</v>
      </c>
      <c r="F107" s="155">
        <v>-816.72</v>
      </c>
      <c r="G107" s="156">
        <v>-5.3E-3</v>
      </c>
      <c r="H107" s="157"/>
      <c r="I107" s="158"/>
      <c r="J107" s="139"/>
    </row>
    <row r="108" spans="1:10" ht="12.95" customHeight="1">
      <c r="A108" s="152" t="s">
        <v>1666</v>
      </c>
      <c r="B108" s="153" t="s">
        <v>1667</v>
      </c>
      <c r="C108" s="149"/>
      <c r="D108" s="149"/>
      <c r="E108" s="154">
        <v>-18400</v>
      </c>
      <c r="F108" s="155">
        <v>-885.55</v>
      </c>
      <c r="G108" s="156">
        <v>-5.7000000000000002E-3</v>
      </c>
      <c r="H108" s="157"/>
      <c r="I108" s="158"/>
      <c r="J108" s="139"/>
    </row>
    <row r="109" spans="1:10" ht="12.95" customHeight="1">
      <c r="A109" s="152" t="s">
        <v>1668</v>
      </c>
      <c r="B109" s="153" t="s">
        <v>1669</v>
      </c>
      <c r="C109" s="149"/>
      <c r="D109" s="149"/>
      <c r="E109" s="154">
        <v>-504000</v>
      </c>
      <c r="F109" s="155">
        <v>-938.2</v>
      </c>
      <c r="G109" s="156">
        <v>-6.1000000000000004E-3</v>
      </c>
      <c r="H109" s="157"/>
      <c r="I109" s="158"/>
      <c r="J109" s="139"/>
    </row>
    <row r="110" spans="1:10" ht="12.95" customHeight="1">
      <c r="A110" s="152" t="s">
        <v>1670</v>
      </c>
      <c r="B110" s="153" t="s">
        <v>1671</v>
      </c>
      <c r="C110" s="149"/>
      <c r="D110" s="149"/>
      <c r="E110" s="154">
        <v>-68000</v>
      </c>
      <c r="F110" s="155">
        <v>-939.01</v>
      </c>
      <c r="G110" s="156">
        <v>-6.1000000000000004E-3</v>
      </c>
      <c r="H110" s="157"/>
      <c r="I110" s="158"/>
      <c r="J110" s="139"/>
    </row>
    <row r="111" spans="1:10" ht="12.95" customHeight="1">
      <c r="A111" s="152" t="s">
        <v>1672</v>
      </c>
      <c r="B111" s="153" t="s">
        <v>1673</v>
      </c>
      <c r="C111" s="149"/>
      <c r="D111" s="149"/>
      <c r="E111" s="154">
        <v>-61200</v>
      </c>
      <c r="F111" s="155">
        <v>-1019.93</v>
      </c>
      <c r="G111" s="156">
        <v>-6.6E-3</v>
      </c>
      <c r="H111" s="157"/>
      <c r="I111" s="158"/>
      <c r="J111" s="139"/>
    </row>
    <row r="112" spans="1:10" ht="12.95" customHeight="1">
      <c r="A112" s="152" t="s">
        <v>1674</v>
      </c>
      <c r="B112" s="153" t="s">
        <v>1675</v>
      </c>
      <c r="C112" s="149"/>
      <c r="D112" s="149"/>
      <c r="E112" s="154">
        <v>-177375</v>
      </c>
      <c r="F112" s="155">
        <v>-1249.07</v>
      </c>
      <c r="G112" s="156">
        <v>-8.0999999999999996E-3</v>
      </c>
      <c r="H112" s="157"/>
      <c r="I112" s="158"/>
      <c r="J112" s="139"/>
    </row>
    <row r="113" spans="1:10" ht="12.95" customHeight="1">
      <c r="A113" s="152" t="s">
        <v>1676</v>
      </c>
      <c r="B113" s="153" t="s">
        <v>1677</v>
      </c>
      <c r="C113" s="149"/>
      <c r="D113" s="149"/>
      <c r="E113" s="154">
        <v>-38400</v>
      </c>
      <c r="F113" s="155">
        <v>-1249.69</v>
      </c>
      <c r="G113" s="156">
        <v>-8.0999999999999996E-3</v>
      </c>
      <c r="H113" s="157"/>
      <c r="I113" s="158"/>
      <c r="J113" s="139"/>
    </row>
    <row r="114" spans="1:10" ht="12.95" customHeight="1">
      <c r="A114" s="152" t="s">
        <v>1678</v>
      </c>
      <c r="B114" s="153" t="s">
        <v>1679</v>
      </c>
      <c r="C114" s="149"/>
      <c r="D114" s="149"/>
      <c r="E114" s="154">
        <v>-18250</v>
      </c>
      <c r="F114" s="155">
        <v>-1402.92</v>
      </c>
      <c r="G114" s="156">
        <v>-9.1000000000000004E-3</v>
      </c>
      <c r="H114" s="157"/>
      <c r="I114" s="158"/>
      <c r="J114" s="139"/>
    </row>
    <row r="115" spans="1:10" ht="12.95" customHeight="1">
      <c r="A115" s="152" t="s">
        <v>1680</v>
      </c>
      <c r="B115" s="153" t="s">
        <v>1681</v>
      </c>
      <c r="C115" s="149"/>
      <c r="D115" s="149"/>
      <c r="E115" s="154">
        <v>-39600</v>
      </c>
      <c r="F115" s="155">
        <v>-1494.29</v>
      </c>
      <c r="G115" s="156">
        <v>-9.7000000000000003E-3</v>
      </c>
      <c r="H115" s="157"/>
      <c r="I115" s="158"/>
      <c r="J115" s="139"/>
    </row>
    <row r="116" spans="1:10" ht="12.95" customHeight="1">
      <c r="A116" s="152" t="s">
        <v>1682</v>
      </c>
      <c r="B116" s="153" t="s">
        <v>1683</v>
      </c>
      <c r="C116" s="149"/>
      <c r="D116" s="149"/>
      <c r="E116" s="154">
        <v>-94750</v>
      </c>
      <c r="F116" s="155">
        <v>-2388.2199999999998</v>
      </c>
      <c r="G116" s="156">
        <v>-1.55E-2</v>
      </c>
      <c r="H116" s="157"/>
      <c r="I116" s="158"/>
      <c r="J116" s="139"/>
    </row>
    <row r="117" spans="1:10" ht="12.95" customHeight="1">
      <c r="A117" s="152" t="s">
        <v>1684</v>
      </c>
      <c r="B117" s="153" t="s">
        <v>1685</v>
      </c>
      <c r="C117" s="149"/>
      <c r="D117" s="149"/>
      <c r="E117" s="154">
        <v>-50000</v>
      </c>
      <c r="F117" s="155">
        <v>-8811.58</v>
      </c>
      <c r="G117" s="156">
        <v>-5.7099999999999998E-2</v>
      </c>
      <c r="H117" s="157"/>
      <c r="I117" s="158"/>
      <c r="J117" s="139"/>
    </row>
    <row r="118" spans="1:10" ht="12.95" customHeight="1">
      <c r="A118" s="139"/>
      <c r="B118" s="148" t="s">
        <v>172</v>
      </c>
      <c r="C118" s="149"/>
      <c r="D118" s="149"/>
      <c r="E118" s="149"/>
      <c r="F118" s="159">
        <v>-30674.15</v>
      </c>
      <c r="G118" s="160">
        <v>-0.19900000000000001</v>
      </c>
      <c r="H118" s="161"/>
      <c r="I118" s="162"/>
      <c r="J118" s="139"/>
    </row>
    <row r="119" spans="1:10" ht="12.95" customHeight="1">
      <c r="A119" s="139"/>
      <c r="B119" s="148" t="s">
        <v>861</v>
      </c>
      <c r="C119" s="149"/>
      <c r="D119" s="149"/>
      <c r="E119" s="149"/>
      <c r="F119" s="139"/>
      <c r="G119" s="150"/>
      <c r="H119" s="150"/>
      <c r="I119" s="151"/>
      <c r="J119" s="139"/>
    </row>
    <row r="120" spans="1:10" ht="12.95" customHeight="1">
      <c r="A120" s="152" t="s">
        <v>1686</v>
      </c>
      <c r="B120" s="153" t="s">
        <v>1687</v>
      </c>
      <c r="C120" s="149"/>
      <c r="D120" s="149"/>
      <c r="E120" s="154">
        <v>94650</v>
      </c>
      <c r="F120" s="155">
        <v>94.08</v>
      </c>
      <c r="G120" s="156">
        <v>5.9999999999999995E-4</v>
      </c>
      <c r="H120" s="157"/>
      <c r="I120" s="158"/>
      <c r="J120" s="139"/>
    </row>
    <row r="121" spans="1:10" ht="12.95" customHeight="1">
      <c r="A121" s="139"/>
      <c r="B121" s="148" t="s">
        <v>172</v>
      </c>
      <c r="C121" s="149"/>
      <c r="D121" s="149"/>
      <c r="E121" s="149"/>
      <c r="F121" s="159">
        <v>94.08</v>
      </c>
      <c r="G121" s="160">
        <v>5.9999999999999995E-4</v>
      </c>
      <c r="H121" s="161"/>
      <c r="I121" s="162"/>
      <c r="J121" s="139"/>
    </row>
    <row r="122" spans="1:10" ht="12.95" customHeight="1">
      <c r="A122" s="139"/>
      <c r="B122" s="163" t="s">
        <v>177</v>
      </c>
      <c r="C122" s="165"/>
      <c r="D122" s="164"/>
      <c r="E122" s="165"/>
      <c r="F122" s="159">
        <v>-30580.07</v>
      </c>
      <c r="G122" s="160">
        <v>-0.19839999999999999</v>
      </c>
      <c r="H122" s="161"/>
      <c r="I122" s="162"/>
      <c r="J122" s="139"/>
    </row>
    <row r="123" spans="1:10" ht="12.95" customHeight="1">
      <c r="A123" s="139"/>
      <c r="B123" s="148" t="s">
        <v>127</v>
      </c>
      <c r="C123" s="149"/>
      <c r="D123" s="149"/>
      <c r="E123" s="149"/>
      <c r="F123" s="149"/>
      <c r="G123" s="149"/>
      <c r="H123" s="150"/>
      <c r="I123" s="151"/>
      <c r="J123" s="139"/>
    </row>
    <row r="124" spans="1:10" ht="12.95" customHeight="1">
      <c r="A124" s="139"/>
      <c r="B124" s="148" t="s">
        <v>128</v>
      </c>
      <c r="C124" s="149"/>
      <c r="D124" s="149"/>
      <c r="E124" s="149"/>
      <c r="F124" s="139"/>
      <c r="G124" s="150"/>
      <c r="H124" s="150"/>
      <c r="I124" s="151"/>
      <c r="J124" s="139"/>
    </row>
    <row r="125" spans="1:10" ht="12.95" customHeight="1">
      <c r="A125" s="152" t="s">
        <v>1412</v>
      </c>
      <c r="B125" s="153" t="s">
        <v>1413</v>
      </c>
      <c r="C125" s="149" t="s">
        <v>1414</v>
      </c>
      <c r="D125" s="149" t="s">
        <v>132</v>
      </c>
      <c r="E125" s="154">
        <v>350</v>
      </c>
      <c r="F125" s="155">
        <v>3663.65</v>
      </c>
      <c r="G125" s="156">
        <v>2.3800000000000002E-2</v>
      </c>
      <c r="H125" s="166">
        <v>6.9449999999999998E-2</v>
      </c>
      <c r="I125" s="158"/>
      <c r="J125" s="139"/>
    </row>
    <row r="126" spans="1:10" ht="12.95" customHeight="1">
      <c r="A126" s="152" t="s">
        <v>1430</v>
      </c>
      <c r="B126" s="153" t="s">
        <v>1431</v>
      </c>
      <c r="C126" s="149" t="s">
        <v>1432</v>
      </c>
      <c r="D126" s="149" t="s">
        <v>132</v>
      </c>
      <c r="E126" s="154">
        <v>250</v>
      </c>
      <c r="F126" s="155">
        <v>2745.99</v>
      </c>
      <c r="G126" s="156">
        <v>1.78E-2</v>
      </c>
      <c r="H126" s="166">
        <v>6.5500000000000003E-2</v>
      </c>
      <c r="I126" s="158"/>
      <c r="J126" s="139"/>
    </row>
    <row r="127" spans="1:10" ht="12.95" customHeight="1">
      <c r="A127" s="152" t="s">
        <v>1688</v>
      </c>
      <c r="B127" s="153" t="s">
        <v>1689</v>
      </c>
      <c r="C127" s="149" t="s">
        <v>1690</v>
      </c>
      <c r="D127" s="149" t="s">
        <v>132</v>
      </c>
      <c r="E127" s="154">
        <v>250</v>
      </c>
      <c r="F127" s="155">
        <v>2642.92</v>
      </c>
      <c r="G127" s="156">
        <v>1.7100000000000001E-2</v>
      </c>
      <c r="H127" s="166">
        <v>6.9449999999999998E-2</v>
      </c>
      <c r="I127" s="158"/>
      <c r="J127" s="139"/>
    </row>
    <row r="128" spans="1:10" ht="12.95" customHeight="1">
      <c r="A128" s="152" t="s">
        <v>1448</v>
      </c>
      <c r="B128" s="153" t="s">
        <v>1449</v>
      </c>
      <c r="C128" s="149" t="s">
        <v>1450</v>
      </c>
      <c r="D128" s="149" t="s">
        <v>171</v>
      </c>
      <c r="E128" s="154">
        <v>250</v>
      </c>
      <c r="F128" s="155">
        <v>2557.23</v>
      </c>
      <c r="G128" s="156">
        <v>1.66E-2</v>
      </c>
      <c r="H128" s="166">
        <v>6.7499000000000003E-2</v>
      </c>
      <c r="I128" s="158"/>
      <c r="J128" s="139"/>
    </row>
    <row r="129" spans="1:10" ht="12.95" customHeight="1">
      <c r="A129" s="152" t="s">
        <v>1172</v>
      </c>
      <c r="B129" s="153" t="s">
        <v>1173</v>
      </c>
      <c r="C129" s="149" t="s">
        <v>1174</v>
      </c>
      <c r="D129" s="149" t="s">
        <v>132</v>
      </c>
      <c r="E129" s="154">
        <v>250</v>
      </c>
      <c r="F129" s="155">
        <v>2553.88</v>
      </c>
      <c r="G129" s="156">
        <v>1.66E-2</v>
      </c>
      <c r="H129" s="166">
        <v>6.1800000000000001E-2</v>
      </c>
      <c r="I129" s="158"/>
      <c r="J129" s="139"/>
    </row>
    <row r="130" spans="1:10" ht="12.95" customHeight="1">
      <c r="A130" s="152" t="s">
        <v>1468</v>
      </c>
      <c r="B130" s="153" t="s">
        <v>1469</v>
      </c>
      <c r="C130" s="149" t="s">
        <v>1470</v>
      </c>
      <c r="D130" s="149" t="s">
        <v>132</v>
      </c>
      <c r="E130" s="154">
        <v>200</v>
      </c>
      <c r="F130" s="155">
        <v>2200.08</v>
      </c>
      <c r="G130" s="156">
        <v>1.43E-2</v>
      </c>
      <c r="H130" s="166">
        <v>6.7100000000000007E-2</v>
      </c>
      <c r="I130" s="158"/>
      <c r="J130" s="139"/>
    </row>
    <row r="131" spans="1:10" ht="12.95" customHeight="1">
      <c r="A131" s="152" t="s">
        <v>1373</v>
      </c>
      <c r="B131" s="153" t="s">
        <v>1374</v>
      </c>
      <c r="C131" s="149" t="s">
        <v>1375</v>
      </c>
      <c r="D131" s="149" t="s">
        <v>132</v>
      </c>
      <c r="E131" s="154">
        <v>200</v>
      </c>
      <c r="F131" s="155">
        <v>2101.41</v>
      </c>
      <c r="G131" s="156">
        <v>1.3599999999999999E-2</v>
      </c>
      <c r="H131" s="166">
        <v>6.9449999999999998E-2</v>
      </c>
      <c r="I131" s="158"/>
      <c r="J131" s="139"/>
    </row>
    <row r="132" spans="1:10" ht="12.95" customHeight="1">
      <c r="A132" s="152" t="s">
        <v>1054</v>
      </c>
      <c r="B132" s="153" t="s">
        <v>1055</v>
      </c>
      <c r="C132" s="149" t="s">
        <v>1056</v>
      </c>
      <c r="D132" s="149" t="s">
        <v>161</v>
      </c>
      <c r="E132" s="154">
        <v>150</v>
      </c>
      <c r="F132" s="155">
        <v>1516.34</v>
      </c>
      <c r="G132" s="156">
        <v>9.7999999999999997E-3</v>
      </c>
      <c r="H132" s="166">
        <v>6.93E-2</v>
      </c>
      <c r="I132" s="158"/>
      <c r="J132" s="139"/>
    </row>
    <row r="133" spans="1:10" ht="12.95" customHeight="1">
      <c r="A133" s="152" t="s">
        <v>1442</v>
      </c>
      <c r="B133" s="153" t="s">
        <v>1443</v>
      </c>
      <c r="C133" s="149" t="s">
        <v>1444</v>
      </c>
      <c r="D133" s="149" t="s">
        <v>132</v>
      </c>
      <c r="E133" s="154">
        <v>100</v>
      </c>
      <c r="F133" s="155">
        <v>1061.02</v>
      </c>
      <c r="G133" s="156">
        <v>6.8999999999999999E-3</v>
      </c>
      <c r="H133" s="166">
        <v>6.5549999999999997E-2</v>
      </c>
      <c r="I133" s="158"/>
      <c r="J133" s="139"/>
    </row>
    <row r="134" spans="1:10" ht="12.95" customHeight="1">
      <c r="A134" s="152" t="s">
        <v>1691</v>
      </c>
      <c r="B134" s="153" t="s">
        <v>1692</v>
      </c>
      <c r="C134" s="149" t="s">
        <v>1693</v>
      </c>
      <c r="D134" s="149" t="s">
        <v>1694</v>
      </c>
      <c r="E134" s="154">
        <v>100</v>
      </c>
      <c r="F134" s="155">
        <v>999.27</v>
      </c>
      <c r="G134" s="156">
        <v>6.4999999999999997E-3</v>
      </c>
      <c r="H134" s="166">
        <v>9.3905000000000002E-2</v>
      </c>
      <c r="I134" s="158"/>
      <c r="J134" s="139"/>
    </row>
    <row r="135" spans="1:10" ht="12.95" customHeight="1">
      <c r="A135" s="152" t="s">
        <v>1516</v>
      </c>
      <c r="B135" s="153" t="s">
        <v>1517</v>
      </c>
      <c r="C135" s="149" t="s">
        <v>1518</v>
      </c>
      <c r="D135" s="149" t="s">
        <v>132</v>
      </c>
      <c r="E135" s="154">
        <v>70</v>
      </c>
      <c r="F135" s="155">
        <v>719.7</v>
      </c>
      <c r="G135" s="156">
        <v>4.7000000000000002E-3</v>
      </c>
      <c r="H135" s="166">
        <v>6.9449999999999998E-2</v>
      </c>
      <c r="I135" s="158"/>
      <c r="J135" s="139"/>
    </row>
    <row r="136" spans="1:10" ht="12.95" customHeight="1">
      <c r="A136" s="152" t="s">
        <v>1695</v>
      </c>
      <c r="B136" s="153" t="s">
        <v>1696</v>
      </c>
      <c r="C136" s="149" t="s">
        <v>1697</v>
      </c>
      <c r="D136" s="149" t="s">
        <v>132</v>
      </c>
      <c r="E136" s="154">
        <v>50</v>
      </c>
      <c r="F136" s="155">
        <v>555.33000000000004</v>
      </c>
      <c r="G136" s="156">
        <v>3.5999999999999999E-3</v>
      </c>
      <c r="H136" s="166">
        <v>6.4750000000000002E-2</v>
      </c>
      <c r="I136" s="158"/>
      <c r="J136" s="139"/>
    </row>
    <row r="137" spans="1:10" ht="12.95" customHeight="1">
      <c r="A137" s="152" t="s">
        <v>1698</v>
      </c>
      <c r="B137" s="153" t="s">
        <v>1699</v>
      </c>
      <c r="C137" s="149" t="s">
        <v>1700</v>
      </c>
      <c r="D137" s="149" t="s">
        <v>171</v>
      </c>
      <c r="E137" s="154">
        <v>250</v>
      </c>
      <c r="F137" s="155">
        <v>532.69000000000005</v>
      </c>
      <c r="G137" s="156">
        <v>3.5000000000000001E-3</v>
      </c>
      <c r="H137" s="166">
        <v>5.6349999999999997E-2</v>
      </c>
      <c r="I137" s="158"/>
      <c r="J137" s="139"/>
    </row>
    <row r="138" spans="1:10" ht="12.95" customHeight="1">
      <c r="A138" s="152" t="s">
        <v>1701</v>
      </c>
      <c r="B138" s="153" t="s">
        <v>1702</v>
      </c>
      <c r="C138" s="149" t="s">
        <v>1703</v>
      </c>
      <c r="D138" s="149" t="s">
        <v>1704</v>
      </c>
      <c r="E138" s="154">
        <v>50</v>
      </c>
      <c r="F138" s="155">
        <v>520.98</v>
      </c>
      <c r="G138" s="156">
        <v>3.3999999999999998E-3</v>
      </c>
      <c r="H138" s="166">
        <v>8.5046499999999997E-2</v>
      </c>
      <c r="I138" s="167">
        <v>6.4587193000000001E-2</v>
      </c>
      <c r="J138" s="139"/>
    </row>
    <row r="139" spans="1:10" ht="12.95" customHeight="1">
      <c r="A139" s="152" t="s">
        <v>1705</v>
      </c>
      <c r="B139" s="153" t="s">
        <v>1706</v>
      </c>
      <c r="C139" s="149" t="s">
        <v>1707</v>
      </c>
      <c r="D139" s="149" t="s">
        <v>132</v>
      </c>
      <c r="E139" s="154">
        <v>30</v>
      </c>
      <c r="F139" s="155">
        <v>317.33</v>
      </c>
      <c r="G139" s="156">
        <v>2.0999999999999999E-3</v>
      </c>
      <c r="H139" s="166">
        <v>6.8900000000000003E-2</v>
      </c>
      <c r="I139" s="167"/>
      <c r="J139" s="139"/>
    </row>
    <row r="140" spans="1:10" ht="12.95" customHeight="1">
      <c r="A140" s="152" t="s">
        <v>1708</v>
      </c>
      <c r="B140" s="153" t="s">
        <v>1709</v>
      </c>
      <c r="C140" s="149" t="s">
        <v>1710</v>
      </c>
      <c r="D140" s="149" t="s">
        <v>1711</v>
      </c>
      <c r="E140" s="154">
        <v>10</v>
      </c>
      <c r="F140" s="155">
        <v>107.65</v>
      </c>
      <c r="G140" s="156">
        <v>6.9999999999999999E-4</v>
      </c>
      <c r="H140" s="166">
        <v>5.3449999999999998E-2</v>
      </c>
      <c r="I140" s="167"/>
      <c r="J140" s="139"/>
    </row>
    <row r="141" spans="1:10" ht="12.95" customHeight="1">
      <c r="A141" s="139"/>
      <c r="B141" s="148" t="s">
        <v>172</v>
      </c>
      <c r="C141" s="149"/>
      <c r="D141" s="149"/>
      <c r="E141" s="149"/>
      <c r="F141" s="159">
        <v>24795.47</v>
      </c>
      <c r="G141" s="160">
        <v>0.161</v>
      </c>
      <c r="H141" s="161"/>
      <c r="I141" s="162"/>
      <c r="J141" s="139"/>
    </row>
    <row r="142" spans="1:10" ht="12.95" customHeight="1">
      <c r="A142" s="139"/>
      <c r="B142" s="163" t="s">
        <v>173</v>
      </c>
      <c r="C142" s="164"/>
      <c r="D142" s="164"/>
      <c r="E142" s="164"/>
      <c r="F142" s="161" t="s">
        <v>204</v>
      </c>
      <c r="G142" s="161" t="s">
        <v>204</v>
      </c>
      <c r="H142" s="161"/>
      <c r="I142" s="162"/>
      <c r="J142" s="139"/>
    </row>
    <row r="143" spans="1:10" ht="12.95" customHeight="1">
      <c r="A143" s="139"/>
      <c r="B143" s="163" t="s">
        <v>172</v>
      </c>
      <c r="C143" s="164"/>
      <c r="D143" s="164"/>
      <c r="E143" s="164"/>
      <c r="F143" s="161" t="s">
        <v>204</v>
      </c>
      <c r="G143" s="161" t="s">
        <v>204</v>
      </c>
      <c r="H143" s="161"/>
      <c r="I143" s="162"/>
      <c r="J143" s="139"/>
    </row>
    <row r="144" spans="1:10" ht="12.95" customHeight="1">
      <c r="A144" s="139"/>
      <c r="B144" s="163" t="s">
        <v>177</v>
      </c>
      <c r="C144" s="165"/>
      <c r="D144" s="164"/>
      <c r="E144" s="165"/>
      <c r="F144" s="159">
        <v>24795.47</v>
      </c>
      <c r="G144" s="160">
        <v>0.161</v>
      </c>
      <c r="H144" s="161"/>
      <c r="I144" s="162"/>
      <c r="J144" s="139"/>
    </row>
    <row r="145" spans="1:10" ht="12.95" customHeight="1">
      <c r="A145" s="139"/>
      <c r="B145" s="148" t="s">
        <v>219</v>
      </c>
      <c r="C145" s="149"/>
      <c r="D145" s="149"/>
      <c r="E145" s="149"/>
      <c r="F145" s="149"/>
      <c r="G145" s="149"/>
      <c r="H145" s="150"/>
      <c r="I145" s="151"/>
      <c r="J145" s="139"/>
    </row>
    <row r="146" spans="1:10" ht="12.95" customHeight="1">
      <c r="A146" s="139"/>
      <c r="B146" s="148" t="s">
        <v>1106</v>
      </c>
      <c r="C146" s="149"/>
      <c r="D146" s="168" t="s">
        <v>1107</v>
      </c>
      <c r="E146" s="149"/>
      <c r="F146" s="139"/>
      <c r="G146" s="150"/>
      <c r="H146" s="150"/>
      <c r="I146" s="151"/>
      <c r="J146" s="139"/>
    </row>
    <row r="147" spans="1:10" ht="12.95" customHeight="1">
      <c r="A147" s="152" t="s">
        <v>1712</v>
      </c>
      <c r="B147" s="153" t="s">
        <v>1713</v>
      </c>
      <c r="C147" s="149"/>
      <c r="D147" s="169" t="s">
        <v>1714</v>
      </c>
      <c r="E147" s="170"/>
      <c r="F147" s="155">
        <v>3457</v>
      </c>
      <c r="G147" s="156">
        <v>2.24E-2</v>
      </c>
      <c r="H147" s="166">
        <v>2.9755434779999999E-2</v>
      </c>
      <c r="I147" s="167"/>
      <c r="J147" s="139"/>
    </row>
    <row r="148" spans="1:10" ht="12.95" customHeight="1">
      <c r="A148" s="152" t="s">
        <v>1715</v>
      </c>
      <c r="B148" s="153" t="s">
        <v>1716</v>
      </c>
      <c r="C148" s="149"/>
      <c r="D148" s="169" t="s">
        <v>1717</v>
      </c>
      <c r="E148" s="170"/>
      <c r="F148" s="155">
        <v>2475</v>
      </c>
      <c r="G148" s="156">
        <v>1.6E-2</v>
      </c>
      <c r="H148" s="166">
        <v>3.053534598E-2</v>
      </c>
      <c r="I148" s="167"/>
      <c r="J148" s="139"/>
    </row>
    <row r="149" spans="1:10" ht="12.95" customHeight="1">
      <c r="A149" s="152" t="s">
        <v>1718</v>
      </c>
      <c r="B149" s="153" t="s">
        <v>1719</v>
      </c>
      <c r="C149" s="149"/>
      <c r="D149" s="169" t="s">
        <v>1714</v>
      </c>
      <c r="E149" s="170"/>
      <c r="F149" s="155">
        <v>982</v>
      </c>
      <c r="G149" s="156">
        <v>6.4000000000000003E-3</v>
      </c>
      <c r="H149" s="166">
        <v>2.9755434779999999E-2</v>
      </c>
      <c r="I149" s="167"/>
      <c r="J149" s="139"/>
    </row>
    <row r="150" spans="1:10" ht="12.95" customHeight="1">
      <c r="A150" s="152" t="s">
        <v>1720</v>
      </c>
      <c r="B150" s="153" t="s">
        <v>1721</v>
      </c>
      <c r="C150" s="149"/>
      <c r="D150" s="169" t="s">
        <v>1722</v>
      </c>
      <c r="E150" s="170"/>
      <c r="F150" s="155">
        <v>491</v>
      </c>
      <c r="G150" s="156">
        <v>3.2000000000000002E-3</v>
      </c>
      <c r="H150" s="166">
        <v>2.9755434779999999E-2</v>
      </c>
      <c r="I150" s="167"/>
      <c r="J150" s="139"/>
    </row>
    <row r="151" spans="1:10" ht="12.95" customHeight="1">
      <c r="A151" s="139"/>
      <c r="B151" s="148" t="s">
        <v>172</v>
      </c>
      <c r="C151" s="149"/>
      <c r="D151" s="149"/>
      <c r="E151" s="149"/>
      <c r="F151" s="159">
        <v>7405</v>
      </c>
      <c r="G151" s="160">
        <v>4.8000000000000001E-2</v>
      </c>
      <c r="H151" s="161"/>
      <c r="I151" s="162"/>
      <c r="J151" s="139"/>
    </row>
    <row r="152" spans="1:10" ht="12.95" customHeight="1">
      <c r="A152" s="139"/>
      <c r="B152" s="163" t="s">
        <v>177</v>
      </c>
      <c r="C152" s="165"/>
      <c r="D152" s="164"/>
      <c r="E152" s="165"/>
      <c r="F152" s="159">
        <v>7405</v>
      </c>
      <c r="G152" s="160">
        <v>4.8000000000000001E-2</v>
      </c>
      <c r="H152" s="161"/>
      <c r="I152" s="162"/>
      <c r="J152" s="139"/>
    </row>
    <row r="153" spans="1:10" ht="12.95" customHeight="1">
      <c r="A153" s="139"/>
      <c r="B153" s="148" t="s">
        <v>178</v>
      </c>
      <c r="C153" s="149"/>
      <c r="D153" s="149"/>
      <c r="E153" s="149"/>
      <c r="F153" s="149"/>
      <c r="G153" s="149"/>
      <c r="H153" s="150"/>
      <c r="I153" s="151"/>
      <c r="J153" s="139"/>
    </row>
    <row r="154" spans="1:10" ht="12.95" customHeight="1">
      <c r="A154" s="152" t="s">
        <v>179</v>
      </c>
      <c r="B154" s="153" t="s">
        <v>180</v>
      </c>
      <c r="C154" s="149"/>
      <c r="D154" s="149"/>
      <c r="E154" s="154"/>
      <c r="F154" s="155">
        <v>20604.490000000002</v>
      </c>
      <c r="G154" s="156">
        <v>0.1336</v>
      </c>
      <c r="H154" s="166">
        <v>3.3046341062615739E-2</v>
      </c>
      <c r="I154" s="167"/>
      <c r="J154" s="139"/>
    </row>
    <row r="155" spans="1:10" ht="12.95" customHeight="1">
      <c r="A155" s="139"/>
      <c r="B155" s="148" t="s">
        <v>172</v>
      </c>
      <c r="C155" s="149"/>
      <c r="D155" s="149"/>
      <c r="E155" s="149"/>
      <c r="F155" s="159">
        <v>20604.490000000002</v>
      </c>
      <c r="G155" s="160">
        <v>0.1336</v>
      </c>
      <c r="H155" s="161"/>
      <c r="I155" s="162"/>
      <c r="J155" s="139"/>
    </row>
    <row r="156" spans="1:10" ht="12.95" customHeight="1">
      <c r="A156" s="139"/>
      <c r="B156" s="163" t="s">
        <v>173</v>
      </c>
      <c r="C156" s="164"/>
      <c r="D156" s="164"/>
      <c r="E156" s="164"/>
      <c r="F156" s="161" t="s">
        <v>204</v>
      </c>
      <c r="G156" s="161" t="s">
        <v>204</v>
      </c>
      <c r="H156" s="161"/>
      <c r="I156" s="162"/>
      <c r="J156" s="139"/>
    </row>
    <row r="157" spans="1:10" ht="12.95" customHeight="1">
      <c r="A157" s="139"/>
      <c r="B157" s="163" t="s">
        <v>172</v>
      </c>
      <c r="C157" s="164"/>
      <c r="D157" s="164"/>
      <c r="E157" s="164"/>
      <c r="F157" s="161" t="s">
        <v>204</v>
      </c>
      <c r="G157" s="161" t="s">
        <v>204</v>
      </c>
      <c r="H157" s="161"/>
      <c r="I157" s="162"/>
      <c r="J157" s="139"/>
    </row>
    <row r="158" spans="1:10" ht="12.95" customHeight="1">
      <c r="A158" s="139"/>
      <c r="B158" s="163" t="s">
        <v>177</v>
      </c>
      <c r="C158" s="165"/>
      <c r="D158" s="164"/>
      <c r="E158" s="165"/>
      <c r="F158" s="159">
        <v>20604.490000000002</v>
      </c>
      <c r="G158" s="160">
        <v>0.1336</v>
      </c>
      <c r="H158" s="161"/>
      <c r="I158" s="162"/>
      <c r="J158" s="139"/>
    </row>
    <row r="159" spans="1:10" ht="12.95" customHeight="1">
      <c r="A159" s="139"/>
      <c r="B159" s="163" t="s">
        <v>181</v>
      </c>
      <c r="C159" s="149"/>
      <c r="D159" s="164"/>
      <c r="E159" s="149"/>
      <c r="F159" s="171">
        <v>29895.02</v>
      </c>
      <c r="G159" s="160">
        <v>0.19370000000000001</v>
      </c>
      <c r="H159" s="161"/>
      <c r="I159" s="162"/>
      <c r="J159" s="139"/>
    </row>
    <row r="160" spans="1:10" ht="12.95" customHeight="1">
      <c r="A160" s="139"/>
      <c r="B160" s="172" t="s">
        <v>182</v>
      </c>
      <c r="C160" s="173"/>
      <c r="D160" s="173"/>
      <c r="E160" s="173"/>
      <c r="F160" s="174">
        <v>154218.20000000001</v>
      </c>
      <c r="G160" s="175">
        <v>1</v>
      </c>
      <c r="H160" s="176"/>
      <c r="I160" s="177"/>
      <c r="J160" s="139"/>
    </row>
    <row r="161" spans="1:10" ht="12.95" customHeight="1">
      <c r="A161" s="139"/>
      <c r="B161" s="141"/>
      <c r="C161" s="139"/>
      <c r="D161" s="139"/>
      <c r="E161" s="139"/>
      <c r="F161" s="139"/>
      <c r="G161" s="139"/>
      <c r="H161" s="139"/>
      <c r="I161" s="139"/>
      <c r="J161" s="139"/>
    </row>
    <row r="162" spans="1:10" ht="12.95" customHeight="1">
      <c r="A162" s="139"/>
      <c r="B162" s="178" t="s">
        <v>244</v>
      </c>
      <c r="C162" s="139"/>
      <c r="D162" s="139"/>
      <c r="E162" s="139"/>
      <c r="F162" s="139"/>
      <c r="G162" s="139"/>
      <c r="H162" s="139"/>
      <c r="I162" s="139"/>
      <c r="J162" s="139"/>
    </row>
    <row r="163" spans="1:10" ht="12.95" customHeight="1">
      <c r="A163" s="139"/>
      <c r="B163" s="178" t="s">
        <v>184</v>
      </c>
      <c r="C163" s="139"/>
      <c r="D163" s="139"/>
      <c r="E163" s="139"/>
      <c r="F163" s="139"/>
      <c r="G163" s="139"/>
      <c r="H163" s="139"/>
      <c r="I163" s="139"/>
      <c r="J163" s="139"/>
    </row>
    <row r="164" spans="1:10" ht="12.95" customHeight="1">
      <c r="A164" s="139"/>
      <c r="B164" s="178" t="s">
        <v>186</v>
      </c>
      <c r="C164" s="139"/>
      <c r="D164" s="139"/>
      <c r="E164" s="139"/>
      <c r="F164" s="139"/>
      <c r="G164" s="139"/>
      <c r="H164" s="139"/>
      <c r="I164" s="139"/>
      <c r="J164" s="139"/>
    </row>
    <row r="165" spans="1:10" customFormat="1" ht="26.25" customHeight="1">
      <c r="A165" s="2"/>
      <c r="B165" s="189" t="s">
        <v>4025</v>
      </c>
      <c r="C165" s="189"/>
      <c r="D165" s="189"/>
      <c r="E165" s="189"/>
      <c r="F165" s="189"/>
      <c r="G165" s="189"/>
      <c r="H165" s="189"/>
      <c r="I165" s="189"/>
      <c r="J165" s="2"/>
    </row>
    <row r="166" spans="1:10" s="179" customFormat="1">
      <c r="B166" s="202" t="s">
        <v>4027</v>
      </c>
      <c r="C166" s="203"/>
      <c r="D166" s="203"/>
      <c r="E166" s="181"/>
      <c r="F166" s="201"/>
    </row>
    <row r="167" spans="1:10" s="179" customFormat="1">
      <c r="B167" s="180"/>
      <c r="C167" s="180"/>
      <c r="D167" s="180"/>
      <c r="E167" s="181"/>
      <c r="F167" s="201"/>
    </row>
    <row r="168" spans="1:10">
      <c r="C168" s="182" t="s">
        <v>3943</v>
      </c>
    </row>
    <row r="169" spans="1:10">
      <c r="B169" s="182" t="s">
        <v>3933</v>
      </c>
      <c r="C169" s="182" t="s">
        <v>3934</v>
      </c>
    </row>
  </sheetData>
  <mergeCells count="2">
    <mergeCell ref="B2:I2"/>
    <mergeCell ref="B165:I165"/>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7"/>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AXISEA1</v>
      </c>
    </row>
    <row r="2" spans="1:13" ht="34.5" customHeight="1" thickBot="1">
      <c r="A2" s="135" t="str">
        <f>M2</f>
        <v>AXISEA1</v>
      </c>
      <c r="B2" s="186" t="s">
        <v>33</v>
      </c>
      <c r="C2" s="187"/>
      <c r="D2" s="187"/>
      <c r="E2" s="187"/>
      <c r="F2" s="187"/>
      <c r="G2" s="187"/>
      <c r="H2" s="187"/>
      <c r="I2" s="188"/>
      <c r="J2" s="2"/>
      <c r="M2" s="108" t="s">
        <v>32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5</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682</v>
      </c>
      <c r="B8" s="17" t="s">
        <v>683</v>
      </c>
      <c r="C8" s="13" t="s">
        <v>684</v>
      </c>
      <c r="D8" s="13" t="s">
        <v>685</v>
      </c>
      <c r="E8" s="18">
        <v>575400</v>
      </c>
      <c r="F8" s="19">
        <v>9177.34</v>
      </c>
      <c r="G8" s="20">
        <v>7.6999999999999999E-2</v>
      </c>
      <c r="H8" s="36"/>
      <c r="I8" s="22"/>
      <c r="J8" s="2"/>
    </row>
    <row r="9" spans="1:13" ht="12.95" customHeight="1">
      <c r="A9" s="16" t="s">
        <v>736</v>
      </c>
      <c r="B9" s="17" t="s">
        <v>737</v>
      </c>
      <c r="C9" s="13" t="s">
        <v>738</v>
      </c>
      <c r="D9" s="13" t="s">
        <v>739</v>
      </c>
      <c r="E9" s="18">
        <v>192158</v>
      </c>
      <c r="F9" s="19">
        <v>8167.1</v>
      </c>
      <c r="G9" s="20">
        <v>6.8500000000000005E-2</v>
      </c>
      <c r="H9" s="36"/>
      <c r="I9" s="22"/>
      <c r="J9" s="2"/>
    </row>
    <row r="10" spans="1:13" ht="12.95" customHeight="1">
      <c r="A10" s="16" t="s">
        <v>728</v>
      </c>
      <c r="B10" s="17" t="s">
        <v>729</v>
      </c>
      <c r="C10" s="13" t="s">
        <v>730</v>
      </c>
      <c r="D10" s="13" t="s">
        <v>731</v>
      </c>
      <c r="E10" s="18">
        <v>203000</v>
      </c>
      <c r="F10" s="19">
        <v>7664.37</v>
      </c>
      <c r="G10" s="20">
        <v>6.4299999999999996E-2</v>
      </c>
      <c r="H10" s="36"/>
      <c r="I10" s="22"/>
      <c r="J10" s="2"/>
    </row>
    <row r="11" spans="1:13" ht="12.95" customHeight="1">
      <c r="A11" s="16" t="s">
        <v>686</v>
      </c>
      <c r="B11" s="17" t="s">
        <v>687</v>
      </c>
      <c r="C11" s="13" t="s">
        <v>688</v>
      </c>
      <c r="D11" s="13" t="s">
        <v>685</v>
      </c>
      <c r="E11" s="18">
        <v>1030000</v>
      </c>
      <c r="F11" s="19">
        <v>7218.76</v>
      </c>
      <c r="G11" s="20">
        <v>6.0600000000000001E-2</v>
      </c>
      <c r="H11" s="36"/>
      <c r="I11" s="22"/>
      <c r="J11" s="2"/>
    </row>
    <row r="12" spans="1:13" ht="12.95" customHeight="1">
      <c r="A12" s="16" t="s">
        <v>740</v>
      </c>
      <c r="B12" s="17" t="s">
        <v>741</v>
      </c>
      <c r="C12" s="13" t="s">
        <v>742</v>
      </c>
      <c r="D12" s="13" t="s">
        <v>731</v>
      </c>
      <c r="E12" s="18">
        <v>420000</v>
      </c>
      <c r="F12" s="19">
        <v>7035.84</v>
      </c>
      <c r="G12" s="20">
        <v>5.8999999999999997E-2</v>
      </c>
      <c r="H12" s="36"/>
      <c r="I12" s="22"/>
      <c r="J12" s="2"/>
    </row>
    <row r="13" spans="1:13" ht="12.95" customHeight="1">
      <c r="A13" s="16" t="s">
        <v>720</v>
      </c>
      <c r="B13" s="17" t="s">
        <v>721</v>
      </c>
      <c r="C13" s="13" t="s">
        <v>722</v>
      </c>
      <c r="D13" s="13" t="s">
        <v>723</v>
      </c>
      <c r="E13" s="18">
        <v>90000</v>
      </c>
      <c r="F13" s="19">
        <v>6901.29</v>
      </c>
      <c r="G13" s="20">
        <v>5.79E-2</v>
      </c>
      <c r="H13" s="36"/>
      <c r="I13" s="22"/>
      <c r="J13" s="2"/>
    </row>
    <row r="14" spans="1:13" ht="12.95" customHeight="1">
      <c r="A14" s="16" t="s">
        <v>1723</v>
      </c>
      <c r="B14" s="17" t="s">
        <v>1724</v>
      </c>
      <c r="C14" s="13" t="s">
        <v>1725</v>
      </c>
      <c r="D14" s="13" t="s">
        <v>1032</v>
      </c>
      <c r="E14" s="18">
        <v>1451500</v>
      </c>
      <c r="F14" s="19">
        <v>6055.66</v>
      </c>
      <c r="G14" s="20">
        <v>5.0799999999999998E-2</v>
      </c>
      <c r="H14" s="36"/>
      <c r="I14" s="22"/>
      <c r="J14" s="2"/>
    </row>
    <row r="15" spans="1:13" ht="12.95" customHeight="1">
      <c r="A15" s="16" t="s">
        <v>732</v>
      </c>
      <c r="B15" s="17" t="s">
        <v>733</v>
      </c>
      <c r="C15" s="13" t="s">
        <v>734</v>
      </c>
      <c r="D15" s="13" t="s">
        <v>735</v>
      </c>
      <c r="E15" s="18">
        <v>224200</v>
      </c>
      <c r="F15" s="19">
        <v>5648.16</v>
      </c>
      <c r="G15" s="20">
        <v>4.7399999999999998E-2</v>
      </c>
      <c r="H15" s="36"/>
      <c r="I15" s="22"/>
      <c r="J15" s="2"/>
    </row>
    <row r="16" spans="1:13" ht="12.95" customHeight="1">
      <c r="A16" s="16" t="s">
        <v>897</v>
      </c>
      <c r="B16" s="17" t="s">
        <v>898</v>
      </c>
      <c r="C16" s="13" t="s">
        <v>899</v>
      </c>
      <c r="D16" s="13" t="s">
        <v>900</v>
      </c>
      <c r="E16" s="18">
        <v>26000</v>
      </c>
      <c r="F16" s="19">
        <v>4624.5600000000004</v>
      </c>
      <c r="G16" s="20">
        <v>3.8800000000000001E-2</v>
      </c>
      <c r="H16" s="36"/>
      <c r="I16" s="22"/>
      <c r="J16" s="2"/>
    </row>
    <row r="17" spans="1:10" ht="12.95" customHeight="1">
      <c r="A17" s="16" t="s">
        <v>692</v>
      </c>
      <c r="B17" s="17" t="s">
        <v>693</v>
      </c>
      <c r="C17" s="13" t="s">
        <v>694</v>
      </c>
      <c r="D17" s="13" t="s">
        <v>685</v>
      </c>
      <c r="E17" s="18">
        <v>182100</v>
      </c>
      <c r="F17" s="19">
        <v>3652.02</v>
      </c>
      <c r="G17" s="20">
        <v>3.0599999999999999E-2</v>
      </c>
      <c r="H17" s="36"/>
      <c r="I17" s="22"/>
      <c r="J17" s="2"/>
    </row>
    <row r="18" spans="1:10" ht="12.95" customHeight="1">
      <c r="A18" s="16" t="s">
        <v>950</v>
      </c>
      <c r="B18" s="17" t="s">
        <v>951</v>
      </c>
      <c r="C18" s="13" t="s">
        <v>952</v>
      </c>
      <c r="D18" s="13" t="s">
        <v>910</v>
      </c>
      <c r="E18" s="18">
        <v>621204</v>
      </c>
      <c r="F18" s="19">
        <v>3540.55</v>
      </c>
      <c r="G18" s="20">
        <v>2.9700000000000001E-2</v>
      </c>
      <c r="H18" s="36"/>
      <c r="I18" s="22"/>
      <c r="J18" s="2"/>
    </row>
    <row r="19" spans="1:10" ht="12.95" customHeight="1">
      <c r="A19" s="16" t="s">
        <v>1726</v>
      </c>
      <c r="B19" s="17" t="s">
        <v>1727</v>
      </c>
      <c r="C19" s="13" t="s">
        <v>1728</v>
      </c>
      <c r="D19" s="13" t="s">
        <v>763</v>
      </c>
      <c r="E19" s="18">
        <v>146000</v>
      </c>
      <c r="F19" s="19">
        <v>3477.65</v>
      </c>
      <c r="G19" s="20">
        <v>2.92E-2</v>
      </c>
      <c r="H19" s="36"/>
      <c r="I19" s="22"/>
      <c r="J19" s="2"/>
    </row>
    <row r="20" spans="1:10" ht="12.95" customHeight="1">
      <c r="A20" s="16" t="s">
        <v>746</v>
      </c>
      <c r="B20" s="17" t="s">
        <v>747</v>
      </c>
      <c r="C20" s="13" t="s">
        <v>748</v>
      </c>
      <c r="D20" s="13" t="s">
        <v>749</v>
      </c>
      <c r="E20" s="18">
        <v>69000</v>
      </c>
      <c r="F20" s="19">
        <v>3311.1</v>
      </c>
      <c r="G20" s="20">
        <v>2.7799999999999998E-2</v>
      </c>
      <c r="H20" s="36"/>
      <c r="I20" s="22"/>
      <c r="J20" s="2"/>
    </row>
    <row r="21" spans="1:10" ht="12.95" customHeight="1">
      <c r="A21" s="16" t="s">
        <v>956</v>
      </c>
      <c r="B21" s="17" t="s">
        <v>957</v>
      </c>
      <c r="C21" s="13" t="s">
        <v>958</v>
      </c>
      <c r="D21" s="13" t="s">
        <v>959</v>
      </c>
      <c r="E21" s="18">
        <v>464000</v>
      </c>
      <c r="F21" s="19">
        <v>3193.71</v>
      </c>
      <c r="G21" s="20">
        <v>2.6800000000000001E-2</v>
      </c>
      <c r="H21" s="36"/>
      <c r="I21" s="22"/>
      <c r="J21" s="2"/>
    </row>
    <row r="22" spans="1:10" ht="12.95" customHeight="1">
      <c r="A22" s="16" t="s">
        <v>754</v>
      </c>
      <c r="B22" s="17" t="s">
        <v>755</v>
      </c>
      <c r="C22" s="13" t="s">
        <v>756</v>
      </c>
      <c r="D22" s="13" t="s">
        <v>727</v>
      </c>
      <c r="E22" s="18">
        <v>133000</v>
      </c>
      <c r="F22" s="19">
        <v>3104.95</v>
      </c>
      <c r="G22" s="20">
        <v>2.6100000000000002E-2</v>
      </c>
      <c r="H22" s="36"/>
      <c r="I22" s="22"/>
      <c r="J22" s="2"/>
    </row>
    <row r="23" spans="1:10" ht="12.95" customHeight="1">
      <c r="A23" s="16" t="s">
        <v>772</v>
      </c>
      <c r="B23" s="17" t="s">
        <v>773</v>
      </c>
      <c r="C23" s="13" t="s">
        <v>774</v>
      </c>
      <c r="D23" s="13" t="s">
        <v>731</v>
      </c>
      <c r="E23" s="18">
        <v>207000</v>
      </c>
      <c r="F23" s="19">
        <v>2857.84</v>
      </c>
      <c r="G23" s="20">
        <v>2.4E-2</v>
      </c>
      <c r="H23" s="36"/>
      <c r="I23" s="22"/>
      <c r="J23" s="2"/>
    </row>
    <row r="24" spans="1:10" ht="12.95" customHeight="1">
      <c r="A24" s="16" t="s">
        <v>901</v>
      </c>
      <c r="B24" s="17" t="s">
        <v>902</v>
      </c>
      <c r="C24" s="13" t="s">
        <v>903</v>
      </c>
      <c r="D24" s="13" t="s">
        <v>767</v>
      </c>
      <c r="E24" s="18">
        <v>130000</v>
      </c>
      <c r="F24" s="19">
        <v>2810.41</v>
      </c>
      <c r="G24" s="20">
        <v>2.3599999999999999E-2</v>
      </c>
      <c r="H24" s="36"/>
      <c r="I24" s="22"/>
      <c r="J24" s="2"/>
    </row>
    <row r="25" spans="1:10" ht="12.95" customHeight="1">
      <c r="A25" s="16" t="s">
        <v>1729</v>
      </c>
      <c r="B25" s="17" t="s">
        <v>1730</v>
      </c>
      <c r="C25" s="13" t="s">
        <v>1731</v>
      </c>
      <c r="D25" s="13" t="s">
        <v>749</v>
      </c>
      <c r="E25" s="18">
        <v>258000</v>
      </c>
      <c r="F25" s="19">
        <v>2537.56</v>
      </c>
      <c r="G25" s="20">
        <v>2.1299999999999999E-2</v>
      </c>
      <c r="H25" s="36"/>
      <c r="I25" s="22"/>
      <c r="J25" s="2"/>
    </row>
    <row r="26" spans="1:10" ht="12.95" customHeight="1">
      <c r="A26" s="16" t="s">
        <v>888</v>
      </c>
      <c r="B26" s="17" t="s">
        <v>889</v>
      </c>
      <c r="C26" s="13" t="s">
        <v>890</v>
      </c>
      <c r="D26" s="13" t="s">
        <v>789</v>
      </c>
      <c r="E26" s="18">
        <v>66800</v>
      </c>
      <c r="F26" s="19">
        <v>2167.4299999999998</v>
      </c>
      <c r="G26" s="20">
        <v>1.8200000000000001E-2</v>
      </c>
      <c r="H26" s="36"/>
      <c r="I26" s="22"/>
      <c r="J26" s="2"/>
    </row>
    <row r="27" spans="1:10" ht="12.95" customHeight="1">
      <c r="A27" s="16" t="s">
        <v>743</v>
      </c>
      <c r="B27" s="17" t="s">
        <v>744</v>
      </c>
      <c r="C27" s="13" t="s">
        <v>745</v>
      </c>
      <c r="D27" s="13" t="s">
        <v>723</v>
      </c>
      <c r="E27" s="18">
        <v>70000</v>
      </c>
      <c r="F27" s="19">
        <v>1928.01</v>
      </c>
      <c r="G27" s="20">
        <v>1.6199999999999999E-2</v>
      </c>
      <c r="H27" s="36"/>
      <c r="I27" s="22"/>
      <c r="J27" s="2"/>
    </row>
    <row r="28" spans="1:10" ht="12.95" customHeight="1">
      <c r="A28" s="16" t="s">
        <v>966</v>
      </c>
      <c r="B28" s="17" t="s">
        <v>967</v>
      </c>
      <c r="C28" s="13" t="s">
        <v>968</v>
      </c>
      <c r="D28" s="13" t="s">
        <v>789</v>
      </c>
      <c r="E28" s="18">
        <v>200000</v>
      </c>
      <c r="F28" s="19">
        <v>1627.2</v>
      </c>
      <c r="G28" s="20">
        <v>1.37E-2</v>
      </c>
      <c r="H28" s="36"/>
      <c r="I28" s="22"/>
      <c r="J28" s="2"/>
    </row>
    <row r="29" spans="1:10" ht="12.95" customHeight="1">
      <c r="A29" s="16" t="s">
        <v>930</v>
      </c>
      <c r="B29" s="17" t="s">
        <v>931</v>
      </c>
      <c r="C29" s="13" t="s">
        <v>932</v>
      </c>
      <c r="D29" s="13" t="s">
        <v>723</v>
      </c>
      <c r="E29" s="18">
        <v>200000</v>
      </c>
      <c r="F29" s="19">
        <v>1128.5</v>
      </c>
      <c r="G29" s="20">
        <v>9.4999999999999998E-3</v>
      </c>
      <c r="H29" s="36"/>
      <c r="I29" s="22"/>
      <c r="J29" s="2"/>
    </row>
    <row r="30" spans="1:10" ht="12.95" customHeight="1">
      <c r="A30" s="2"/>
      <c r="B30" s="12" t="s">
        <v>172</v>
      </c>
      <c r="C30" s="13"/>
      <c r="D30" s="13"/>
      <c r="E30" s="13"/>
      <c r="F30" s="23">
        <v>97830.01</v>
      </c>
      <c r="G30" s="24">
        <v>0.82099999999999995</v>
      </c>
      <c r="H30" s="25"/>
      <c r="I30" s="26"/>
      <c r="J30" s="2"/>
    </row>
    <row r="31" spans="1:10" ht="12.95" customHeight="1">
      <c r="A31" s="2"/>
      <c r="B31" s="27" t="s">
        <v>719</v>
      </c>
      <c r="C31" s="1"/>
      <c r="D31" s="1"/>
      <c r="E31" s="1"/>
      <c r="F31" s="25" t="s">
        <v>204</v>
      </c>
      <c r="G31" s="25" t="s">
        <v>204</v>
      </c>
      <c r="H31" s="25"/>
      <c r="I31" s="26"/>
      <c r="J31" s="2"/>
    </row>
    <row r="32" spans="1:10" ht="12.95" customHeight="1">
      <c r="A32" s="2"/>
      <c r="B32" s="27" t="s">
        <v>172</v>
      </c>
      <c r="C32" s="1"/>
      <c r="D32" s="1"/>
      <c r="E32" s="1"/>
      <c r="F32" s="25" t="s">
        <v>204</v>
      </c>
      <c r="G32" s="25" t="s">
        <v>204</v>
      </c>
      <c r="H32" s="25"/>
      <c r="I32" s="26"/>
      <c r="J32" s="2"/>
    </row>
    <row r="33" spans="1:10" ht="12.95" customHeight="1">
      <c r="A33" s="2"/>
      <c r="B33" s="27" t="s">
        <v>177</v>
      </c>
      <c r="C33" s="28"/>
      <c r="D33" s="1"/>
      <c r="E33" s="28"/>
      <c r="F33" s="23">
        <v>97830.01</v>
      </c>
      <c r="G33" s="24">
        <v>0.82099999999999995</v>
      </c>
      <c r="H33" s="25"/>
      <c r="I33" s="26"/>
      <c r="J33" s="2"/>
    </row>
    <row r="34" spans="1:10" ht="12.95" customHeight="1">
      <c r="A34" s="2"/>
      <c r="B34" s="12" t="s">
        <v>178</v>
      </c>
      <c r="C34" s="13"/>
      <c r="D34" s="13"/>
      <c r="E34" s="13"/>
      <c r="F34" s="13"/>
      <c r="G34" s="13"/>
      <c r="H34" s="14"/>
      <c r="I34" s="15"/>
      <c r="J34" s="2"/>
    </row>
    <row r="35" spans="1:10" ht="12.95" customHeight="1">
      <c r="A35" s="16" t="s">
        <v>179</v>
      </c>
      <c r="B35" s="17" t="s">
        <v>180</v>
      </c>
      <c r="C35" s="13"/>
      <c r="D35" s="13"/>
      <c r="E35" s="18"/>
      <c r="F35" s="19">
        <v>28939.98</v>
      </c>
      <c r="G35" s="20">
        <v>0.2429</v>
      </c>
      <c r="H35" s="21">
        <v>3.3046285407116696E-2</v>
      </c>
      <c r="I35" s="22"/>
      <c r="J35" s="2"/>
    </row>
    <row r="36" spans="1:10" ht="12.95" customHeight="1">
      <c r="A36" s="2"/>
      <c r="B36" s="12" t="s">
        <v>172</v>
      </c>
      <c r="C36" s="13"/>
      <c r="D36" s="13"/>
      <c r="E36" s="13"/>
      <c r="F36" s="23">
        <v>28939.98</v>
      </c>
      <c r="G36" s="24">
        <v>0.2429</v>
      </c>
      <c r="H36" s="25"/>
      <c r="I36" s="26"/>
      <c r="J36" s="2"/>
    </row>
    <row r="37" spans="1:10" ht="12.95" customHeight="1">
      <c r="A37" s="2"/>
      <c r="B37" s="27" t="s">
        <v>177</v>
      </c>
      <c r="C37" s="28"/>
      <c r="D37" s="1"/>
      <c r="E37" s="28"/>
      <c r="F37" s="23">
        <v>28939.98</v>
      </c>
      <c r="G37" s="24">
        <v>0.2429</v>
      </c>
      <c r="H37" s="25"/>
      <c r="I37" s="26"/>
      <c r="J37" s="2"/>
    </row>
    <row r="38" spans="1:10" ht="12.95" customHeight="1">
      <c r="A38" s="2"/>
      <c r="B38" s="27" t="s">
        <v>181</v>
      </c>
      <c r="C38" s="13"/>
      <c r="D38" s="1"/>
      <c r="E38" s="13"/>
      <c r="F38" s="29">
        <v>-7609.75</v>
      </c>
      <c r="G38" s="24">
        <v>-6.3899999999999998E-2</v>
      </c>
      <c r="H38" s="25"/>
      <c r="I38" s="26"/>
      <c r="J38" s="2"/>
    </row>
    <row r="39" spans="1:10" ht="12.95" customHeight="1">
      <c r="A39" s="2"/>
      <c r="B39" s="30" t="s">
        <v>182</v>
      </c>
      <c r="C39" s="31"/>
      <c r="D39" s="31"/>
      <c r="E39" s="31"/>
      <c r="F39" s="32">
        <v>119160.24</v>
      </c>
      <c r="G39" s="33">
        <v>1</v>
      </c>
      <c r="H39" s="34"/>
      <c r="I39" s="35"/>
      <c r="J39" s="2"/>
    </row>
    <row r="40" spans="1:10" ht="12.95" customHeight="1">
      <c r="A40" s="2"/>
      <c r="B40" s="5"/>
      <c r="C40" s="2"/>
      <c r="D40" s="2"/>
      <c r="E40" s="2"/>
      <c r="F40" s="2"/>
      <c r="G40" s="2"/>
      <c r="H40" s="2"/>
      <c r="I40" s="2"/>
      <c r="J40" s="2"/>
    </row>
    <row r="41" spans="1:10" ht="12.95" customHeight="1">
      <c r="A41" s="2"/>
      <c r="B41" s="3" t="s">
        <v>244</v>
      </c>
      <c r="C41" s="2"/>
      <c r="D41" s="2"/>
      <c r="E41" s="2"/>
      <c r="F41" s="2"/>
      <c r="G41" s="2"/>
      <c r="H41" s="2"/>
      <c r="I41" s="2"/>
      <c r="J41" s="2"/>
    </row>
    <row r="42" spans="1:10" ht="12.95" customHeight="1">
      <c r="A42" s="2"/>
      <c r="B42" s="3" t="s">
        <v>186</v>
      </c>
      <c r="C42" s="2"/>
      <c r="D42" s="2"/>
      <c r="E42" s="2"/>
      <c r="F42" s="2"/>
      <c r="G42" s="2"/>
      <c r="H42" s="2"/>
      <c r="I42" s="2"/>
      <c r="J42" s="2"/>
    </row>
    <row r="43" spans="1:10" ht="26.25" customHeight="1">
      <c r="A43" s="2"/>
      <c r="B43" s="189" t="s">
        <v>4025</v>
      </c>
      <c r="C43" s="189"/>
      <c r="D43" s="189"/>
      <c r="E43" s="189"/>
      <c r="F43" s="189"/>
      <c r="G43" s="189"/>
      <c r="H43" s="189"/>
      <c r="I43" s="189"/>
      <c r="J43" s="2"/>
    </row>
    <row r="44" spans="1:10" s="110" customFormat="1" ht="39" customHeight="1">
      <c r="B44" s="189" t="s">
        <v>4028</v>
      </c>
      <c r="C44" s="189"/>
      <c r="D44" s="189"/>
      <c r="E44" s="189"/>
      <c r="F44" s="189"/>
      <c r="G44" s="189"/>
      <c r="H44" s="189"/>
      <c r="I44" s="189"/>
    </row>
    <row r="45" spans="1:10" s="110" customFormat="1"/>
    <row r="46" spans="1:10">
      <c r="C46" s="111" t="s">
        <v>3944</v>
      </c>
    </row>
    <row r="47" spans="1:10">
      <c r="B47" s="111" t="s">
        <v>3933</v>
      </c>
      <c r="C47" s="111" t="s">
        <v>3934</v>
      </c>
    </row>
  </sheetData>
  <mergeCells count="3">
    <mergeCell ref="B2:I2"/>
    <mergeCell ref="B43:I43"/>
    <mergeCell ref="B44:I44"/>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68"/>
  <sheetViews>
    <sheetView workbookViewId="0"/>
  </sheetViews>
  <sheetFormatPr defaultRowHeight="15"/>
  <cols>
    <col min="1" max="1" width="3.28515625" style="137" customWidth="1"/>
    <col min="2" max="2" width="69.140625" style="137" customWidth="1"/>
    <col min="3" max="3" width="26.140625" style="137" bestFit="1" customWidth="1"/>
    <col min="4" max="4" width="33.28515625" style="137" customWidth="1"/>
    <col min="5" max="5" width="25.7109375" style="137" customWidth="1"/>
    <col min="6" max="6" width="25" style="137" customWidth="1"/>
    <col min="7" max="9" width="10.7109375" style="137" customWidth="1"/>
    <col min="10" max="10" width="10.85546875" style="137" customWidth="1"/>
    <col min="11" max="16384" width="9.140625" style="137"/>
  </cols>
  <sheetData>
    <row r="1" spans="1:13" ht="15.75" thickBot="1">
      <c r="A1" s="136" t="str">
        <f>M2</f>
        <v>AXISEAF</v>
      </c>
    </row>
    <row r="2" spans="1:13" ht="34.5" customHeight="1" thickBot="1">
      <c r="A2" s="138" t="str">
        <f>M2</f>
        <v>AXISEAF</v>
      </c>
      <c r="B2" s="190" t="s">
        <v>35</v>
      </c>
      <c r="C2" s="191"/>
      <c r="D2" s="191"/>
      <c r="E2" s="191"/>
      <c r="F2" s="191"/>
      <c r="G2" s="191"/>
      <c r="H2" s="191"/>
      <c r="I2" s="192"/>
      <c r="J2" s="139"/>
      <c r="M2" s="136" t="s">
        <v>34</v>
      </c>
    </row>
    <row r="3" spans="1:13" ht="12.95" customHeight="1">
      <c r="A3" s="139"/>
      <c r="B3" s="140"/>
      <c r="C3" s="139"/>
      <c r="D3" s="139"/>
      <c r="E3" s="139"/>
      <c r="F3" s="139"/>
      <c r="G3" s="139"/>
      <c r="H3" s="139"/>
      <c r="I3" s="139"/>
      <c r="J3" s="139"/>
    </row>
    <row r="4" spans="1:13" ht="12.95" customHeight="1">
      <c r="A4" s="141" t="s">
        <v>118</v>
      </c>
      <c r="B4" s="142" t="s">
        <v>4035</v>
      </c>
      <c r="C4" s="139"/>
      <c r="D4" s="139"/>
      <c r="E4" s="139"/>
      <c r="F4" s="139"/>
      <c r="G4" s="139"/>
      <c r="H4" s="139"/>
      <c r="I4" s="139"/>
      <c r="J4" s="139"/>
    </row>
    <row r="5" spans="1:13" ht="27.95" customHeight="1">
      <c r="A5" s="139"/>
      <c r="B5" s="143" t="s">
        <v>119</v>
      </c>
      <c r="C5" s="144" t="s">
        <v>120</v>
      </c>
      <c r="D5" s="145" t="s">
        <v>217</v>
      </c>
      <c r="E5" s="145" t="s">
        <v>122</v>
      </c>
      <c r="F5" s="145" t="s">
        <v>123</v>
      </c>
      <c r="G5" s="145" t="s">
        <v>124</v>
      </c>
      <c r="H5" s="145" t="s">
        <v>125</v>
      </c>
      <c r="I5" s="146" t="s">
        <v>126</v>
      </c>
      <c r="J5" s="147" t="s">
        <v>218</v>
      </c>
    </row>
    <row r="6" spans="1:13" ht="12.95" customHeight="1">
      <c r="A6" s="139"/>
      <c r="B6" s="148" t="s">
        <v>680</v>
      </c>
      <c r="C6" s="149"/>
      <c r="D6" s="149"/>
      <c r="E6" s="149"/>
      <c r="F6" s="149"/>
      <c r="G6" s="149"/>
      <c r="H6" s="150"/>
      <c r="I6" s="151"/>
      <c r="J6" s="139"/>
    </row>
    <row r="7" spans="1:13" ht="12.95" customHeight="1">
      <c r="A7" s="139"/>
      <c r="B7" s="148" t="s">
        <v>681</v>
      </c>
      <c r="C7" s="149"/>
      <c r="D7" s="149"/>
      <c r="E7" s="149"/>
      <c r="F7" s="139"/>
      <c r="G7" s="150"/>
      <c r="H7" s="150"/>
      <c r="I7" s="151"/>
      <c r="J7" s="139"/>
    </row>
    <row r="8" spans="1:13" ht="12.95" customHeight="1">
      <c r="A8" s="152" t="s">
        <v>775</v>
      </c>
      <c r="B8" s="153" t="s">
        <v>776</v>
      </c>
      <c r="C8" s="149" t="s">
        <v>777</v>
      </c>
      <c r="D8" s="149" t="s">
        <v>778</v>
      </c>
      <c r="E8" s="154">
        <v>291800</v>
      </c>
      <c r="F8" s="155">
        <v>21412.43</v>
      </c>
      <c r="G8" s="156">
        <v>0.06</v>
      </c>
      <c r="H8" s="157"/>
      <c r="I8" s="158"/>
      <c r="J8" s="139"/>
    </row>
    <row r="9" spans="1:13" ht="12.95" customHeight="1">
      <c r="A9" s="152" t="s">
        <v>689</v>
      </c>
      <c r="B9" s="153" t="s">
        <v>690</v>
      </c>
      <c r="C9" s="149" t="s">
        <v>691</v>
      </c>
      <c r="D9" s="149" t="s">
        <v>685</v>
      </c>
      <c r="E9" s="154">
        <v>3135000</v>
      </c>
      <c r="F9" s="155">
        <v>14201.55</v>
      </c>
      <c r="G9" s="156">
        <v>3.9800000000000002E-2</v>
      </c>
      <c r="H9" s="157"/>
      <c r="I9" s="158"/>
      <c r="J9" s="139"/>
    </row>
    <row r="10" spans="1:13" ht="12.95" customHeight="1">
      <c r="A10" s="152" t="s">
        <v>1563</v>
      </c>
      <c r="B10" s="153" t="s">
        <v>1564</v>
      </c>
      <c r="C10" s="149" t="s">
        <v>1565</v>
      </c>
      <c r="D10" s="149" t="s">
        <v>735</v>
      </c>
      <c r="E10" s="154">
        <v>2752200</v>
      </c>
      <c r="F10" s="155">
        <v>11895.01</v>
      </c>
      <c r="G10" s="156">
        <v>3.3300000000000003E-2</v>
      </c>
      <c r="H10" s="157"/>
      <c r="I10" s="158"/>
      <c r="J10" s="139"/>
    </row>
    <row r="11" spans="1:13" ht="12.95" customHeight="1">
      <c r="A11" s="152" t="s">
        <v>732</v>
      </c>
      <c r="B11" s="153" t="s">
        <v>733</v>
      </c>
      <c r="C11" s="149" t="s">
        <v>734</v>
      </c>
      <c r="D11" s="149" t="s">
        <v>735</v>
      </c>
      <c r="E11" s="154">
        <v>468500</v>
      </c>
      <c r="F11" s="155">
        <v>11802.69</v>
      </c>
      <c r="G11" s="156">
        <v>3.3099999999999997E-2</v>
      </c>
      <c r="H11" s="157"/>
      <c r="I11" s="158"/>
      <c r="J11" s="139"/>
    </row>
    <row r="12" spans="1:13" ht="12.95" customHeight="1">
      <c r="A12" s="152" t="s">
        <v>1732</v>
      </c>
      <c r="B12" s="153" t="s">
        <v>1733</v>
      </c>
      <c r="C12" s="149" t="s">
        <v>1734</v>
      </c>
      <c r="D12" s="149" t="s">
        <v>749</v>
      </c>
      <c r="E12" s="154">
        <v>1573000</v>
      </c>
      <c r="F12" s="155">
        <v>8680.6</v>
      </c>
      <c r="G12" s="156">
        <v>2.4299999999999999E-2</v>
      </c>
      <c r="H12" s="157"/>
      <c r="I12" s="158"/>
      <c r="J12" s="139"/>
    </row>
    <row r="13" spans="1:13" ht="12.95" customHeight="1">
      <c r="A13" s="152" t="s">
        <v>1557</v>
      </c>
      <c r="B13" s="153" t="s">
        <v>1558</v>
      </c>
      <c r="C13" s="149" t="s">
        <v>1559</v>
      </c>
      <c r="D13" s="149" t="s">
        <v>749</v>
      </c>
      <c r="E13" s="154">
        <v>176875</v>
      </c>
      <c r="F13" s="155">
        <v>8632.74</v>
      </c>
      <c r="G13" s="156">
        <v>2.4199999999999999E-2</v>
      </c>
      <c r="H13" s="157"/>
      <c r="I13" s="158"/>
      <c r="J13" s="139"/>
    </row>
    <row r="14" spans="1:13" ht="12.95" customHeight="1">
      <c r="A14" s="152" t="s">
        <v>686</v>
      </c>
      <c r="B14" s="153" t="s">
        <v>687</v>
      </c>
      <c r="C14" s="149" t="s">
        <v>688</v>
      </c>
      <c r="D14" s="149" t="s">
        <v>685</v>
      </c>
      <c r="E14" s="154">
        <v>1219625</v>
      </c>
      <c r="F14" s="155">
        <v>8547.74</v>
      </c>
      <c r="G14" s="156">
        <v>2.4E-2</v>
      </c>
      <c r="H14" s="157"/>
      <c r="I14" s="158"/>
      <c r="J14" s="139"/>
    </row>
    <row r="15" spans="1:13" ht="12.95" customHeight="1">
      <c r="A15" s="152" t="s">
        <v>743</v>
      </c>
      <c r="B15" s="153" t="s">
        <v>744</v>
      </c>
      <c r="C15" s="149" t="s">
        <v>745</v>
      </c>
      <c r="D15" s="149" t="s">
        <v>723</v>
      </c>
      <c r="E15" s="154">
        <v>308400</v>
      </c>
      <c r="F15" s="155">
        <v>8494.26</v>
      </c>
      <c r="G15" s="156">
        <v>2.3800000000000002E-2</v>
      </c>
      <c r="H15" s="157"/>
      <c r="I15" s="158"/>
      <c r="J15" s="139"/>
    </row>
    <row r="16" spans="1:13" ht="12.95" customHeight="1">
      <c r="A16" s="152" t="s">
        <v>1597</v>
      </c>
      <c r="B16" s="153" t="s">
        <v>1598</v>
      </c>
      <c r="C16" s="149" t="s">
        <v>1599</v>
      </c>
      <c r="D16" s="149" t="s">
        <v>1600</v>
      </c>
      <c r="E16" s="154">
        <v>2504800</v>
      </c>
      <c r="F16" s="155">
        <v>7205.06</v>
      </c>
      <c r="G16" s="156">
        <v>2.0199999999999999E-2</v>
      </c>
      <c r="H16" s="157"/>
      <c r="I16" s="158"/>
      <c r="J16" s="139"/>
    </row>
    <row r="17" spans="1:10" ht="12.95" customHeight="1">
      <c r="A17" s="152" t="s">
        <v>1735</v>
      </c>
      <c r="B17" s="153" t="s">
        <v>1736</v>
      </c>
      <c r="C17" s="149" t="s">
        <v>1737</v>
      </c>
      <c r="D17" s="149" t="s">
        <v>900</v>
      </c>
      <c r="E17" s="154">
        <v>976800</v>
      </c>
      <c r="F17" s="155">
        <v>7056.4</v>
      </c>
      <c r="G17" s="156">
        <v>1.9800000000000002E-2</v>
      </c>
      <c r="H17" s="157"/>
      <c r="I17" s="158"/>
      <c r="J17" s="139"/>
    </row>
    <row r="18" spans="1:10" ht="12.95" customHeight="1">
      <c r="A18" s="152" t="s">
        <v>930</v>
      </c>
      <c r="B18" s="153" t="s">
        <v>931</v>
      </c>
      <c r="C18" s="149" t="s">
        <v>932</v>
      </c>
      <c r="D18" s="149" t="s">
        <v>723</v>
      </c>
      <c r="E18" s="154">
        <v>1210000</v>
      </c>
      <c r="F18" s="155">
        <v>6827.43</v>
      </c>
      <c r="G18" s="156">
        <v>1.9099999999999999E-2</v>
      </c>
      <c r="H18" s="157"/>
      <c r="I18" s="158"/>
      <c r="J18" s="139"/>
    </row>
    <row r="19" spans="1:10" ht="12.95" customHeight="1">
      <c r="A19" s="152" t="s">
        <v>888</v>
      </c>
      <c r="B19" s="153" t="s">
        <v>889</v>
      </c>
      <c r="C19" s="149" t="s">
        <v>890</v>
      </c>
      <c r="D19" s="149" t="s">
        <v>789</v>
      </c>
      <c r="E19" s="154">
        <v>208200</v>
      </c>
      <c r="F19" s="155">
        <v>6755.36</v>
      </c>
      <c r="G19" s="156">
        <v>1.89E-2</v>
      </c>
      <c r="H19" s="157"/>
      <c r="I19" s="158"/>
      <c r="J19" s="139"/>
    </row>
    <row r="20" spans="1:10" ht="12.95" customHeight="1">
      <c r="A20" s="152" t="s">
        <v>946</v>
      </c>
      <c r="B20" s="153" t="s">
        <v>947</v>
      </c>
      <c r="C20" s="149" t="s">
        <v>948</v>
      </c>
      <c r="D20" s="149" t="s">
        <v>949</v>
      </c>
      <c r="E20" s="154">
        <v>516800</v>
      </c>
      <c r="F20" s="155">
        <v>6661.04</v>
      </c>
      <c r="G20" s="156">
        <v>1.8700000000000001E-2</v>
      </c>
      <c r="H20" s="157"/>
      <c r="I20" s="158"/>
      <c r="J20" s="139"/>
    </row>
    <row r="21" spans="1:10" ht="12.95" customHeight="1">
      <c r="A21" s="152" t="s">
        <v>997</v>
      </c>
      <c r="B21" s="153" t="s">
        <v>998</v>
      </c>
      <c r="C21" s="149" t="s">
        <v>999</v>
      </c>
      <c r="D21" s="149" t="s">
        <v>1000</v>
      </c>
      <c r="E21" s="154">
        <v>2100000</v>
      </c>
      <c r="F21" s="155">
        <v>6367.2</v>
      </c>
      <c r="G21" s="156">
        <v>1.78E-2</v>
      </c>
      <c r="H21" s="157"/>
      <c r="I21" s="158"/>
      <c r="J21" s="139"/>
    </row>
    <row r="22" spans="1:10" ht="12.95" customHeight="1">
      <c r="A22" s="152" t="s">
        <v>796</v>
      </c>
      <c r="B22" s="153" t="s">
        <v>797</v>
      </c>
      <c r="C22" s="149" t="s">
        <v>798</v>
      </c>
      <c r="D22" s="149" t="s">
        <v>771</v>
      </c>
      <c r="E22" s="154">
        <v>2590000</v>
      </c>
      <c r="F22" s="155">
        <v>5852.11</v>
      </c>
      <c r="G22" s="156">
        <v>1.6400000000000001E-2</v>
      </c>
      <c r="H22" s="157"/>
      <c r="I22" s="158"/>
      <c r="J22" s="139"/>
    </row>
    <row r="23" spans="1:10" ht="12.95" customHeight="1">
      <c r="A23" s="152" t="s">
        <v>746</v>
      </c>
      <c r="B23" s="153" t="s">
        <v>747</v>
      </c>
      <c r="C23" s="149" t="s">
        <v>748</v>
      </c>
      <c r="D23" s="149" t="s">
        <v>749</v>
      </c>
      <c r="E23" s="154">
        <v>114200</v>
      </c>
      <c r="F23" s="155">
        <v>5480.12</v>
      </c>
      <c r="G23" s="156">
        <v>1.54E-2</v>
      </c>
      <c r="H23" s="157"/>
      <c r="I23" s="158"/>
      <c r="J23" s="139"/>
    </row>
    <row r="24" spans="1:10" ht="12.95" customHeight="1">
      <c r="A24" s="152" t="s">
        <v>1001</v>
      </c>
      <c r="B24" s="153" t="s">
        <v>1002</v>
      </c>
      <c r="C24" s="149" t="s">
        <v>1003</v>
      </c>
      <c r="D24" s="149" t="s">
        <v>789</v>
      </c>
      <c r="E24" s="154">
        <v>523750</v>
      </c>
      <c r="F24" s="155">
        <v>4468.1099999999997</v>
      </c>
      <c r="G24" s="156">
        <v>1.2500000000000001E-2</v>
      </c>
      <c r="H24" s="157"/>
      <c r="I24" s="158"/>
      <c r="J24" s="139"/>
    </row>
    <row r="25" spans="1:10" ht="12.95" customHeight="1">
      <c r="A25" s="152" t="s">
        <v>897</v>
      </c>
      <c r="B25" s="153" t="s">
        <v>898</v>
      </c>
      <c r="C25" s="149" t="s">
        <v>899</v>
      </c>
      <c r="D25" s="149" t="s">
        <v>900</v>
      </c>
      <c r="E25" s="154">
        <v>23925</v>
      </c>
      <c r="F25" s="155">
        <v>4255.4799999999996</v>
      </c>
      <c r="G25" s="156">
        <v>1.1900000000000001E-2</v>
      </c>
      <c r="H25" s="157"/>
      <c r="I25" s="158"/>
      <c r="J25" s="139"/>
    </row>
    <row r="26" spans="1:10" ht="12.95" customHeight="1">
      <c r="A26" s="152" t="s">
        <v>1738</v>
      </c>
      <c r="B26" s="153" t="s">
        <v>1739</v>
      </c>
      <c r="C26" s="149" t="s">
        <v>1740</v>
      </c>
      <c r="D26" s="149" t="s">
        <v>782</v>
      </c>
      <c r="E26" s="154">
        <v>181000</v>
      </c>
      <c r="F26" s="155">
        <v>4080.65</v>
      </c>
      <c r="G26" s="156">
        <v>1.14E-2</v>
      </c>
      <c r="H26" s="157"/>
      <c r="I26" s="158"/>
      <c r="J26" s="139"/>
    </row>
    <row r="27" spans="1:10" ht="12.95" customHeight="1">
      <c r="A27" s="152" t="s">
        <v>1741</v>
      </c>
      <c r="B27" s="153" t="s">
        <v>1742</v>
      </c>
      <c r="C27" s="149" t="s">
        <v>1743</v>
      </c>
      <c r="D27" s="149" t="s">
        <v>1600</v>
      </c>
      <c r="E27" s="154">
        <v>4267000</v>
      </c>
      <c r="F27" s="155">
        <v>3985.38</v>
      </c>
      <c r="G27" s="156">
        <v>1.12E-2</v>
      </c>
      <c r="H27" s="157"/>
      <c r="I27" s="158"/>
      <c r="J27" s="139"/>
    </row>
    <row r="28" spans="1:10" ht="12.95" customHeight="1">
      <c r="A28" s="152" t="s">
        <v>1573</v>
      </c>
      <c r="B28" s="153" t="s">
        <v>1574</v>
      </c>
      <c r="C28" s="149" t="s">
        <v>1575</v>
      </c>
      <c r="D28" s="149" t="s">
        <v>949</v>
      </c>
      <c r="E28" s="154">
        <v>1010000</v>
      </c>
      <c r="F28" s="155">
        <v>3931.43</v>
      </c>
      <c r="G28" s="156">
        <v>1.0999999999999999E-2</v>
      </c>
      <c r="H28" s="157"/>
      <c r="I28" s="158"/>
      <c r="J28" s="139"/>
    </row>
    <row r="29" spans="1:10" ht="12.95" customHeight="1">
      <c r="A29" s="152" t="s">
        <v>960</v>
      </c>
      <c r="B29" s="153" t="s">
        <v>961</v>
      </c>
      <c r="C29" s="149" t="s">
        <v>962</v>
      </c>
      <c r="D29" s="149" t="s">
        <v>778</v>
      </c>
      <c r="E29" s="154">
        <v>102000</v>
      </c>
      <c r="F29" s="155">
        <v>3909.3</v>
      </c>
      <c r="G29" s="156">
        <v>1.0999999999999999E-2</v>
      </c>
      <c r="H29" s="157"/>
      <c r="I29" s="158"/>
      <c r="J29" s="139"/>
    </row>
    <row r="30" spans="1:10" ht="12.95" customHeight="1">
      <c r="A30" s="152" t="s">
        <v>786</v>
      </c>
      <c r="B30" s="153" t="s">
        <v>787</v>
      </c>
      <c r="C30" s="149" t="s">
        <v>788</v>
      </c>
      <c r="D30" s="149" t="s">
        <v>789</v>
      </c>
      <c r="E30" s="154">
        <v>128100</v>
      </c>
      <c r="F30" s="155">
        <v>3461.01</v>
      </c>
      <c r="G30" s="156">
        <v>9.7000000000000003E-3</v>
      </c>
      <c r="H30" s="157"/>
      <c r="I30" s="158"/>
      <c r="J30" s="139"/>
    </row>
    <row r="31" spans="1:10" ht="12.95" customHeight="1">
      <c r="A31" s="152" t="s">
        <v>1744</v>
      </c>
      <c r="B31" s="153" t="s">
        <v>1745</v>
      </c>
      <c r="C31" s="149" t="s">
        <v>1746</v>
      </c>
      <c r="D31" s="149" t="s">
        <v>723</v>
      </c>
      <c r="E31" s="154">
        <v>130900</v>
      </c>
      <c r="F31" s="155">
        <v>3397.9</v>
      </c>
      <c r="G31" s="156">
        <v>9.4999999999999998E-3</v>
      </c>
      <c r="H31" s="157"/>
      <c r="I31" s="158"/>
      <c r="J31" s="139"/>
    </row>
    <row r="32" spans="1:10" ht="12.95" customHeight="1">
      <c r="A32" s="152" t="s">
        <v>1747</v>
      </c>
      <c r="B32" s="153" t="s">
        <v>1748</v>
      </c>
      <c r="C32" s="149" t="s">
        <v>1749</v>
      </c>
      <c r="D32" s="149" t="s">
        <v>771</v>
      </c>
      <c r="E32" s="154">
        <v>133200</v>
      </c>
      <c r="F32" s="155">
        <v>3374.82</v>
      </c>
      <c r="G32" s="156">
        <v>9.4999999999999998E-3</v>
      </c>
      <c r="H32" s="157"/>
      <c r="I32" s="158"/>
      <c r="J32" s="139"/>
    </row>
    <row r="33" spans="1:10" ht="12.95" customHeight="1">
      <c r="A33" s="152" t="s">
        <v>894</v>
      </c>
      <c r="B33" s="153" t="s">
        <v>895</v>
      </c>
      <c r="C33" s="149" t="s">
        <v>896</v>
      </c>
      <c r="D33" s="149" t="s">
        <v>731</v>
      </c>
      <c r="E33" s="154">
        <v>63400</v>
      </c>
      <c r="F33" s="155">
        <v>3322.98</v>
      </c>
      <c r="G33" s="156">
        <v>9.2999999999999992E-3</v>
      </c>
      <c r="H33" s="157"/>
      <c r="I33" s="158"/>
      <c r="J33" s="139"/>
    </row>
    <row r="34" spans="1:10" ht="12.95" customHeight="1">
      <c r="A34" s="152" t="s">
        <v>1750</v>
      </c>
      <c r="B34" s="153" t="s">
        <v>1751</v>
      </c>
      <c r="C34" s="149" t="s">
        <v>1752</v>
      </c>
      <c r="D34" s="149" t="s">
        <v>749</v>
      </c>
      <c r="E34" s="154">
        <v>436150</v>
      </c>
      <c r="F34" s="155">
        <v>3161.22</v>
      </c>
      <c r="G34" s="156">
        <v>8.8999999999999999E-3</v>
      </c>
      <c r="H34" s="157"/>
      <c r="I34" s="158"/>
      <c r="J34" s="139"/>
    </row>
    <row r="35" spans="1:10" ht="12.95" customHeight="1">
      <c r="A35" s="152" t="s">
        <v>799</v>
      </c>
      <c r="B35" s="153" t="s">
        <v>800</v>
      </c>
      <c r="C35" s="149" t="s">
        <v>801</v>
      </c>
      <c r="D35" s="149" t="s">
        <v>749</v>
      </c>
      <c r="E35" s="154">
        <v>372400</v>
      </c>
      <c r="F35" s="155">
        <v>3047.16</v>
      </c>
      <c r="G35" s="156">
        <v>8.5000000000000006E-3</v>
      </c>
      <c r="H35" s="157"/>
      <c r="I35" s="158"/>
      <c r="J35" s="139"/>
    </row>
    <row r="36" spans="1:10" ht="12.95" customHeight="1">
      <c r="A36" s="152" t="s">
        <v>1753</v>
      </c>
      <c r="B36" s="153" t="s">
        <v>1754</v>
      </c>
      <c r="C36" s="149" t="s">
        <v>1755</v>
      </c>
      <c r="D36" s="149" t="s">
        <v>949</v>
      </c>
      <c r="E36" s="154">
        <v>442800</v>
      </c>
      <c r="F36" s="155">
        <v>2959.23</v>
      </c>
      <c r="G36" s="156">
        <v>8.3000000000000001E-3</v>
      </c>
      <c r="H36" s="157"/>
      <c r="I36" s="158"/>
      <c r="J36" s="139"/>
    </row>
    <row r="37" spans="1:10" ht="12.95" customHeight="1">
      <c r="A37" s="152" t="s">
        <v>1756</v>
      </c>
      <c r="B37" s="153" t="s">
        <v>1757</v>
      </c>
      <c r="C37" s="149" t="s">
        <v>1758</v>
      </c>
      <c r="D37" s="149" t="s">
        <v>1600</v>
      </c>
      <c r="E37" s="154">
        <v>526750</v>
      </c>
      <c r="F37" s="155">
        <v>2570.2800000000002</v>
      </c>
      <c r="G37" s="156">
        <v>7.1999999999999998E-3</v>
      </c>
      <c r="H37" s="157"/>
      <c r="I37" s="158"/>
      <c r="J37" s="139"/>
    </row>
    <row r="38" spans="1:10" ht="12.95" customHeight="1">
      <c r="A38" s="152" t="s">
        <v>953</v>
      </c>
      <c r="B38" s="153" t="s">
        <v>954</v>
      </c>
      <c r="C38" s="149" t="s">
        <v>955</v>
      </c>
      <c r="D38" s="149" t="s">
        <v>789</v>
      </c>
      <c r="E38" s="154">
        <v>1081600</v>
      </c>
      <c r="F38" s="155">
        <v>2554.1999999999998</v>
      </c>
      <c r="G38" s="156">
        <v>7.1999999999999998E-3</v>
      </c>
      <c r="H38" s="157"/>
      <c r="I38" s="158"/>
      <c r="J38" s="139"/>
    </row>
    <row r="39" spans="1:10" ht="12.95" customHeight="1">
      <c r="A39" s="152" t="s">
        <v>1541</v>
      </c>
      <c r="B39" s="153" t="s">
        <v>1542</v>
      </c>
      <c r="C39" s="149" t="s">
        <v>1543</v>
      </c>
      <c r="D39" s="149" t="s">
        <v>814</v>
      </c>
      <c r="E39" s="154">
        <v>327500</v>
      </c>
      <c r="F39" s="155">
        <v>2416.62</v>
      </c>
      <c r="G39" s="156">
        <v>6.7999999999999996E-3</v>
      </c>
      <c r="H39" s="157"/>
      <c r="I39" s="158"/>
      <c r="J39" s="139"/>
    </row>
    <row r="40" spans="1:10" ht="12.95" customHeight="1">
      <c r="A40" s="152" t="s">
        <v>720</v>
      </c>
      <c r="B40" s="153" t="s">
        <v>721</v>
      </c>
      <c r="C40" s="149" t="s">
        <v>722</v>
      </c>
      <c r="D40" s="149" t="s">
        <v>723</v>
      </c>
      <c r="E40" s="154">
        <v>28625</v>
      </c>
      <c r="F40" s="155">
        <v>2194.9899999999998</v>
      </c>
      <c r="G40" s="156">
        <v>6.1999999999999998E-3</v>
      </c>
      <c r="H40" s="157"/>
      <c r="I40" s="158"/>
      <c r="J40" s="139"/>
    </row>
    <row r="41" spans="1:10" ht="12.95" customHeight="1">
      <c r="A41" s="152" t="s">
        <v>1553</v>
      </c>
      <c r="B41" s="153" t="s">
        <v>1554</v>
      </c>
      <c r="C41" s="149" t="s">
        <v>1555</v>
      </c>
      <c r="D41" s="149" t="s">
        <v>1556</v>
      </c>
      <c r="E41" s="154">
        <v>1255500</v>
      </c>
      <c r="F41" s="155">
        <v>1993.11</v>
      </c>
      <c r="G41" s="156">
        <v>5.5999999999999999E-3</v>
      </c>
      <c r="H41" s="157"/>
      <c r="I41" s="158"/>
      <c r="J41" s="139"/>
    </row>
    <row r="42" spans="1:10" ht="12.95" customHeight="1">
      <c r="A42" s="152" t="s">
        <v>939</v>
      </c>
      <c r="B42" s="153" t="s">
        <v>940</v>
      </c>
      <c r="C42" s="149" t="s">
        <v>941</v>
      </c>
      <c r="D42" s="149" t="s">
        <v>782</v>
      </c>
      <c r="E42" s="154">
        <v>6300</v>
      </c>
      <c r="F42" s="155">
        <v>1820.8</v>
      </c>
      <c r="G42" s="156">
        <v>5.1000000000000004E-3</v>
      </c>
      <c r="H42" s="157"/>
      <c r="I42" s="158"/>
      <c r="J42" s="139"/>
    </row>
    <row r="43" spans="1:10" ht="12.95" customHeight="1">
      <c r="A43" s="152" t="s">
        <v>1759</v>
      </c>
      <c r="B43" s="153" t="s">
        <v>1760</v>
      </c>
      <c r="C43" s="149" t="s">
        <v>1761</v>
      </c>
      <c r="D43" s="149" t="s">
        <v>753</v>
      </c>
      <c r="E43" s="154">
        <v>253500</v>
      </c>
      <c r="F43" s="155">
        <v>1794.02</v>
      </c>
      <c r="G43" s="156">
        <v>5.0000000000000001E-3</v>
      </c>
      <c r="H43" s="157"/>
      <c r="I43" s="158"/>
      <c r="J43" s="139"/>
    </row>
    <row r="44" spans="1:10" ht="12.95" customHeight="1">
      <c r="A44" s="152" t="s">
        <v>740</v>
      </c>
      <c r="B44" s="153" t="s">
        <v>741</v>
      </c>
      <c r="C44" s="149" t="s">
        <v>742</v>
      </c>
      <c r="D44" s="149" t="s">
        <v>731</v>
      </c>
      <c r="E44" s="154">
        <v>103200</v>
      </c>
      <c r="F44" s="155">
        <v>1728.81</v>
      </c>
      <c r="G44" s="156">
        <v>4.7999999999999996E-3</v>
      </c>
      <c r="H44" s="157"/>
      <c r="I44" s="158"/>
      <c r="J44" s="139"/>
    </row>
    <row r="45" spans="1:10" ht="12.95" customHeight="1">
      <c r="A45" s="152" t="s">
        <v>1576</v>
      </c>
      <c r="B45" s="153" t="s">
        <v>1577</v>
      </c>
      <c r="C45" s="149" t="s">
        <v>1578</v>
      </c>
      <c r="D45" s="149" t="s">
        <v>1540</v>
      </c>
      <c r="E45" s="154">
        <v>114000</v>
      </c>
      <c r="F45" s="155">
        <v>1673.63</v>
      </c>
      <c r="G45" s="156">
        <v>4.7000000000000002E-3</v>
      </c>
      <c r="H45" s="157"/>
      <c r="I45" s="158"/>
      <c r="J45" s="139"/>
    </row>
    <row r="46" spans="1:10" ht="12.95" customHeight="1">
      <c r="A46" s="152" t="s">
        <v>988</v>
      </c>
      <c r="B46" s="153" t="s">
        <v>989</v>
      </c>
      <c r="C46" s="149" t="s">
        <v>990</v>
      </c>
      <c r="D46" s="149" t="s">
        <v>789</v>
      </c>
      <c r="E46" s="154">
        <v>262000</v>
      </c>
      <c r="F46" s="155">
        <v>1434.45</v>
      </c>
      <c r="G46" s="156">
        <v>4.0000000000000001E-3</v>
      </c>
      <c r="H46" s="157"/>
      <c r="I46" s="158"/>
      <c r="J46" s="139"/>
    </row>
    <row r="47" spans="1:10" ht="12.95" customHeight="1">
      <c r="A47" s="152" t="s">
        <v>891</v>
      </c>
      <c r="B47" s="153" t="s">
        <v>892</v>
      </c>
      <c r="C47" s="149" t="s">
        <v>893</v>
      </c>
      <c r="D47" s="149" t="s">
        <v>782</v>
      </c>
      <c r="E47" s="154">
        <v>18200</v>
      </c>
      <c r="F47" s="155">
        <v>1346.09</v>
      </c>
      <c r="G47" s="156">
        <v>3.8E-3</v>
      </c>
      <c r="H47" s="157"/>
      <c r="I47" s="158"/>
      <c r="J47" s="139"/>
    </row>
    <row r="48" spans="1:10" ht="12.95" customHeight="1">
      <c r="A48" s="152" t="s">
        <v>1762</v>
      </c>
      <c r="B48" s="153" t="s">
        <v>1763</v>
      </c>
      <c r="C48" s="149" t="s">
        <v>1764</v>
      </c>
      <c r="D48" s="149" t="s">
        <v>778</v>
      </c>
      <c r="E48" s="154">
        <v>88000</v>
      </c>
      <c r="F48" s="155">
        <v>1302.49</v>
      </c>
      <c r="G48" s="156">
        <v>3.7000000000000002E-3</v>
      </c>
      <c r="H48" s="157"/>
      <c r="I48" s="158"/>
      <c r="J48" s="139"/>
    </row>
    <row r="49" spans="1:10" ht="12.95" customHeight="1">
      <c r="A49" s="152" t="s">
        <v>808</v>
      </c>
      <c r="B49" s="153" t="s">
        <v>809</v>
      </c>
      <c r="C49" s="149" t="s">
        <v>810</v>
      </c>
      <c r="D49" s="149" t="s">
        <v>778</v>
      </c>
      <c r="E49" s="154">
        <v>161000</v>
      </c>
      <c r="F49" s="155">
        <v>1292.9100000000001</v>
      </c>
      <c r="G49" s="156">
        <v>3.5999999999999999E-3</v>
      </c>
      <c r="H49" s="157"/>
      <c r="I49" s="158"/>
      <c r="J49" s="139"/>
    </row>
    <row r="50" spans="1:10" ht="12.95" customHeight="1">
      <c r="A50" s="152" t="s">
        <v>1765</v>
      </c>
      <c r="B50" s="153" t="s">
        <v>1766</v>
      </c>
      <c r="C50" s="149" t="s">
        <v>1767</v>
      </c>
      <c r="D50" s="149" t="s">
        <v>749</v>
      </c>
      <c r="E50" s="154">
        <v>241500</v>
      </c>
      <c r="F50" s="155">
        <v>1232.74</v>
      </c>
      <c r="G50" s="156">
        <v>3.5000000000000001E-3</v>
      </c>
      <c r="H50" s="157"/>
      <c r="I50" s="158"/>
      <c r="J50" s="139"/>
    </row>
    <row r="51" spans="1:10" ht="12.95" customHeight="1">
      <c r="A51" s="152" t="s">
        <v>1768</v>
      </c>
      <c r="B51" s="153" t="s">
        <v>1769</v>
      </c>
      <c r="C51" s="149" t="s">
        <v>1770</v>
      </c>
      <c r="D51" s="149" t="s">
        <v>731</v>
      </c>
      <c r="E51" s="154">
        <v>88200</v>
      </c>
      <c r="F51" s="155">
        <v>1128.56</v>
      </c>
      <c r="G51" s="156">
        <v>3.2000000000000002E-3</v>
      </c>
      <c r="H51" s="157"/>
      <c r="I51" s="158"/>
      <c r="J51" s="139"/>
    </row>
    <row r="52" spans="1:10" ht="12.95" customHeight="1">
      <c r="A52" s="152" t="s">
        <v>972</v>
      </c>
      <c r="B52" s="153" t="s">
        <v>973</v>
      </c>
      <c r="C52" s="149" t="s">
        <v>974</v>
      </c>
      <c r="D52" s="149" t="s">
        <v>910</v>
      </c>
      <c r="E52" s="154">
        <v>23250</v>
      </c>
      <c r="F52" s="155">
        <v>1041.97</v>
      </c>
      <c r="G52" s="156">
        <v>2.8999999999999998E-3</v>
      </c>
      <c r="H52" s="157"/>
      <c r="I52" s="158"/>
      <c r="J52" s="139"/>
    </row>
    <row r="53" spans="1:10" ht="12.95" customHeight="1">
      <c r="A53" s="152" t="s">
        <v>1560</v>
      </c>
      <c r="B53" s="153" t="s">
        <v>1561</v>
      </c>
      <c r="C53" s="149" t="s">
        <v>1562</v>
      </c>
      <c r="D53" s="149" t="s">
        <v>1540</v>
      </c>
      <c r="E53" s="154">
        <v>696800</v>
      </c>
      <c r="F53" s="155">
        <v>996.42</v>
      </c>
      <c r="G53" s="156">
        <v>2.8E-3</v>
      </c>
      <c r="H53" s="157"/>
      <c r="I53" s="158"/>
      <c r="J53" s="139"/>
    </row>
    <row r="54" spans="1:10" ht="12.95" customHeight="1">
      <c r="A54" s="152" t="s">
        <v>1033</v>
      </c>
      <c r="B54" s="153" t="s">
        <v>1034</v>
      </c>
      <c r="C54" s="149" t="s">
        <v>1035</v>
      </c>
      <c r="D54" s="149" t="s">
        <v>814</v>
      </c>
      <c r="E54" s="154">
        <v>22750</v>
      </c>
      <c r="F54" s="155">
        <v>864.16</v>
      </c>
      <c r="G54" s="156">
        <v>2.3999999999999998E-3</v>
      </c>
      <c r="H54" s="157"/>
      <c r="I54" s="158"/>
      <c r="J54" s="139"/>
    </row>
    <row r="55" spans="1:10" ht="12.95" customHeight="1">
      <c r="A55" s="152" t="s">
        <v>1771</v>
      </c>
      <c r="B55" s="153" t="s">
        <v>1772</v>
      </c>
      <c r="C55" s="149" t="s">
        <v>1773</v>
      </c>
      <c r="D55" s="149" t="s">
        <v>782</v>
      </c>
      <c r="E55" s="154">
        <v>50350</v>
      </c>
      <c r="F55" s="155">
        <v>840.57</v>
      </c>
      <c r="G55" s="156">
        <v>2.3999999999999998E-3</v>
      </c>
      <c r="H55" s="157"/>
      <c r="I55" s="158"/>
      <c r="J55" s="139"/>
    </row>
    <row r="56" spans="1:10" ht="12.95" customHeight="1">
      <c r="A56" s="152" t="s">
        <v>981</v>
      </c>
      <c r="B56" s="153" t="s">
        <v>982</v>
      </c>
      <c r="C56" s="149" t="s">
        <v>983</v>
      </c>
      <c r="D56" s="149" t="s">
        <v>767</v>
      </c>
      <c r="E56" s="154">
        <v>57500</v>
      </c>
      <c r="F56" s="155">
        <v>789.53</v>
      </c>
      <c r="G56" s="156">
        <v>2.2000000000000001E-3</v>
      </c>
      <c r="H56" s="157"/>
      <c r="I56" s="158"/>
      <c r="J56" s="139"/>
    </row>
    <row r="57" spans="1:10" ht="12.95" customHeight="1">
      <c r="A57" s="152" t="s">
        <v>1774</v>
      </c>
      <c r="B57" s="153" t="s">
        <v>1775</v>
      </c>
      <c r="C57" s="149" t="s">
        <v>1776</v>
      </c>
      <c r="D57" s="149" t="s">
        <v>749</v>
      </c>
      <c r="E57" s="154">
        <v>207000</v>
      </c>
      <c r="F57" s="155">
        <v>750.79</v>
      </c>
      <c r="G57" s="156">
        <v>2.0999999999999999E-3</v>
      </c>
      <c r="H57" s="157"/>
      <c r="I57" s="158"/>
      <c r="J57" s="139"/>
    </row>
    <row r="58" spans="1:10" ht="12.95" customHeight="1">
      <c r="A58" s="152" t="s">
        <v>713</v>
      </c>
      <c r="B58" s="153" t="s">
        <v>714</v>
      </c>
      <c r="C58" s="149" t="s">
        <v>715</v>
      </c>
      <c r="D58" s="149" t="s">
        <v>685</v>
      </c>
      <c r="E58" s="154">
        <v>1856000</v>
      </c>
      <c r="F58" s="155">
        <v>744.26</v>
      </c>
      <c r="G58" s="156">
        <v>2.0999999999999999E-3</v>
      </c>
      <c r="H58" s="157"/>
      <c r="I58" s="158"/>
      <c r="J58" s="139"/>
    </row>
    <row r="59" spans="1:10" ht="12.95" customHeight="1">
      <c r="A59" s="152" t="s">
        <v>1777</v>
      </c>
      <c r="B59" s="153" t="s">
        <v>1778</v>
      </c>
      <c r="C59" s="149" t="s">
        <v>1779</v>
      </c>
      <c r="D59" s="149" t="s">
        <v>685</v>
      </c>
      <c r="E59" s="154">
        <v>900900</v>
      </c>
      <c r="F59" s="155">
        <v>736.49</v>
      </c>
      <c r="G59" s="156">
        <v>2.0999999999999999E-3</v>
      </c>
      <c r="H59" s="157"/>
      <c r="I59" s="158"/>
      <c r="J59" s="139"/>
    </row>
    <row r="60" spans="1:10" ht="12.95" customHeight="1">
      <c r="A60" s="152" t="s">
        <v>1780</v>
      </c>
      <c r="B60" s="153" t="s">
        <v>1781</v>
      </c>
      <c r="C60" s="149" t="s">
        <v>1782</v>
      </c>
      <c r="D60" s="149" t="s">
        <v>735</v>
      </c>
      <c r="E60" s="154">
        <v>229500</v>
      </c>
      <c r="F60" s="155">
        <v>688.5</v>
      </c>
      <c r="G60" s="156">
        <v>1.9E-3</v>
      </c>
      <c r="H60" s="157"/>
      <c r="I60" s="158"/>
      <c r="J60" s="139"/>
    </row>
    <row r="61" spans="1:10" ht="12.95" customHeight="1">
      <c r="A61" s="152" t="s">
        <v>1783</v>
      </c>
      <c r="B61" s="153" t="s">
        <v>1784</v>
      </c>
      <c r="C61" s="149" t="s">
        <v>1785</v>
      </c>
      <c r="D61" s="149" t="s">
        <v>727</v>
      </c>
      <c r="E61" s="154">
        <v>67200</v>
      </c>
      <c r="F61" s="155">
        <v>666.59</v>
      </c>
      <c r="G61" s="156">
        <v>1.9E-3</v>
      </c>
      <c r="H61" s="157"/>
      <c r="I61" s="158"/>
      <c r="J61" s="139"/>
    </row>
    <row r="62" spans="1:10" ht="12.95" customHeight="1">
      <c r="A62" s="152" t="s">
        <v>707</v>
      </c>
      <c r="B62" s="153" t="s">
        <v>708</v>
      </c>
      <c r="C62" s="149" t="s">
        <v>709</v>
      </c>
      <c r="D62" s="149" t="s">
        <v>685</v>
      </c>
      <c r="E62" s="154">
        <v>790000</v>
      </c>
      <c r="F62" s="155">
        <v>665.97</v>
      </c>
      <c r="G62" s="156">
        <v>1.9E-3</v>
      </c>
      <c r="H62" s="157"/>
      <c r="I62" s="158"/>
      <c r="J62" s="139"/>
    </row>
    <row r="63" spans="1:10" ht="12.95" customHeight="1">
      <c r="A63" s="152" t="s">
        <v>901</v>
      </c>
      <c r="B63" s="153" t="s">
        <v>902</v>
      </c>
      <c r="C63" s="149" t="s">
        <v>903</v>
      </c>
      <c r="D63" s="149" t="s">
        <v>767</v>
      </c>
      <c r="E63" s="154">
        <v>28125</v>
      </c>
      <c r="F63" s="155">
        <v>608.02</v>
      </c>
      <c r="G63" s="156">
        <v>1.6999999999999999E-3</v>
      </c>
      <c r="H63" s="157"/>
      <c r="I63" s="158"/>
      <c r="J63" s="139"/>
    </row>
    <row r="64" spans="1:10" ht="12.95" customHeight="1">
      <c r="A64" s="152" t="s">
        <v>978</v>
      </c>
      <c r="B64" s="153" t="s">
        <v>979</v>
      </c>
      <c r="C64" s="149" t="s">
        <v>980</v>
      </c>
      <c r="D64" s="149" t="s">
        <v>789</v>
      </c>
      <c r="E64" s="154">
        <v>91250</v>
      </c>
      <c r="F64" s="155">
        <v>563.05999999999995</v>
      </c>
      <c r="G64" s="156">
        <v>1.6000000000000001E-3</v>
      </c>
      <c r="H64" s="157"/>
      <c r="I64" s="158"/>
      <c r="J64" s="139"/>
    </row>
    <row r="65" spans="1:10" ht="12.95" customHeight="1">
      <c r="A65" s="152" t="s">
        <v>1786</v>
      </c>
      <c r="B65" s="153" t="s">
        <v>1787</v>
      </c>
      <c r="C65" s="149" t="s">
        <v>1788</v>
      </c>
      <c r="D65" s="149" t="s">
        <v>723</v>
      </c>
      <c r="E65" s="154">
        <v>304000</v>
      </c>
      <c r="F65" s="155">
        <v>563.01</v>
      </c>
      <c r="G65" s="156">
        <v>1.6000000000000001E-3</v>
      </c>
      <c r="H65" s="157"/>
      <c r="I65" s="158"/>
      <c r="J65" s="139"/>
    </row>
    <row r="66" spans="1:10" ht="12.95" customHeight="1">
      <c r="A66" s="152" t="s">
        <v>1789</v>
      </c>
      <c r="B66" s="153" t="s">
        <v>1790</v>
      </c>
      <c r="C66" s="149" t="s">
        <v>1791</v>
      </c>
      <c r="D66" s="149" t="s">
        <v>731</v>
      </c>
      <c r="E66" s="154">
        <v>11875</v>
      </c>
      <c r="F66" s="155">
        <v>541.02</v>
      </c>
      <c r="G66" s="156">
        <v>1.5E-3</v>
      </c>
      <c r="H66" s="157"/>
      <c r="I66" s="158"/>
      <c r="J66" s="139"/>
    </row>
    <row r="67" spans="1:10" ht="12.95" customHeight="1">
      <c r="A67" s="152" t="s">
        <v>1792</v>
      </c>
      <c r="B67" s="153" t="s">
        <v>1793</v>
      </c>
      <c r="C67" s="149" t="s">
        <v>1794</v>
      </c>
      <c r="D67" s="149" t="s">
        <v>723</v>
      </c>
      <c r="E67" s="154">
        <v>36750</v>
      </c>
      <c r="F67" s="155">
        <v>532.99</v>
      </c>
      <c r="G67" s="156">
        <v>1.5E-3</v>
      </c>
      <c r="H67" s="157"/>
      <c r="I67" s="158"/>
      <c r="J67" s="139"/>
    </row>
    <row r="68" spans="1:10" ht="12.95" customHeight="1">
      <c r="A68" s="152" t="s">
        <v>975</v>
      </c>
      <c r="B68" s="153" t="s">
        <v>976</v>
      </c>
      <c r="C68" s="149" t="s">
        <v>977</v>
      </c>
      <c r="D68" s="149" t="s">
        <v>778</v>
      </c>
      <c r="E68" s="154">
        <v>17700</v>
      </c>
      <c r="F68" s="155">
        <v>501.35</v>
      </c>
      <c r="G68" s="156">
        <v>1.4E-3</v>
      </c>
      <c r="H68" s="157"/>
      <c r="I68" s="158"/>
      <c r="J68" s="139"/>
    </row>
    <row r="69" spans="1:10" ht="12.95" customHeight="1">
      <c r="A69" s="152" t="s">
        <v>1795</v>
      </c>
      <c r="B69" s="153" t="s">
        <v>1796</v>
      </c>
      <c r="C69" s="149" t="s">
        <v>1797</v>
      </c>
      <c r="D69" s="149" t="s">
        <v>723</v>
      </c>
      <c r="E69" s="154">
        <v>69225</v>
      </c>
      <c r="F69" s="155">
        <v>475.44</v>
      </c>
      <c r="G69" s="156">
        <v>1.2999999999999999E-3</v>
      </c>
      <c r="H69" s="157"/>
      <c r="I69" s="158"/>
      <c r="J69" s="139"/>
    </row>
    <row r="70" spans="1:10" ht="12.95" customHeight="1">
      <c r="A70" s="152" t="s">
        <v>1798</v>
      </c>
      <c r="B70" s="153" t="s">
        <v>1799</v>
      </c>
      <c r="C70" s="149" t="s">
        <v>1800</v>
      </c>
      <c r="D70" s="149" t="s">
        <v>723</v>
      </c>
      <c r="E70" s="154">
        <v>481896</v>
      </c>
      <c r="F70" s="155">
        <v>438.28</v>
      </c>
      <c r="G70" s="156">
        <v>1.1999999999999999E-3</v>
      </c>
      <c r="H70" s="157"/>
      <c r="I70" s="158"/>
      <c r="J70" s="139"/>
    </row>
    <row r="71" spans="1:10" ht="12.95" customHeight="1">
      <c r="A71" s="152" t="s">
        <v>811</v>
      </c>
      <c r="B71" s="153" t="s">
        <v>812</v>
      </c>
      <c r="C71" s="149" t="s">
        <v>813</v>
      </c>
      <c r="D71" s="149" t="s">
        <v>814</v>
      </c>
      <c r="E71" s="154">
        <v>59394</v>
      </c>
      <c r="F71" s="155">
        <v>418.31</v>
      </c>
      <c r="G71" s="156">
        <v>1.1999999999999999E-3</v>
      </c>
      <c r="H71" s="157"/>
      <c r="I71" s="158"/>
      <c r="J71" s="139"/>
    </row>
    <row r="72" spans="1:10" ht="12.95" customHeight="1">
      <c r="A72" s="152" t="s">
        <v>1801</v>
      </c>
      <c r="B72" s="153" t="s">
        <v>1802</v>
      </c>
      <c r="C72" s="149" t="s">
        <v>1803</v>
      </c>
      <c r="D72" s="149" t="s">
        <v>723</v>
      </c>
      <c r="E72" s="154">
        <v>246000</v>
      </c>
      <c r="F72" s="155">
        <v>388.31</v>
      </c>
      <c r="G72" s="156">
        <v>1.1000000000000001E-3</v>
      </c>
      <c r="H72" s="157"/>
      <c r="I72" s="158"/>
      <c r="J72" s="139"/>
    </row>
    <row r="73" spans="1:10" ht="12.95" customHeight="1">
      <c r="A73" s="152" t="s">
        <v>1588</v>
      </c>
      <c r="B73" s="153" t="s">
        <v>1589</v>
      </c>
      <c r="C73" s="149" t="s">
        <v>1590</v>
      </c>
      <c r="D73" s="149" t="s">
        <v>727</v>
      </c>
      <c r="E73" s="154">
        <v>49500</v>
      </c>
      <c r="F73" s="155">
        <v>365.04</v>
      </c>
      <c r="G73" s="156">
        <v>1E-3</v>
      </c>
      <c r="H73" s="157"/>
      <c r="I73" s="158"/>
      <c r="J73" s="139"/>
    </row>
    <row r="74" spans="1:10" ht="12.95" customHeight="1">
      <c r="A74" s="152" t="s">
        <v>1804</v>
      </c>
      <c r="B74" s="153" t="s">
        <v>1805</v>
      </c>
      <c r="C74" s="149" t="s">
        <v>1806</v>
      </c>
      <c r="D74" s="149" t="s">
        <v>771</v>
      </c>
      <c r="E74" s="154">
        <v>201600</v>
      </c>
      <c r="F74" s="155">
        <v>359.35</v>
      </c>
      <c r="G74" s="156">
        <v>1E-3</v>
      </c>
      <c r="H74" s="157"/>
      <c r="I74" s="158"/>
      <c r="J74" s="139"/>
    </row>
    <row r="75" spans="1:10" ht="12.95" customHeight="1">
      <c r="A75" s="152" t="s">
        <v>1807</v>
      </c>
      <c r="B75" s="153" t="s">
        <v>1808</v>
      </c>
      <c r="C75" s="149" t="s">
        <v>1809</v>
      </c>
      <c r="D75" s="149" t="s">
        <v>749</v>
      </c>
      <c r="E75" s="154">
        <v>106950</v>
      </c>
      <c r="F75" s="155">
        <v>342.61</v>
      </c>
      <c r="G75" s="156">
        <v>1E-3</v>
      </c>
      <c r="H75" s="157"/>
      <c r="I75" s="158"/>
      <c r="J75" s="139"/>
    </row>
    <row r="76" spans="1:10" ht="12.95" customHeight="1">
      <c r="A76" s="152" t="s">
        <v>1726</v>
      </c>
      <c r="B76" s="153" t="s">
        <v>1727</v>
      </c>
      <c r="C76" s="149" t="s">
        <v>1728</v>
      </c>
      <c r="D76" s="149" t="s">
        <v>763</v>
      </c>
      <c r="E76" s="154">
        <v>13000</v>
      </c>
      <c r="F76" s="155">
        <v>309.64999999999998</v>
      </c>
      <c r="G76" s="156">
        <v>8.9999999999999998E-4</v>
      </c>
      <c r="H76" s="157"/>
      <c r="I76" s="158"/>
      <c r="J76" s="139"/>
    </row>
    <row r="77" spans="1:10" ht="12.95" customHeight="1">
      <c r="A77" s="152" t="s">
        <v>1810</v>
      </c>
      <c r="B77" s="153" t="s">
        <v>1811</v>
      </c>
      <c r="C77" s="149" t="s">
        <v>1812</v>
      </c>
      <c r="D77" s="149" t="s">
        <v>1569</v>
      </c>
      <c r="E77" s="154">
        <v>105000</v>
      </c>
      <c r="F77" s="155">
        <v>250.48</v>
      </c>
      <c r="G77" s="156">
        <v>6.9999999999999999E-4</v>
      </c>
      <c r="H77" s="157"/>
      <c r="I77" s="158"/>
      <c r="J77" s="139"/>
    </row>
    <row r="78" spans="1:10" ht="12.95" customHeight="1">
      <c r="A78" s="152" t="s">
        <v>1813</v>
      </c>
      <c r="B78" s="153" t="s">
        <v>1814</v>
      </c>
      <c r="C78" s="149" t="s">
        <v>1815</v>
      </c>
      <c r="D78" s="149" t="s">
        <v>771</v>
      </c>
      <c r="E78" s="154">
        <v>30000</v>
      </c>
      <c r="F78" s="155">
        <v>224.94</v>
      </c>
      <c r="G78" s="156">
        <v>5.9999999999999995E-4</v>
      </c>
      <c r="H78" s="157"/>
      <c r="I78" s="158"/>
      <c r="J78" s="139"/>
    </row>
    <row r="79" spans="1:10" ht="12.95" customHeight="1">
      <c r="A79" s="152" t="s">
        <v>1816</v>
      </c>
      <c r="B79" s="153" t="s">
        <v>1817</v>
      </c>
      <c r="C79" s="149" t="s">
        <v>1818</v>
      </c>
      <c r="D79" s="149" t="s">
        <v>749</v>
      </c>
      <c r="E79" s="154">
        <v>5600</v>
      </c>
      <c r="F79" s="155">
        <v>222.92</v>
      </c>
      <c r="G79" s="156">
        <v>5.9999999999999995E-4</v>
      </c>
      <c r="H79" s="157"/>
      <c r="I79" s="158"/>
      <c r="J79" s="139"/>
    </row>
    <row r="80" spans="1:10" ht="12.95" customHeight="1">
      <c r="A80" s="152" t="s">
        <v>1594</v>
      </c>
      <c r="B80" s="153" t="s">
        <v>1595</v>
      </c>
      <c r="C80" s="149" t="s">
        <v>1596</v>
      </c>
      <c r="D80" s="149" t="s">
        <v>723</v>
      </c>
      <c r="E80" s="154">
        <v>48000</v>
      </c>
      <c r="F80" s="155">
        <v>204.98</v>
      </c>
      <c r="G80" s="156">
        <v>5.9999999999999995E-4</v>
      </c>
      <c r="H80" s="157"/>
      <c r="I80" s="158"/>
      <c r="J80" s="139"/>
    </row>
    <row r="81" spans="1:10" ht="12.95" customHeight="1">
      <c r="A81" s="152" t="s">
        <v>1579</v>
      </c>
      <c r="B81" s="153" t="s">
        <v>1580</v>
      </c>
      <c r="C81" s="149" t="s">
        <v>1581</v>
      </c>
      <c r="D81" s="149" t="s">
        <v>723</v>
      </c>
      <c r="E81" s="154">
        <v>15200</v>
      </c>
      <c r="F81" s="155">
        <v>197.43</v>
      </c>
      <c r="G81" s="156">
        <v>5.9999999999999995E-4</v>
      </c>
      <c r="H81" s="157"/>
      <c r="I81" s="158"/>
      <c r="J81" s="139"/>
    </row>
    <row r="82" spans="1:10" ht="12.95" customHeight="1">
      <c r="A82" s="152" t="s">
        <v>1819</v>
      </c>
      <c r="B82" s="153" t="s">
        <v>1820</v>
      </c>
      <c r="C82" s="149" t="s">
        <v>1821</v>
      </c>
      <c r="D82" s="149" t="s">
        <v>771</v>
      </c>
      <c r="E82" s="154">
        <v>240</v>
      </c>
      <c r="F82" s="155">
        <v>190.5</v>
      </c>
      <c r="G82" s="156">
        <v>5.0000000000000001E-4</v>
      </c>
      <c r="H82" s="157"/>
      <c r="I82" s="158"/>
      <c r="J82" s="139"/>
    </row>
    <row r="83" spans="1:10" ht="12.95" customHeight="1">
      <c r="A83" s="152" t="s">
        <v>1822</v>
      </c>
      <c r="B83" s="153" t="s">
        <v>1823</v>
      </c>
      <c r="C83" s="149" t="s">
        <v>1824</v>
      </c>
      <c r="D83" s="149" t="s">
        <v>910</v>
      </c>
      <c r="E83" s="154">
        <v>30600</v>
      </c>
      <c r="F83" s="155">
        <v>183.57</v>
      </c>
      <c r="G83" s="156">
        <v>5.0000000000000001E-4</v>
      </c>
      <c r="H83" s="157"/>
      <c r="I83" s="158"/>
      <c r="J83" s="139"/>
    </row>
    <row r="84" spans="1:10" ht="12.95" customHeight="1">
      <c r="A84" s="152" t="s">
        <v>1825</v>
      </c>
      <c r="B84" s="153" t="s">
        <v>1826</v>
      </c>
      <c r="C84" s="149" t="s">
        <v>1827</v>
      </c>
      <c r="D84" s="149" t="s">
        <v>727</v>
      </c>
      <c r="E84" s="154">
        <v>7500</v>
      </c>
      <c r="F84" s="155">
        <v>179.18</v>
      </c>
      <c r="G84" s="156">
        <v>5.0000000000000001E-4</v>
      </c>
      <c r="H84" s="157"/>
      <c r="I84" s="158"/>
      <c r="J84" s="139"/>
    </row>
    <row r="85" spans="1:10" ht="12.95" customHeight="1">
      <c r="A85" s="152" t="s">
        <v>1591</v>
      </c>
      <c r="B85" s="153" t="s">
        <v>1592</v>
      </c>
      <c r="C85" s="149" t="s">
        <v>1593</v>
      </c>
      <c r="D85" s="149" t="s">
        <v>685</v>
      </c>
      <c r="E85" s="154">
        <v>102600</v>
      </c>
      <c r="F85" s="155">
        <v>177.5</v>
      </c>
      <c r="G85" s="156">
        <v>5.0000000000000001E-4</v>
      </c>
      <c r="H85" s="157"/>
      <c r="I85" s="158"/>
      <c r="J85" s="139"/>
    </row>
    <row r="86" spans="1:10" ht="12.95" customHeight="1">
      <c r="A86" s="152" t="s">
        <v>772</v>
      </c>
      <c r="B86" s="153" t="s">
        <v>773</v>
      </c>
      <c r="C86" s="149" t="s">
        <v>774</v>
      </c>
      <c r="D86" s="149" t="s">
        <v>731</v>
      </c>
      <c r="E86" s="154">
        <v>12000</v>
      </c>
      <c r="F86" s="155">
        <v>165.67</v>
      </c>
      <c r="G86" s="156">
        <v>5.0000000000000001E-4</v>
      </c>
      <c r="H86" s="157"/>
      <c r="I86" s="158"/>
      <c r="J86" s="139"/>
    </row>
    <row r="87" spans="1:10" ht="12.95" customHeight="1">
      <c r="A87" s="152" t="s">
        <v>876</v>
      </c>
      <c r="B87" s="153" t="s">
        <v>877</v>
      </c>
      <c r="C87" s="149" t="s">
        <v>878</v>
      </c>
      <c r="D87" s="149" t="s">
        <v>763</v>
      </c>
      <c r="E87" s="154">
        <v>1375</v>
      </c>
      <c r="F87" s="155">
        <v>155.09</v>
      </c>
      <c r="G87" s="156">
        <v>4.0000000000000002E-4</v>
      </c>
      <c r="H87" s="157"/>
      <c r="I87" s="158"/>
      <c r="J87" s="139"/>
    </row>
    <row r="88" spans="1:10" ht="12.95" customHeight="1">
      <c r="A88" s="152" t="s">
        <v>1828</v>
      </c>
      <c r="B88" s="153" t="s">
        <v>1829</v>
      </c>
      <c r="C88" s="149" t="s">
        <v>1830</v>
      </c>
      <c r="D88" s="149" t="s">
        <v>749</v>
      </c>
      <c r="E88" s="154">
        <v>2375</v>
      </c>
      <c r="F88" s="155">
        <v>132.55000000000001</v>
      </c>
      <c r="G88" s="156">
        <v>4.0000000000000002E-4</v>
      </c>
      <c r="H88" s="157"/>
      <c r="I88" s="158"/>
      <c r="J88" s="139"/>
    </row>
    <row r="89" spans="1:10" ht="12.95" customHeight="1">
      <c r="A89" s="152" t="s">
        <v>1831</v>
      </c>
      <c r="B89" s="153" t="s">
        <v>1832</v>
      </c>
      <c r="C89" s="149" t="s">
        <v>1833</v>
      </c>
      <c r="D89" s="149" t="s">
        <v>749</v>
      </c>
      <c r="E89" s="154">
        <v>3750</v>
      </c>
      <c r="F89" s="155">
        <v>115.71</v>
      </c>
      <c r="G89" s="156">
        <v>2.9999999999999997E-4</v>
      </c>
      <c r="H89" s="157"/>
      <c r="I89" s="158"/>
      <c r="J89" s="139"/>
    </row>
    <row r="90" spans="1:10" ht="12.95" customHeight="1">
      <c r="A90" s="152" t="s">
        <v>698</v>
      </c>
      <c r="B90" s="153" t="s">
        <v>699</v>
      </c>
      <c r="C90" s="149" t="s">
        <v>700</v>
      </c>
      <c r="D90" s="149" t="s">
        <v>685</v>
      </c>
      <c r="E90" s="154">
        <v>9900</v>
      </c>
      <c r="F90" s="155">
        <v>110.08</v>
      </c>
      <c r="G90" s="156">
        <v>2.9999999999999997E-4</v>
      </c>
      <c r="H90" s="157"/>
      <c r="I90" s="158"/>
      <c r="J90" s="139"/>
    </row>
    <row r="91" spans="1:10" ht="12.95" customHeight="1">
      <c r="A91" s="152" t="s">
        <v>815</v>
      </c>
      <c r="B91" s="153" t="s">
        <v>816</v>
      </c>
      <c r="C91" s="149" t="s">
        <v>817</v>
      </c>
      <c r="D91" s="149" t="s">
        <v>782</v>
      </c>
      <c r="E91" s="154">
        <v>11050</v>
      </c>
      <c r="F91" s="155">
        <v>108.8</v>
      </c>
      <c r="G91" s="156">
        <v>2.9999999999999997E-4</v>
      </c>
      <c r="H91" s="157"/>
      <c r="I91" s="158"/>
      <c r="J91" s="139"/>
    </row>
    <row r="92" spans="1:10" ht="12.95" customHeight="1">
      <c r="A92" s="152" t="s">
        <v>1570</v>
      </c>
      <c r="B92" s="153" t="s">
        <v>1571</v>
      </c>
      <c r="C92" s="149" t="s">
        <v>1572</v>
      </c>
      <c r="D92" s="149" t="s">
        <v>1569</v>
      </c>
      <c r="E92" s="154">
        <v>67100</v>
      </c>
      <c r="F92" s="155">
        <v>106.59</v>
      </c>
      <c r="G92" s="156">
        <v>2.9999999999999997E-4</v>
      </c>
      <c r="H92" s="157"/>
      <c r="I92" s="158"/>
      <c r="J92" s="139"/>
    </row>
    <row r="93" spans="1:10" ht="12.95" customHeight="1">
      <c r="A93" s="152" t="s">
        <v>701</v>
      </c>
      <c r="B93" s="153" t="s">
        <v>702</v>
      </c>
      <c r="C93" s="149" t="s">
        <v>703</v>
      </c>
      <c r="D93" s="149" t="s">
        <v>685</v>
      </c>
      <c r="E93" s="154">
        <v>8500</v>
      </c>
      <c r="F93" s="155">
        <v>98.96</v>
      </c>
      <c r="G93" s="156">
        <v>2.9999999999999997E-4</v>
      </c>
      <c r="H93" s="157"/>
      <c r="I93" s="158"/>
      <c r="J93" s="139"/>
    </row>
    <row r="94" spans="1:10" ht="12.95" customHeight="1">
      <c r="A94" s="152" t="s">
        <v>1582</v>
      </c>
      <c r="B94" s="153" t="s">
        <v>1583</v>
      </c>
      <c r="C94" s="149" t="s">
        <v>1584</v>
      </c>
      <c r="D94" s="149" t="s">
        <v>767</v>
      </c>
      <c r="E94" s="154">
        <v>4950</v>
      </c>
      <c r="F94" s="155">
        <v>88.02</v>
      </c>
      <c r="G94" s="156">
        <v>2.0000000000000001E-4</v>
      </c>
      <c r="H94" s="157"/>
      <c r="I94" s="158"/>
      <c r="J94" s="139"/>
    </row>
    <row r="95" spans="1:10" ht="12.95" customHeight="1">
      <c r="A95" s="152" t="s">
        <v>1834</v>
      </c>
      <c r="B95" s="153" t="s">
        <v>1835</v>
      </c>
      <c r="C95" s="149" t="s">
        <v>1836</v>
      </c>
      <c r="D95" s="149" t="s">
        <v>1569</v>
      </c>
      <c r="E95" s="154">
        <v>11250</v>
      </c>
      <c r="F95" s="155">
        <v>71.709999999999994</v>
      </c>
      <c r="G95" s="156">
        <v>2.0000000000000001E-4</v>
      </c>
      <c r="H95" s="157"/>
      <c r="I95" s="158"/>
      <c r="J95" s="139"/>
    </row>
    <row r="96" spans="1:10" ht="12.95" customHeight="1">
      <c r="A96" s="152" t="s">
        <v>1837</v>
      </c>
      <c r="B96" s="153" t="s">
        <v>1838</v>
      </c>
      <c r="C96" s="149" t="s">
        <v>1839</v>
      </c>
      <c r="D96" s="149" t="s">
        <v>763</v>
      </c>
      <c r="E96" s="154">
        <v>7000</v>
      </c>
      <c r="F96" s="155">
        <v>64.349999999999994</v>
      </c>
      <c r="G96" s="156">
        <v>2.0000000000000001E-4</v>
      </c>
      <c r="H96" s="157"/>
      <c r="I96" s="158"/>
      <c r="J96" s="139"/>
    </row>
    <row r="97" spans="1:10" ht="12.95" customHeight="1">
      <c r="A97" s="152" t="s">
        <v>1840</v>
      </c>
      <c r="B97" s="153" t="s">
        <v>1841</v>
      </c>
      <c r="C97" s="149" t="s">
        <v>1842</v>
      </c>
      <c r="D97" s="149" t="s">
        <v>1000</v>
      </c>
      <c r="E97" s="154">
        <v>9000</v>
      </c>
      <c r="F97" s="155">
        <v>45.48</v>
      </c>
      <c r="G97" s="156">
        <v>1E-4</v>
      </c>
      <c r="H97" s="157"/>
      <c r="I97" s="158"/>
      <c r="J97" s="139"/>
    </row>
    <row r="98" spans="1:10" ht="12.95" customHeight="1">
      <c r="A98" s="152" t="s">
        <v>1042</v>
      </c>
      <c r="B98" s="153" t="s">
        <v>1043</v>
      </c>
      <c r="C98" s="149" t="s">
        <v>1044</v>
      </c>
      <c r="D98" s="149" t="s">
        <v>739</v>
      </c>
      <c r="E98" s="154">
        <v>18200</v>
      </c>
      <c r="F98" s="155">
        <v>44.84</v>
      </c>
      <c r="G98" s="156">
        <v>1E-4</v>
      </c>
      <c r="H98" s="157"/>
      <c r="I98" s="158"/>
      <c r="J98" s="139"/>
    </row>
    <row r="99" spans="1:10" ht="12.95" customHeight="1">
      <c r="A99" s="152" t="s">
        <v>966</v>
      </c>
      <c r="B99" s="153" t="s">
        <v>967</v>
      </c>
      <c r="C99" s="149" t="s">
        <v>968</v>
      </c>
      <c r="D99" s="149" t="s">
        <v>789</v>
      </c>
      <c r="E99" s="154">
        <v>5400</v>
      </c>
      <c r="F99" s="155">
        <v>43.93</v>
      </c>
      <c r="G99" s="156">
        <v>1E-4</v>
      </c>
      <c r="H99" s="157"/>
      <c r="I99" s="158"/>
      <c r="J99" s="139"/>
    </row>
    <row r="100" spans="1:10" ht="12.95" customHeight="1">
      <c r="A100" s="152" t="s">
        <v>1585</v>
      </c>
      <c r="B100" s="153" t="s">
        <v>1586</v>
      </c>
      <c r="C100" s="149" t="s">
        <v>1587</v>
      </c>
      <c r="D100" s="149" t="s">
        <v>749</v>
      </c>
      <c r="E100" s="154">
        <v>7425</v>
      </c>
      <c r="F100" s="155">
        <v>43.77</v>
      </c>
      <c r="G100" s="156">
        <v>1E-4</v>
      </c>
      <c r="H100" s="157"/>
      <c r="I100" s="158"/>
      <c r="J100" s="139"/>
    </row>
    <row r="101" spans="1:10" ht="12.95" customHeight="1">
      <c r="A101" s="152" t="s">
        <v>1843</v>
      </c>
      <c r="B101" s="153" t="s">
        <v>1844</v>
      </c>
      <c r="C101" s="149" t="s">
        <v>1845</v>
      </c>
      <c r="D101" s="149" t="s">
        <v>836</v>
      </c>
      <c r="E101" s="154">
        <v>63000</v>
      </c>
      <c r="F101" s="155">
        <v>40.729999999999997</v>
      </c>
      <c r="G101" s="156">
        <v>1E-4</v>
      </c>
      <c r="H101" s="157"/>
      <c r="I101" s="158"/>
      <c r="J101" s="139"/>
    </row>
    <row r="102" spans="1:10" ht="12.95" customHeight="1">
      <c r="A102" s="152" t="s">
        <v>963</v>
      </c>
      <c r="B102" s="153" t="s">
        <v>964</v>
      </c>
      <c r="C102" s="149" t="s">
        <v>965</v>
      </c>
      <c r="D102" s="149" t="s">
        <v>739</v>
      </c>
      <c r="E102" s="154">
        <v>625</v>
      </c>
      <c r="F102" s="155">
        <v>40.200000000000003</v>
      </c>
      <c r="G102" s="156">
        <v>1E-4</v>
      </c>
      <c r="H102" s="157"/>
      <c r="I102" s="158"/>
      <c r="J102" s="139"/>
    </row>
    <row r="103" spans="1:10" ht="12.95" customHeight="1">
      <c r="A103" s="152" t="s">
        <v>969</v>
      </c>
      <c r="B103" s="153" t="s">
        <v>970</v>
      </c>
      <c r="C103" s="149" t="s">
        <v>971</v>
      </c>
      <c r="D103" s="149" t="s">
        <v>789</v>
      </c>
      <c r="E103" s="154">
        <v>1000</v>
      </c>
      <c r="F103" s="155">
        <v>39.49</v>
      </c>
      <c r="G103" s="156">
        <v>1E-4</v>
      </c>
      <c r="H103" s="157"/>
      <c r="I103" s="158"/>
      <c r="J103" s="139"/>
    </row>
    <row r="104" spans="1:10" ht="12.95" customHeight="1">
      <c r="A104" s="152" t="s">
        <v>1004</v>
      </c>
      <c r="B104" s="153" t="s">
        <v>1005</v>
      </c>
      <c r="C104" s="149" t="s">
        <v>1006</v>
      </c>
      <c r="D104" s="149" t="s">
        <v>739</v>
      </c>
      <c r="E104" s="154">
        <v>3625</v>
      </c>
      <c r="F104" s="155">
        <v>37.19</v>
      </c>
      <c r="G104" s="156">
        <v>1E-4</v>
      </c>
      <c r="H104" s="157"/>
      <c r="I104" s="158"/>
      <c r="J104" s="139"/>
    </row>
    <row r="105" spans="1:10" ht="12.95" customHeight="1">
      <c r="A105" s="152" t="s">
        <v>1846</v>
      </c>
      <c r="B105" s="153" t="s">
        <v>1847</v>
      </c>
      <c r="C105" s="149" t="s">
        <v>1848</v>
      </c>
      <c r="D105" s="149" t="s">
        <v>763</v>
      </c>
      <c r="E105" s="154">
        <v>1500</v>
      </c>
      <c r="F105" s="155">
        <v>36.1</v>
      </c>
      <c r="G105" s="156">
        <v>1E-4</v>
      </c>
      <c r="H105" s="157"/>
      <c r="I105" s="158"/>
      <c r="J105" s="139"/>
    </row>
    <row r="106" spans="1:10" ht="12.95" customHeight="1">
      <c r="A106" s="152" t="s">
        <v>1849</v>
      </c>
      <c r="B106" s="153" t="s">
        <v>1850</v>
      </c>
      <c r="C106" s="149" t="s">
        <v>1851</v>
      </c>
      <c r="D106" s="149" t="s">
        <v>749</v>
      </c>
      <c r="E106" s="154">
        <v>4400</v>
      </c>
      <c r="F106" s="155">
        <v>34.72</v>
      </c>
      <c r="G106" s="156">
        <v>1E-4</v>
      </c>
      <c r="H106" s="157"/>
      <c r="I106" s="158"/>
      <c r="J106" s="139"/>
    </row>
    <row r="107" spans="1:10" ht="12.95" customHeight="1">
      <c r="A107" s="152" t="s">
        <v>1852</v>
      </c>
      <c r="B107" s="153" t="s">
        <v>1853</v>
      </c>
      <c r="C107" s="149" t="s">
        <v>1854</v>
      </c>
      <c r="D107" s="149" t="s">
        <v>1569</v>
      </c>
      <c r="E107" s="154">
        <v>3000</v>
      </c>
      <c r="F107" s="155">
        <v>32.479999999999997</v>
      </c>
      <c r="G107" s="156">
        <v>1E-4</v>
      </c>
      <c r="H107" s="157"/>
      <c r="I107" s="158"/>
      <c r="J107" s="139"/>
    </row>
    <row r="108" spans="1:10" ht="12.95" customHeight="1">
      <c r="A108" s="152" t="s">
        <v>1855</v>
      </c>
      <c r="B108" s="153" t="s">
        <v>1856</v>
      </c>
      <c r="C108" s="149" t="s">
        <v>1857</v>
      </c>
      <c r="D108" s="149" t="s">
        <v>749</v>
      </c>
      <c r="E108" s="154">
        <v>3400</v>
      </c>
      <c r="F108" s="155">
        <v>32.35</v>
      </c>
      <c r="G108" s="156">
        <v>1E-4</v>
      </c>
      <c r="H108" s="157"/>
      <c r="I108" s="158"/>
      <c r="J108" s="139"/>
    </row>
    <row r="109" spans="1:10" ht="12.95" customHeight="1">
      <c r="A109" s="152" t="s">
        <v>1858</v>
      </c>
      <c r="B109" s="153" t="s">
        <v>1859</v>
      </c>
      <c r="C109" s="149" t="s">
        <v>1860</v>
      </c>
      <c r="D109" s="149" t="s">
        <v>1556</v>
      </c>
      <c r="E109" s="154">
        <v>4500</v>
      </c>
      <c r="F109" s="155">
        <v>22.73</v>
      </c>
      <c r="G109" s="156">
        <v>1E-4</v>
      </c>
      <c r="H109" s="157"/>
      <c r="I109" s="158"/>
      <c r="J109" s="139"/>
    </row>
    <row r="110" spans="1:10" ht="12.95" customHeight="1">
      <c r="A110" s="152" t="s">
        <v>942</v>
      </c>
      <c r="B110" s="153" t="s">
        <v>943</v>
      </c>
      <c r="C110" s="149" t="s">
        <v>944</v>
      </c>
      <c r="D110" s="149" t="s">
        <v>945</v>
      </c>
      <c r="E110" s="154">
        <v>1150</v>
      </c>
      <c r="F110" s="155">
        <v>19.579999999999998</v>
      </c>
      <c r="G110" s="156">
        <v>1E-4</v>
      </c>
      <c r="H110" s="157"/>
      <c r="I110" s="158"/>
      <c r="J110" s="139"/>
    </row>
    <row r="111" spans="1:10" ht="12.95" customHeight="1">
      <c r="A111" s="152" t="s">
        <v>1861</v>
      </c>
      <c r="B111" s="153" t="s">
        <v>1862</v>
      </c>
      <c r="C111" s="149" t="s">
        <v>1863</v>
      </c>
      <c r="D111" s="149" t="s">
        <v>836</v>
      </c>
      <c r="E111" s="154">
        <v>550</v>
      </c>
      <c r="F111" s="155">
        <v>11.71</v>
      </c>
      <c r="G111" s="157" t="s">
        <v>643</v>
      </c>
      <c r="H111" s="157"/>
      <c r="I111" s="158"/>
      <c r="J111" s="139"/>
    </row>
    <row r="112" spans="1:10" ht="12.95" customHeight="1">
      <c r="A112" s="152" t="s">
        <v>1864</v>
      </c>
      <c r="B112" s="153" t="s">
        <v>1865</v>
      </c>
      <c r="C112" s="149" t="s">
        <v>1866</v>
      </c>
      <c r="D112" s="149" t="s">
        <v>731</v>
      </c>
      <c r="E112" s="154">
        <v>150</v>
      </c>
      <c r="F112" s="155">
        <v>8.65</v>
      </c>
      <c r="G112" s="157" t="s">
        <v>643</v>
      </c>
      <c r="H112" s="157"/>
      <c r="I112" s="158"/>
      <c r="J112" s="139"/>
    </row>
    <row r="113" spans="1:10" ht="12.95" customHeight="1">
      <c r="A113" s="152" t="s">
        <v>1566</v>
      </c>
      <c r="B113" s="153" t="s">
        <v>1567</v>
      </c>
      <c r="C113" s="149" t="s">
        <v>1568</v>
      </c>
      <c r="D113" s="149" t="s">
        <v>1569</v>
      </c>
      <c r="E113" s="154">
        <v>1375</v>
      </c>
      <c r="F113" s="155">
        <v>7.33</v>
      </c>
      <c r="G113" s="157" t="s">
        <v>643</v>
      </c>
      <c r="H113" s="157"/>
      <c r="I113" s="158"/>
      <c r="J113" s="139"/>
    </row>
    <row r="114" spans="1:10" ht="12.95" customHeight="1">
      <c r="A114" s="139"/>
      <c r="B114" s="148" t="s">
        <v>172</v>
      </c>
      <c r="C114" s="149"/>
      <c r="D114" s="149"/>
      <c r="E114" s="149"/>
      <c r="F114" s="159">
        <v>238492.11</v>
      </c>
      <c r="G114" s="160">
        <v>0.66849999999999998</v>
      </c>
      <c r="H114" s="161"/>
      <c r="I114" s="162"/>
      <c r="J114" s="139"/>
    </row>
    <row r="115" spans="1:10" ht="12.95" customHeight="1">
      <c r="A115" s="139"/>
      <c r="B115" s="163" t="s">
        <v>719</v>
      </c>
      <c r="C115" s="164"/>
      <c r="D115" s="164"/>
      <c r="E115" s="164"/>
      <c r="F115" s="161" t="s">
        <v>204</v>
      </c>
      <c r="G115" s="161" t="s">
        <v>204</v>
      </c>
      <c r="H115" s="161"/>
      <c r="I115" s="162"/>
      <c r="J115" s="139"/>
    </row>
    <row r="116" spans="1:10" ht="12.95" customHeight="1">
      <c r="A116" s="139"/>
      <c r="B116" s="163" t="s">
        <v>172</v>
      </c>
      <c r="C116" s="164"/>
      <c r="D116" s="164"/>
      <c r="E116" s="164"/>
      <c r="F116" s="161" t="s">
        <v>204</v>
      </c>
      <c r="G116" s="161" t="s">
        <v>204</v>
      </c>
      <c r="H116" s="161"/>
      <c r="I116" s="162"/>
      <c r="J116" s="139"/>
    </row>
    <row r="117" spans="1:10" ht="12.95" customHeight="1">
      <c r="A117" s="139"/>
      <c r="B117" s="163" t="s">
        <v>177</v>
      </c>
      <c r="C117" s="165"/>
      <c r="D117" s="164"/>
      <c r="E117" s="165"/>
      <c r="F117" s="159">
        <v>238492.11</v>
      </c>
      <c r="G117" s="160">
        <v>0.66849999999999998</v>
      </c>
      <c r="H117" s="161"/>
      <c r="I117" s="162"/>
      <c r="J117" s="139"/>
    </row>
    <row r="118" spans="1:10" ht="12.95" customHeight="1">
      <c r="A118" s="139"/>
      <c r="B118" s="148" t="s">
        <v>860</v>
      </c>
      <c r="C118" s="149"/>
      <c r="D118" s="149"/>
      <c r="E118" s="149"/>
      <c r="F118" s="149"/>
      <c r="G118" s="149"/>
      <c r="H118" s="150"/>
      <c r="I118" s="151"/>
      <c r="J118" s="139"/>
    </row>
    <row r="119" spans="1:10" ht="12.95" customHeight="1">
      <c r="A119" s="139"/>
      <c r="B119" s="148" t="s">
        <v>1601</v>
      </c>
      <c r="C119" s="149"/>
      <c r="D119" s="149"/>
      <c r="E119" s="149"/>
      <c r="F119" s="139"/>
      <c r="G119" s="150"/>
      <c r="H119" s="150"/>
      <c r="I119" s="151"/>
      <c r="J119" s="139"/>
    </row>
    <row r="120" spans="1:10" ht="12.95" customHeight="1">
      <c r="A120" s="152" t="s">
        <v>1630</v>
      </c>
      <c r="B120" s="153" t="s">
        <v>1631</v>
      </c>
      <c r="C120" s="149"/>
      <c r="D120" s="149"/>
      <c r="E120" s="154">
        <v>-1375</v>
      </c>
      <c r="F120" s="155">
        <v>-7.36</v>
      </c>
      <c r="G120" s="157" t="s">
        <v>643</v>
      </c>
      <c r="H120" s="157"/>
      <c r="I120" s="158"/>
      <c r="J120" s="139"/>
    </row>
    <row r="121" spans="1:10" ht="12.95" customHeight="1">
      <c r="A121" s="152" t="s">
        <v>1867</v>
      </c>
      <c r="B121" s="153" t="s">
        <v>1868</v>
      </c>
      <c r="C121" s="149"/>
      <c r="D121" s="149"/>
      <c r="E121" s="154">
        <v>-150</v>
      </c>
      <c r="F121" s="155">
        <v>-8.66</v>
      </c>
      <c r="G121" s="157" t="s">
        <v>643</v>
      </c>
      <c r="H121" s="157"/>
      <c r="I121" s="158"/>
      <c r="J121" s="139"/>
    </row>
    <row r="122" spans="1:10" ht="12.95" customHeight="1">
      <c r="A122" s="152" t="s">
        <v>1869</v>
      </c>
      <c r="B122" s="153" t="s">
        <v>1870</v>
      </c>
      <c r="C122" s="149"/>
      <c r="D122" s="149"/>
      <c r="E122" s="154">
        <v>-550</v>
      </c>
      <c r="F122" s="155">
        <v>-11.74</v>
      </c>
      <c r="G122" s="157" t="s">
        <v>643</v>
      </c>
      <c r="H122" s="157"/>
      <c r="I122" s="158"/>
      <c r="J122" s="139"/>
    </row>
    <row r="123" spans="1:10" ht="12.95" customHeight="1">
      <c r="A123" s="152" t="s">
        <v>1871</v>
      </c>
      <c r="B123" s="153" t="s">
        <v>1872</v>
      </c>
      <c r="C123" s="149"/>
      <c r="D123" s="149"/>
      <c r="E123" s="154">
        <v>-1150</v>
      </c>
      <c r="F123" s="155">
        <v>-19.64</v>
      </c>
      <c r="G123" s="156">
        <v>-1E-4</v>
      </c>
      <c r="H123" s="157"/>
      <c r="I123" s="158"/>
      <c r="J123" s="139"/>
    </row>
    <row r="124" spans="1:10" ht="12.95" customHeight="1">
      <c r="A124" s="152" t="s">
        <v>1873</v>
      </c>
      <c r="B124" s="153" t="s">
        <v>1874</v>
      </c>
      <c r="C124" s="149"/>
      <c r="D124" s="149"/>
      <c r="E124" s="154">
        <v>-4500</v>
      </c>
      <c r="F124" s="155">
        <v>-22.87</v>
      </c>
      <c r="G124" s="156">
        <v>-1E-4</v>
      </c>
      <c r="H124" s="157"/>
      <c r="I124" s="158"/>
      <c r="J124" s="139"/>
    </row>
    <row r="125" spans="1:10" ht="12.95" customHeight="1">
      <c r="A125" s="152" t="s">
        <v>1875</v>
      </c>
      <c r="B125" s="153" t="s">
        <v>1876</v>
      </c>
      <c r="C125" s="149"/>
      <c r="D125" s="149"/>
      <c r="E125" s="154">
        <v>-3400</v>
      </c>
      <c r="F125" s="155">
        <v>-32.479999999999997</v>
      </c>
      <c r="G125" s="156">
        <v>-1E-4</v>
      </c>
      <c r="H125" s="157"/>
      <c r="I125" s="158"/>
      <c r="J125" s="139"/>
    </row>
    <row r="126" spans="1:10" ht="12.95" customHeight="1">
      <c r="A126" s="152" t="s">
        <v>1877</v>
      </c>
      <c r="B126" s="153" t="s">
        <v>1878</v>
      </c>
      <c r="C126" s="149"/>
      <c r="D126" s="149"/>
      <c r="E126" s="154">
        <v>-3000</v>
      </c>
      <c r="F126" s="155">
        <v>-32.659999999999997</v>
      </c>
      <c r="G126" s="156">
        <v>-1E-4</v>
      </c>
      <c r="H126" s="157"/>
      <c r="I126" s="158"/>
      <c r="J126" s="139"/>
    </row>
    <row r="127" spans="1:10" ht="12.95" customHeight="1">
      <c r="A127" s="152" t="s">
        <v>1879</v>
      </c>
      <c r="B127" s="153" t="s">
        <v>1880</v>
      </c>
      <c r="C127" s="149"/>
      <c r="D127" s="149"/>
      <c r="E127" s="154">
        <v>-4400</v>
      </c>
      <c r="F127" s="155">
        <v>-34.799999999999997</v>
      </c>
      <c r="G127" s="156">
        <v>-1E-4</v>
      </c>
      <c r="H127" s="157"/>
      <c r="I127" s="158"/>
      <c r="J127" s="139"/>
    </row>
    <row r="128" spans="1:10" ht="12.95" customHeight="1">
      <c r="A128" s="152" t="s">
        <v>1881</v>
      </c>
      <c r="B128" s="153" t="s">
        <v>1882</v>
      </c>
      <c r="C128" s="149"/>
      <c r="D128" s="149"/>
      <c r="E128" s="154">
        <v>-1500</v>
      </c>
      <c r="F128" s="155">
        <v>-36.15</v>
      </c>
      <c r="G128" s="156">
        <v>-1E-4</v>
      </c>
      <c r="H128" s="157"/>
      <c r="I128" s="158"/>
      <c r="J128" s="139"/>
    </row>
    <row r="129" spans="1:10" ht="12.95" customHeight="1">
      <c r="A129" s="152" t="s">
        <v>1883</v>
      </c>
      <c r="B129" s="153" t="s">
        <v>1884</v>
      </c>
      <c r="C129" s="149"/>
      <c r="D129" s="149"/>
      <c r="E129" s="154">
        <v>-3625</v>
      </c>
      <c r="F129" s="155">
        <v>-37.33</v>
      </c>
      <c r="G129" s="156">
        <v>-1E-4</v>
      </c>
      <c r="H129" s="157"/>
      <c r="I129" s="158"/>
      <c r="J129" s="139"/>
    </row>
    <row r="130" spans="1:10" ht="12.95" customHeight="1">
      <c r="A130" s="152" t="s">
        <v>1885</v>
      </c>
      <c r="B130" s="153" t="s">
        <v>1886</v>
      </c>
      <c r="C130" s="149"/>
      <c r="D130" s="149"/>
      <c r="E130" s="154">
        <v>-1000</v>
      </c>
      <c r="F130" s="155">
        <v>-39.69</v>
      </c>
      <c r="G130" s="156">
        <v>-1E-4</v>
      </c>
      <c r="H130" s="157"/>
      <c r="I130" s="158"/>
      <c r="J130" s="139"/>
    </row>
    <row r="131" spans="1:10" ht="12.95" customHeight="1">
      <c r="A131" s="152" t="s">
        <v>1887</v>
      </c>
      <c r="B131" s="153" t="s">
        <v>1888</v>
      </c>
      <c r="C131" s="149"/>
      <c r="D131" s="149"/>
      <c r="E131" s="154">
        <v>-625</v>
      </c>
      <c r="F131" s="155">
        <v>-40.340000000000003</v>
      </c>
      <c r="G131" s="156">
        <v>-1E-4</v>
      </c>
      <c r="H131" s="157"/>
      <c r="I131" s="158"/>
      <c r="J131" s="139"/>
    </row>
    <row r="132" spans="1:10" ht="12.95" customHeight="1">
      <c r="A132" s="152" t="s">
        <v>1889</v>
      </c>
      <c r="B132" s="153" t="s">
        <v>1890</v>
      </c>
      <c r="C132" s="149"/>
      <c r="D132" s="149"/>
      <c r="E132" s="154">
        <v>-63000</v>
      </c>
      <c r="F132" s="155">
        <v>-40.89</v>
      </c>
      <c r="G132" s="156">
        <v>-1E-4</v>
      </c>
      <c r="H132" s="157"/>
      <c r="I132" s="158"/>
      <c r="J132" s="139"/>
    </row>
    <row r="133" spans="1:10" ht="12.95" customHeight="1">
      <c r="A133" s="152" t="s">
        <v>1612</v>
      </c>
      <c r="B133" s="153" t="s">
        <v>1613</v>
      </c>
      <c r="C133" s="149"/>
      <c r="D133" s="149"/>
      <c r="E133" s="154">
        <v>-7425</v>
      </c>
      <c r="F133" s="155">
        <v>-44</v>
      </c>
      <c r="G133" s="156">
        <v>-1E-4</v>
      </c>
      <c r="H133" s="157"/>
      <c r="I133" s="158"/>
      <c r="J133" s="139"/>
    </row>
    <row r="134" spans="1:10" ht="12.95" customHeight="1">
      <c r="A134" s="152" t="s">
        <v>1626</v>
      </c>
      <c r="B134" s="153" t="s">
        <v>1627</v>
      </c>
      <c r="C134" s="149"/>
      <c r="D134" s="149"/>
      <c r="E134" s="154">
        <v>-5400</v>
      </c>
      <c r="F134" s="155">
        <v>-44.17</v>
      </c>
      <c r="G134" s="156">
        <v>-1E-4</v>
      </c>
      <c r="H134" s="157"/>
      <c r="I134" s="158"/>
      <c r="J134" s="139"/>
    </row>
    <row r="135" spans="1:10" ht="12.95" customHeight="1">
      <c r="A135" s="152" t="s">
        <v>1642</v>
      </c>
      <c r="B135" s="153" t="s">
        <v>1643</v>
      </c>
      <c r="C135" s="149"/>
      <c r="D135" s="149"/>
      <c r="E135" s="154">
        <v>-18200</v>
      </c>
      <c r="F135" s="155">
        <v>-45.01</v>
      </c>
      <c r="G135" s="156">
        <v>-1E-4</v>
      </c>
      <c r="H135" s="157"/>
      <c r="I135" s="158"/>
      <c r="J135" s="139"/>
    </row>
    <row r="136" spans="1:10" ht="12.95" customHeight="1">
      <c r="A136" s="152" t="s">
        <v>1891</v>
      </c>
      <c r="B136" s="153" t="s">
        <v>1892</v>
      </c>
      <c r="C136" s="149"/>
      <c r="D136" s="149"/>
      <c r="E136" s="154">
        <v>-9000</v>
      </c>
      <c r="F136" s="155">
        <v>-45.89</v>
      </c>
      <c r="G136" s="156">
        <v>-1E-4</v>
      </c>
      <c r="H136" s="157"/>
      <c r="I136" s="158"/>
      <c r="J136" s="139"/>
    </row>
    <row r="137" spans="1:10" ht="12.95" customHeight="1">
      <c r="A137" s="152" t="s">
        <v>1893</v>
      </c>
      <c r="B137" s="153" t="s">
        <v>1894</v>
      </c>
      <c r="C137" s="149"/>
      <c r="D137" s="149"/>
      <c r="E137" s="154">
        <v>-7000</v>
      </c>
      <c r="F137" s="155">
        <v>-64.69</v>
      </c>
      <c r="G137" s="156">
        <v>-2.0000000000000001E-4</v>
      </c>
      <c r="H137" s="157"/>
      <c r="I137" s="158"/>
      <c r="J137" s="139"/>
    </row>
    <row r="138" spans="1:10" ht="12.95" customHeight="1">
      <c r="A138" s="152" t="s">
        <v>1895</v>
      </c>
      <c r="B138" s="153" t="s">
        <v>1896</v>
      </c>
      <c r="C138" s="149"/>
      <c r="D138" s="149"/>
      <c r="E138" s="154">
        <v>-11250</v>
      </c>
      <c r="F138" s="155">
        <v>-72.099999999999994</v>
      </c>
      <c r="G138" s="156">
        <v>-2.0000000000000001E-4</v>
      </c>
      <c r="H138" s="157"/>
      <c r="I138" s="158"/>
      <c r="J138" s="139"/>
    </row>
    <row r="139" spans="1:10" ht="12.95" customHeight="1">
      <c r="A139" s="152" t="s">
        <v>1616</v>
      </c>
      <c r="B139" s="153" t="s">
        <v>1617</v>
      </c>
      <c r="C139" s="149"/>
      <c r="D139" s="149"/>
      <c r="E139" s="154">
        <v>-4950</v>
      </c>
      <c r="F139" s="155">
        <v>-88.29</v>
      </c>
      <c r="G139" s="156">
        <v>-2.0000000000000001E-4</v>
      </c>
      <c r="H139" s="157"/>
      <c r="I139" s="158"/>
      <c r="J139" s="139"/>
    </row>
    <row r="140" spans="1:10" ht="12.95" customHeight="1">
      <c r="A140" s="152" t="s">
        <v>1897</v>
      </c>
      <c r="B140" s="153" t="s">
        <v>1898</v>
      </c>
      <c r="C140" s="149"/>
      <c r="D140" s="149"/>
      <c r="E140" s="154">
        <v>-8500</v>
      </c>
      <c r="F140" s="155">
        <v>-99.35</v>
      </c>
      <c r="G140" s="156">
        <v>-2.9999999999999997E-4</v>
      </c>
      <c r="H140" s="157"/>
      <c r="I140" s="158"/>
      <c r="J140" s="139"/>
    </row>
    <row r="141" spans="1:10" ht="12.95" customHeight="1">
      <c r="A141" s="152" t="s">
        <v>1628</v>
      </c>
      <c r="B141" s="153" t="s">
        <v>1629</v>
      </c>
      <c r="C141" s="149"/>
      <c r="D141" s="149"/>
      <c r="E141" s="154">
        <v>-67100</v>
      </c>
      <c r="F141" s="155">
        <v>-107.26</v>
      </c>
      <c r="G141" s="156">
        <v>-2.9999999999999997E-4</v>
      </c>
      <c r="H141" s="157"/>
      <c r="I141" s="158"/>
      <c r="J141" s="139"/>
    </row>
    <row r="142" spans="1:10" ht="12.95" customHeight="1">
      <c r="A142" s="152" t="s">
        <v>1899</v>
      </c>
      <c r="B142" s="153" t="s">
        <v>1900</v>
      </c>
      <c r="C142" s="149"/>
      <c r="D142" s="149"/>
      <c r="E142" s="154">
        <v>-11050</v>
      </c>
      <c r="F142" s="155">
        <v>-108.91</v>
      </c>
      <c r="G142" s="156">
        <v>-2.9999999999999997E-4</v>
      </c>
      <c r="H142" s="157"/>
      <c r="I142" s="158"/>
      <c r="J142" s="139"/>
    </row>
    <row r="143" spans="1:10" ht="12.95" customHeight="1">
      <c r="A143" s="152" t="s">
        <v>1901</v>
      </c>
      <c r="B143" s="153" t="s">
        <v>1902</v>
      </c>
      <c r="C143" s="149"/>
      <c r="D143" s="149"/>
      <c r="E143" s="154">
        <v>-9900</v>
      </c>
      <c r="F143" s="155">
        <v>-110.65</v>
      </c>
      <c r="G143" s="156">
        <v>-2.9999999999999997E-4</v>
      </c>
      <c r="H143" s="157"/>
      <c r="I143" s="158"/>
      <c r="J143" s="139"/>
    </row>
    <row r="144" spans="1:10" ht="12.95" customHeight="1">
      <c r="A144" s="152" t="s">
        <v>1903</v>
      </c>
      <c r="B144" s="153" t="s">
        <v>1904</v>
      </c>
      <c r="C144" s="149"/>
      <c r="D144" s="149"/>
      <c r="E144" s="154">
        <v>-3750</v>
      </c>
      <c r="F144" s="155">
        <v>-115.96</v>
      </c>
      <c r="G144" s="156">
        <v>-2.9999999999999997E-4</v>
      </c>
      <c r="H144" s="157"/>
      <c r="I144" s="158"/>
      <c r="J144" s="139"/>
    </row>
    <row r="145" spans="1:10" ht="12.95" customHeight="1">
      <c r="A145" s="152" t="s">
        <v>1905</v>
      </c>
      <c r="B145" s="153" t="s">
        <v>1906</v>
      </c>
      <c r="C145" s="149"/>
      <c r="D145" s="149"/>
      <c r="E145" s="154">
        <v>-2375</v>
      </c>
      <c r="F145" s="155">
        <v>-133.22999999999999</v>
      </c>
      <c r="G145" s="156">
        <v>-4.0000000000000002E-4</v>
      </c>
      <c r="H145" s="157"/>
      <c r="I145" s="158"/>
      <c r="J145" s="139"/>
    </row>
    <row r="146" spans="1:10" ht="12.95" customHeight="1">
      <c r="A146" s="152" t="s">
        <v>1907</v>
      </c>
      <c r="B146" s="153" t="s">
        <v>1908</v>
      </c>
      <c r="C146" s="149"/>
      <c r="D146" s="149"/>
      <c r="E146" s="154">
        <v>-1375</v>
      </c>
      <c r="F146" s="155">
        <v>-155.72999999999999</v>
      </c>
      <c r="G146" s="156">
        <v>-4.0000000000000002E-4</v>
      </c>
      <c r="H146" s="157"/>
      <c r="I146" s="158"/>
      <c r="J146" s="139"/>
    </row>
    <row r="147" spans="1:10" ht="12.95" customHeight="1">
      <c r="A147" s="152" t="s">
        <v>1656</v>
      </c>
      <c r="B147" s="153" t="s">
        <v>1657</v>
      </c>
      <c r="C147" s="149"/>
      <c r="D147" s="149"/>
      <c r="E147" s="154">
        <v>-12000</v>
      </c>
      <c r="F147" s="155">
        <v>-166.54</v>
      </c>
      <c r="G147" s="156">
        <v>-5.0000000000000001E-4</v>
      </c>
      <c r="H147" s="157"/>
      <c r="I147" s="158"/>
      <c r="J147" s="139"/>
    </row>
    <row r="148" spans="1:10" ht="12.95" customHeight="1">
      <c r="A148" s="152" t="s">
        <v>1606</v>
      </c>
      <c r="B148" s="153" t="s">
        <v>1607</v>
      </c>
      <c r="C148" s="149"/>
      <c r="D148" s="149"/>
      <c r="E148" s="154">
        <v>-102600</v>
      </c>
      <c r="F148" s="155">
        <v>-178.42</v>
      </c>
      <c r="G148" s="156">
        <v>-5.0000000000000001E-4</v>
      </c>
      <c r="H148" s="157"/>
      <c r="I148" s="158"/>
      <c r="J148" s="139"/>
    </row>
    <row r="149" spans="1:10" ht="12.95" customHeight="1">
      <c r="A149" s="152" t="s">
        <v>1909</v>
      </c>
      <c r="B149" s="153" t="s">
        <v>1910</v>
      </c>
      <c r="C149" s="149"/>
      <c r="D149" s="149"/>
      <c r="E149" s="154">
        <v>-7500</v>
      </c>
      <c r="F149" s="155">
        <v>-180.3</v>
      </c>
      <c r="G149" s="156">
        <v>-5.0000000000000001E-4</v>
      </c>
      <c r="H149" s="157"/>
      <c r="I149" s="158"/>
      <c r="J149" s="139"/>
    </row>
    <row r="150" spans="1:10" ht="12.95" customHeight="1">
      <c r="A150" s="152" t="s">
        <v>1911</v>
      </c>
      <c r="B150" s="153" t="s">
        <v>1912</v>
      </c>
      <c r="C150" s="149"/>
      <c r="D150" s="149"/>
      <c r="E150" s="154">
        <v>-30600</v>
      </c>
      <c r="F150" s="155">
        <v>-184.46</v>
      </c>
      <c r="G150" s="156">
        <v>-5.0000000000000001E-4</v>
      </c>
      <c r="H150" s="157"/>
      <c r="I150" s="158"/>
      <c r="J150" s="139"/>
    </row>
    <row r="151" spans="1:10" ht="12.95" customHeight="1">
      <c r="A151" s="152" t="s">
        <v>1913</v>
      </c>
      <c r="B151" s="153" t="s">
        <v>1914</v>
      </c>
      <c r="C151" s="149"/>
      <c r="D151" s="149"/>
      <c r="E151" s="154">
        <v>-240</v>
      </c>
      <c r="F151" s="155">
        <v>-190.87</v>
      </c>
      <c r="G151" s="156">
        <v>-5.0000000000000001E-4</v>
      </c>
      <c r="H151" s="157"/>
      <c r="I151" s="158"/>
      <c r="J151" s="139"/>
    </row>
    <row r="152" spans="1:10" ht="12.95" customHeight="1">
      <c r="A152" s="152" t="s">
        <v>1620</v>
      </c>
      <c r="B152" s="153" t="s">
        <v>1621</v>
      </c>
      <c r="C152" s="149"/>
      <c r="D152" s="149"/>
      <c r="E152" s="154">
        <v>-15200</v>
      </c>
      <c r="F152" s="155">
        <v>-198.77</v>
      </c>
      <c r="G152" s="156">
        <v>-5.9999999999999995E-4</v>
      </c>
      <c r="H152" s="157"/>
      <c r="I152" s="158"/>
      <c r="J152" s="139"/>
    </row>
    <row r="153" spans="1:10" ht="12.95" customHeight="1">
      <c r="A153" s="152" t="s">
        <v>1604</v>
      </c>
      <c r="B153" s="153" t="s">
        <v>1605</v>
      </c>
      <c r="C153" s="149"/>
      <c r="D153" s="149"/>
      <c r="E153" s="154">
        <v>-48000</v>
      </c>
      <c r="F153" s="155">
        <v>-206.04</v>
      </c>
      <c r="G153" s="156">
        <v>-5.9999999999999995E-4</v>
      </c>
      <c r="H153" s="157"/>
      <c r="I153" s="158"/>
      <c r="J153" s="139"/>
    </row>
    <row r="154" spans="1:10" ht="12.95" customHeight="1">
      <c r="A154" s="152" t="s">
        <v>1915</v>
      </c>
      <c r="B154" s="153" t="s">
        <v>1916</v>
      </c>
      <c r="C154" s="149"/>
      <c r="D154" s="149"/>
      <c r="E154" s="154">
        <v>-5600</v>
      </c>
      <c r="F154" s="155">
        <v>-224.08</v>
      </c>
      <c r="G154" s="156">
        <v>-5.9999999999999995E-4</v>
      </c>
      <c r="H154" s="157"/>
      <c r="I154" s="158"/>
      <c r="J154" s="139"/>
    </row>
    <row r="155" spans="1:10" ht="12.95" customHeight="1">
      <c r="A155" s="152" t="s">
        <v>1917</v>
      </c>
      <c r="B155" s="153" t="s">
        <v>1918</v>
      </c>
      <c r="C155" s="149"/>
      <c r="D155" s="149"/>
      <c r="E155" s="154">
        <v>-30000</v>
      </c>
      <c r="F155" s="155">
        <v>-226.17</v>
      </c>
      <c r="G155" s="156">
        <v>-5.9999999999999995E-4</v>
      </c>
      <c r="H155" s="157"/>
      <c r="I155" s="158"/>
      <c r="J155" s="139"/>
    </row>
    <row r="156" spans="1:10" ht="12.95" customHeight="1">
      <c r="A156" s="152" t="s">
        <v>1919</v>
      </c>
      <c r="B156" s="153" t="s">
        <v>1920</v>
      </c>
      <c r="C156" s="149"/>
      <c r="D156" s="149"/>
      <c r="E156" s="154">
        <v>-105000</v>
      </c>
      <c r="F156" s="155">
        <v>-251.53</v>
      </c>
      <c r="G156" s="156">
        <v>-6.9999999999999999E-4</v>
      </c>
      <c r="H156" s="157"/>
      <c r="I156" s="158"/>
      <c r="J156" s="139"/>
    </row>
    <row r="157" spans="1:10" ht="12.95" customHeight="1">
      <c r="A157" s="152" t="s">
        <v>1921</v>
      </c>
      <c r="B157" s="153" t="s">
        <v>1922</v>
      </c>
      <c r="C157" s="149"/>
      <c r="D157" s="149"/>
      <c r="E157" s="154">
        <v>-13000</v>
      </c>
      <c r="F157" s="155">
        <v>-310.32</v>
      </c>
      <c r="G157" s="156">
        <v>-8.9999999999999998E-4</v>
      </c>
      <c r="H157" s="157"/>
      <c r="I157" s="158"/>
      <c r="J157" s="139"/>
    </row>
    <row r="158" spans="1:10" ht="12.95" customHeight="1">
      <c r="A158" s="152" t="s">
        <v>1923</v>
      </c>
      <c r="B158" s="153" t="s">
        <v>1924</v>
      </c>
      <c r="C158" s="149"/>
      <c r="D158" s="149"/>
      <c r="E158" s="154">
        <v>-106950</v>
      </c>
      <c r="F158" s="155">
        <v>-343.26</v>
      </c>
      <c r="G158" s="156">
        <v>-1E-3</v>
      </c>
      <c r="H158" s="157"/>
      <c r="I158" s="158"/>
      <c r="J158" s="139"/>
    </row>
    <row r="159" spans="1:10" ht="12.95" customHeight="1">
      <c r="A159" s="152" t="s">
        <v>1925</v>
      </c>
      <c r="B159" s="153" t="s">
        <v>1926</v>
      </c>
      <c r="C159" s="149"/>
      <c r="D159" s="149"/>
      <c r="E159" s="154">
        <v>-201600</v>
      </c>
      <c r="F159" s="155">
        <v>-361.37</v>
      </c>
      <c r="G159" s="156">
        <v>-1E-3</v>
      </c>
      <c r="H159" s="157"/>
      <c r="I159" s="158"/>
      <c r="J159" s="139"/>
    </row>
    <row r="160" spans="1:10" ht="12.95" customHeight="1">
      <c r="A160" s="152" t="s">
        <v>1610</v>
      </c>
      <c r="B160" s="153" t="s">
        <v>1611</v>
      </c>
      <c r="C160" s="149"/>
      <c r="D160" s="149"/>
      <c r="E160" s="154">
        <v>-49500</v>
      </c>
      <c r="F160" s="155">
        <v>-366.57</v>
      </c>
      <c r="G160" s="156">
        <v>-1E-3</v>
      </c>
      <c r="H160" s="157"/>
      <c r="I160" s="158"/>
      <c r="J160" s="139"/>
    </row>
    <row r="161" spans="1:10" ht="12.95" customHeight="1">
      <c r="A161" s="152" t="s">
        <v>1927</v>
      </c>
      <c r="B161" s="153" t="s">
        <v>1928</v>
      </c>
      <c r="C161" s="149"/>
      <c r="D161" s="149"/>
      <c r="E161" s="154">
        <v>-246000</v>
      </c>
      <c r="F161" s="155">
        <v>-390.4</v>
      </c>
      <c r="G161" s="156">
        <v>-1.1000000000000001E-3</v>
      </c>
      <c r="H161" s="157"/>
      <c r="I161" s="158"/>
      <c r="J161" s="139"/>
    </row>
    <row r="162" spans="1:10" ht="12.95" customHeight="1">
      <c r="A162" s="152" t="s">
        <v>1929</v>
      </c>
      <c r="B162" s="153" t="s">
        <v>1930</v>
      </c>
      <c r="C162" s="149"/>
      <c r="D162" s="149"/>
      <c r="E162" s="154">
        <v>-59394</v>
      </c>
      <c r="F162" s="155">
        <v>-420.57</v>
      </c>
      <c r="G162" s="156">
        <v>-1.1999999999999999E-3</v>
      </c>
      <c r="H162" s="157"/>
      <c r="I162" s="158"/>
      <c r="J162" s="139"/>
    </row>
    <row r="163" spans="1:10" ht="12.95" customHeight="1">
      <c r="A163" s="152" t="s">
        <v>1931</v>
      </c>
      <c r="B163" s="153" t="s">
        <v>1932</v>
      </c>
      <c r="C163" s="149"/>
      <c r="D163" s="149"/>
      <c r="E163" s="154">
        <v>-481896</v>
      </c>
      <c r="F163" s="155">
        <v>-440.69</v>
      </c>
      <c r="G163" s="156">
        <v>-1.1999999999999999E-3</v>
      </c>
      <c r="H163" s="157"/>
      <c r="I163" s="158"/>
      <c r="J163" s="139"/>
    </row>
    <row r="164" spans="1:10" ht="12.95" customHeight="1">
      <c r="A164" s="152" t="s">
        <v>1933</v>
      </c>
      <c r="B164" s="153" t="s">
        <v>1934</v>
      </c>
      <c r="C164" s="149"/>
      <c r="D164" s="149"/>
      <c r="E164" s="154">
        <v>-69225</v>
      </c>
      <c r="F164" s="155">
        <v>-477.27</v>
      </c>
      <c r="G164" s="156">
        <v>-1.2999999999999999E-3</v>
      </c>
      <c r="H164" s="157"/>
      <c r="I164" s="158"/>
      <c r="J164" s="139"/>
    </row>
    <row r="165" spans="1:10" ht="12.95" customHeight="1">
      <c r="A165" s="152" t="s">
        <v>1935</v>
      </c>
      <c r="B165" s="153" t="s">
        <v>1936</v>
      </c>
      <c r="C165" s="149"/>
      <c r="D165" s="149"/>
      <c r="E165" s="154">
        <v>-17700</v>
      </c>
      <c r="F165" s="155">
        <v>-503.9</v>
      </c>
      <c r="G165" s="156">
        <v>-1.4E-3</v>
      </c>
      <c r="H165" s="157"/>
      <c r="I165" s="158"/>
      <c r="J165" s="139"/>
    </row>
    <row r="166" spans="1:10" ht="12.95" customHeight="1">
      <c r="A166" s="152" t="s">
        <v>1937</v>
      </c>
      <c r="B166" s="153" t="s">
        <v>1938</v>
      </c>
      <c r="C166" s="149"/>
      <c r="D166" s="149"/>
      <c r="E166" s="154">
        <v>-36750</v>
      </c>
      <c r="F166" s="155">
        <v>-535.65</v>
      </c>
      <c r="G166" s="156">
        <v>-1.5E-3</v>
      </c>
      <c r="H166" s="157"/>
      <c r="I166" s="158"/>
      <c r="J166" s="139"/>
    </row>
    <row r="167" spans="1:10" ht="12.95" customHeight="1">
      <c r="A167" s="152" t="s">
        <v>1939</v>
      </c>
      <c r="B167" s="153" t="s">
        <v>1940</v>
      </c>
      <c r="C167" s="149"/>
      <c r="D167" s="149"/>
      <c r="E167" s="154">
        <v>-11875</v>
      </c>
      <c r="F167" s="155">
        <v>-544.29999999999995</v>
      </c>
      <c r="G167" s="156">
        <v>-1.5E-3</v>
      </c>
      <c r="H167" s="157"/>
      <c r="I167" s="158"/>
      <c r="J167" s="139"/>
    </row>
    <row r="168" spans="1:10" ht="12.95" customHeight="1">
      <c r="A168" s="152" t="s">
        <v>1941</v>
      </c>
      <c r="B168" s="153" t="s">
        <v>1942</v>
      </c>
      <c r="C168" s="149"/>
      <c r="D168" s="149"/>
      <c r="E168" s="154">
        <v>-304000</v>
      </c>
      <c r="F168" s="155">
        <v>-564.53</v>
      </c>
      <c r="G168" s="156">
        <v>-1.6000000000000001E-3</v>
      </c>
      <c r="H168" s="157"/>
      <c r="I168" s="158"/>
      <c r="J168" s="139"/>
    </row>
    <row r="169" spans="1:10" ht="12.95" customHeight="1">
      <c r="A169" s="152" t="s">
        <v>1638</v>
      </c>
      <c r="B169" s="153" t="s">
        <v>1639</v>
      </c>
      <c r="C169" s="149"/>
      <c r="D169" s="149"/>
      <c r="E169" s="154">
        <v>-91250</v>
      </c>
      <c r="F169" s="155">
        <v>-566.07000000000005</v>
      </c>
      <c r="G169" s="156">
        <v>-1.6000000000000001E-3</v>
      </c>
      <c r="H169" s="157"/>
      <c r="I169" s="158"/>
      <c r="J169" s="139"/>
    </row>
    <row r="170" spans="1:10" ht="12.95" customHeight="1">
      <c r="A170" s="152" t="s">
        <v>1646</v>
      </c>
      <c r="B170" s="153" t="s">
        <v>1647</v>
      </c>
      <c r="C170" s="149"/>
      <c r="D170" s="149"/>
      <c r="E170" s="154">
        <v>-28125</v>
      </c>
      <c r="F170" s="155">
        <v>-609.45000000000005</v>
      </c>
      <c r="G170" s="156">
        <v>-1.6999999999999999E-3</v>
      </c>
      <c r="H170" s="157"/>
      <c r="I170" s="158"/>
      <c r="J170" s="139"/>
    </row>
    <row r="171" spans="1:10" ht="12.95" customHeight="1">
      <c r="A171" s="152" t="s">
        <v>1943</v>
      </c>
      <c r="B171" s="153" t="s">
        <v>1944</v>
      </c>
      <c r="C171" s="149"/>
      <c r="D171" s="149"/>
      <c r="E171" s="154">
        <v>-790000</v>
      </c>
      <c r="F171" s="155">
        <v>-669.92</v>
      </c>
      <c r="G171" s="156">
        <v>-1.9E-3</v>
      </c>
      <c r="H171" s="157"/>
      <c r="I171" s="158"/>
      <c r="J171" s="139"/>
    </row>
    <row r="172" spans="1:10" ht="12.95" customHeight="1">
      <c r="A172" s="152" t="s">
        <v>1945</v>
      </c>
      <c r="B172" s="153" t="s">
        <v>1946</v>
      </c>
      <c r="C172" s="149"/>
      <c r="D172" s="149"/>
      <c r="E172" s="154">
        <v>-67200</v>
      </c>
      <c r="F172" s="155">
        <v>-670.56</v>
      </c>
      <c r="G172" s="156">
        <v>-1.9E-3</v>
      </c>
      <c r="H172" s="157"/>
      <c r="I172" s="158"/>
      <c r="J172" s="139"/>
    </row>
    <row r="173" spans="1:10" ht="12.95" customHeight="1">
      <c r="A173" s="152" t="s">
        <v>1947</v>
      </c>
      <c r="B173" s="153" t="s">
        <v>1948</v>
      </c>
      <c r="C173" s="149"/>
      <c r="D173" s="149"/>
      <c r="E173" s="154">
        <v>-229500</v>
      </c>
      <c r="F173" s="155">
        <v>-689.65</v>
      </c>
      <c r="G173" s="156">
        <v>-1.9E-3</v>
      </c>
      <c r="H173" s="157"/>
      <c r="I173" s="158"/>
      <c r="J173" s="139"/>
    </row>
    <row r="174" spans="1:10" ht="12.95" customHeight="1">
      <c r="A174" s="152" t="s">
        <v>1949</v>
      </c>
      <c r="B174" s="153" t="s">
        <v>1950</v>
      </c>
      <c r="C174" s="149"/>
      <c r="D174" s="149"/>
      <c r="E174" s="154">
        <v>-900900</v>
      </c>
      <c r="F174" s="155">
        <v>-738.29</v>
      </c>
      <c r="G174" s="156">
        <v>-2.0999999999999999E-3</v>
      </c>
      <c r="H174" s="157"/>
      <c r="I174" s="158"/>
      <c r="J174" s="139"/>
    </row>
    <row r="175" spans="1:10" ht="12.95" customHeight="1">
      <c r="A175" s="152" t="s">
        <v>1951</v>
      </c>
      <c r="B175" s="153" t="s">
        <v>1952</v>
      </c>
      <c r="C175" s="149"/>
      <c r="D175" s="149"/>
      <c r="E175" s="154">
        <v>-1856000</v>
      </c>
      <c r="F175" s="155">
        <v>-747.04</v>
      </c>
      <c r="G175" s="156">
        <v>-2.0999999999999999E-3</v>
      </c>
      <c r="H175" s="157"/>
      <c r="I175" s="158"/>
      <c r="J175" s="139"/>
    </row>
    <row r="176" spans="1:10" ht="12.95" customHeight="1">
      <c r="A176" s="152" t="s">
        <v>1953</v>
      </c>
      <c r="B176" s="153" t="s">
        <v>1954</v>
      </c>
      <c r="C176" s="149"/>
      <c r="D176" s="149"/>
      <c r="E176" s="154">
        <v>-207000</v>
      </c>
      <c r="F176" s="155">
        <v>-753.48</v>
      </c>
      <c r="G176" s="156">
        <v>-2.0999999999999999E-3</v>
      </c>
      <c r="H176" s="157"/>
      <c r="I176" s="158"/>
      <c r="J176" s="139"/>
    </row>
    <row r="177" spans="1:10" ht="12.95" customHeight="1">
      <c r="A177" s="152" t="s">
        <v>1670</v>
      </c>
      <c r="B177" s="153" t="s">
        <v>1671</v>
      </c>
      <c r="C177" s="149"/>
      <c r="D177" s="149"/>
      <c r="E177" s="154">
        <v>-57500</v>
      </c>
      <c r="F177" s="155">
        <v>-794.02</v>
      </c>
      <c r="G177" s="156">
        <v>-2.2000000000000001E-3</v>
      </c>
      <c r="H177" s="157"/>
      <c r="I177" s="158"/>
      <c r="J177" s="139"/>
    </row>
    <row r="178" spans="1:10" ht="12.95" customHeight="1">
      <c r="A178" s="152" t="s">
        <v>1955</v>
      </c>
      <c r="B178" s="153" t="s">
        <v>1956</v>
      </c>
      <c r="C178" s="149"/>
      <c r="D178" s="149"/>
      <c r="E178" s="154">
        <v>-50350</v>
      </c>
      <c r="F178" s="155">
        <v>-844.17</v>
      </c>
      <c r="G178" s="156">
        <v>-2.3999999999999998E-3</v>
      </c>
      <c r="H178" s="157"/>
      <c r="I178" s="158"/>
      <c r="J178" s="139"/>
    </row>
    <row r="179" spans="1:10" ht="12.95" customHeight="1">
      <c r="A179" s="152" t="s">
        <v>1957</v>
      </c>
      <c r="B179" s="153" t="s">
        <v>1958</v>
      </c>
      <c r="C179" s="149"/>
      <c r="D179" s="149"/>
      <c r="E179" s="154">
        <v>-22750</v>
      </c>
      <c r="F179" s="155">
        <v>-867.72</v>
      </c>
      <c r="G179" s="156">
        <v>-2.3999999999999998E-3</v>
      </c>
      <c r="H179" s="157"/>
      <c r="I179" s="158"/>
      <c r="J179" s="139"/>
    </row>
    <row r="180" spans="1:10" ht="12.95" customHeight="1">
      <c r="A180" s="152" t="s">
        <v>1634</v>
      </c>
      <c r="B180" s="153" t="s">
        <v>1635</v>
      </c>
      <c r="C180" s="149"/>
      <c r="D180" s="149"/>
      <c r="E180" s="154">
        <v>-696800</v>
      </c>
      <c r="F180" s="155">
        <v>-1001.3</v>
      </c>
      <c r="G180" s="156">
        <v>-2.8E-3</v>
      </c>
      <c r="H180" s="157"/>
      <c r="I180" s="158"/>
      <c r="J180" s="139"/>
    </row>
    <row r="181" spans="1:10" ht="12.95" customHeight="1">
      <c r="A181" s="152" t="s">
        <v>1959</v>
      </c>
      <c r="B181" s="153" t="s">
        <v>1960</v>
      </c>
      <c r="C181" s="149"/>
      <c r="D181" s="149"/>
      <c r="E181" s="154">
        <v>-23250</v>
      </c>
      <c r="F181" s="155">
        <v>-1044.06</v>
      </c>
      <c r="G181" s="156">
        <v>-2.8999999999999998E-3</v>
      </c>
      <c r="H181" s="157"/>
      <c r="I181" s="158"/>
      <c r="J181" s="139"/>
    </row>
    <row r="182" spans="1:10" ht="12.95" customHeight="1">
      <c r="A182" s="152" t="s">
        <v>1961</v>
      </c>
      <c r="B182" s="153" t="s">
        <v>1962</v>
      </c>
      <c r="C182" s="149"/>
      <c r="D182" s="149"/>
      <c r="E182" s="154">
        <v>-88200</v>
      </c>
      <c r="F182" s="155">
        <v>-1125.04</v>
      </c>
      <c r="G182" s="156">
        <v>-3.2000000000000002E-3</v>
      </c>
      <c r="H182" s="157"/>
      <c r="I182" s="158"/>
      <c r="J182" s="139"/>
    </row>
    <row r="183" spans="1:10" ht="12.95" customHeight="1">
      <c r="A183" s="152" t="s">
        <v>1963</v>
      </c>
      <c r="B183" s="153" t="s">
        <v>1964</v>
      </c>
      <c r="C183" s="149"/>
      <c r="D183" s="149"/>
      <c r="E183" s="154">
        <v>-241500</v>
      </c>
      <c r="F183" s="155">
        <v>-1238.6500000000001</v>
      </c>
      <c r="G183" s="156">
        <v>-3.5000000000000001E-3</v>
      </c>
      <c r="H183" s="157"/>
      <c r="I183" s="158"/>
      <c r="J183" s="139"/>
    </row>
    <row r="184" spans="1:10" ht="12.95" customHeight="1">
      <c r="A184" s="152" t="s">
        <v>1658</v>
      </c>
      <c r="B184" s="153" t="s">
        <v>1659</v>
      </c>
      <c r="C184" s="149"/>
      <c r="D184" s="149"/>
      <c r="E184" s="154">
        <v>-161000</v>
      </c>
      <c r="F184" s="155">
        <v>-1295.8900000000001</v>
      </c>
      <c r="G184" s="156">
        <v>-3.5999999999999999E-3</v>
      </c>
      <c r="H184" s="157"/>
      <c r="I184" s="158"/>
      <c r="J184" s="139"/>
    </row>
    <row r="185" spans="1:10" ht="12.95" customHeight="1">
      <c r="A185" s="152" t="s">
        <v>1965</v>
      </c>
      <c r="B185" s="153" t="s">
        <v>1966</v>
      </c>
      <c r="C185" s="149"/>
      <c r="D185" s="149"/>
      <c r="E185" s="154">
        <v>-88000</v>
      </c>
      <c r="F185" s="155">
        <v>-1309.6600000000001</v>
      </c>
      <c r="G185" s="156">
        <v>-3.7000000000000002E-3</v>
      </c>
      <c r="H185" s="157"/>
      <c r="I185" s="158"/>
      <c r="J185" s="139"/>
    </row>
    <row r="186" spans="1:10" ht="12.95" customHeight="1">
      <c r="A186" s="152" t="s">
        <v>1614</v>
      </c>
      <c r="B186" s="153" t="s">
        <v>1615</v>
      </c>
      <c r="C186" s="149"/>
      <c r="D186" s="149"/>
      <c r="E186" s="154">
        <v>-18200</v>
      </c>
      <c r="F186" s="155">
        <v>-1350.09</v>
      </c>
      <c r="G186" s="156">
        <v>-3.8E-3</v>
      </c>
      <c r="H186" s="157"/>
      <c r="I186" s="158"/>
      <c r="J186" s="139"/>
    </row>
    <row r="187" spans="1:10" ht="12.95" customHeight="1">
      <c r="A187" s="152" t="s">
        <v>1967</v>
      </c>
      <c r="B187" s="153" t="s">
        <v>1968</v>
      </c>
      <c r="C187" s="149"/>
      <c r="D187" s="149"/>
      <c r="E187" s="154">
        <v>-262000</v>
      </c>
      <c r="F187" s="155">
        <v>-1441.13</v>
      </c>
      <c r="G187" s="156">
        <v>-4.0000000000000001E-3</v>
      </c>
      <c r="H187" s="157"/>
      <c r="I187" s="158"/>
      <c r="J187" s="139"/>
    </row>
    <row r="188" spans="1:10" ht="12.95" customHeight="1">
      <c r="A188" s="152" t="s">
        <v>1622</v>
      </c>
      <c r="B188" s="153" t="s">
        <v>1623</v>
      </c>
      <c r="C188" s="149"/>
      <c r="D188" s="149"/>
      <c r="E188" s="154">
        <v>-114000</v>
      </c>
      <c r="F188" s="155">
        <v>-1681.44</v>
      </c>
      <c r="G188" s="156">
        <v>-4.7000000000000002E-3</v>
      </c>
      <c r="H188" s="157"/>
      <c r="I188" s="158"/>
      <c r="J188" s="139"/>
    </row>
    <row r="189" spans="1:10" ht="12.95" customHeight="1">
      <c r="A189" s="152" t="s">
        <v>1672</v>
      </c>
      <c r="B189" s="153" t="s">
        <v>1673</v>
      </c>
      <c r="C189" s="149"/>
      <c r="D189" s="149"/>
      <c r="E189" s="154">
        <v>-103200</v>
      </c>
      <c r="F189" s="155">
        <v>-1719.88</v>
      </c>
      <c r="G189" s="156">
        <v>-4.7999999999999996E-3</v>
      </c>
      <c r="H189" s="157"/>
      <c r="I189" s="158"/>
      <c r="J189" s="139"/>
    </row>
    <row r="190" spans="1:10" ht="12.95" customHeight="1">
      <c r="A190" s="152" t="s">
        <v>1969</v>
      </c>
      <c r="B190" s="153" t="s">
        <v>1970</v>
      </c>
      <c r="C190" s="149"/>
      <c r="D190" s="149"/>
      <c r="E190" s="154">
        <v>-253500</v>
      </c>
      <c r="F190" s="155">
        <v>-1801.88</v>
      </c>
      <c r="G190" s="156">
        <v>-5.1000000000000004E-3</v>
      </c>
      <c r="H190" s="157"/>
      <c r="I190" s="158"/>
      <c r="J190" s="139"/>
    </row>
    <row r="191" spans="1:10" ht="12.95" customHeight="1">
      <c r="A191" s="152" t="s">
        <v>1971</v>
      </c>
      <c r="B191" s="153" t="s">
        <v>1972</v>
      </c>
      <c r="C191" s="149"/>
      <c r="D191" s="149"/>
      <c r="E191" s="154">
        <v>-6300</v>
      </c>
      <c r="F191" s="155">
        <v>-1826.72</v>
      </c>
      <c r="G191" s="156">
        <v>-5.1000000000000004E-3</v>
      </c>
      <c r="H191" s="157"/>
      <c r="I191" s="158"/>
      <c r="J191" s="139"/>
    </row>
    <row r="192" spans="1:10" ht="12.95" customHeight="1">
      <c r="A192" s="152" t="s">
        <v>1648</v>
      </c>
      <c r="B192" s="153" t="s">
        <v>1649</v>
      </c>
      <c r="C192" s="149"/>
      <c r="D192" s="149"/>
      <c r="E192" s="154">
        <v>-1255500</v>
      </c>
      <c r="F192" s="155">
        <v>-2004.41</v>
      </c>
      <c r="G192" s="156">
        <v>-5.5999999999999999E-3</v>
      </c>
      <c r="H192" s="157"/>
      <c r="I192" s="158"/>
      <c r="J192" s="139"/>
    </row>
    <row r="193" spans="1:10" ht="12.95" customHeight="1">
      <c r="A193" s="152" t="s">
        <v>1678</v>
      </c>
      <c r="B193" s="153" t="s">
        <v>1679</v>
      </c>
      <c r="C193" s="149"/>
      <c r="D193" s="149"/>
      <c r="E193" s="154">
        <v>-28625</v>
      </c>
      <c r="F193" s="155">
        <v>-2200.48</v>
      </c>
      <c r="G193" s="156">
        <v>-6.1999999999999998E-3</v>
      </c>
      <c r="H193" s="157"/>
      <c r="I193" s="158"/>
      <c r="J193" s="139"/>
    </row>
    <row r="194" spans="1:10" ht="12.95" customHeight="1">
      <c r="A194" s="152" t="s">
        <v>1662</v>
      </c>
      <c r="B194" s="153" t="s">
        <v>1663</v>
      </c>
      <c r="C194" s="149"/>
      <c r="D194" s="149"/>
      <c r="E194" s="154">
        <v>-327500</v>
      </c>
      <c r="F194" s="155">
        <v>-2423.34</v>
      </c>
      <c r="G194" s="156">
        <v>-6.7999999999999996E-3</v>
      </c>
      <c r="H194" s="157"/>
      <c r="I194" s="158"/>
      <c r="J194" s="139"/>
    </row>
    <row r="195" spans="1:10" ht="12.95" customHeight="1">
      <c r="A195" s="152" t="s">
        <v>1973</v>
      </c>
      <c r="B195" s="153" t="s">
        <v>1974</v>
      </c>
      <c r="C195" s="149"/>
      <c r="D195" s="149"/>
      <c r="E195" s="154">
        <v>-1081600</v>
      </c>
      <c r="F195" s="155">
        <v>-2561.77</v>
      </c>
      <c r="G195" s="156">
        <v>-7.1999999999999998E-3</v>
      </c>
      <c r="H195" s="157"/>
      <c r="I195" s="158"/>
      <c r="J195" s="139"/>
    </row>
    <row r="196" spans="1:10" ht="12.95" customHeight="1">
      <c r="A196" s="152" t="s">
        <v>1975</v>
      </c>
      <c r="B196" s="153" t="s">
        <v>1976</v>
      </c>
      <c r="C196" s="149"/>
      <c r="D196" s="149"/>
      <c r="E196" s="154">
        <v>-526750</v>
      </c>
      <c r="F196" s="155">
        <v>-2573.6999999999998</v>
      </c>
      <c r="G196" s="156">
        <v>-7.1999999999999998E-3</v>
      </c>
      <c r="H196" s="157"/>
      <c r="I196" s="158"/>
      <c r="J196" s="139"/>
    </row>
    <row r="197" spans="1:10" ht="12.95" customHeight="1">
      <c r="A197" s="152" t="s">
        <v>1977</v>
      </c>
      <c r="B197" s="153" t="s">
        <v>1978</v>
      </c>
      <c r="C197" s="149"/>
      <c r="D197" s="149"/>
      <c r="E197" s="154">
        <v>-442800</v>
      </c>
      <c r="F197" s="155">
        <v>-2975.39</v>
      </c>
      <c r="G197" s="156">
        <v>-8.3000000000000001E-3</v>
      </c>
      <c r="H197" s="157"/>
      <c r="I197" s="158"/>
      <c r="J197" s="139"/>
    </row>
    <row r="198" spans="1:10" ht="12.95" customHeight="1">
      <c r="A198" s="152" t="s">
        <v>1979</v>
      </c>
      <c r="B198" s="153" t="s">
        <v>1980</v>
      </c>
      <c r="C198" s="149"/>
      <c r="D198" s="149"/>
      <c r="E198" s="154">
        <v>-372400</v>
      </c>
      <c r="F198" s="155">
        <v>-3062.43</v>
      </c>
      <c r="G198" s="156">
        <v>-8.6E-3</v>
      </c>
      <c r="H198" s="157"/>
      <c r="I198" s="158"/>
      <c r="J198" s="139"/>
    </row>
    <row r="199" spans="1:10" ht="12.95" customHeight="1">
      <c r="A199" s="152" t="s">
        <v>1981</v>
      </c>
      <c r="B199" s="153" t="s">
        <v>1982</v>
      </c>
      <c r="C199" s="149"/>
      <c r="D199" s="149"/>
      <c r="E199" s="154">
        <v>-436150</v>
      </c>
      <c r="F199" s="155">
        <v>-3175.83</v>
      </c>
      <c r="G199" s="156">
        <v>-8.8999999999999999E-3</v>
      </c>
      <c r="H199" s="157"/>
      <c r="I199" s="158"/>
      <c r="J199" s="139"/>
    </row>
    <row r="200" spans="1:10" ht="12.95" customHeight="1">
      <c r="A200" s="152" t="s">
        <v>1983</v>
      </c>
      <c r="B200" s="153" t="s">
        <v>1984</v>
      </c>
      <c r="C200" s="149"/>
      <c r="D200" s="149"/>
      <c r="E200" s="154">
        <v>-63400</v>
      </c>
      <c r="F200" s="155">
        <v>-3325.04</v>
      </c>
      <c r="G200" s="156">
        <v>-9.2999999999999992E-3</v>
      </c>
      <c r="H200" s="157"/>
      <c r="I200" s="158"/>
      <c r="J200" s="139"/>
    </row>
    <row r="201" spans="1:10" ht="12.95" customHeight="1">
      <c r="A201" s="152" t="s">
        <v>1985</v>
      </c>
      <c r="B201" s="153" t="s">
        <v>1986</v>
      </c>
      <c r="C201" s="149"/>
      <c r="D201" s="149"/>
      <c r="E201" s="154">
        <v>-133200</v>
      </c>
      <c r="F201" s="155">
        <v>-3390.07</v>
      </c>
      <c r="G201" s="156">
        <v>-9.4999999999999998E-3</v>
      </c>
      <c r="H201" s="157"/>
      <c r="I201" s="158"/>
      <c r="J201" s="139"/>
    </row>
    <row r="202" spans="1:10" ht="12.95" customHeight="1">
      <c r="A202" s="152" t="s">
        <v>1987</v>
      </c>
      <c r="B202" s="153" t="s">
        <v>1988</v>
      </c>
      <c r="C202" s="149"/>
      <c r="D202" s="149"/>
      <c r="E202" s="154">
        <v>-130900</v>
      </c>
      <c r="F202" s="155">
        <v>-3416.03</v>
      </c>
      <c r="G202" s="156">
        <v>-9.5999999999999992E-3</v>
      </c>
      <c r="H202" s="157"/>
      <c r="I202" s="158"/>
      <c r="J202" s="139"/>
    </row>
    <row r="203" spans="1:10" ht="12.95" customHeight="1">
      <c r="A203" s="152" t="s">
        <v>1664</v>
      </c>
      <c r="B203" s="153" t="s">
        <v>1665</v>
      </c>
      <c r="C203" s="149"/>
      <c r="D203" s="149"/>
      <c r="E203" s="154">
        <v>-128100</v>
      </c>
      <c r="F203" s="155">
        <v>-3452.87</v>
      </c>
      <c r="G203" s="156">
        <v>-9.7000000000000003E-3</v>
      </c>
      <c r="H203" s="157"/>
      <c r="I203" s="158"/>
      <c r="J203" s="139"/>
    </row>
    <row r="204" spans="1:10" ht="12.95" customHeight="1">
      <c r="A204" s="152" t="s">
        <v>1989</v>
      </c>
      <c r="B204" s="153" t="s">
        <v>1990</v>
      </c>
      <c r="C204" s="149"/>
      <c r="D204" s="149"/>
      <c r="E204" s="154">
        <v>-102000</v>
      </c>
      <c r="F204" s="155">
        <v>-3918.69</v>
      </c>
      <c r="G204" s="156">
        <v>-1.0999999999999999E-2</v>
      </c>
      <c r="H204" s="157"/>
      <c r="I204" s="158"/>
      <c r="J204" s="139"/>
    </row>
    <row r="205" spans="1:10" ht="12.95" customHeight="1">
      <c r="A205" s="152" t="s">
        <v>1624</v>
      </c>
      <c r="B205" s="153" t="s">
        <v>1625</v>
      </c>
      <c r="C205" s="149"/>
      <c r="D205" s="149"/>
      <c r="E205" s="154">
        <v>-1010000</v>
      </c>
      <c r="F205" s="155">
        <v>-3941.02</v>
      </c>
      <c r="G205" s="156">
        <v>-1.0999999999999999E-2</v>
      </c>
      <c r="H205" s="157"/>
      <c r="I205" s="158"/>
      <c r="J205" s="139"/>
    </row>
    <row r="206" spans="1:10" ht="12.95" customHeight="1">
      <c r="A206" s="152" t="s">
        <v>1991</v>
      </c>
      <c r="B206" s="153" t="s">
        <v>1992</v>
      </c>
      <c r="C206" s="149"/>
      <c r="D206" s="149"/>
      <c r="E206" s="154">
        <v>-4267000</v>
      </c>
      <c r="F206" s="155">
        <v>-4008.85</v>
      </c>
      <c r="G206" s="156">
        <v>-1.12E-2</v>
      </c>
      <c r="H206" s="157"/>
      <c r="I206" s="158"/>
      <c r="J206" s="139"/>
    </row>
    <row r="207" spans="1:10" ht="12.95" customHeight="1">
      <c r="A207" s="152" t="s">
        <v>1993</v>
      </c>
      <c r="B207" s="153" t="s">
        <v>1994</v>
      </c>
      <c r="C207" s="149"/>
      <c r="D207" s="149"/>
      <c r="E207" s="154">
        <v>-181000</v>
      </c>
      <c r="F207" s="155">
        <v>-4094.94</v>
      </c>
      <c r="G207" s="156">
        <v>-1.15E-2</v>
      </c>
      <c r="H207" s="157"/>
      <c r="I207" s="158"/>
      <c r="J207" s="139"/>
    </row>
    <row r="208" spans="1:10" ht="12.95" customHeight="1">
      <c r="A208" s="152" t="s">
        <v>1995</v>
      </c>
      <c r="B208" s="153" t="s">
        <v>1996</v>
      </c>
      <c r="C208" s="149"/>
      <c r="D208" s="149"/>
      <c r="E208" s="154">
        <v>-23925</v>
      </c>
      <c r="F208" s="155">
        <v>-4268.6499999999996</v>
      </c>
      <c r="G208" s="156">
        <v>-1.2E-2</v>
      </c>
      <c r="H208" s="157"/>
      <c r="I208" s="158"/>
      <c r="J208" s="139"/>
    </row>
    <row r="209" spans="1:10" ht="12.95" customHeight="1">
      <c r="A209" s="152" t="s">
        <v>1997</v>
      </c>
      <c r="B209" s="153" t="s">
        <v>1998</v>
      </c>
      <c r="C209" s="149"/>
      <c r="D209" s="149"/>
      <c r="E209" s="154">
        <v>-523750</v>
      </c>
      <c r="F209" s="155">
        <v>-4486.7</v>
      </c>
      <c r="G209" s="156">
        <v>-1.26E-2</v>
      </c>
      <c r="H209" s="157"/>
      <c r="I209" s="158"/>
      <c r="J209" s="139"/>
    </row>
    <row r="210" spans="1:10" ht="12.95" customHeight="1">
      <c r="A210" s="152" t="s">
        <v>1666</v>
      </c>
      <c r="B210" s="153" t="s">
        <v>1667</v>
      </c>
      <c r="C210" s="149"/>
      <c r="D210" s="149"/>
      <c r="E210" s="154">
        <v>-114200</v>
      </c>
      <c r="F210" s="155">
        <v>-5496.16</v>
      </c>
      <c r="G210" s="156">
        <v>-1.54E-2</v>
      </c>
      <c r="H210" s="157"/>
      <c r="I210" s="158"/>
      <c r="J210" s="139"/>
    </row>
    <row r="211" spans="1:10" ht="12.95" customHeight="1">
      <c r="A211" s="152" t="s">
        <v>1999</v>
      </c>
      <c r="B211" s="153" t="s">
        <v>2000</v>
      </c>
      <c r="C211" s="149"/>
      <c r="D211" s="149"/>
      <c r="E211" s="154">
        <v>-2590000</v>
      </c>
      <c r="F211" s="155">
        <v>-5884.48</v>
      </c>
      <c r="G211" s="156">
        <v>-1.6500000000000001E-2</v>
      </c>
      <c r="H211" s="157"/>
      <c r="I211" s="158"/>
      <c r="J211" s="139"/>
    </row>
    <row r="212" spans="1:10" ht="12.95" customHeight="1">
      <c r="A212" s="152" t="s">
        <v>2001</v>
      </c>
      <c r="B212" s="153" t="s">
        <v>2002</v>
      </c>
      <c r="C212" s="149"/>
      <c r="D212" s="149"/>
      <c r="E212" s="154">
        <v>-2100000</v>
      </c>
      <c r="F212" s="155">
        <v>-6389.25</v>
      </c>
      <c r="G212" s="156">
        <v>-1.7899999999999999E-2</v>
      </c>
      <c r="H212" s="157"/>
      <c r="I212" s="158"/>
      <c r="J212" s="139"/>
    </row>
    <row r="213" spans="1:10" ht="12.95" customHeight="1">
      <c r="A213" s="152" t="s">
        <v>1650</v>
      </c>
      <c r="B213" s="153" t="s">
        <v>1651</v>
      </c>
      <c r="C213" s="149"/>
      <c r="D213" s="149"/>
      <c r="E213" s="154">
        <v>-516800</v>
      </c>
      <c r="F213" s="155">
        <v>-6682.22</v>
      </c>
      <c r="G213" s="156">
        <v>-1.8700000000000001E-2</v>
      </c>
      <c r="H213" s="157"/>
      <c r="I213" s="158"/>
      <c r="J213" s="139"/>
    </row>
    <row r="214" spans="1:10" ht="12.95" customHeight="1">
      <c r="A214" s="152" t="s">
        <v>1676</v>
      </c>
      <c r="B214" s="153" t="s">
        <v>1677</v>
      </c>
      <c r="C214" s="149"/>
      <c r="D214" s="149"/>
      <c r="E214" s="154">
        <v>-208200</v>
      </c>
      <c r="F214" s="155">
        <v>-6775.66</v>
      </c>
      <c r="G214" s="156">
        <v>-1.9E-2</v>
      </c>
      <c r="H214" s="157"/>
      <c r="I214" s="158"/>
      <c r="J214" s="139"/>
    </row>
    <row r="215" spans="1:10" ht="12.95" customHeight="1">
      <c r="A215" s="152" t="s">
        <v>1636</v>
      </c>
      <c r="B215" s="153" t="s">
        <v>1637</v>
      </c>
      <c r="C215" s="149"/>
      <c r="D215" s="149"/>
      <c r="E215" s="154">
        <v>-1210000</v>
      </c>
      <c r="F215" s="155">
        <v>-6860.1</v>
      </c>
      <c r="G215" s="156">
        <v>-1.9199999999999998E-2</v>
      </c>
      <c r="H215" s="157"/>
      <c r="I215" s="158"/>
      <c r="J215" s="139"/>
    </row>
    <row r="216" spans="1:10" ht="12.95" customHeight="1">
      <c r="A216" s="152" t="s">
        <v>2003</v>
      </c>
      <c r="B216" s="153" t="s">
        <v>2004</v>
      </c>
      <c r="C216" s="149"/>
      <c r="D216" s="149"/>
      <c r="E216" s="154">
        <v>-976800</v>
      </c>
      <c r="F216" s="155">
        <v>-7093.03</v>
      </c>
      <c r="G216" s="156">
        <v>-1.9900000000000001E-2</v>
      </c>
      <c r="H216" s="157"/>
      <c r="I216" s="158"/>
      <c r="J216" s="139"/>
    </row>
    <row r="217" spans="1:10" ht="12.95" customHeight="1">
      <c r="A217" s="152" t="s">
        <v>1602</v>
      </c>
      <c r="B217" s="153" t="s">
        <v>1603</v>
      </c>
      <c r="C217" s="149"/>
      <c r="D217" s="149"/>
      <c r="E217" s="154">
        <v>-2504800</v>
      </c>
      <c r="F217" s="155">
        <v>-7223.84</v>
      </c>
      <c r="G217" s="156">
        <v>-2.0199999999999999E-2</v>
      </c>
      <c r="H217" s="157"/>
      <c r="I217" s="158"/>
      <c r="J217" s="139"/>
    </row>
    <row r="218" spans="1:10" ht="12.95" customHeight="1">
      <c r="A218" s="152" t="s">
        <v>1608</v>
      </c>
      <c r="B218" s="153" t="s">
        <v>1609</v>
      </c>
      <c r="C218" s="149"/>
      <c r="D218" s="149"/>
      <c r="E218" s="154">
        <v>-308400</v>
      </c>
      <c r="F218" s="155">
        <v>-8517.24</v>
      </c>
      <c r="G218" s="156">
        <v>-2.3900000000000001E-2</v>
      </c>
      <c r="H218" s="157"/>
      <c r="I218" s="158"/>
      <c r="J218" s="139"/>
    </row>
    <row r="219" spans="1:10" ht="12.95" customHeight="1">
      <c r="A219" s="152" t="s">
        <v>1674</v>
      </c>
      <c r="B219" s="153" t="s">
        <v>1675</v>
      </c>
      <c r="C219" s="149"/>
      <c r="D219" s="149"/>
      <c r="E219" s="154">
        <v>-1219625</v>
      </c>
      <c r="F219" s="155">
        <v>-8588.6</v>
      </c>
      <c r="G219" s="156">
        <v>-2.41E-2</v>
      </c>
      <c r="H219" s="157"/>
      <c r="I219" s="158"/>
      <c r="J219" s="139"/>
    </row>
    <row r="220" spans="1:10" ht="12.95" customHeight="1">
      <c r="A220" s="152" t="s">
        <v>1640</v>
      </c>
      <c r="B220" s="153" t="s">
        <v>1641</v>
      </c>
      <c r="C220" s="149"/>
      <c r="D220" s="149"/>
      <c r="E220" s="154">
        <v>-176875</v>
      </c>
      <c r="F220" s="155">
        <v>-8669.7900000000009</v>
      </c>
      <c r="G220" s="156">
        <v>-2.4299999999999999E-2</v>
      </c>
      <c r="H220" s="157"/>
      <c r="I220" s="158"/>
      <c r="J220" s="139"/>
    </row>
    <row r="221" spans="1:10" ht="12.95" customHeight="1">
      <c r="A221" s="152" t="s">
        <v>2005</v>
      </c>
      <c r="B221" s="153" t="s">
        <v>2006</v>
      </c>
      <c r="C221" s="149"/>
      <c r="D221" s="149"/>
      <c r="E221" s="154">
        <v>-1573000</v>
      </c>
      <c r="F221" s="155">
        <v>-8719.93</v>
      </c>
      <c r="G221" s="156">
        <v>-2.4400000000000002E-2</v>
      </c>
      <c r="H221" s="157"/>
      <c r="I221" s="158"/>
      <c r="J221" s="139"/>
    </row>
    <row r="222" spans="1:10" ht="12.95" customHeight="1">
      <c r="A222" s="152" t="s">
        <v>1682</v>
      </c>
      <c r="B222" s="153" t="s">
        <v>1683</v>
      </c>
      <c r="C222" s="149"/>
      <c r="D222" s="149"/>
      <c r="E222" s="154">
        <v>-468500</v>
      </c>
      <c r="F222" s="155">
        <v>-11808.78</v>
      </c>
      <c r="G222" s="156">
        <v>-3.3099999999999997E-2</v>
      </c>
      <c r="H222" s="157"/>
      <c r="I222" s="158"/>
      <c r="J222" s="139"/>
    </row>
    <row r="223" spans="1:10" ht="12.95" customHeight="1">
      <c r="A223" s="152" t="s">
        <v>1632</v>
      </c>
      <c r="B223" s="153" t="s">
        <v>1633</v>
      </c>
      <c r="C223" s="149"/>
      <c r="D223" s="149"/>
      <c r="E223" s="154">
        <v>-2752200</v>
      </c>
      <c r="F223" s="155">
        <v>-11921.15</v>
      </c>
      <c r="G223" s="156">
        <v>-3.3399999999999999E-2</v>
      </c>
      <c r="H223" s="157"/>
      <c r="I223" s="158"/>
      <c r="J223" s="139"/>
    </row>
    <row r="224" spans="1:10" ht="12.95" customHeight="1">
      <c r="A224" s="152" t="s">
        <v>2007</v>
      </c>
      <c r="B224" s="153" t="s">
        <v>2008</v>
      </c>
      <c r="C224" s="149"/>
      <c r="D224" s="149"/>
      <c r="E224" s="154">
        <v>-3135000</v>
      </c>
      <c r="F224" s="155">
        <v>-14236.04</v>
      </c>
      <c r="G224" s="156">
        <v>-3.9899999999999998E-2</v>
      </c>
      <c r="H224" s="157"/>
      <c r="I224" s="158"/>
      <c r="J224" s="139"/>
    </row>
    <row r="225" spans="1:10" ht="12.95" customHeight="1">
      <c r="A225" s="152" t="s">
        <v>1618</v>
      </c>
      <c r="B225" s="153" t="s">
        <v>1619</v>
      </c>
      <c r="C225" s="149"/>
      <c r="D225" s="149"/>
      <c r="E225" s="154">
        <v>-291800</v>
      </c>
      <c r="F225" s="155">
        <v>-21460.14</v>
      </c>
      <c r="G225" s="156">
        <v>-6.0199999999999997E-2</v>
      </c>
      <c r="H225" s="157"/>
      <c r="I225" s="158"/>
      <c r="J225" s="139"/>
    </row>
    <row r="226" spans="1:10" ht="12.95" customHeight="1">
      <c r="A226" s="139"/>
      <c r="B226" s="148" t="s">
        <v>172</v>
      </c>
      <c r="C226" s="149"/>
      <c r="D226" s="149"/>
      <c r="E226" s="149"/>
      <c r="F226" s="159">
        <v>-239258.59</v>
      </c>
      <c r="G226" s="160">
        <v>-0.6704</v>
      </c>
      <c r="H226" s="161"/>
      <c r="I226" s="162"/>
      <c r="J226" s="139"/>
    </row>
    <row r="227" spans="1:10" ht="12.95" customHeight="1">
      <c r="A227" s="139"/>
      <c r="B227" s="163" t="s">
        <v>177</v>
      </c>
      <c r="C227" s="165"/>
      <c r="D227" s="164"/>
      <c r="E227" s="165"/>
      <c r="F227" s="159">
        <v>-239258.59</v>
      </c>
      <c r="G227" s="160">
        <v>-0.6704</v>
      </c>
      <c r="H227" s="161"/>
      <c r="I227" s="162"/>
      <c r="J227" s="139"/>
    </row>
    <row r="228" spans="1:10" ht="12.95" customHeight="1">
      <c r="A228" s="139"/>
      <c r="B228" s="148" t="s">
        <v>127</v>
      </c>
      <c r="C228" s="149"/>
      <c r="D228" s="149"/>
      <c r="E228" s="149"/>
      <c r="F228" s="149"/>
      <c r="G228" s="149"/>
      <c r="H228" s="150"/>
      <c r="I228" s="151"/>
      <c r="J228" s="139"/>
    </row>
    <row r="229" spans="1:10" ht="12.95" customHeight="1">
      <c r="A229" s="139"/>
      <c r="B229" s="148" t="s">
        <v>128</v>
      </c>
      <c r="C229" s="149"/>
      <c r="D229" s="149"/>
      <c r="E229" s="149"/>
      <c r="F229" s="139"/>
      <c r="G229" s="150"/>
      <c r="H229" s="150"/>
      <c r="I229" s="151"/>
      <c r="J229" s="139"/>
    </row>
    <row r="230" spans="1:10" ht="12.95" customHeight="1">
      <c r="A230" s="152" t="s">
        <v>2009</v>
      </c>
      <c r="B230" s="153" t="s">
        <v>2010</v>
      </c>
      <c r="C230" s="149" t="s">
        <v>2011</v>
      </c>
      <c r="D230" s="149" t="s">
        <v>196</v>
      </c>
      <c r="E230" s="154">
        <v>250</v>
      </c>
      <c r="F230" s="155">
        <v>2539.77</v>
      </c>
      <c r="G230" s="156">
        <v>7.1000000000000004E-3</v>
      </c>
      <c r="H230" s="166">
        <v>4.5350000000000001E-2</v>
      </c>
      <c r="I230" s="158"/>
      <c r="J230" s="139"/>
    </row>
    <row r="231" spans="1:10" ht="12.95" customHeight="1">
      <c r="A231" s="152" t="s">
        <v>2012</v>
      </c>
      <c r="B231" s="153" t="s">
        <v>2013</v>
      </c>
      <c r="C231" s="149" t="s">
        <v>2014</v>
      </c>
      <c r="D231" s="149" t="s">
        <v>132</v>
      </c>
      <c r="E231" s="154">
        <v>150</v>
      </c>
      <c r="F231" s="155">
        <v>1511.42</v>
      </c>
      <c r="G231" s="156">
        <v>4.1999999999999997E-3</v>
      </c>
      <c r="H231" s="166">
        <v>4.0100999999999998E-2</v>
      </c>
      <c r="I231" s="158"/>
      <c r="J231" s="139"/>
    </row>
    <row r="232" spans="1:10" ht="12.95" customHeight="1">
      <c r="A232" s="139"/>
      <c r="B232" s="148" t="s">
        <v>172</v>
      </c>
      <c r="C232" s="149"/>
      <c r="D232" s="149"/>
      <c r="E232" s="149"/>
      <c r="F232" s="159">
        <v>4051.19</v>
      </c>
      <c r="G232" s="160">
        <v>1.1299999999999999E-2</v>
      </c>
      <c r="H232" s="161"/>
      <c r="I232" s="162"/>
      <c r="J232" s="139"/>
    </row>
    <row r="233" spans="1:10" ht="12.95" customHeight="1">
      <c r="A233" s="139"/>
      <c r="B233" s="163" t="s">
        <v>173</v>
      </c>
      <c r="C233" s="164"/>
      <c r="D233" s="164"/>
      <c r="E233" s="164"/>
      <c r="F233" s="161" t="s">
        <v>204</v>
      </c>
      <c r="G233" s="161" t="s">
        <v>204</v>
      </c>
      <c r="H233" s="161"/>
      <c r="I233" s="162"/>
      <c r="J233" s="139"/>
    </row>
    <row r="234" spans="1:10" ht="12.95" customHeight="1">
      <c r="A234" s="139"/>
      <c r="B234" s="163" t="s">
        <v>172</v>
      </c>
      <c r="C234" s="164"/>
      <c r="D234" s="164"/>
      <c r="E234" s="164"/>
      <c r="F234" s="161" t="s">
        <v>204</v>
      </c>
      <c r="G234" s="161" t="s">
        <v>204</v>
      </c>
      <c r="H234" s="161"/>
      <c r="I234" s="162"/>
      <c r="J234" s="139"/>
    </row>
    <row r="235" spans="1:10" ht="12.95" customHeight="1">
      <c r="A235" s="139"/>
      <c r="B235" s="163" t="s">
        <v>177</v>
      </c>
      <c r="C235" s="165"/>
      <c r="D235" s="164"/>
      <c r="E235" s="165"/>
      <c r="F235" s="159">
        <v>4051.19</v>
      </c>
      <c r="G235" s="160">
        <v>1.1299999999999999E-2</v>
      </c>
      <c r="H235" s="161"/>
      <c r="I235" s="162"/>
      <c r="J235" s="139"/>
    </row>
    <row r="236" spans="1:10" ht="12.95" customHeight="1">
      <c r="A236" s="139"/>
      <c r="B236" s="148" t="s">
        <v>656</v>
      </c>
      <c r="C236" s="149"/>
      <c r="D236" s="149"/>
      <c r="E236" s="149"/>
      <c r="F236" s="149"/>
      <c r="G236" s="149"/>
      <c r="H236" s="150"/>
      <c r="I236" s="151"/>
      <c r="J236" s="139"/>
    </row>
    <row r="237" spans="1:10" ht="12.95" customHeight="1">
      <c r="A237" s="139"/>
      <c r="B237" s="148" t="s">
        <v>662</v>
      </c>
      <c r="C237" s="149"/>
      <c r="D237" s="149"/>
      <c r="E237" s="149"/>
      <c r="F237" s="139"/>
      <c r="G237" s="150"/>
      <c r="H237" s="150"/>
      <c r="I237" s="151"/>
      <c r="J237" s="139"/>
    </row>
    <row r="238" spans="1:10" ht="12.95" customHeight="1">
      <c r="A238" s="152" t="s">
        <v>2015</v>
      </c>
      <c r="B238" s="153" t="s">
        <v>2016</v>
      </c>
      <c r="C238" s="149" t="s">
        <v>2017</v>
      </c>
      <c r="D238" s="149" t="s">
        <v>1312</v>
      </c>
      <c r="E238" s="154">
        <v>2000</v>
      </c>
      <c r="F238" s="155">
        <v>9913.48</v>
      </c>
      <c r="G238" s="156">
        <v>2.7799999999999998E-2</v>
      </c>
      <c r="H238" s="166">
        <v>3.8850000000000003E-2</v>
      </c>
      <c r="I238" s="158"/>
      <c r="J238" s="139"/>
    </row>
    <row r="239" spans="1:10" ht="12.95" customHeight="1">
      <c r="A239" s="152" t="s">
        <v>2018</v>
      </c>
      <c r="B239" s="153" t="s">
        <v>2019</v>
      </c>
      <c r="C239" s="149" t="s">
        <v>2020</v>
      </c>
      <c r="D239" s="149" t="s">
        <v>661</v>
      </c>
      <c r="E239" s="154">
        <v>1000</v>
      </c>
      <c r="F239" s="155">
        <v>4964.6000000000004</v>
      </c>
      <c r="G239" s="156">
        <v>1.3899999999999999E-2</v>
      </c>
      <c r="H239" s="166">
        <v>3.8850999999999997E-2</v>
      </c>
      <c r="I239" s="158"/>
      <c r="J239" s="139"/>
    </row>
    <row r="240" spans="1:10" ht="12.95" customHeight="1">
      <c r="A240" s="152" t="s">
        <v>2021</v>
      </c>
      <c r="B240" s="153" t="s">
        <v>2022</v>
      </c>
      <c r="C240" s="149" t="s">
        <v>2023</v>
      </c>
      <c r="D240" s="149" t="s">
        <v>1312</v>
      </c>
      <c r="E240" s="154">
        <v>700</v>
      </c>
      <c r="F240" s="155">
        <v>3487.47</v>
      </c>
      <c r="G240" s="156">
        <v>9.7999999999999997E-3</v>
      </c>
      <c r="H240" s="166">
        <v>3.9745000000000003E-2</v>
      </c>
      <c r="I240" s="158"/>
      <c r="J240" s="139"/>
    </row>
    <row r="241" spans="1:10" ht="12.95" customHeight="1">
      <c r="A241" s="152" t="s">
        <v>2024</v>
      </c>
      <c r="B241" s="153" t="s">
        <v>2025</v>
      </c>
      <c r="C241" s="149" t="s">
        <v>2026</v>
      </c>
      <c r="D241" s="149" t="s">
        <v>661</v>
      </c>
      <c r="E241" s="154">
        <v>500</v>
      </c>
      <c r="F241" s="155">
        <v>2431.1999999999998</v>
      </c>
      <c r="G241" s="156">
        <v>6.7999999999999996E-3</v>
      </c>
      <c r="H241" s="166">
        <v>4.3400000000000001E-2</v>
      </c>
      <c r="I241" s="158"/>
      <c r="J241" s="139"/>
    </row>
    <row r="242" spans="1:10" ht="12.95" customHeight="1">
      <c r="A242" s="139"/>
      <c r="B242" s="148" t="s">
        <v>172</v>
      </c>
      <c r="C242" s="149"/>
      <c r="D242" s="149"/>
      <c r="E242" s="149"/>
      <c r="F242" s="159">
        <v>20796.75</v>
      </c>
      <c r="G242" s="160">
        <v>5.8299999999999998E-2</v>
      </c>
      <c r="H242" s="161"/>
      <c r="I242" s="162"/>
      <c r="J242" s="139"/>
    </row>
    <row r="243" spans="1:10" ht="12.95" customHeight="1">
      <c r="A243" s="139"/>
      <c r="B243" s="148" t="s">
        <v>1316</v>
      </c>
      <c r="C243" s="149"/>
      <c r="D243" s="149"/>
      <c r="E243" s="149"/>
      <c r="F243" s="139"/>
      <c r="G243" s="150"/>
      <c r="H243" s="150"/>
      <c r="I243" s="151"/>
      <c r="J243" s="139"/>
    </row>
    <row r="244" spans="1:10" ht="12.95" customHeight="1">
      <c r="A244" s="152" t="s">
        <v>2027</v>
      </c>
      <c r="B244" s="153" t="s">
        <v>2028</v>
      </c>
      <c r="C244" s="149" t="s">
        <v>2029</v>
      </c>
      <c r="D244" s="149" t="s">
        <v>200</v>
      </c>
      <c r="E244" s="154">
        <v>6000000</v>
      </c>
      <c r="F244" s="155">
        <v>5965.55</v>
      </c>
      <c r="G244" s="156">
        <v>1.67E-2</v>
      </c>
      <c r="H244" s="166">
        <v>3.4000000000000002E-2</v>
      </c>
      <c r="I244" s="158"/>
      <c r="J244" s="139"/>
    </row>
    <row r="245" spans="1:10" ht="12.95" customHeight="1">
      <c r="A245" s="139"/>
      <c r="B245" s="148" t="s">
        <v>172</v>
      </c>
      <c r="C245" s="149"/>
      <c r="D245" s="149"/>
      <c r="E245" s="149"/>
      <c r="F245" s="159">
        <v>5965.55</v>
      </c>
      <c r="G245" s="160">
        <v>1.67E-2</v>
      </c>
      <c r="H245" s="161"/>
      <c r="I245" s="162"/>
      <c r="J245" s="139"/>
    </row>
    <row r="246" spans="1:10" ht="12.95" customHeight="1">
      <c r="A246" s="139"/>
      <c r="B246" s="163" t="s">
        <v>177</v>
      </c>
      <c r="C246" s="165"/>
      <c r="D246" s="164"/>
      <c r="E246" s="165"/>
      <c r="F246" s="159">
        <v>26762.3</v>
      </c>
      <c r="G246" s="160">
        <v>7.4999999999999997E-2</v>
      </c>
      <c r="H246" s="161"/>
      <c r="I246" s="162"/>
      <c r="J246" s="139"/>
    </row>
    <row r="247" spans="1:10" ht="12.95" customHeight="1">
      <c r="A247" s="139"/>
      <c r="B247" s="148" t="s">
        <v>219</v>
      </c>
      <c r="C247" s="149"/>
      <c r="D247" s="149"/>
      <c r="E247" s="149"/>
      <c r="F247" s="149"/>
      <c r="G247" s="149"/>
      <c r="H247" s="150"/>
      <c r="I247" s="151"/>
      <c r="J247" s="139"/>
    </row>
    <row r="248" spans="1:10" ht="12.95" customHeight="1">
      <c r="A248" s="139"/>
      <c r="B248" s="148" t="s">
        <v>220</v>
      </c>
      <c r="C248" s="149"/>
      <c r="D248" s="149"/>
      <c r="E248" s="149"/>
      <c r="F248" s="139"/>
      <c r="G248" s="150"/>
      <c r="H248" s="150"/>
      <c r="I248" s="151"/>
      <c r="J248" s="139"/>
    </row>
    <row r="249" spans="1:10" ht="12.95" customHeight="1">
      <c r="A249" s="152" t="s">
        <v>2030</v>
      </c>
      <c r="B249" s="153" t="s">
        <v>2031</v>
      </c>
      <c r="C249" s="149" t="s">
        <v>2032</v>
      </c>
      <c r="D249" s="149"/>
      <c r="E249" s="154">
        <v>309869162.074</v>
      </c>
      <c r="F249" s="155">
        <v>37848.660000000003</v>
      </c>
      <c r="G249" s="156">
        <v>0.1061</v>
      </c>
      <c r="H249" s="166"/>
      <c r="I249" s="158"/>
      <c r="J249" s="139"/>
    </row>
    <row r="250" spans="1:10" ht="12.95" customHeight="1">
      <c r="A250" s="152" t="s">
        <v>2033</v>
      </c>
      <c r="B250" s="153" t="s">
        <v>2034</v>
      </c>
      <c r="C250" s="149" t="s">
        <v>2035</v>
      </c>
      <c r="D250" s="149"/>
      <c r="E250" s="154">
        <v>1626013.7180000001</v>
      </c>
      <c r="F250" s="155">
        <v>37765.47</v>
      </c>
      <c r="G250" s="156">
        <v>0.10589999999999999</v>
      </c>
      <c r="H250" s="166"/>
      <c r="I250" s="158"/>
      <c r="J250" s="139"/>
    </row>
    <row r="251" spans="1:10" ht="12.95" customHeight="1">
      <c r="A251" s="139"/>
      <c r="B251" s="148" t="s">
        <v>172</v>
      </c>
      <c r="C251" s="149"/>
      <c r="D251" s="149"/>
      <c r="E251" s="149"/>
      <c r="F251" s="159">
        <v>75614.13</v>
      </c>
      <c r="G251" s="160">
        <v>0.21199999999999999</v>
      </c>
      <c r="H251" s="161"/>
      <c r="I251" s="162"/>
      <c r="J251" s="139"/>
    </row>
    <row r="252" spans="1:10" ht="12.95" customHeight="1">
      <c r="A252" s="139"/>
      <c r="B252" s="163" t="s">
        <v>177</v>
      </c>
      <c r="C252" s="165"/>
      <c r="D252" s="164"/>
      <c r="E252" s="165"/>
      <c r="F252" s="159">
        <v>75614.13</v>
      </c>
      <c r="G252" s="160">
        <v>0.21199999999999999</v>
      </c>
      <c r="H252" s="161"/>
      <c r="I252" s="162"/>
      <c r="J252" s="139"/>
    </row>
    <row r="253" spans="1:10" ht="12.95" customHeight="1">
      <c r="A253" s="139"/>
      <c r="B253" s="148" t="s">
        <v>178</v>
      </c>
      <c r="C253" s="149"/>
      <c r="D253" s="149"/>
      <c r="E253" s="149"/>
      <c r="F253" s="149"/>
      <c r="G253" s="149"/>
      <c r="H253" s="150"/>
      <c r="I253" s="151"/>
      <c r="J253" s="139"/>
    </row>
    <row r="254" spans="1:10" ht="12.95" customHeight="1">
      <c r="A254" s="152" t="s">
        <v>179</v>
      </c>
      <c r="B254" s="153" t="s">
        <v>180</v>
      </c>
      <c r="C254" s="149"/>
      <c r="D254" s="149"/>
      <c r="E254" s="154"/>
      <c r="F254" s="155">
        <v>1583.29</v>
      </c>
      <c r="G254" s="156">
        <v>4.4000000000000003E-3</v>
      </c>
      <c r="H254" s="166">
        <v>3.3045670722843874E-2</v>
      </c>
      <c r="I254" s="158"/>
      <c r="J254" s="139"/>
    </row>
    <row r="255" spans="1:10" ht="12.95" customHeight="1">
      <c r="A255" s="139"/>
      <c r="B255" s="148" t="s">
        <v>172</v>
      </c>
      <c r="C255" s="149"/>
      <c r="D255" s="149"/>
      <c r="E255" s="149"/>
      <c r="F255" s="159">
        <v>1583.29</v>
      </c>
      <c r="G255" s="160">
        <v>4.4000000000000003E-3</v>
      </c>
      <c r="H255" s="161"/>
      <c r="I255" s="162"/>
      <c r="J255" s="139"/>
    </row>
    <row r="256" spans="1:10" ht="12.95" customHeight="1">
      <c r="A256" s="139"/>
      <c r="B256" s="163" t="s">
        <v>173</v>
      </c>
      <c r="C256" s="164"/>
      <c r="D256" s="164"/>
      <c r="E256" s="164"/>
      <c r="F256" s="161" t="s">
        <v>204</v>
      </c>
      <c r="G256" s="161" t="s">
        <v>204</v>
      </c>
      <c r="H256" s="161"/>
      <c r="I256" s="162"/>
      <c r="J256" s="139"/>
    </row>
    <row r="257" spans="1:10" ht="12.95" customHeight="1">
      <c r="A257" s="139"/>
      <c r="B257" s="163" t="s">
        <v>172</v>
      </c>
      <c r="C257" s="164"/>
      <c r="D257" s="164"/>
      <c r="E257" s="164"/>
      <c r="F257" s="161" t="s">
        <v>204</v>
      </c>
      <c r="G257" s="161" t="s">
        <v>204</v>
      </c>
      <c r="H257" s="161"/>
      <c r="I257" s="162"/>
      <c r="J257" s="139"/>
    </row>
    <row r="258" spans="1:10" ht="12.95" customHeight="1">
      <c r="A258" s="139"/>
      <c r="B258" s="163" t="s">
        <v>177</v>
      </c>
      <c r="C258" s="165"/>
      <c r="D258" s="164"/>
      <c r="E258" s="165"/>
      <c r="F258" s="159">
        <v>1583.29</v>
      </c>
      <c r="G258" s="160">
        <v>4.4000000000000003E-3</v>
      </c>
      <c r="H258" s="161"/>
      <c r="I258" s="162"/>
      <c r="J258" s="139"/>
    </row>
    <row r="259" spans="1:10" ht="12.95" customHeight="1">
      <c r="A259" s="139"/>
      <c r="B259" s="163" t="s">
        <v>181</v>
      </c>
      <c r="C259" s="149"/>
      <c r="D259" s="164"/>
      <c r="E259" s="149"/>
      <c r="F259" s="171">
        <v>249526.32</v>
      </c>
      <c r="G259" s="160">
        <v>0.69920000000000004</v>
      </c>
      <c r="H259" s="161"/>
      <c r="I259" s="162"/>
      <c r="J259" s="139"/>
    </row>
    <row r="260" spans="1:10" ht="12.95" customHeight="1">
      <c r="A260" s="139"/>
      <c r="B260" s="172" t="s">
        <v>182</v>
      </c>
      <c r="C260" s="173"/>
      <c r="D260" s="173"/>
      <c r="E260" s="173"/>
      <c r="F260" s="174">
        <v>356770.75</v>
      </c>
      <c r="G260" s="175">
        <v>1</v>
      </c>
      <c r="H260" s="176"/>
      <c r="I260" s="177"/>
      <c r="J260" s="139"/>
    </row>
    <row r="261" spans="1:10" ht="12.95" customHeight="1">
      <c r="A261" s="139"/>
      <c r="B261" s="141"/>
      <c r="C261" s="139"/>
      <c r="D261" s="139"/>
      <c r="E261" s="139"/>
      <c r="F261" s="139"/>
      <c r="G261" s="139"/>
      <c r="H261" s="139"/>
      <c r="I261" s="139"/>
      <c r="J261" s="139"/>
    </row>
    <row r="262" spans="1:10" ht="12.95" customHeight="1">
      <c r="A262" s="139"/>
      <c r="B262" s="178" t="s">
        <v>184</v>
      </c>
      <c r="C262" s="139"/>
      <c r="D262" s="139"/>
      <c r="E262" s="139"/>
      <c r="F262" s="139"/>
      <c r="G262" s="139"/>
      <c r="H262" s="139"/>
      <c r="I262" s="139"/>
      <c r="J262" s="139"/>
    </row>
    <row r="263" spans="1:10" ht="12.95" customHeight="1">
      <c r="A263" s="139"/>
      <c r="B263" s="178" t="s">
        <v>678</v>
      </c>
      <c r="C263" s="139"/>
      <c r="D263" s="139"/>
      <c r="E263" s="139"/>
      <c r="F263" s="139"/>
      <c r="G263" s="139"/>
      <c r="H263" s="139"/>
      <c r="I263" s="139"/>
      <c r="J263" s="139"/>
    </row>
    <row r="264" spans="1:10" ht="12.95" customHeight="1">
      <c r="A264" s="139"/>
      <c r="B264" s="178" t="s">
        <v>186</v>
      </c>
      <c r="C264" s="139"/>
      <c r="D264" s="139"/>
      <c r="E264" s="139"/>
      <c r="F264" s="139"/>
      <c r="G264" s="139"/>
      <c r="H264" s="139"/>
      <c r="I264" s="139"/>
      <c r="J264" s="139"/>
    </row>
    <row r="265" spans="1:10" customFormat="1" ht="26.25" customHeight="1">
      <c r="A265" s="2"/>
      <c r="B265" s="189" t="s">
        <v>4025</v>
      </c>
      <c r="C265" s="189"/>
      <c r="D265" s="189"/>
      <c r="E265" s="189"/>
      <c r="F265" s="189"/>
      <c r="G265" s="189"/>
      <c r="H265" s="189"/>
      <c r="I265" s="189"/>
      <c r="J265" s="2"/>
    </row>
    <row r="266" spans="1:10" ht="12.95" customHeight="1">
      <c r="A266" s="139"/>
      <c r="B266" s="178"/>
      <c r="C266" s="139"/>
      <c r="D266" s="139"/>
      <c r="E266" s="139"/>
      <c r="F266" s="139"/>
      <c r="G266" s="139"/>
      <c r="H266" s="139"/>
      <c r="I266" s="139"/>
      <c r="J266" s="139"/>
    </row>
    <row r="267" spans="1:10">
      <c r="C267" s="182" t="s">
        <v>3945</v>
      </c>
    </row>
    <row r="268" spans="1:10">
      <c r="B268" s="182" t="s">
        <v>3933</v>
      </c>
      <c r="C268" s="182" t="s">
        <v>3934</v>
      </c>
    </row>
  </sheetData>
  <mergeCells count="2">
    <mergeCell ref="B2:I2"/>
    <mergeCell ref="B265:I265"/>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7"/>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AXISEHF</v>
      </c>
    </row>
    <row r="2" spans="1:13" ht="34.5" customHeight="1" thickBot="1">
      <c r="A2" s="135" t="str">
        <f>M2</f>
        <v>AXISEHF</v>
      </c>
      <c r="B2" s="186" t="s">
        <v>37</v>
      </c>
      <c r="C2" s="187"/>
      <c r="D2" s="187"/>
      <c r="E2" s="187"/>
      <c r="F2" s="187"/>
      <c r="G2" s="187"/>
      <c r="H2" s="187"/>
      <c r="I2" s="188"/>
      <c r="J2" s="2"/>
      <c r="M2" s="108" t="s">
        <v>36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728</v>
      </c>
      <c r="B8" s="17" t="s">
        <v>729</v>
      </c>
      <c r="C8" s="13" t="s">
        <v>730</v>
      </c>
      <c r="D8" s="13" t="s">
        <v>731</v>
      </c>
      <c r="E8" s="18">
        <v>284144</v>
      </c>
      <c r="F8" s="19">
        <v>10728</v>
      </c>
      <c r="G8" s="20">
        <v>5.74E-2</v>
      </c>
      <c r="H8" s="36"/>
      <c r="I8" s="22"/>
      <c r="J8" s="2"/>
    </row>
    <row r="9" spans="1:13" ht="12.95" customHeight="1">
      <c r="A9" s="16" t="s">
        <v>740</v>
      </c>
      <c r="B9" s="17" t="s">
        <v>741</v>
      </c>
      <c r="C9" s="13" t="s">
        <v>742</v>
      </c>
      <c r="D9" s="13" t="s">
        <v>731</v>
      </c>
      <c r="E9" s="18">
        <v>625202</v>
      </c>
      <c r="F9" s="19">
        <v>10473.379999999999</v>
      </c>
      <c r="G9" s="20">
        <v>5.6099999999999997E-2</v>
      </c>
      <c r="H9" s="36"/>
      <c r="I9" s="22"/>
      <c r="J9" s="2"/>
    </row>
    <row r="10" spans="1:13" ht="12.95" customHeight="1">
      <c r="A10" s="16" t="s">
        <v>720</v>
      </c>
      <c r="B10" s="17" t="s">
        <v>721</v>
      </c>
      <c r="C10" s="13" t="s">
        <v>722</v>
      </c>
      <c r="D10" s="13" t="s">
        <v>723</v>
      </c>
      <c r="E10" s="18">
        <v>133654</v>
      </c>
      <c r="F10" s="19">
        <v>10248.719999999999</v>
      </c>
      <c r="G10" s="20">
        <v>5.4899999999999997E-2</v>
      </c>
      <c r="H10" s="36"/>
      <c r="I10" s="22"/>
      <c r="J10" s="2"/>
    </row>
    <row r="11" spans="1:13" ht="12.95" customHeight="1">
      <c r="A11" s="16" t="s">
        <v>736</v>
      </c>
      <c r="B11" s="17" t="s">
        <v>737</v>
      </c>
      <c r="C11" s="13" t="s">
        <v>738</v>
      </c>
      <c r="D11" s="13" t="s">
        <v>739</v>
      </c>
      <c r="E11" s="18">
        <v>208913</v>
      </c>
      <c r="F11" s="19">
        <v>8879.2199999999993</v>
      </c>
      <c r="G11" s="20">
        <v>4.7500000000000001E-2</v>
      </c>
      <c r="H11" s="36"/>
      <c r="I11" s="22"/>
      <c r="J11" s="2"/>
    </row>
    <row r="12" spans="1:13" ht="12.95" customHeight="1">
      <c r="A12" s="16" t="s">
        <v>682</v>
      </c>
      <c r="B12" s="17" t="s">
        <v>683</v>
      </c>
      <c r="C12" s="13" t="s">
        <v>684</v>
      </c>
      <c r="D12" s="13" t="s">
        <v>685</v>
      </c>
      <c r="E12" s="18">
        <v>554006</v>
      </c>
      <c r="F12" s="19">
        <v>8836.1200000000008</v>
      </c>
      <c r="G12" s="20">
        <v>4.7300000000000002E-2</v>
      </c>
      <c r="H12" s="36"/>
      <c r="I12" s="22"/>
      <c r="J12" s="2"/>
    </row>
    <row r="13" spans="1:13" ht="12.95" customHeight="1">
      <c r="A13" s="16" t="s">
        <v>686</v>
      </c>
      <c r="B13" s="17" t="s">
        <v>687</v>
      </c>
      <c r="C13" s="13" t="s">
        <v>688</v>
      </c>
      <c r="D13" s="13" t="s">
        <v>685</v>
      </c>
      <c r="E13" s="18">
        <v>1239755</v>
      </c>
      <c r="F13" s="19">
        <v>8688.82</v>
      </c>
      <c r="G13" s="20">
        <v>4.65E-2</v>
      </c>
      <c r="H13" s="36"/>
      <c r="I13" s="22"/>
      <c r="J13" s="2"/>
    </row>
    <row r="14" spans="1:13" ht="12.95" customHeight="1">
      <c r="A14" s="16" t="s">
        <v>692</v>
      </c>
      <c r="B14" s="17" t="s">
        <v>693</v>
      </c>
      <c r="C14" s="13" t="s">
        <v>694</v>
      </c>
      <c r="D14" s="13" t="s">
        <v>685</v>
      </c>
      <c r="E14" s="18">
        <v>389646</v>
      </c>
      <c r="F14" s="19">
        <v>7814.35</v>
      </c>
      <c r="G14" s="20">
        <v>4.1799999999999997E-2</v>
      </c>
      <c r="H14" s="36"/>
      <c r="I14" s="22"/>
      <c r="J14" s="2"/>
    </row>
    <row r="15" spans="1:13" ht="12.95" customHeight="1">
      <c r="A15" s="16" t="s">
        <v>732</v>
      </c>
      <c r="B15" s="17" t="s">
        <v>733</v>
      </c>
      <c r="C15" s="13" t="s">
        <v>734</v>
      </c>
      <c r="D15" s="13" t="s">
        <v>735</v>
      </c>
      <c r="E15" s="18">
        <v>287802</v>
      </c>
      <c r="F15" s="19">
        <v>7250.45</v>
      </c>
      <c r="G15" s="20">
        <v>3.8800000000000001E-2</v>
      </c>
      <c r="H15" s="36"/>
      <c r="I15" s="22"/>
      <c r="J15" s="2"/>
    </row>
    <row r="16" spans="1:13" ht="12.95" customHeight="1">
      <c r="A16" s="16" t="s">
        <v>743</v>
      </c>
      <c r="B16" s="17" t="s">
        <v>744</v>
      </c>
      <c r="C16" s="13" t="s">
        <v>745</v>
      </c>
      <c r="D16" s="13" t="s">
        <v>723</v>
      </c>
      <c r="E16" s="18">
        <v>248434</v>
      </c>
      <c r="F16" s="19">
        <v>6842.62</v>
      </c>
      <c r="G16" s="20">
        <v>3.6600000000000001E-2</v>
      </c>
      <c r="H16" s="36"/>
      <c r="I16" s="22"/>
      <c r="J16" s="2"/>
    </row>
    <row r="17" spans="1:10" ht="12.95" customHeight="1">
      <c r="A17" s="16" t="s">
        <v>750</v>
      </c>
      <c r="B17" s="17" t="s">
        <v>751</v>
      </c>
      <c r="C17" s="13" t="s">
        <v>752</v>
      </c>
      <c r="D17" s="13" t="s">
        <v>753</v>
      </c>
      <c r="E17" s="18">
        <v>124205</v>
      </c>
      <c r="F17" s="19">
        <v>3947.67</v>
      </c>
      <c r="G17" s="20">
        <v>2.1100000000000001E-2</v>
      </c>
      <c r="H17" s="36"/>
      <c r="I17" s="22"/>
      <c r="J17" s="2"/>
    </row>
    <row r="18" spans="1:10" ht="12.95" customHeight="1">
      <c r="A18" s="16" t="s">
        <v>897</v>
      </c>
      <c r="B18" s="17" t="s">
        <v>898</v>
      </c>
      <c r="C18" s="13" t="s">
        <v>899</v>
      </c>
      <c r="D18" s="13" t="s">
        <v>900</v>
      </c>
      <c r="E18" s="18">
        <v>21000</v>
      </c>
      <c r="F18" s="19">
        <v>3735.22</v>
      </c>
      <c r="G18" s="20">
        <v>0.02</v>
      </c>
      <c r="H18" s="36"/>
      <c r="I18" s="22"/>
      <c r="J18" s="2"/>
    </row>
    <row r="19" spans="1:10" ht="12.95" customHeight="1">
      <c r="A19" s="16" t="s">
        <v>746</v>
      </c>
      <c r="B19" s="17" t="s">
        <v>747</v>
      </c>
      <c r="C19" s="13" t="s">
        <v>748</v>
      </c>
      <c r="D19" s="13" t="s">
        <v>749</v>
      </c>
      <c r="E19" s="18">
        <v>72142</v>
      </c>
      <c r="F19" s="19">
        <v>3461.88</v>
      </c>
      <c r="G19" s="20">
        <v>1.8499999999999999E-2</v>
      </c>
      <c r="H19" s="36"/>
      <c r="I19" s="22"/>
      <c r="J19" s="2"/>
    </row>
    <row r="20" spans="1:10" ht="12.95" customHeight="1">
      <c r="A20" s="16" t="s">
        <v>796</v>
      </c>
      <c r="B20" s="17" t="s">
        <v>797</v>
      </c>
      <c r="C20" s="13" t="s">
        <v>798</v>
      </c>
      <c r="D20" s="13" t="s">
        <v>771</v>
      </c>
      <c r="E20" s="18">
        <v>1522734</v>
      </c>
      <c r="F20" s="19">
        <v>3440.62</v>
      </c>
      <c r="G20" s="20">
        <v>1.84E-2</v>
      </c>
      <c r="H20" s="36"/>
      <c r="I20" s="22"/>
      <c r="J20" s="2"/>
    </row>
    <row r="21" spans="1:10" ht="12.95" customHeight="1">
      <c r="A21" s="16" t="s">
        <v>757</v>
      </c>
      <c r="B21" s="17" t="s">
        <v>758</v>
      </c>
      <c r="C21" s="13" t="s">
        <v>759</v>
      </c>
      <c r="D21" s="13" t="s">
        <v>749</v>
      </c>
      <c r="E21" s="18">
        <v>90000</v>
      </c>
      <c r="F21" s="19">
        <v>3347.91</v>
      </c>
      <c r="G21" s="20">
        <v>1.7899999999999999E-2</v>
      </c>
      <c r="H21" s="36"/>
      <c r="I21" s="22"/>
      <c r="J21" s="2"/>
    </row>
    <row r="22" spans="1:10" ht="12.95" customHeight="1">
      <c r="A22" s="16" t="s">
        <v>1026</v>
      </c>
      <c r="B22" s="17" t="s">
        <v>1027</v>
      </c>
      <c r="C22" s="13" t="s">
        <v>1028</v>
      </c>
      <c r="D22" s="13" t="s">
        <v>763</v>
      </c>
      <c r="E22" s="18">
        <v>144197</v>
      </c>
      <c r="F22" s="19">
        <v>2952.07</v>
      </c>
      <c r="G22" s="20">
        <v>1.5800000000000002E-2</v>
      </c>
      <c r="H22" s="36"/>
      <c r="I22" s="22"/>
      <c r="J22" s="2"/>
    </row>
    <row r="23" spans="1:10" ht="12.95" customHeight="1">
      <c r="A23" s="16" t="s">
        <v>939</v>
      </c>
      <c r="B23" s="17" t="s">
        <v>940</v>
      </c>
      <c r="C23" s="13" t="s">
        <v>941</v>
      </c>
      <c r="D23" s="13" t="s">
        <v>782</v>
      </c>
      <c r="E23" s="18">
        <v>9312</v>
      </c>
      <c r="F23" s="19">
        <v>2691.31</v>
      </c>
      <c r="G23" s="20">
        <v>1.44E-2</v>
      </c>
      <c r="H23" s="36"/>
      <c r="I23" s="22"/>
      <c r="J23" s="2"/>
    </row>
    <row r="24" spans="1:10" ht="12.95" customHeight="1">
      <c r="A24" s="16" t="s">
        <v>775</v>
      </c>
      <c r="B24" s="17" t="s">
        <v>776</v>
      </c>
      <c r="C24" s="13" t="s">
        <v>777</v>
      </c>
      <c r="D24" s="13" t="s">
        <v>778</v>
      </c>
      <c r="E24" s="18">
        <v>36553</v>
      </c>
      <c r="F24" s="19">
        <v>2682.28</v>
      </c>
      <c r="G24" s="20">
        <v>1.44E-2</v>
      </c>
      <c r="H24" s="36"/>
      <c r="I24" s="22"/>
      <c r="J24" s="2"/>
    </row>
    <row r="25" spans="1:10" ht="12.95" customHeight="1">
      <c r="A25" s="16" t="s">
        <v>942</v>
      </c>
      <c r="B25" s="17" t="s">
        <v>943</v>
      </c>
      <c r="C25" s="13" t="s">
        <v>944</v>
      </c>
      <c r="D25" s="13" t="s">
        <v>945</v>
      </c>
      <c r="E25" s="18">
        <v>149760</v>
      </c>
      <c r="F25" s="19">
        <v>2550.34</v>
      </c>
      <c r="G25" s="20">
        <v>1.37E-2</v>
      </c>
      <c r="H25" s="36"/>
      <c r="I25" s="22"/>
      <c r="J25" s="2"/>
    </row>
    <row r="26" spans="1:10" ht="12.95" customHeight="1">
      <c r="A26" s="16" t="s">
        <v>1029</v>
      </c>
      <c r="B26" s="17" t="s">
        <v>1030</v>
      </c>
      <c r="C26" s="13" t="s">
        <v>1031</v>
      </c>
      <c r="D26" s="13" t="s">
        <v>1032</v>
      </c>
      <c r="E26" s="18">
        <v>615671</v>
      </c>
      <c r="F26" s="19">
        <v>2524.25</v>
      </c>
      <c r="G26" s="20">
        <v>1.35E-2</v>
      </c>
      <c r="H26" s="36"/>
      <c r="I26" s="22"/>
      <c r="J26" s="2"/>
    </row>
    <row r="27" spans="1:10" ht="12.95" customHeight="1">
      <c r="A27" s="16" t="s">
        <v>963</v>
      </c>
      <c r="B27" s="17" t="s">
        <v>964</v>
      </c>
      <c r="C27" s="13" t="s">
        <v>965</v>
      </c>
      <c r="D27" s="13" t="s">
        <v>739</v>
      </c>
      <c r="E27" s="18">
        <v>38708</v>
      </c>
      <c r="F27" s="19">
        <v>2489.4699999999998</v>
      </c>
      <c r="G27" s="20">
        <v>1.3299999999999999E-2</v>
      </c>
      <c r="H27" s="36"/>
      <c r="I27" s="22"/>
      <c r="J27" s="2"/>
    </row>
    <row r="28" spans="1:10" ht="12.95" customHeight="1">
      <c r="A28" s="16" t="s">
        <v>768</v>
      </c>
      <c r="B28" s="17" t="s">
        <v>769</v>
      </c>
      <c r="C28" s="13" t="s">
        <v>770</v>
      </c>
      <c r="D28" s="13" t="s">
        <v>771</v>
      </c>
      <c r="E28" s="18">
        <v>151718</v>
      </c>
      <c r="F28" s="19">
        <v>2403.9</v>
      </c>
      <c r="G28" s="20">
        <v>1.29E-2</v>
      </c>
      <c r="H28" s="36"/>
      <c r="I28" s="22"/>
      <c r="J28" s="2"/>
    </row>
    <row r="29" spans="1:10" ht="12.95" customHeight="1">
      <c r="A29" s="16" t="s">
        <v>799</v>
      </c>
      <c r="B29" s="17" t="s">
        <v>800</v>
      </c>
      <c r="C29" s="13" t="s">
        <v>801</v>
      </c>
      <c r="D29" s="13" t="s">
        <v>749</v>
      </c>
      <c r="E29" s="18">
        <v>289217</v>
      </c>
      <c r="F29" s="19">
        <v>2366.52</v>
      </c>
      <c r="G29" s="20">
        <v>1.2699999999999999E-2</v>
      </c>
      <c r="H29" s="36"/>
      <c r="I29" s="22"/>
      <c r="J29" s="2"/>
    </row>
    <row r="30" spans="1:10" ht="12.95" customHeight="1">
      <c r="A30" s="16" t="s">
        <v>904</v>
      </c>
      <c r="B30" s="17" t="s">
        <v>905</v>
      </c>
      <c r="C30" s="13" t="s">
        <v>906</v>
      </c>
      <c r="D30" s="13" t="s">
        <v>731</v>
      </c>
      <c r="E30" s="18">
        <v>72243</v>
      </c>
      <c r="F30" s="19">
        <v>2242.71</v>
      </c>
      <c r="G30" s="20">
        <v>1.2E-2</v>
      </c>
      <c r="H30" s="36"/>
      <c r="I30" s="22"/>
      <c r="J30" s="2"/>
    </row>
    <row r="31" spans="1:10" ht="12.95" customHeight="1">
      <c r="A31" s="16" t="s">
        <v>2036</v>
      </c>
      <c r="B31" s="17" t="s">
        <v>2037</v>
      </c>
      <c r="C31" s="13" t="s">
        <v>2038</v>
      </c>
      <c r="D31" s="13" t="s">
        <v>727</v>
      </c>
      <c r="E31" s="18">
        <v>142520</v>
      </c>
      <c r="F31" s="19">
        <v>1956.3</v>
      </c>
      <c r="G31" s="20">
        <v>1.0500000000000001E-2</v>
      </c>
      <c r="H31" s="36"/>
      <c r="I31" s="22"/>
      <c r="J31" s="2"/>
    </row>
    <row r="32" spans="1:10" ht="12.95" customHeight="1">
      <c r="A32" s="16" t="s">
        <v>873</v>
      </c>
      <c r="B32" s="17" t="s">
        <v>874</v>
      </c>
      <c r="C32" s="13" t="s">
        <v>875</v>
      </c>
      <c r="D32" s="13" t="s">
        <v>789</v>
      </c>
      <c r="E32" s="18">
        <v>9698</v>
      </c>
      <c r="F32" s="19">
        <v>1885.83</v>
      </c>
      <c r="G32" s="20">
        <v>1.01E-2</v>
      </c>
      <c r="H32" s="36"/>
      <c r="I32" s="22"/>
      <c r="J32" s="2"/>
    </row>
    <row r="33" spans="1:10" ht="12.95" customHeight="1">
      <c r="A33" s="16" t="s">
        <v>857</v>
      </c>
      <c r="B33" s="17" t="s">
        <v>858</v>
      </c>
      <c r="C33" s="13" t="s">
        <v>859</v>
      </c>
      <c r="D33" s="13" t="s">
        <v>763</v>
      </c>
      <c r="E33" s="18">
        <v>296862</v>
      </c>
      <c r="F33" s="19">
        <v>1818.13</v>
      </c>
      <c r="G33" s="20">
        <v>9.7000000000000003E-3</v>
      </c>
      <c r="H33" s="36"/>
      <c r="I33" s="22"/>
      <c r="J33" s="2"/>
    </row>
    <row r="34" spans="1:10" ht="12.95" customHeight="1">
      <c r="A34" s="16" t="s">
        <v>837</v>
      </c>
      <c r="B34" s="17" t="s">
        <v>838</v>
      </c>
      <c r="C34" s="13" t="s">
        <v>839</v>
      </c>
      <c r="D34" s="13" t="s">
        <v>763</v>
      </c>
      <c r="E34" s="18">
        <v>18722</v>
      </c>
      <c r="F34" s="19">
        <v>1771.58</v>
      </c>
      <c r="G34" s="20">
        <v>9.4999999999999998E-3</v>
      </c>
      <c r="H34" s="36"/>
      <c r="I34" s="22"/>
      <c r="J34" s="2"/>
    </row>
    <row r="35" spans="1:10" ht="12.95" customHeight="1">
      <c r="A35" s="16" t="s">
        <v>821</v>
      </c>
      <c r="B35" s="17" t="s">
        <v>822</v>
      </c>
      <c r="C35" s="13" t="s">
        <v>823</v>
      </c>
      <c r="D35" s="13" t="s">
        <v>753</v>
      </c>
      <c r="E35" s="18">
        <v>433109</v>
      </c>
      <c r="F35" s="19">
        <v>1741.75</v>
      </c>
      <c r="G35" s="20">
        <v>9.2999999999999992E-3</v>
      </c>
      <c r="H35" s="36"/>
      <c r="I35" s="22"/>
      <c r="J35" s="2"/>
    </row>
    <row r="36" spans="1:10" ht="12.95" customHeight="1">
      <c r="A36" s="16" t="s">
        <v>930</v>
      </c>
      <c r="B36" s="17" t="s">
        <v>931</v>
      </c>
      <c r="C36" s="13" t="s">
        <v>932</v>
      </c>
      <c r="D36" s="13" t="s">
        <v>723</v>
      </c>
      <c r="E36" s="18">
        <v>275000</v>
      </c>
      <c r="F36" s="19">
        <v>1551.69</v>
      </c>
      <c r="G36" s="20">
        <v>8.3000000000000001E-3</v>
      </c>
      <c r="H36" s="36"/>
      <c r="I36" s="22"/>
      <c r="J36" s="2"/>
    </row>
    <row r="37" spans="1:10" ht="12.95" customHeight="1">
      <c r="A37" s="16" t="s">
        <v>851</v>
      </c>
      <c r="B37" s="17" t="s">
        <v>852</v>
      </c>
      <c r="C37" s="13" t="s">
        <v>853</v>
      </c>
      <c r="D37" s="13" t="s">
        <v>771</v>
      </c>
      <c r="E37" s="18">
        <v>192295</v>
      </c>
      <c r="F37" s="19">
        <v>1420.48</v>
      </c>
      <c r="G37" s="20">
        <v>7.6E-3</v>
      </c>
      <c r="H37" s="36"/>
      <c r="I37" s="22"/>
      <c r="J37" s="2"/>
    </row>
    <row r="38" spans="1:10" ht="12.95" customHeight="1">
      <c r="A38" s="16" t="s">
        <v>907</v>
      </c>
      <c r="B38" s="17" t="s">
        <v>908</v>
      </c>
      <c r="C38" s="13" t="s">
        <v>909</v>
      </c>
      <c r="D38" s="13" t="s">
        <v>910</v>
      </c>
      <c r="E38" s="18">
        <v>114868</v>
      </c>
      <c r="F38" s="19">
        <v>1402.88</v>
      </c>
      <c r="G38" s="20">
        <v>7.4999999999999997E-3</v>
      </c>
      <c r="H38" s="36"/>
      <c r="I38" s="22"/>
      <c r="J38" s="2"/>
    </row>
    <row r="39" spans="1:10" ht="12.95" customHeight="1">
      <c r="A39" s="16" t="s">
        <v>845</v>
      </c>
      <c r="B39" s="17" t="s">
        <v>846</v>
      </c>
      <c r="C39" s="13" t="s">
        <v>847</v>
      </c>
      <c r="D39" s="13" t="s">
        <v>739</v>
      </c>
      <c r="E39" s="18">
        <v>111240</v>
      </c>
      <c r="F39" s="19">
        <v>1375.04</v>
      </c>
      <c r="G39" s="20">
        <v>7.4000000000000003E-3</v>
      </c>
      <c r="H39" s="36"/>
      <c r="I39" s="22"/>
      <c r="J39" s="2"/>
    </row>
    <row r="40" spans="1:10" ht="12.95" customHeight="1">
      <c r="A40" s="16" t="s">
        <v>1726</v>
      </c>
      <c r="B40" s="17" t="s">
        <v>1727</v>
      </c>
      <c r="C40" s="13" t="s">
        <v>1728</v>
      </c>
      <c r="D40" s="13" t="s">
        <v>763</v>
      </c>
      <c r="E40" s="18">
        <v>51183</v>
      </c>
      <c r="F40" s="19">
        <v>1219.1500000000001</v>
      </c>
      <c r="G40" s="20">
        <v>6.4999999999999997E-3</v>
      </c>
      <c r="H40" s="36"/>
      <c r="I40" s="22"/>
      <c r="J40" s="2"/>
    </row>
    <row r="41" spans="1:10" ht="12.95" customHeight="1">
      <c r="A41" s="16" t="s">
        <v>927</v>
      </c>
      <c r="B41" s="17" t="s">
        <v>928</v>
      </c>
      <c r="C41" s="13" t="s">
        <v>929</v>
      </c>
      <c r="D41" s="13" t="s">
        <v>685</v>
      </c>
      <c r="E41" s="18">
        <v>768335</v>
      </c>
      <c r="F41" s="19">
        <v>1211.28</v>
      </c>
      <c r="G41" s="20">
        <v>6.4999999999999997E-3</v>
      </c>
      <c r="H41" s="36"/>
      <c r="I41" s="22"/>
      <c r="J41" s="2"/>
    </row>
    <row r="42" spans="1:10" ht="12.95" customHeight="1">
      <c r="A42" s="16" t="s">
        <v>1039</v>
      </c>
      <c r="B42" s="17" t="s">
        <v>1040</v>
      </c>
      <c r="C42" s="13" t="s">
        <v>1041</v>
      </c>
      <c r="D42" s="13" t="s">
        <v>900</v>
      </c>
      <c r="E42" s="18">
        <v>99531</v>
      </c>
      <c r="F42" s="19">
        <v>1209.4000000000001</v>
      </c>
      <c r="G42" s="20">
        <v>6.4999999999999997E-3</v>
      </c>
      <c r="H42" s="36"/>
      <c r="I42" s="22"/>
      <c r="J42" s="2"/>
    </row>
    <row r="43" spans="1:10" ht="12.95" customHeight="1">
      <c r="A43" s="16" t="s">
        <v>818</v>
      </c>
      <c r="B43" s="17" t="s">
        <v>819</v>
      </c>
      <c r="C43" s="13" t="s">
        <v>820</v>
      </c>
      <c r="D43" s="13" t="s">
        <v>739</v>
      </c>
      <c r="E43" s="18">
        <v>13607</v>
      </c>
      <c r="F43" s="19">
        <v>1140.1199999999999</v>
      </c>
      <c r="G43" s="20">
        <v>6.1000000000000004E-3</v>
      </c>
      <c r="H43" s="36"/>
      <c r="I43" s="22"/>
      <c r="J43" s="2"/>
    </row>
    <row r="44" spans="1:10" ht="12.95" customHeight="1">
      <c r="A44" s="16" t="s">
        <v>842</v>
      </c>
      <c r="B44" s="17" t="s">
        <v>843</v>
      </c>
      <c r="C44" s="13" t="s">
        <v>844</v>
      </c>
      <c r="D44" s="13" t="s">
        <v>771</v>
      </c>
      <c r="E44" s="18">
        <v>136711</v>
      </c>
      <c r="F44" s="19">
        <v>1102.03</v>
      </c>
      <c r="G44" s="20">
        <v>5.8999999999999999E-3</v>
      </c>
      <c r="H44" s="36"/>
      <c r="I44" s="22"/>
      <c r="J44" s="2"/>
    </row>
    <row r="45" spans="1:10" ht="12.95" customHeight="1">
      <c r="A45" s="16" t="s">
        <v>848</v>
      </c>
      <c r="B45" s="17" t="s">
        <v>849</v>
      </c>
      <c r="C45" s="13" t="s">
        <v>850</v>
      </c>
      <c r="D45" s="13" t="s">
        <v>739</v>
      </c>
      <c r="E45" s="18">
        <v>805957</v>
      </c>
      <c r="F45" s="19">
        <v>1100.94</v>
      </c>
      <c r="G45" s="20">
        <v>5.8999999999999999E-3</v>
      </c>
      <c r="H45" s="36"/>
      <c r="I45" s="22"/>
      <c r="J45" s="2"/>
    </row>
    <row r="46" spans="1:10" ht="12.95" customHeight="1">
      <c r="A46" s="16" t="s">
        <v>840</v>
      </c>
      <c r="B46" s="17" t="s">
        <v>3924</v>
      </c>
      <c r="C46" s="13" t="s">
        <v>841</v>
      </c>
      <c r="D46" s="13" t="s">
        <v>735</v>
      </c>
      <c r="E46" s="18">
        <v>30200</v>
      </c>
      <c r="F46" s="19">
        <v>565.09</v>
      </c>
      <c r="G46" s="20">
        <v>3.0000000000000001E-3</v>
      </c>
      <c r="H46" s="36"/>
      <c r="I46" s="22"/>
      <c r="J46" s="2"/>
    </row>
    <row r="47" spans="1:10" ht="12.95" customHeight="1">
      <c r="A47" s="16" t="s">
        <v>2039</v>
      </c>
      <c r="B47" s="17" t="s">
        <v>3923</v>
      </c>
      <c r="C47" s="13" t="s">
        <v>2041</v>
      </c>
      <c r="D47" s="13" t="s">
        <v>685</v>
      </c>
      <c r="E47" s="18">
        <v>342760</v>
      </c>
      <c r="F47" s="19">
        <v>553.41999999999996</v>
      </c>
      <c r="G47" s="20">
        <v>3.0000000000000001E-3</v>
      </c>
      <c r="H47" s="36"/>
      <c r="I47" s="22"/>
      <c r="J47" s="2"/>
    </row>
    <row r="48" spans="1:10" ht="12.95" customHeight="1">
      <c r="A48" s="16" t="s">
        <v>950</v>
      </c>
      <c r="B48" s="17" t="s">
        <v>951</v>
      </c>
      <c r="C48" s="13" t="s">
        <v>952</v>
      </c>
      <c r="D48" s="13" t="s">
        <v>910</v>
      </c>
      <c r="E48" s="18">
        <v>65616</v>
      </c>
      <c r="F48" s="19">
        <v>373.98</v>
      </c>
      <c r="G48" s="20">
        <v>2E-3</v>
      </c>
      <c r="H48" s="36"/>
      <c r="I48" s="22"/>
      <c r="J48" s="2"/>
    </row>
    <row r="49" spans="1:10" ht="12.95" customHeight="1">
      <c r="A49" s="16" t="s">
        <v>833</v>
      </c>
      <c r="B49" s="17" t="s">
        <v>834</v>
      </c>
      <c r="C49" s="13" t="s">
        <v>835</v>
      </c>
      <c r="D49" s="13" t="s">
        <v>836</v>
      </c>
      <c r="E49" s="18">
        <v>800</v>
      </c>
      <c r="F49" s="19">
        <v>365.72</v>
      </c>
      <c r="G49" s="20">
        <v>2E-3</v>
      </c>
      <c r="H49" s="36"/>
      <c r="I49" s="22"/>
      <c r="J49" s="2"/>
    </row>
    <row r="50" spans="1:10" ht="12.95" customHeight="1">
      <c r="A50" s="2"/>
      <c r="B50" s="12" t="s">
        <v>172</v>
      </c>
      <c r="C50" s="13"/>
      <c r="D50" s="13"/>
      <c r="E50" s="13"/>
      <c r="F50" s="23">
        <v>144362.64000000001</v>
      </c>
      <c r="G50" s="24">
        <v>0.77280000000000004</v>
      </c>
      <c r="H50" s="25"/>
      <c r="I50" s="26"/>
      <c r="J50" s="2"/>
    </row>
    <row r="51" spans="1:10" ht="12.95" customHeight="1">
      <c r="A51" s="2"/>
      <c r="B51" s="27" t="s">
        <v>719</v>
      </c>
      <c r="C51" s="1"/>
      <c r="D51" s="1"/>
      <c r="E51" s="1"/>
      <c r="F51" s="25" t="s">
        <v>204</v>
      </c>
      <c r="G51" s="25" t="s">
        <v>204</v>
      </c>
      <c r="H51" s="25"/>
      <c r="I51" s="26"/>
      <c r="J51" s="2"/>
    </row>
    <row r="52" spans="1:10" ht="12.95" customHeight="1">
      <c r="A52" s="2"/>
      <c r="B52" s="27" t="s">
        <v>172</v>
      </c>
      <c r="C52" s="1"/>
      <c r="D52" s="1"/>
      <c r="E52" s="1"/>
      <c r="F52" s="25" t="s">
        <v>204</v>
      </c>
      <c r="G52" s="25" t="s">
        <v>204</v>
      </c>
      <c r="H52" s="25"/>
      <c r="I52" s="26"/>
      <c r="J52" s="2"/>
    </row>
    <row r="53" spans="1:10" ht="12.95" customHeight="1">
      <c r="A53" s="2"/>
      <c r="B53" s="27" t="s">
        <v>177</v>
      </c>
      <c r="C53" s="28"/>
      <c r="D53" s="1"/>
      <c r="E53" s="28"/>
      <c r="F53" s="23">
        <v>144362.64000000001</v>
      </c>
      <c r="G53" s="24">
        <v>0.77280000000000004</v>
      </c>
      <c r="H53" s="25"/>
      <c r="I53" s="26"/>
      <c r="J53" s="2"/>
    </row>
    <row r="54" spans="1:10" ht="12.95" customHeight="1">
      <c r="A54" s="2"/>
      <c r="B54" s="12" t="s">
        <v>127</v>
      </c>
      <c r="C54" s="13"/>
      <c r="D54" s="13"/>
      <c r="E54" s="13"/>
      <c r="F54" s="13"/>
      <c r="G54" s="13"/>
      <c r="H54" s="14"/>
      <c r="I54" s="15"/>
      <c r="J54" s="2"/>
    </row>
    <row r="55" spans="1:10" ht="12.95" customHeight="1">
      <c r="A55" s="2"/>
      <c r="B55" s="12" t="s">
        <v>128</v>
      </c>
      <c r="C55" s="13"/>
      <c r="D55" s="13"/>
      <c r="E55" s="13"/>
      <c r="F55" s="2"/>
      <c r="G55" s="14"/>
      <c r="H55" s="14"/>
      <c r="I55" s="15"/>
      <c r="J55" s="2"/>
    </row>
    <row r="56" spans="1:10" ht="12.95" customHeight="1">
      <c r="A56" s="16" t="s">
        <v>1430</v>
      </c>
      <c r="B56" s="17" t="s">
        <v>1431</v>
      </c>
      <c r="C56" s="13" t="s">
        <v>1432</v>
      </c>
      <c r="D56" s="13" t="s">
        <v>132</v>
      </c>
      <c r="E56" s="18">
        <v>400</v>
      </c>
      <c r="F56" s="19">
        <v>4393.58</v>
      </c>
      <c r="G56" s="20">
        <v>2.35E-2</v>
      </c>
      <c r="H56" s="21">
        <v>6.5500000000000003E-2</v>
      </c>
      <c r="I56" s="22"/>
      <c r="J56" s="2"/>
    </row>
    <row r="57" spans="1:10" ht="12.95" customHeight="1">
      <c r="A57" s="16" t="s">
        <v>544</v>
      </c>
      <c r="B57" s="17" t="s">
        <v>545</v>
      </c>
      <c r="C57" s="13" t="s">
        <v>546</v>
      </c>
      <c r="D57" s="13" t="s">
        <v>196</v>
      </c>
      <c r="E57" s="18">
        <v>250</v>
      </c>
      <c r="F57" s="19">
        <v>2668.57</v>
      </c>
      <c r="G57" s="20">
        <v>1.43E-2</v>
      </c>
      <c r="H57" s="21">
        <v>7.1779999999999997E-2</v>
      </c>
      <c r="I57" s="37">
        <v>5.0650683000000002E-2</v>
      </c>
      <c r="J57" s="2"/>
    </row>
    <row r="58" spans="1:10" ht="12.95" customHeight="1">
      <c r="A58" s="16" t="s">
        <v>2042</v>
      </c>
      <c r="B58" s="17" t="s">
        <v>2043</v>
      </c>
      <c r="C58" s="13" t="s">
        <v>2044</v>
      </c>
      <c r="D58" s="13" t="s">
        <v>1354</v>
      </c>
      <c r="E58" s="18">
        <v>250</v>
      </c>
      <c r="F58" s="19">
        <v>2593.3200000000002</v>
      </c>
      <c r="G58" s="20">
        <v>1.3899999999999999E-2</v>
      </c>
      <c r="H58" s="21">
        <v>6.8950999999999998E-2</v>
      </c>
      <c r="I58" s="37"/>
      <c r="J58" s="2"/>
    </row>
    <row r="59" spans="1:10" ht="12.95" customHeight="1">
      <c r="A59" s="16" t="s">
        <v>1172</v>
      </c>
      <c r="B59" s="17" t="s">
        <v>1173</v>
      </c>
      <c r="C59" s="13" t="s">
        <v>1174</v>
      </c>
      <c r="D59" s="13" t="s">
        <v>132</v>
      </c>
      <c r="E59" s="18">
        <v>250</v>
      </c>
      <c r="F59" s="19">
        <v>2553.88</v>
      </c>
      <c r="G59" s="20">
        <v>1.37E-2</v>
      </c>
      <c r="H59" s="21">
        <v>6.1800000000000001E-2</v>
      </c>
      <c r="I59" s="37"/>
      <c r="J59" s="2"/>
    </row>
    <row r="60" spans="1:10" ht="12.95" customHeight="1">
      <c r="A60" s="16" t="s">
        <v>1442</v>
      </c>
      <c r="B60" s="17" t="s">
        <v>1443</v>
      </c>
      <c r="C60" s="13" t="s">
        <v>1444</v>
      </c>
      <c r="D60" s="13" t="s">
        <v>132</v>
      </c>
      <c r="E60" s="18">
        <v>200</v>
      </c>
      <c r="F60" s="19">
        <v>2122.0300000000002</v>
      </c>
      <c r="G60" s="20">
        <v>1.14E-2</v>
      </c>
      <c r="H60" s="21">
        <v>6.5549999999999997E-2</v>
      </c>
      <c r="I60" s="37"/>
      <c r="J60" s="2"/>
    </row>
    <row r="61" spans="1:10" ht="12.95" customHeight="1">
      <c r="A61" s="16" t="s">
        <v>2045</v>
      </c>
      <c r="B61" s="17" t="s">
        <v>2046</v>
      </c>
      <c r="C61" s="13" t="s">
        <v>2047</v>
      </c>
      <c r="D61" s="13" t="s">
        <v>2048</v>
      </c>
      <c r="E61" s="18">
        <v>140</v>
      </c>
      <c r="F61" s="19">
        <v>1786.59</v>
      </c>
      <c r="G61" s="20">
        <v>9.5999999999999992E-3</v>
      </c>
      <c r="H61" s="21">
        <v>6.3958000000000001E-2</v>
      </c>
      <c r="I61" s="37"/>
      <c r="J61" s="2"/>
    </row>
    <row r="62" spans="1:10" ht="12.95" customHeight="1">
      <c r="A62" s="16" t="s">
        <v>2049</v>
      </c>
      <c r="B62" s="17" t="s">
        <v>2050</v>
      </c>
      <c r="C62" s="13" t="s">
        <v>2051</v>
      </c>
      <c r="D62" s="13" t="s">
        <v>1069</v>
      </c>
      <c r="E62" s="18">
        <v>150</v>
      </c>
      <c r="F62" s="19">
        <v>1537.78</v>
      </c>
      <c r="G62" s="20">
        <v>8.2000000000000007E-3</v>
      </c>
      <c r="H62" s="21">
        <v>8.7436E-2</v>
      </c>
      <c r="I62" s="37">
        <v>3.5358151999999997E-2</v>
      </c>
      <c r="J62" s="2"/>
    </row>
    <row r="63" spans="1:10" ht="12.95" customHeight="1">
      <c r="A63" s="16" t="s">
        <v>1054</v>
      </c>
      <c r="B63" s="17" t="s">
        <v>1055</v>
      </c>
      <c r="C63" s="13" t="s">
        <v>1056</v>
      </c>
      <c r="D63" s="13" t="s">
        <v>161</v>
      </c>
      <c r="E63" s="18">
        <v>150</v>
      </c>
      <c r="F63" s="19">
        <v>1516.34</v>
      </c>
      <c r="G63" s="20">
        <v>8.0999999999999996E-3</v>
      </c>
      <c r="H63" s="21">
        <v>6.93E-2</v>
      </c>
      <c r="I63" s="37"/>
      <c r="J63" s="2"/>
    </row>
    <row r="64" spans="1:10" ht="12.95" customHeight="1">
      <c r="A64" s="16" t="s">
        <v>2052</v>
      </c>
      <c r="B64" s="17" t="s">
        <v>2053</v>
      </c>
      <c r="C64" s="13" t="s">
        <v>2054</v>
      </c>
      <c r="D64" s="13" t="s">
        <v>1073</v>
      </c>
      <c r="E64" s="18">
        <v>150</v>
      </c>
      <c r="F64" s="19">
        <v>1503.68</v>
      </c>
      <c r="G64" s="20">
        <v>8.0000000000000002E-3</v>
      </c>
      <c r="H64" s="21">
        <v>7.2066000000000005E-2</v>
      </c>
      <c r="I64" s="37">
        <v>7.1650030000000003E-2</v>
      </c>
      <c r="J64" s="2"/>
    </row>
    <row r="65" spans="1:10" ht="12.95" customHeight="1">
      <c r="A65" s="16" t="s">
        <v>2055</v>
      </c>
      <c r="B65" s="17" t="s">
        <v>2056</v>
      </c>
      <c r="C65" s="13" t="s">
        <v>2057</v>
      </c>
      <c r="D65" s="13" t="s">
        <v>2058</v>
      </c>
      <c r="E65" s="18">
        <v>150</v>
      </c>
      <c r="F65" s="19">
        <v>1499.17</v>
      </c>
      <c r="G65" s="20">
        <v>8.0000000000000002E-3</v>
      </c>
      <c r="H65" s="21">
        <v>8.0250000000000002E-2</v>
      </c>
      <c r="I65" s="37"/>
      <c r="J65" s="2"/>
    </row>
    <row r="66" spans="1:10" ht="12.95" customHeight="1">
      <c r="A66" s="16" t="s">
        <v>1400</v>
      </c>
      <c r="B66" s="17" t="s">
        <v>1401</v>
      </c>
      <c r="C66" s="13" t="s">
        <v>1402</v>
      </c>
      <c r="D66" s="13" t="s">
        <v>171</v>
      </c>
      <c r="E66" s="18">
        <v>150</v>
      </c>
      <c r="F66" s="19">
        <v>1484.64</v>
      </c>
      <c r="G66" s="20">
        <v>7.9000000000000008E-3</v>
      </c>
      <c r="H66" s="21">
        <v>6.7482E-2</v>
      </c>
      <c r="I66" s="37"/>
      <c r="J66" s="2"/>
    </row>
    <row r="67" spans="1:10" ht="12.95" customHeight="1">
      <c r="A67" s="16" t="s">
        <v>2059</v>
      </c>
      <c r="B67" s="17" t="s">
        <v>2060</v>
      </c>
      <c r="C67" s="13" t="s">
        <v>2061</v>
      </c>
      <c r="D67" s="13" t="s">
        <v>2062</v>
      </c>
      <c r="E67" s="18">
        <v>120</v>
      </c>
      <c r="F67" s="19">
        <v>1258.9100000000001</v>
      </c>
      <c r="G67" s="20">
        <v>6.7000000000000002E-3</v>
      </c>
      <c r="H67" s="21">
        <v>5.0950000000000002E-2</v>
      </c>
      <c r="I67" s="37"/>
      <c r="J67" s="2"/>
    </row>
    <row r="68" spans="1:10" ht="12.95" customHeight="1">
      <c r="A68" s="16" t="s">
        <v>2063</v>
      </c>
      <c r="B68" s="17" t="s">
        <v>2064</v>
      </c>
      <c r="C68" s="13" t="s">
        <v>2065</v>
      </c>
      <c r="D68" s="13" t="s">
        <v>132</v>
      </c>
      <c r="E68" s="18">
        <v>100</v>
      </c>
      <c r="F68" s="19">
        <v>1109.28</v>
      </c>
      <c r="G68" s="20">
        <v>5.8999999999999999E-3</v>
      </c>
      <c r="H68" s="21">
        <v>6.4033999999999994E-2</v>
      </c>
      <c r="I68" s="37"/>
      <c r="J68" s="2"/>
    </row>
    <row r="69" spans="1:10" ht="12.95" customHeight="1">
      <c r="A69" s="16" t="s">
        <v>2066</v>
      </c>
      <c r="B69" s="17" t="s">
        <v>2067</v>
      </c>
      <c r="C69" s="13" t="s">
        <v>2068</v>
      </c>
      <c r="D69" s="13" t="s">
        <v>1073</v>
      </c>
      <c r="E69" s="18">
        <v>100</v>
      </c>
      <c r="F69" s="19">
        <v>1018.08</v>
      </c>
      <c r="G69" s="20">
        <v>5.4000000000000003E-3</v>
      </c>
      <c r="H69" s="21">
        <v>4.2986999999999997E-2</v>
      </c>
      <c r="I69" s="37"/>
      <c r="J69" s="2"/>
    </row>
    <row r="70" spans="1:10" ht="12.95" customHeight="1">
      <c r="A70" s="16" t="s">
        <v>2069</v>
      </c>
      <c r="B70" s="17" t="s">
        <v>2070</v>
      </c>
      <c r="C70" s="13" t="s">
        <v>2071</v>
      </c>
      <c r="D70" s="13" t="s">
        <v>1694</v>
      </c>
      <c r="E70" s="18">
        <v>100</v>
      </c>
      <c r="F70" s="19">
        <v>1013.31</v>
      </c>
      <c r="G70" s="20">
        <v>5.4000000000000003E-3</v>
      </c>
      <c r="H70" s="21">
        <v>6.7252000000000006E-2</v>
      </c>
      <c r="I70" s="37"/>
      <c r="J70" s="2"/>
    </row>
    <row r="71" spans="1:10" ht="12.95" customHeight="1">
      <c r="A71" s="16" t="s">
        <v>1092</v>
      </c>
      <c r="B71" s="17" t="s">
        <v>1093</v>
      </c>
      <c r="C71" s="13" t="s">
        <v>1094</v>
      </c>
      <c r="D71" s="13" t="s">
        <v>1095</v>
      </c>
      <c r="E71" s="18">
        <v>90</v>
      </c>
      <c r="F71" s="19">
        <v>904.73</v>
      </c>
      <c r="G71" s="20">
        <v>4.7999999999999996E-3</v>
      </c>
      <c r="H71" s="21">
        <v>9.1184500000000002E-2</v>
      </c>
      <c r="I71" s="37">
        <v>7.7492582000000004E-2</v>
      </c>
      <c r="J71" s="2"/>
    </row>
    <row r="72" spans="1:10" ht="12.95" customHeight="1">
      <c r="A72" s="16" t="s">
        <v>1199</v>
      </c>
      <c r="B72" s="17" t="s">
        <v>1200</v>
      </c>
      <c r="C72" s="13" t="s">
        <v>1201</v>
      </c>
      <c r="D72" s="13" t="s">
        <v>132</v>
      </c>
      <c r="E72" s="18">
        <v>50</v>
      </c>
      <c r="F72" s="19">
        <v>553.70000000000005</v>
      </c>
      <c r="G72" s="20">
        <v>3.0000000000000001E-3</v>
      </c>
      <c r="H72" s="21">
        <v>6.4056000000000002E-2</v>
      </c>
      <c r="I72" s="37"/>
      <c r="J72" s="2"/>
    </row>
    <row r="73" spans="1:10" ht="12.95" customHeight="1">
      <c r="A73" s="16" t="s">
        <v>1217</v>
      </c>
      <c r="B73" s="17" t="s">
        <v>1218</v>
      </c>
      <c r="C73" s="13" t="s">
        <v>1219</v>
      </c>
      <c r="D73" s="13" t="s">
        <v>132</v>
      </c>
      <c r="E73" s="18">
        <v>50</v>
      </c>
      <c r="F73" s="19">
        <v>523.79999999999995</v>
      </c>
      <c r="G73" s="20">
        <v>2.8E-3</v>
      </c>
      <c r="H73" s="21">
        <v>5.5898999999999997E-2</v>
      </c>
      <c r="I73" s="37"/>
      <c r="J73" s="2"/>
    </row>
    <row r="74" spans="1:10" ht="12.95" customHeight="1">
      <c r="A74" s="16" t="s">
        <v>1701</v>
      </c>
      <c r="B74" s="17" t="s">
        <v>1702</v>
      </c>
      <c r="C74" s="13" t="s">
        <v>1703</v>
      </c>
      <c r="D74" s="13" t="s">
        <v>1704</v>
      </c>
      <c r="E74" s="18">
        <v>50</v>
      </c>
      <c r="F74" s="19">
        <v>520.98</v>
      </c>
      <c r="G74" s="20">
        <v>2.8E-3</v>
      </c>
      <c r="H74" s="21">
        <v>8.5046499999999997E-2</v>
      </c>
      <c r="I74" s="37">
        <v>6.4587193000000001E-2</v>
      </c>
      <c r="J74" s="2"/>
    </row>
    <row r="75" spans="1:10" ht="12.95" customHeight="1">
      <c r="A75" s="16" t="s">
        <v>1066</v>
      </c>
      <c r="B75" s="17" t="s">
        <v>1067</v>
      </c>
      <c r="C75" s="13" t="s">
        <v>1068</v>
      </c>
      <c r="D75" s="13" t="s">
        <v>1069</v>
      </c>
      <c r="E75" s="18">
        <v>50</v>
      </c>
      <c r="F75" s="19">
        <v>506.47</v>
      </c>
      <c r="G75" s="20">
        <v>2.7000000000000001E-3</v>
      </c>
      <c r="H75" s="21">
        <v>8.3005999999999996E-2</v>
      </c>
      <c r="I75" s="37">
        <v>2.4670000000000001E-2</v>
      </c>
      <c r="J75" s="2"/>
    </row>
    <row r="76" spans="1:10" ht="12.95" customHeight="1">
      <c r="A76" s="16" t="s">
        <v>1351</v>
      </c>
      <c r="B76" s="17" t="s">
        <v>1352</v>
      </c>
      <c r="C76" s="13" t="s">
        <v>1353</v>
      </c>
      <c r="D76" s="13" t="s">
        <v>1354</v>
      </c>
      <c r="E76" s="18">
        <v>50</v>
      </c>
      <c r="F76" s="19">
        <v>493.87</v>
      </c>
      <c r="G76" s="20">
        <v>2.5999999999999999E-3</v>
      </c>
      <c r="H76" s="21">
        <v>6.8339999999999998E-2</v>
      </c>
      <c r="I76" s="37"/>
      <c r="J76" s="2"/>
    </row>
    <row r="77" spans="1:10" ht="12.95" customHeight="1">
      <c r="A77" s="16" t="s">
        <v>193</v>
      </c>
      <c r="B77" s="17" t="s">
        <v>194</v>
      </c>
      <c r="C77" s="13" t="s">
        <v>195</v>
      </c>
      <c r="D77" s="13" t="s">
        <v>196</v>
      </c>
      <c r="E77" s="18">
        <v>24</v>
      </c>
      <c r="F77" s="19">
        <v>315.56</v>
      </c>
      <c r="G77" s="20">
        <v>1.6999999999999999E-3</v>
      </c>
      <c r="H77" s="21">
        <v>4.3049999999999998E-2</v>
      </c>
      <c r="I77" s="37"/>
      <c r="J77" s="2"/>
    </row>
    <row r="78" spans="1:10" ht="12.95" customHeight="1">
      <c r="A78" s="16" t="s">
        <v>1516</v>
      </c>
      <c r="B78" s="17" t="s">
        <v>1517</v>
      </c>
      <c r="C78" s="13" t="s">
        <v>1518</v>
      </c>
      <c r="D78" s="13" t="s">
        <v>132</v>
      </c>
      <c r="E78" s="18">
        <v>30</v>
      </c>
      <c r="F78" s="19">
        <v>308.44</v>
      </c>
      <c r="G78" s="20">
        <v>1.6999999999999999E-3</v>
      </c>
      <c r="H78" s="21">
        <v>6.9449999999999998E-2</v>
      </c>
      <c r="I78" s="37"/>
      <c r="J78" s="2"/>
    </row>
    <row r="79" spans="1:10" ht="12.95" customHeight="1">
      <c r="A79" s="16" t="s">
        <v>1103</v>
      </c>
      <c r="B79" s="17" t="s">
        <v>1104</v>
      </c>
      <c r="C79" s="13" t="s">
        <v>1105</v>
      </c>
      <c r="D79" s="13" t="s">
        <v>1095</v>
      </c>
      <c r="E79" s="18">
        <v>20</v>
      </c>
      <c r="F79" s="19">
        <v>202.92</v>
      </c>
      <c r="G79" s="20">
        <v>1.1000000000000001E-3</v>
      </c>
      <c r="H79" s="21">
        <v>8.86575E-2</v>
      </c>
      <c r="I79" s="37">
        <v>5.8150294999999998E-2</v>
      </c>
      <c r="J79" s="2"/>
    </row>
    <row r="80" spans="1:10" ht="12.95" customHeight="1">
      <c r="A80" s="16" t="s">
        <v>136</v>
      </c>
      <c r="B80" s="17" t="s">
        <v>137</v>
      </c>
      <c r="C80" s="13" t="s">
        <v>138</v>
      </c>
      <c r="D80" s="13" t="s">
        <v>132</v>
      </c>
      <c r="E80" s="18">
        <v>14</v>
      </c>
      <c r="F80" s="19">
        <v>186.88</v>
      </c>
      <c r="G80" s="20">
        <v>1E-3</v>
      </c>
      <c r="H80" s="21">
        <v>4.2699000000000001E-2</v>
      </c>
      <c r="I80" s="37"/>
      <c r="J80" s="2"/>
    </row>
    <row r="81" spans="1:10" ht="12.95" customHeight="1">
      <c r="A81" s="16" t="s">
        <v>2072</v>
      </c>
      <c r="B81" s="17" t="s">
        <v>2073</v>
      </c>
      <c r="C81" s="13" t="s">
        <v>2074</v>
      </c>
      <c r="D81" s="13" t="s">
        <v>1073</v>
      </c>
      <c r="E81" s="18">
        <v>16</v>
      </c>
      <c r="F81" s="19">
        <v>161.86000000000001</v>
      </c>
      <c r="G81" s="20">
        <v>8.9999999999999998E-4</v>
      </c>
      <c r="H81" s="21">
        <v>4.2750000000000003E-2</v>
      </c>
      <c r="I81" s="37"/>
      <c r="J81" s="2"/>
    </row>
    <row r="82" spans="1:10" ht="12.95" customHeight="1">
      <c r="A82" s="16" t="s">
        <v>1474</v>
      </c>
      <c r="B82" s="17" t="s">
        <v>1475</v>
      </c>
      <c r="C82" s="13" t="s">
        <v>1476</v>
      </c>
      <c r="D82" s="13" t="s">
        <v>132</v>
      </c>
      <c r="E82" s="18">
        <v>10</v>
      </c>
      <c r="F82" s="19">
        <v>112.11</v>
      </c>
      <c r="G82" s="20">
        <v>5.9999999999999995E-4</v>
      </c>
      <c r="H82" s="21">
        <v>6.7597000000000004E-2</v>
      </c>
      <c r="I82" s="37"/>
      <c r="J82" s="2"/>
    </row>
    <row r="83" spans="1:10" ht="12.95" customHeight="1">
      <c r="A83" s="2"/>
      <c r="B83" s="12" t="s">
        <v>172</v>
      </c>
      <c r="C83" s="13"/>
      <c r="D83" s="13"/>
      <c r="E83" s="13"/>
      <c r="F83" s="23">
        <v>32850.480000000003</v>
      </c>
      <c r="G83" s="24">
        <v>0.1757</v>
      </c>
      <c r="H83" s="25"/>
      <c r="I83" s="26"/>
      <c r="J83" s="2"/>
    </row>
    <row r="84" spans="1:10" ht="12.95" customHeight="1">
      <c r="A84" s="2"/>
      <c r="B84" s="27" t="s">
        <v>173</v>
      </c>
      <c r="C84" s="1"/>
      <c r="D84" s="1"/>
      <c r="E84" s="1"/>
      <c r="F84" s="25" t="s">
        <v>204</v>
      </c>
      <c r="G84" s="25" t="s">
        <v>204</v>
      </c>
      <c r="H84" s="25"/>
      <c r="I84" s="26"/>
      <c r="J84" s="2"/>
    </row>
    <row r="85" spans="1:10" ht="12.95" customHeight="1">
      <c r="A85" s="2"/>
      <c r="B85" s="27" t="s">
        <v>172</v>
      </c>
      <c r="C85" s="1"/>
      <c r="D85" s="1"/>
      <c r="E85" s="1"/>
      <c r="F85" s="25" t="s">
        <v>204</v>
      </c>
      <c r="G85" s="25" t="s">
        <v>204</v>
      </c>
      <c r="H85" s="25"/>
      <c r="I85" s="26"/>
      <c r="J85" s="2"/>
    </row>
    <row r="86" spans="1:10" ht="12.95" customHeight="1">
      <c r="A86" s="2"/>
      <c r="B86" s="27" t="s">
        <v>177</v>
      </c>
      <c r="C86" s="28"/>
      <c r="D86" s="1"/>
      <c r="E86" s="28"/>
      <c r="F86" s="23">
        <v>32850.480000000003</v>
      </c>
      <c r="G86" s="24">
        <v>0.1757</v>
      </c>
      <c r="H86" s="25"/>
      <c r="I86" s="26"/>
      <c r="J86" s="2"/>
    </row>
    <row r="87" spans="1:10" ht="12.95" customHeight="1">
      <c r="A87" s="2"/>
      <c r="B87" s="12" t="s">
        <v>219</v>
      </c>
      <c r="C87" s="13"/>
      <c r="D87" s="13"/>
      <c r="E87" s="13"/>
      <c r="F87" s="13"/>
      <c r="G87" s="13"/>
      <c r="H87" s="14"/>
      <c r="I87" s="15"/>
      <c r="J87" s="2"/>
    </row>
    <row r="88" spans="1:10" ht="12.95" customHeight="1">
      <c r="A88" s="2"/>
      <c r="B88" s="12" t="s">
        <v>1106</v>
      </c>
      <c r="C88" s="13"/>
      <c r="D88" s="38" t="s">
        <v>1107</v>
      </c>
      <c r="E88" s="13"/>
      <c r="F88" s="2"/>
      <c r="G88" s="14"/>
      <c r="H88" s="14"/>
      <c r="I88" s="15"/>
      <c r="J88" s="2"/>
    </row>
    <row r="89" spans="1:10" ht="12.95" customHeight="1">
      <c r="A89" s="16" t="s">
        <v>2075</v>
      </c>
      <c r="B89" s="17" t="s">
        <v>2076</v>
      </c>
      <c r="C89" s="13"/>
      <c r="D89" s="39" t="s">
        <v>2077</v>
      </c>
      <c r="E89" s="40"/>
      <c r="F89" s="19">
        <v>491</v>
      </c>
      <c r="G89" s="20">
        <v>2.5999999999999999E-3</v>
      </c>
      <c r="H89" s="21">
        <v>2.9978600540000001E-2</v>
      </c>
      <c r="I89" s="37"/>
      <c r="J89" s="2"/>
    </row>
    <row r="90" spans="1:10" ht="12.95" customHeight="1">
      <c r="A90" s="2"/>
      <c r="B90" s="12" t="s">
        <v>172</v>
      </c>
      <c r="C90" s="13"/>
      <c r="D90" s="13"/>
      <c r="E90" s="13"/>
      <c r="F90" s="23">
        <v>491</v>
      </c>
      <c r="G90" s="24">
        <v>2.5999999999999999E-3</v>
      </c>
      <c r="H90" s="25"/>
      <c r="I90" s="26"/>
      <c r="J90" s="2"/>
    </row>
    <row r="91" spans="1:10" ht="12.95" customHeight="1">
      <c r="A91" s="2"/>
      <c r="B91" s="27" t="s">
        <v>177</v>
      </c>
      <c r="C91" s="28"/>
      <c r="D91" s="1"/>
      <c r="E91" s="28"/>
      <c r="F91" s="23">
        <v>491</v>
      </c>
      <c r="G91" s="24">
        <v>2.5999999999999999E-3</v>
      </c>
      <c r="H91" s="25"/>
      <c r="I91" s="26"/>
      <c r="J91" s="2"/>
    </row>
    <row r="92" spans="1:10" ht="12.95" customHeight="1">
      <c r="A92" s="2"/>
      <c r="B92" s="12" t="s">
        <v>178</v>
      </c>
      <c r="C92" s="13"/>
      <c r="D92" s="13"/>
      <c r="E92" s="13"/>
      <c r="F92" s="13"/>
      <c r="G92" s="13"/>
      <c r="H92" s="14"/>
      <c r="I92" s="15"/>
      <c r="J92" s="2"/>
    </row>
    <row r="93" spans="1:10" ht="12.95" customHeight="1">
      <c r="A93" s="16" t="s">
        <v>179</v>
      </c>
      <c r="B93" s="17" t="s">
        <v>180</v>
      </c>
      <c r="C93" s="13"/>
      <c r="D93" s="13"/>
      <c r="E93" s="18"/>
      <c r="F93" s="19">
        <v>7949.95</v>
      </c>
      <c r="G93" s="20">
        <v>4.2599999999999999E-2</v>
      </c>
      <c r="H93" s="21">
        <v>3.3046227084664884E-2</v>
      </c>
      <c r="I93" s="37"/>
      <c r="J93" s="2"/>
    </row>
    <row r="94" spans="1:10" ht="12.95" customHeight="1">
      <c r="A94" s="2"/>
      <c r="B94" s="12" t="s">
        <v>172</v>
      </c>
      <c r="C94" s="13"/>
      <c r="D94" s="13"/>
      <c r="E94" s="13"/>
      <c r="F94" s="23">
        <v>7949.95</v>
      </c>
      <c r="G94" s="24">
        <v>4.2599999999999999E-2</v>
      </c>
      <c r="H94" s="25"/>
      <c r="I94" s="26"/>
      <c r="J94" s="2"/>
    </row>
    <row r="95" spans="1:10" ht="12.95" customHeight="1">
      <c r="A95" s="2"/>
      <c r="B95" s="27" t="s">
        <v>173</v>
      </c>
      <c r="C95" s="1"/>
      <c r="D95" s="1"/>
      <c r="E95" s="1"/>
      <c r="F95" s="25" t="s">
        <v>204</v>
      </c>
      <c r="G95" s="25" t="s">
        <v>204</v>
      </c>
      <c r="H95" s="25"/>
      <c r="I95" s="26"/>
      <c r="J95" s="2"/>
    </row>
    <row r="96" spans="1:10" ht="12.95" customHeight="1">
      <c r="A96" s="2"/>
      <c r="B96" s="27" t="s">
        <v>172</v>
      </c>
      <c r="C96" s="1"/>
      <c r="D96" s="1"/>
      <c r="E96" s="1"/>
      <c r="F96" s="25" t="s">
        <v>204</v>
      </c>
      <c r="G96" s="25" t="s">
        <v>204</v>
      </c>
      <c r="H96" s="25"/>
      <c r="I96" s="26"/>
      <c r="J96" s="2"/>
    </row>
    <row r="97" spans="1:10" ht="12.95" customHeight="1">
      <c r="A97" s="2"/>
      <c r="B97" s="27" t="s">
        <v>177</v>
      </c>
      <c r="C97" s="28"/>
      <c r="D97" s="1"/>
      <c r="E97" s="28"/>
      <c r="F97" s="23">
        <v>7949.95</v>
      </c>
      <c r="G97" s="24">
        <v>4.2599999999999999E-2</v>
      </c>
      <c r="H97" s="25"/>
      <c r="I97" s="26"/>
      <c r="J97" s="2"/>
    </row>
    <row r="98" spans="1:10" ht="12.95" customHeight="1">
      <c r="A98" s="2"/>
      <c r="B98" s="27" t="s">
        <v>181</v>
      </c>
      <c r="C98" s="13"/>
      <c r="D98" s="1"/>
      <c r="E98" s="13"/>
      <c r="F98" s="29">
        <v>1158.74</v>
      </c>
      <c r="G98" s="24">
        <v>6.3E-3</v>
      </c>
      <c r="H98" s="25"/>
      <c r="I98" s="26"/>
      <c r="J98" s="2"/>
    </row>
    <row r="99" spans="1:10" ht="12.95" customHeight="1">
      <c r="A99" s="2"/>
      <c r="B99" s="30" t="s">
        <v>182</v>
      </c>
      <c r="C99" s="31"/>
      <c r="D99" s="31"/>
      <c r="E99" s="31"/>
      <c r="F99" s="32">
        <v>186812.81</v>
      </c>
      <c r="G99" s="33">
        <v>1</v>
      </c>
      <c r="H99" s="34"/>
      <c r="I99" s="35"/>
      <c r="J99" s="2"/>
    </row>
    <row r="100" spans="1:10" ht="12.95" customHeight="1">
      <c r="A100" s="2"/>
      <c r="B100" s="5"/>
      <c r="C100" s="2"/>
      <c r="D100" s="2"/>
      <c r="E100" s="2"/>
      <c r="F100" s="2"/>
      <c r="G100" s="2"/>
      <c r="H100" s="2"/>
      <c r="I100" s="2"/>
      <c r="J100" s="2"/>
    </row>
    <row r="101" spans="1:10" ht="12.95" customHeight="1">
      <c r="A101" s="2"/>
      <c r="B101" s="3" t="s">
        <v>183</v>
      </c>
      <c r="C101" s="2"/>
      <c r="D101" s="2"/>
      <c r="E101" s="2"/>
      <c r="F101" s="2"/>
      <c r="G101" s="2"/>
      <c r="H101" s="2"/>
      <c r="I101" s="2"/>
      <c r="J101" s="2"/>
    </row>
    <row r="102" spans="1:10" ht="12.95" customHeight="1">
      <c r="A102" s="2"/>
      <c r="B102" s="3" t="s">
        <v>184</v>
      </c>
      <c r="C102" s="2"/>
      <c r="D102" s="2"/>
      <c r="E102" s="2"/>
      <c r="F102" s="2"/>
      <c r="G102" s="2"/>
      <c r="H102" s="2"/>
      <c r="I102" s="2"/>
      <c r="J102" s="2"/>
    </row>
    <row r="103" spans="1:10" ht="12.95" customHeight="1">
      <c r="A103" s="2"/>
      <c r="B103" s="3" t="s">
        <v>186</v>
      </c>
      <c r="C103" s="2"/>
      <c r="D103" s="2"/>
      <c r="E103" s="2"/>
      <c r="F103" s="2"/>
      <c r="G103" s="2"/>
      <c r="H103" s="2"/>
      <c r="I103" s="2"/>
      <c r="J103" s="2"/>
    </row>
    <row r="104" spans="1:10" ht="23.25" customHeight="1">
      <c r="A104" s="2"/>
      <c r="B104" s="189" t="s">
        <v>4025</v>
      </c>
      <c r="C104" s="189"/>
      <c r="D104" s="189"/>
      <c r="E104" s="189"/>
      <c r="F104" s="189"/>
      <c r="G104" s="189"/>
      <c r="H104" s="189"/>
      <c r="I104" s="189"/>
      <c r="J104" s="2"/>
    </row>
    <row r="105" spans="1:10" ht="12.95" customHeight="1">
      <c r="A105" s="2"/>
      <c r="B105" s="3"/>
      <c r="C105" s="2"/>
      <c r="D105" s="2"/>
      <c r="E105" s="2"/>
      <c r="F105" s="2"/>
      <c r="G105" s="2"/>
      <c r="H105" s="2"/>
      <c r="I105" s="2"/>
      <c r="J105" s="2"/>
    </row>
    <row r="106" spans="1:10">
      <c r="C106" s="111" t="s">
        <v>3946</v>
      </c>
    </row>
    <row r="107" spans="1:10">
      <c r="B107" s="111" t="s">
        <v>3933</v>
      </c>
      <c r="C107" s="111" t="s">
        <v>3934</v>
      </c>
    </row>
  </sheetData>
  <mergeCells count="2">
    <mergeCell ref="B2:I2"/>
    <mergeCell ref="B104:I104"/>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72"/>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AXISEQF</v>
      </c>
    </row>
    <row r="2" spans="1:13" ht="34.5" customHeight="1" thickBot="1">
      <c r="A2" s="135" t="str">
        <f>M2</f>
        <v>AXISEQF</v>
      </c>
      <c r="B2" s="186" t="s">
        <v>39</v>
      </c>
      <c r="C2" s="187"/>
      <c r="D2" s="187"/>
      <c r="E2" s="187"/>
      <c r="F2" s="187"/>
      <c r="G2" s="187"/>
      <c r="H2" s="187"/>
      <c r="I2" s="188"/>
      <c r="J2" s="2"/>
      <c r="M2" s="108" t="s">
        <v>38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4361250</v>
      </c>
      <c r="F8" s="19">
        <v>334425.01</v>
      </c>
      <c r="G8" s="20">
        <v>0.1009</v>
      </c>
      <c r="H8" s="36"/>
      <c r="I8" s="22"/>
      <c r="J8" s="2"/>
    </row>
    <row r="9" spans="1:13" ht="12.95" customHeight="1">
      <c r="A9" s="16" t="s">
        <v>682</v>
      </c>
      <c r="B9" s="17" t="s">
        <v>683</v>
      </c>
      <c r="C9" s="13" t="s">
        <v>684</v>
      </c>
      <c r="D9" s="13" t="s">
        <v>685</v>
      </c>
      <c r="E9" s="18">
        <v>18551250</v>
      </c>
      <c r="F9" s="19">
        <v>295883.15999999997</v>
      </c>
      <c r="G9" s="20">
        <v>8.9200000000000002E-2</v>
      </c>
      <c r="H9" s="36"/>
      <c r="I9" s="22"/>
      <c r="J9" s="2"/>
    </row>
    <row r="10" spans="1:13" ht="12.95" customHeight="1">
      <c r="A10" s="16" t="s">
        <v>740</v>
      </c>
      <c r="B10" s="17" t="s">
        <v>741</v>
      </c>
      <c r="C10" s="13" t="s">
        <v>742</v>
      </c>
      <c r="D10" s="13" t="s">
        <v>731</v>
      </c>
      <c r="E10" s="18">
        <v>17500000</v>
      </c>
      <c r="F10" s="19">
        <v>293160</v>
      </c>
      <c r="G10" s="20">
        <v>8.8400000000000006E-2</v>
      </c>
      <c r="H10" s="36"/>
      <c r="I10" s="22"/>
      <c r="J10" s="2"/>
    </row>
    <row r="11" spans="1:13" ht="12.95" customHeight="1">
      <c r="A11" s="16" t="s">
        <v>686</v>
      </c>
      <c r="B11" s="17" t="s">
        <v>687</v>
      </c>
      <c r="C11" s="13" t="s">
        <v>688</v>
      </c>
      <c r="D11" s="13" t="s">
        <v>685</v>
      </c>
      <c r="E11" s="18">
        <v>37471875</v>
      </c>
      <c r="F11" s="19">
        <v>262621.64</v>
      </c>
      <c r="G11" s="20">
        <v>7.9200000000000007E-2</v>
      </c>
      <c r="H11" s="36"/>
      <c r="I11" s="22"/>
      <c r="J11" s="2"/>
    </row>
    <row r="12" spans="1:13" ht="12.95" customHeight="1">
      <c r="A12" s="16" t="s">
        <v>728</v>
      </c>
      <c r="B12" s="17" t="s">
        <v>729</v>
      </c>
      <c r="C12" s="13" t="s">
        <v>730</v>
      </c>
      <c r="D12" s="13" t="s">
        <v>731</v>
      </c>
      <c r="E12" s="18">
        <v>6835000</v>
      </c>
      <c r="F12" s="19">
        <v>258058.84</v>
      </c>
      <c r="G12" s="20">
        <v>7.7799999999999994E-2</v>
      </c>
      <c r="H12" s="36"/>
      <c r="I12" s="22"/>
      <c r="J12" s="2"/>
    </row>
    <row r="13" spans="1:13" ht="12.95" customHeight="1">
      <c r="A13" s="16" t="s">
        <v>736</v>
      </c>
      <c r="B13" s="17" t="s">
        <v>737</v>
      </c>
      <c r="C13" s="13" t="s">
        <v>738</v>
      </c>
      <c r="D13" s="13" t="s">
        <v>739</v>
      </c>
      <c r="E13" s="18">
        <v>5387169</v>
      </c>
      <c r="F13" s="19">
        <v>228965.46</v>
      </c>
      <c r="G13" s="20">
        <v>6.9099999999999995E-2</v>
      </c>
      <c r="H13" s="36"/>
      <c r="I13" s="22"/>
      <c r="J13" s="2"/>
    </row>
    <row r="14" spans="1:13" ht="12.95" customHeight="1">
      <c r="A14" s="16" t="s">
        <v>732</v>
      </c>
      <c r="B14" s="17" t="s">
        <v>733</v>
      </c>
      <c r="C14" s="13" t="s">
        <v>734</v>
      </c>
      <c r="D14" s="13" t="s">
        <v>735</v>
      </c>
      <c r="E14" s="18">
        <v>6612500</v>
      </c>
      <c r="F14" s="19">
        <v>166585.41</v>
      </c>
      <c r="G14" s="20">
        <v>5.0200000000000002E-2</v>
      </c>
      <c r="H14" s="36"/>
      <c r="I14" s="22"/>
      <c r="J14" s="2"/>
    </row>
    <row r="15" spans="1:13" ht="12.95" customHeight="1">
      <c r="A15" s="16" t="s">
        <v>743</v>
      </c>
      <c r="B15" s="17" t="s">
        <v>744</v>
      </c>
      <c r="C15" s="13" t="s">
        <v>745</v>
      </c>
      <c r="D15" s="13" t="s">
        <v>723</v>
      </c>
      <c r="E15" s="18">
        <v>4940000</v>
      </c>
      <c r="F15" s="19">
        <v>136062.42000000001</v>
      </c>
      <c r="G15" s="20">
        <v>4.1000000000000002E-2</v>
      </c>
      <c r="H15" s="36"/>
      <c r="I15" s="22"/>
      <c r="J15" s="2"/>
    </row>
    <row r="16" spans="1:13" ht="12.95" customHeight="1">
      <c r="A16" s="16" t="s">
        <v>692</v>
      </c>
      <c r="B16" s="17" t="s">
        <v>693</v>
      </c>
      <c r="C16" s="13" t="s">
        <v>694</v>
      </c>
      <c r="D16" s="13" t="s">
        <v>685</v>
      </c>
      <c r="E16" s="18">
        <v>6630000</v>
      </c>
      <c r="F16" s="19">
        <v>132964.65</v>
      </c>
      <c r="G16" s="20">
        <v>4.0099999999999997E-2</v>
      </c>
      <c r="H16" s="36"/>
      <c r="I16" s="22"/>
      <c r="J16" s="2"/>
    </row>
    <row r="17" spans="1:10" ht="12.95" customHeight="1">
      <c r="A17" s="16" t="s">
        <v>746</v>
      </c>
      <c r="B17" s="17" t="s">
        <v>747</v>
      </c>
      <c r="C17" s="13" t="s">
        <v>748</v>
      </c>
      <c r="D17" s="13" t="s">
        <v>749</v>
      </c>
      <c r="E17" s="18">
        <v>2246000</v>
      </c>
      <c r="F17" s="19">
        <v>107778.8</v>
      </c>
      <c r="G17" s="20">
        <v>3.2500000000000001E-2</v>
      </c>
      <c r="H17" s="36"/>
      <c r="I17" s="22"/>
      <c r="J17" s="2"/>
    </row>
    <row r="18" spans="1:10" ht="12.95" customHeight="1">
      <c r="A18" s="16" t="s">
        <v>891</v>
      </c>
      <c r="B18" s="17" t="s">
        <v>892</v>
      </c>
      <c r="C18" s="13" t="s">
        <v>893</v>
      </c>
      <c r="D18" s="13" t="s">
        <v>782</v>
      </c>
      <c r="E18" s="18">
        <v>1441413</v>
      </c>
      <c r="F18" s="19">
        <v>106608.35</v>
      </c>
      <c r="G18" s="20">
        <v>3.2199999999999999E-2</v>
      </c>
      <c r="H18" s="36"/>
      <c r="I18" s="22"/>
      <c r="J18" s="2"/>
    </row>
    <row r="19" spans="1:10" ht="12.95" customHeight="1">
      <c r="A19" s="16" t="s">
        <v>956</v>
      </c>
      <c r="B19" s="17" t="s">
        <v>957</v>
      </c>
      <c r="C19" s="13" t="s">
        <v>958</v>
      </c>
      <c r="D19" s="13" t="s">
        <v>959</v>
      </c>
      <c r="E19" s="18">
        <v>12229670</v>
      </c>
      <c r="F19" s="19">
        <v>84176.82</v>
      </c>
      <c r="G19" s="20">
        <v>2.5399999999999999E-2</v>
      </c>
      <c r="H19" s="36"/>
      <c r="I19" s="22"/>
      <c r="J19" s="2"/>
    </row>
    <row r="20" spans="1:10" ht="12.95" customHeight="1">
      <c r="A20" s="16" t="s">
        <v>796</v>
      </c>
      <c r="B20" s="17" t="s">
        <v>797</v>
      </c>
      <c r="C20" s="13" t="s">
        <v>798</v>
      </c>
      <c r="D20" s="13" t="s">
        <v>771</v>
      </c>
      <c r="E20" s="18">
        <v>29660000</v>
      </c>
      <c r="F20" s="19">
        <v>67016.77</v>
      </c>
      <c r="G20" s="20">
        <v>2.0199999999999999E-2</v>
      </c>
      <c r="H20" s="36"/>
      <c r="I20" s="22"/>
      <c r="J20" s="2"/>
    </row>
    <row r="21" spans="1:10" ht="12.95" customHeight="1">
      <c r="A21" s="16" t="s">
        <v>888</v>
      </c>
      <c r="B21" s="17" t="s">
        <v>889</v>
      </c>
      <c r="C21" s="13" t="s">
        <v>890</v>
      </c>
      <c r="D21" s="13" t="s">
        <v>789</v>
      </c>
      <c r="E21" s="18">
        <v>2014000</v>
      </c>
      <c r="F21" s="19">
        <v>65347.25</v>
      </c>
      <c r="G21" s="20">
        <v>1.9699999999999999E-2</v>
      </c>
      <c r="H21" s="36"/>
      <c r="I21" s="22"/>
      <c r="J21" s="2"/>
    </row>
    <row r="22" spans="1:10" ht="12.95" customHeight="1">
      <c r="A22" s="16" t="s">
        <v>786</v>
      </c>
      <c r="B22" s="17" t="s">
        <v>787</v>
      </c>
      <c r="C22" s="13" t="s">
        <v>788</v>
      </c>
      <c r="D22" s="13" t="s">
        <v>789</v>
      </c>
      <c r="E22" s="18">
        <v>2389709</v>
      </c>
      <c r="F22" s="19">
        <v>64565.16</v>
      </c>
      <c r="G22" s="20">
        <v>1.95E-2</v>
      </c>
      <c r="H22" s="36"/>
      <c r="I22" s="22"/>
      <c r="J22" s="2"/>
    </row>
    <row r="23" spans="1:10" ht="12.95" customHeight="1">
      <c r="A23" s="16" t="s">
        <v>1726</v>
      </c>
      <c r="B23" s="17" t="s">
        <v>1727</v>
      </c>
      <c r="C23" s="13" t="s">
        <v>1728</v>
      </c>
      <c r="D23" s="13" t="s">
        <v>763</v>
      </c>
      <c r="E23" s="18">
        <v>2660000</v>
      </c>
      <c r="F23" s="19">
        <v>63359.87</v>
      </c>
      <c r="G23" s="20">
        <v>1.9099999999999999E-2</v>
      </c>
      <c r="H23" s="36"/>
      <c r="I23" s="22"/>
      <c r="J23" s="2"/>
    </row>
    <row r="24" spans="1:10" ht="12.95" customHeight="1">
      <c r="A24" s="16" t="s">
        <v>873</v>
      </c>
      <c r="B24" s="17" t="s">
        <v>874</v>
      </c>
      <c r="C24" s="13" t="s">
        <v>875</v>
      </c>
      <c r="D24" s="13" t="s">
        <v>789</v>
      </c>
      <c r="E24" s="18">
        <v>265000</v>
      </c>
      <c r="F24" s="19">
        <v>51530.71</v>
      </c>
      <c r="G24" s="20">
        <v>1.55E-2</v>
      </c>
      <c r="H24" s="36"/>
      <c r="I24" s="22"/>
      <c r="J24" s="2"/>
    </row>
    <row r="25" spans="1:10" ht="12.95" customHeight="1">
      <c r="A25" s="16" t="s">
        <v>2078</v>
      </c>
      <c r="B25" s="17" t="s">
        <v>2079</v>
      </c>
      <c r="C25" s="13" t="s">
        <v>2080</v>
      </c>
      <c r="D25" s="13" t="s">
        <v>731</v>
      </c>
      <c r="E25" s="18">
        <v>7920000</v>
      </c>
      <c r="F25" s="19">
        <v>50220.72</v>
      </c>
      <c r="G25" s="20">
        <v>1.5100000000000001E-2</v>
      </c>
      <c r="H25" s="36"/>
      <c r="I25" s="22"/>
      <c r="J25" s="2"/>
    </row>
    <row r="26" spans="1:10" ht="12.95" customHeight="1">
      <c r="A26" s="16" t="s">
        <v>757</v>
      </c>
      <c r="B26" s="17" t="s">
        <v>758</v>
      </c>
      <c r="C26" s="13" t="s">
        <v>759</v>
      </c>
      <c r="D26" s="13" t="s">
        <v>749</v>
      </c>
      <c r="E26" s="18">
        <v>1138974</v>
      </c>
      <c r="F26" s="19">
        <v>42368.69</v>
      </c>
      <c r="G26" s="20">
        <v>1.2800000000000001E-2</v>
      </c>
      <c r="H26" s="36"/>
      <c r="I26" s="22"/>
      <c r="J26" s="2"/>
    </row>
    <row r="27" spans="1:10" ht="12.95" customHeight="1">
      <c r="A27" s="16" t="s">
        <v>775</v>
      </c>
      <c r="B27" s="17" t="s">
        <v>776</v>
      </c>
      <c r="C27" s="13" t="s">
        <v>777</v>
      </c>
      <c r="D27" s="13" t="s">
        <v>778</v>
      </c>
      <c r="E27" s="18">
        <v>570000</v>
      </c>
      <c r="F27" s="19">
        <v>41826.89</v>
      </c>
      <c r="G27" s="20">
        <v>1.26E-2</v>
      </c>
      <c r="H27" s="36"/>
      <c r="I27" s="22"/>
      <c r="J27" s="2"/>
    </row>
    <row r="28" spans="1:10" ht="12.95" customHeight="1">
      <c r="A28" s="16" t="s">
        <v>901</v>
      </c>
      <c r="B28" s="17" t="s">
        <v>902</v>
      </c>
      <c r="C28" s="13" t="s">
        <v>903</v>
      </c>
      <c r="D28" s="13" t="s">
        <v>767</v>
      </c>
      <c r="E28" s="18">
        <v>1870000</v>
      </c>
      <c r="F28" s="19">
        <v>40426.6</v>
      </c>
      <c r="G28" s="20">
        <v>1.2200000000000001E-2</v>
      </c>
      <c r="H28" s="36"/>
      <c r="I28" s="22"/>
      <c r="J28" s="2"/>
    </row>
    <row r="29" spans="1:10" ht="12.95" customHeight="1">
      <c r="A29" s="16" t="s">
        <v>689</v>
      </c>
      <c r="B29" s="17" t="s">
        <v>690</v>
      </c>
      <c r="C29" s="13" t="s">
        <v>691</v>
      </c>
      <c r="D29" s="13" t="s">
        <v>685</v>
      </c>
      <c r="E29" s="18">
        <v>8715000</v>
      </c>
      <c r="F29" s="19">
        <v>39478.949999999997</v>
      </c>
      <c r="G29" s="20">
        <v>1.1900000000000001E-2</v>
      </c>
      <c r="H29" s="36"/>
      <c r="I29" s="22"/>
      <c r="J29" s="2"/>
    </row>
    <row r="30" spans="1:10" ht="12.95" customHeight="1">
      <c r="A30" s="16" t="s">
        <v>779</v>
      </c>
      <c r="B30" s="17" t="s">
        <v>780</v>
      </c>
      <c r="C30" s="13" t="s">
        <v>781</v>
      </c>
      <c r="D30" s="13" t="s">
        <v>782</v>
      </c>
      <c r="E30" s="18">
        <v>8610000</v>
      </c>
      <c r="F30" s="19">
        <v>34457.22</v>
      </c>
      <c r="G30" s="20">
        <v>1.04E-2</v>
      </c>
      <c r="H30" s="36"/>
      <c r="I30" s="22"/>
      <c r="J30" s="2"/>
    </row>
    <row r="31" spans="1:10" ht="12.95" customHeight="1">
      <c r="A31" s="16" t="s">
        <v>1729</v>
      </c>
      <c r="B31" s="17" t="s">
        <v>1730</v>
      </c>
      <c r="C31" s="13" t="s">
        <v>1731</v>
      </c>
      <c r="D31" s="13" t="s">
        <v>749</v>
      </c>
      <c r="E31" s="18">
        <v>3305500</v>
      </c>
      <c r="F31" s="19">
        <v>32511.25</v>
      </c>
      <c r="G31" s="20">
        <v>9.7999999999999997E-3</v>
      </c>
      <c r="H31" s="36"/>
      <c r="I31" s="22"/>
      <c r="J31" s="2"/>
    </row>
    <row r="32" spans="1:10" ht="12.95" customHeight="1">
      <c r="A32" s="16" t="s">
        <v>966</v>
      </c>
      <c r="B32" s="17" t="s">
        <v>967</v>
      </c>
      <c r="C32" s="13" t="s">
        <v>968</v>
      </c>
      <c r="D32" s="13" t="s">
        <v>789</v>
      </c>
      <c r="E32" s="18">
        <v>3850000</v>
      </c>
      <c r="F32" s="19">
        <v>31323.599999999999</v>
      </c>
      <c r="G32" s="20">
        <v>9.4000000000000004E-3</v>
      </c>
      <c r="H32" s="36"/>
      <c r="I32" s="22"/>
      <c r="J32" s="2"/>
    </row>
    <row r="33" spans="1:10" ht="12.95" customHeight="1">
      <c r="A33" s="16" t="s">
        <v>963</v>
      </c>
      <c r="B33" s="17" t="s">
        <v>964</v>
      </c>
      <c r="C33" s="13" t="s">
        <v>965</v>
      </c>
      <c r="D33" s="13" t="s">
        <v>739</v>
      </c>
      <c r="E33" s="18">
        <v>479452</v>
      </c>
      <c r="F33" s="19">
        <v>30835.48</v>
      </c>
      <c r="G33" s="20">
        <v>9.2999999999999992E-3</v>
      </c>
      <c r="H33" s="36"/>
      <c r="I33" s="22"/>
      <c r="J33" s="2"/>
    </row>
    <row r="34" spans="1:10" ht="12.95" customHeight="1">
      <c r="A34" s="16" t="s">
        <v>930</v>
      </c>
      <c r="B34" s="17" t="s">
        <v>931</v>
      </c>
      <c r="C34" s="13" t="s">
        <v>932</v>
      </c>
      <c r="D34" s="13" t="s">
        <v>723</v>
      </c>
      <c r="E34" s="18">
        <v>5430000</v>
      </c>
      <c r="F34" s="19">
        <v>30638.78</v>
      </c>
      <c r="G34" s="20">
        <v>9.1999999999999998E-3</v>
      </c>
      <c r="H34" s="36"/>
      <c r="I34" s="22"/>
      <c r="J34" s="2"/>
    </row>
    <row r="35" spans="1:10" ht="12.95" customHeight="1">
      <c r="A35" s="16" t="s">
        <v>939</v>
      </c>
      <c r="B35" s="17" t="s">
        <v>940</v>
      </c>
      <c r="C35" s="13" t="s">
        <v>941</v>
      </c>
      <c r="D35" s="13" t="s">
        <v>782</v>
      </c>
      <c r="E35" s="18">
        <v>104006</v>
      </c>
      <c r="F35" s="19">
        <v>30059.35</v>
      </c>
      <c r="G35" s="20">
        <v>9.1000000000000004E-3</v>
      </c>
      <c r="H35" s="36"/>
      <c r="I35" s="22"/>
      <c r="J35" s="2"/>
    </row>
    <row r="36" spans="1:10" ht="12.95" customHeight="1">
      <c r="A36" s="16" t="s">
        <v>897</v>
      </c>
      <c r="B36" s="17" t="s">
        <v>898</v>
      </c>
      <c r="C36" s="13" t="s">
        <v>899</v>
      </c>
      <c r="D36" s="13" t="s">
        <v>900</v>
      </c>
      <c r="E36" s="18">
        <v>165600</v>
      </c>
      <c r="F36" s="19">
        <v>29454.86</v>
      </c>
      <c r="G36" s="20">
        <v>8.8999999999999999E-3</v>
      </c>
      <c r="H36" s="36"/>
      <c r="I36" s="22"/>
      <c r="J36" s="2"/>
    </row>
    <row r="37" spans="1:10" ht="12.95" customHeight="1">
      <c r="A37" s="16" t="s">
        <v>1756</v>
      </c>
      <c r="B37" s="17" t="s">
        <v>1757</v>
      </c>
      <c r="C37" s="13" t="s">
        <v>1758</v>
      </c>
      <c r="D37" s="13" t="s">
        <v>1600</v>
      </c>
      <c r="E37" s="18">
        <v>5729739</v>
      </c>
      <c r="F37" s="19">
        <v>27958.26</v>
      </c>
      <c r="G37" s="20">
        <v>8.3999999999999995E-3</v>
      </c>
      <c r="H37" s="36"/>
      <c r="I37" s="22"/>
      <c r="J37" s="2"/>
    </row>
    <row r="38" spans="1:10" ht="12.95" customHeight="1">
      <c r="A38" s="16" t="s">
        <v>799</v>
      </c>
      <c r="B38" s="17" t="s">
        <v>800</v>
      </c>
      <c r="C38" s="13" t="s">
        <v>801</v>
      </c>
      <c r="D38" s="13" t="s">
        <v>749</v>
      </c>
      <c r="E38" s="18">
        <v>3038000</v>
      </c>
      <c r="F38" s="19">
        <v>24858.44</v>
      </c>
      <c r="G38" s="20">
        <v>7.4999999999999997E-3</v>
      </c>
      <c r="H38" s="36"/>
      <c r="I38" s="22"/>
      <c r="J38" s="2"/>
    </row>
    <row r="39" spans="1:10" ht="12.95" customHeight="1">
      <c r="A39" s="16" t="s">
        <v>848</v>
      </c>
      <c r="B39" s="17" t="s">
        <v>849</v>
      </c>
      <c r="C39" s="13" t="s">
        <v>850</v>
      </c>
      <c r="D39" s="13" t="s">
        <v>739</v>
      </c>
      <c r="E39" s="18">
        <v>13922452</v>
      </c>
      <c r="F39" s="19">
        <v>19018.07</v>
      </c>
      <c r="G39" s="20">
        <v>5.7000000000000002E-3</v>
      </c>
      <c r="H39" s="36"/>
      <c r="I39" s="22"/>
      <c r="J39" s="2"/>
    </row>
    <row r="40" spans="1:10" ht="12.95" customHeight="1">
      <c r="A40" s="16" t="s">
        <v>984</v>
      </c>
      <c r="B40" s="17" t="s">
        <v>985</v>
      </c>
      <c r="C40" s="13" t="s">
        <v>986</v>
      </c>
      <c r="D40" s="13" t="s">
        <v>987</v>
      </c>
      <c r="E40" s="18">
        <v>457500</v>
      </c>
      <c r="F40" s="19">
        <v>18487.12</v>
      </c>
      <c r="G40" s="20">
        <v>5.5999999999999999E-3</v>
      </c>
      <c r="H40" s="36"/>
      <c r="I40" s="22"/>
      <c r="J40" s="2"/>
    </row>
    <row r="41" spans="1:10" ht="12.95" customHeight="1">
      <c r="A41" s="16" t="s">
        <v>1735</v>
      </c>
      <c r="B41" s="17" t="s">
        <v>1736</v>
      </c>
      <c r="C41" s="13" t="s">
        <v>1737</v>
      </c>
      <c r="D41" s="13" t="s">
        <v>900</v>
      </c>
      <c r="E41" s="18">
        <v>2100000</v>
      </c>
      <c r="F41" s="19">
        <v>15170.4</v>
      </c>
      <c r="G41" s="20">
        <v>4.5999999999999999E-3</v>
      </c>
      <c r="H41" s="36"/>
      <c r="I41" s="22"/>
      <c r="J41" s="2"/>
    </row>
    <row r="42" spans="1:10" ht="12.95" customHeight="1">
      <c r="A42" s="16" t="s">
        <v>2081</v>
      </c>
      <c r="B42" s="17" t="s">
        <v>3927</v>
      </c>
      <c r="C42" s="13" t="s">
        <v>2082</v>
      </c>
      <c r="D42" s="13" t="s">
        <v>959</v>
      </c>
      <c r="E42" s="18">
        <v>799455</v>
      </c>
      <c r="F42" s="19">
        <v>1225.56</v>
      </c>
      <c r="G42" s="20">
        <v>4.0000000000000002E-4</v>
      </c>
      <c r="H42" s="36"/>
      <c r="I42" s="22"/>
      <c r="J42" s="2"/>
    </row>
    <row r="43" spans="1:10" ht="12.95" customHeight="1">
      <c r="A43" s="2"/>
      <c r="B43" s="27" t="s">
        <v>177</v>
      </c>
      <c r="C43" s="28"/>
      <c r="D43" s="1"/>
      <c r="E43" s="28"/>
      <c r="F43" s="23">
        <v>3259430.56</v>
      </c>
      <c r="G43" s="24">
        <v>0.9829</v>
      </c>
      <c r="H43" s="25"/>
      <c r="I43" s="26"/>
      <c r="J43" s="2"/>
    </row>
    <row r="44" spans="1:10" ht="12.95" customHeight="1">
      <c r="A44" s="2"/>
      <c r="B44" s="12" t="s">
        <v>860</v>
      </c>
      <c r="C44" s="13"/>
      <c r="D44" s="13"/>
      <c r="E44" s="13"/>
      <c r="F44" s="13"/>
      <c r="G44" s="13"/>
      <c r="H44" s="14"/>
      <c r="I44" s="15"/>
      <c r="J44" s="2"/>
    </row>
    <row r="45" spans="1:10" ht="12.95" customHeight="1">
      <c r="A45" s="2"/>
      <c r="B45" s="12" t="s">
        <v>1601</v>
      </c>
      <c r="C45" s="13"/>
      <c r="D45" s="13"/>
      <c r="E45" s="13"/>
      <c r="F45" s="2"/>
      <c r="G45" s="14"/>
      <c r="H45" s="14"/>
      <c r="I45" s="15"/>
      <c r="J45" s="2"/>
    </row>
    <row r="46" spans="1:10" ht="12.95" customHeight="1">
      <c r="A46" s="16" t="s">
        <v>2007</v>
      </c>
      <c r="B46" s="17" t="s">
        <v>2008</v>
      </c>
      <c r="C46" s="13"/>
      <c r="D46" s="13"/>
      <c r="E46" s="18">
        <v>2250000</v>
      </c>
      <c r="F46" s="19">
        <v>10217.25</v>
      </c>
      <c r="G46" s="20">
        <v>3.0999999999999999E-3</v>
      </c>
      <c r="H46" s="36"/>
      <c r="I46" s="22"/>
      <c r="J46" s="2"/>
    </row>
    <row r="47" spans="1:10" ht="12.95" customHeight="1">
      <c r="A47" s="2"/>
      <c r="B47" s="12" t="s">
        <v>172</v>
      </c>
      <c r="C47" s="13"/>
      <c r="D47" s="13"/>
      <c r="E47" s="13"/>
      <c r="F47" s="23">
        <v>10217.25</v>
      </c>
      <c r="G47" s="24">
        <v>3.0999999999999999E-3</v>
      </c>
      <c r="H47" s="25"/>
      <c r="I47" s="26"/>
      <c r="J47" s="2"/>
    </row>
    <row r="48" spans="1:10" ht="12.95" customHeight="1">
      <c r="A48" s="2"/>
      <c r="B48" s="27" t="s">
        <v>177</v>
      </c>
      <c r="C48" s="28"/>
      <c r="D48" s="1"/>
      <c r="E48" s="28"/>
      <c r="F48" s="23">
        <v>10217.25</v>
      </c>
      <c r="G48" s="24">
        <v>3.0999999999999999E-3</v>
      </c>
      <c r="H48" s="25"/>
      <c r="I48" s="26"/>
      <c r="J48" s="2"/>
    </row>
    <row r="49" spans="1:10" ht="12.95" customHeight="1">
      <c r="A49" s="2"/>
      <c r="B49" s="12" t="s">
        <v>219</v>
      </c>
      <c r="C49" s="13"/>
      <c r="D49" s="13"/>
      <c r="E49" s="13"/>
      <c r="F49" s="13"/>
      <c r="G49" s="13"/>
      <c r="H49" s="14"/>
      <c r="I49" s="15"/>
      <c r="J49" s="2"/>
    </row>
    <row r="50" spans="1:10" ht="12.95" customHeight="1">
      <c r="A50" s="2"/>
      <c r="B50" s="12" t="s">
        <v>1106</v>
      </c>
      <c r="C50" s="13"/>
      <c r="D50" s="38" t="s">
        <v>1107</v>
      </c>
      <c r="E50" s="13"/>
      <c r="F50" s="2"/>
      <c r="G50" s="14"/>
      <c r="H50" s="14"/>
      <c r="I50" s="15"/>
      <c r="J50" s="2"/>
    </row>
    <row r="51" spans="1:10" ht="12.95" customHeight="1">
      <c r="A51" s="16" t="s">
        <v>2083</v>
      </c>
      <c r="B51" s="17" t="s">
        <v>2084</v>
      </c>
      <c r="C51" s="13"/>
      <c r="D51" s="39" t="s">
        <v>1714</v>
      </c>
      <c r="E51" s="40"/>
      <c r="F51" s="19">
        <v>6914</v>
      </c>
      <c r="G51" s="20">
        <v>2.0999999999999999E-3</v>
      </c>
      <c r="H51" s="21">
        <v>2.9755434779999999E-2</v>
      </c>
      <c r="I51" s="22"/>
      <c r="J51" s="2"/>
    </row>
    <row r="52" spans="1:10" ht="12.95" customHeight="1">
      <c r="A52" s="16" t="s">
        <v>1712</v>
      </c>
      <c r="B52" s="17" t="s">
        <v>1713</v>
      </c>
      <c r="C52" s="13"/>
      <c r="D52" s="39" t="s">
        <v>1714</v>
      </c>
      <c r="E52" s="40"/>
      <c r="F52" s="19">
        <v>3948</v>
      </c>
      <c r="G52" s="20">
        <v>1.1999999999999999E-3</v>
      </c>
      <c r="H52" s="21">
        <v>2.9755434779999999E-2</v>
      </c>
      <c r="I52" s="22"/>
      <c r="J52" s="2"/>
    </row>
    <row r="53" spans="1:10" ht="12.95" customHeight="1">
      <c r="A53" s="16" t="s">
        <v>2085</v>
      </c>
      <c r="B53" s="17" t="s">
        <v>2086</v>
      </c>
      <c r="C53" s="13"/>
      <c r="D53" s="39" t="s">
        <v>1714</v>
      </c>
      <c r="E53" s="40"/>
      <c r="F53" s="19">
        <v>3948</v>
      </c>
      <c r="G53" s="20">
        <v>1.1999999999999999E-3</v>
      </c>
      <c r="H53" s="21">
        <v>2.9755434779999999E-2</v>
      </c>
      <c r="I53" s="22"/>
      <c r="J53" s="2"/>
    </row>
    <row r="54" spans="1:10" ht="12.95" customHeight="1">
      <c r="A54" s="16" t="s">
        <v>2087</v>
      </c>
      <c r="B54" s="17" t="s">
        <v>2088</v>
      </c>
      <c r="C54" s="13"/>
      <c r="D54" s="39" t="s">
        <v>1714</v>
      </c>
      <c r="E54" s="40"/>
      <c r="F54" s="19">
        <v>3948</v>
      </c>
      <c r="G54" s="20">
        <v>1.1999999999999999E-3</v>
      </c>
      <c r="H54" s="21">
        <v>2.9755434779999999E-2</v>
      </c>
      <c r="I54" s="22"/>
      <c r="J54" s="2"/>
    </row>
    <row r="55" spans="1:10" ht="12.95" customHeight="1">
      <c r="A55" s="16" t="s">
        <v>1718</v>
      </c>
      <c r="B55" s="17" t="s">
        <v>1719</v>
      </c>
      <c r="C55" s="13"/>
      <c r="D55" s="39" t="s">
        <v>1714</v>
      </c>
      <c r="E55" s="40"/>
      <c r="F55" s="19">
        <v>3948</v>
      </c>
      <c r="G55" s="20">
        <v>1.1999999999999999E-3</v>
      </c>
      <c r="H55" s="21">
        <v>2.9755434779999999E-2</v>
      </c>
      <c r="I55" s="22"/>
      <c r="J55" s="2"/>
    </row>
    <row r="56" spans="1:10" ht="12.95" customHeight="1">
      <c r="A56" s="16" t="s">
        <v>2089</v>
      </c>
      <c r="B56" s="17" t="s">
        <v>2090</v>
      </c>
      <c r="C56" s="13"/>
      <c r="D56" s="39" t="s">
        <v>1714</v>
      </c>
      <c r="E56" s="40"/>
      <c r="F56" s="19">
        <v>982</v>
      </c>
      <c r="G56" s="20">
        <v>2.9999999999999997E-4</v>
      </c>
      <c r="H56" s="21">
        <v>2.9755434779999999E-2</v>
      </c>
      <c r="I56" s="22"/>
      <c r="J56" s="2"/>
    </row>
    <row r="57" spans="1:10" ht="12.95" customHeight="1">
      <c r="A57" s="2"/>
      <c r="B57" s="12" t="s">
        <v>172</v>
      </c>
      <c r="C57" s="13"/>
      <c r="D57" s="13"/>
      <c r="E57" s="13"/>
      <c r="F57" s="23">
        <v>23688</v>
      </c>
      <c r="G57" s="24">
        <v>7.1999999999999998E-3</v>
      </c>
      <c r="H57" s="25"/>
      <c r="I57" s="26"/>
      <c r="J57" s="2"/>
    </row>
    <row r="58" spans="1:10" ht="12.95" customHeight="1">
      <c r="A58" s="2"/>
      <c r="B58" s="27" t="s">
        <v>177</v>
      </c>
      <c r="C58" s="28"/>
      <c r="D58" s="1"/>
      <c r="E58" s="28"/>
      <c r="F58" s="23">
        <v>23688</v>
      </c>
      <c r="G58" s="24">
        <v>7.1999999999999998E-3</v>
      </c>
      <c r="H58" s="25"/>
      <c r="I58" s="26"/>
      <c r="J58" s="2"/>
    </row>
    <row r="59" spans="1:10" ht="12.95" customHeight="1">
      <c r="A59" s="2"/>
      <c r="B59" s="12" t="s">
        <v>178</v>
      </c>
      <c r="C59" s="13"/>
      <c r="D59" s="13"/>
      <c r="E59" s="13"/>
      <c r="F59" s="13"/>
      <c r="G59" s="13"/>
      <c r="H59" s="14"/>
      <c r="I59" s="15"/>
      <c r="J59" s="2"/>
    </row>
    <row r="60" spans="1:10" ht="12.95" customHeight="1">
      <c r="A60" s="16" t="s">
        <v>179</v>
      </c>
      <c r="B60" s="17" t="s">
        <v>180</v>
      </c>
      <c r="C60" s="13"/>
      <c r="D60" s="13"/>
      <c r="E60" s="18"/>
      <c r="F60" s="19">
        <v>116888.47</v>
      </c>
      <c r="G60" s="20">
        <v>3.5299999999999998E-2</v>
      </c>
      <c r="H60" s="21">
        <v>3.3046299310479241E-2</v>
      </c>
      <c r="I60" s="22"/>
      <c r="J60" s="2"/>
    </row>
    <row r="61" spans="1:10" ht="12.95" customHeight="1">
      <c r="A61" s="2"/>
      <c r="B61" s="12" t="s">
        <v>172</v>
      </c>
      <c r="C61" s="13"/>
      <c r="D61" s="13"/>
      <c r="E61" s="13"/>
      <c r="F61" s="23">
        <v>116888.47</v>
      </c>
      <c r="G61" s="24">
        <v>3.5299999999999998E-2</v>
      </c>
      <c r="H61" s="25"/>
      <c r="I61" s="26"/>
      <c r="J61" s="2"/>
    </row>
    <row r="62" spans="1:10" ht="12.95" customHeight="1">
      <c r="A62" s="2"/>
      <c r="B62" s="27" t="s">
        <v>177</v>
      </c>
      <c r="C62" s="28"/>
      <c r="D62" s="1"/>
      <c r="E62" s="28"/>
      <c r="F62" s="23">
        <v>116888.47</v>
      </c>
      <c r="G62" s="24">
        <v>3.5299999999999998E-2</v>
      </c>
      <c r="H62" s="25"/>
      <c r="I62" s="26"/>
      <c r="J62" s="2"/>
    </row>
    <row r="63" spans="1:10" ht="12.95" customHeight="1">
      <c r="A63" s="2"/>
      <c r="B63" s="27" t="s">
        <v>181</v>
      </c>
      <c r="C63" s="13"/>
      <c r="D63" s="1"/>
      <c r="E63" s="13"/>
      <c r="F63" s="29">
        <v>-94853.05</v>
      </c>
      <c r="G63" s="24">
        <v>-2.8500000000000001E-2</v>
      </c>
      <c r="H63" s="25"/>
      <c r="I63" s="26"/>
      <c r="J63" s="2"/>
    </row>
    <row r="64" spans="1:10" ht="12.95" customHeight="1">
      <c r="A64" s="2"/>
      <c r="B64" s="30" t="s">
        <v>182</v>
      </c>
      <c r="C64" s="31"/>
      <c r="D64" s="31"/>
      <c r="E64" s="31"/>
      <c r="F64" s="32">
        <v>3315371.23</v>
      </c>
      <c r="G64" s="33">
        <v>1</v>
      </c>
      <c r="H64" s="34"/>
      <c r="I64" s="35"/>
      <c r="J64" s="2"/>
    </row>
    <row r="65" spans="1:10" ht="12.95" customHeight="1">
      <c r="A65" s="2"/>
      <c r="B65" s="5"/>
      <c r="C65" s="2"/>
      <c r="D65" s="2"/>
      <c r="E65" s="2"/>
      <c r="F65" s="2"/>
      <c r="G65" s="2"/>
      <c r="H65" s="2"/>
      <c r="I65" s="2"/>
      <c r="J65" s="2"/>
    </row>
    <row r="66" spans="1:10" ht="12.95" customHeight="1">
      <c r="A66" s="2"/>
      <c r="B66" s="3" t="s">
        <v>244</v>
      </c>
      <c r="C66" s="2"/>
      <c r="D66" s="2"/>
      <c r="E66" s="2"/>
      <c r="F66" s="2"/>
      <c r="G66" s="2"/>
      <c r="H66" s="2"/>
      <c r="I66" s="2"/>
      <c r="J66" s="2"/>
    </row>
    <row r="67" spans="1:10" ht="12.95" customHeight="1">
      <c r="A67" s="2"/>
      <c r="B67" s="3" t="s">
        <v>184</v>
      </c>
      <c r="C67" s="2"/>
      <c r="D67" s="2"/>
      <c r="E67" s="2"/>
      <c r="F67" s="2"/>
      <c r="G67" s="2"/>
      <c r="H67" s="2"/>
      <c r="I67" s="2"/>
      <c r="J67" s="2"/>
    </row>
    <row r="68" spans="1:10" ht="12.95" customHeight="1">
      <c r="A68" s="2"/>
      <c r="B68" s="3" t="s">
        <v>186</v>
      </c>
      <c r="C68" s="2"/>
      <c r="D68" s="2"/>
      <c r="E68" s="2"/>
      <c r="F68" s="2"/>
      <c r="G68" s="2"/>
      <c r="H68" s="2"/>
      <c r="I68" s="2"/>
      <c r="J68" s="2"/>
    </row>
    <row r="69" spans="1:10" ht="26.25" customHeight="1">
      <c r="A69" s="2"/>
      <c r="B69" s="189" t="s">
        <v>4025</v>
      </c>
      <c r="C69" s="189"/>
      <c r="D69" s="189"/>
      <c r="E69" s="189"/>
      <c r="F69" s="189"/>
      <c r="G69" s="189"/>
      <c r="H69" s="189"/>
      <c r="I69" s="189"/>
      <c r="J69" s="2"/>
    </row>
    <row r="70" spans="1:10" s="110" customFormat="1" ht="10.5" customHeight="1"/>
    <row r="71" spans="1:10">
      <c r="C71" s="111" t="s">
        <v>3947</v>
      </c>
    </row>
    <row r="72" spans="1:10">
      <c r="B72" s="111" t="s">
        <v>3933</v>
      </c>
      <c r="C72" s="111" t="s">
        <v>3934</v>
      </c>
    </row>
  </sheetData>
  <mergeCells count="2">
    <mergeCell ref="B2:I2"/>
    <mergeCell ref="B69:I69"/>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90"/>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0.85546875" bestFit="1" customWidth="1"/>
    <col min="7" max="9" width="10.7109375" customWidth="1"/>
    <col min="10" max="10" width="10.85546875" customWidth="1"/>
  </cols>
  <sheetData>
    <row r="1" spans="1:13" ht="15.75" thickBot="1">
      <c r="A1" s="108" t="str">
        <f>M2</f>
        <v>AXISESF</v>
      </c>
    </row>
    <row r="2" spans="1:13" ht="34.5" customHeight="1" thickBot="1">
      <c r="A2" s="135" t="str">
        <f>M2</f>
        <v>AXISESF</v>
      </c>
      <c r="B2" s="186" t="s">
        <v>41</v>
      </c>
      <c r="C2" s="187"/>
      <c r="D2" s="187"/>
      <c r="E2" s="187"/>
      <c r="F2" s="187"/>
      <c r="G2" s="187"/>
      <c r="H2" s="187"/>
      <c r="I2" s="188"/>
      <c r="J2" s="2"/>
      <c r="M2" s="108" t="s">
        <v>40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686</v>
      </c>
      <c r="B8" s="17" t="s">
        <v>687</v>
      </c>
      <c r="C8" s="13" t="s">
        <v>688</v>
      </c>
      <c r="D8" s="13" t="s">
        <v>685</v>
      </c>
      <c r="E8" s="18">
        <v>923548</v>
      </c>
      <c r="F8" s="19">
        <v>6472.69</v>
      </c>
      <c r="G8" s="20">
        <v>6.6000000000000003E-2</v>
      </c>
      <c r="H8" s="36"/>
      <c r="I8" s="22"/>
      <c r="J8" s="2"/>
    </row>
    <row r="9" spans="1:13" ht="12.95" customHeight="1">
      <c r="A9" s="16" t="s">
        <v>732</v>
      </c>
      <c r="B9" s="17" t="s">
        <v>733</v>
      </c>
      <c r="C9" s="13" t="s">
        <v>734</v>
      </c>
      <c r="D9" s="13" t="s">
        <v>735</v>
      </c>
      <c r="E9" s="18">
        <v>253422</v>
      </c>
      <c r="F9" s="19">
        <v>6384.33</v>
      </c>
      <c r="G9" s="20">
        <v>6.5100000000000005E-2</v>
      </c>
      <c r="H9" s="36"/>
      <c r="I9" s="22"/>
      <c r="J9" s="2"/>
    </row>
    <row r="10" spans="1:13" ht="12.95" customHeight="1">
      <c r="A10" s="16" t="s">
        <v>743</v>
      </c>
      <c r="B10" s="17" t="s">
        <v>744</v>
      </c>
      <c r="C10" s="13" t="s">
        <v>745</v>
      </c>
      <c r="D10" s="13" t="s">
        <v>723</v>
      </c>
      <c r="E10" s="18">
        <v>208068</v>
      </c>
      <c r="F10" s="19">
        <v>5730.82</v>
      </c>
      <c r="G10" s="20">
        <v>5.8400000000000001E-2</v>
      </c>
      <c r="H10" s="36"/>
      <c r="I10" s="22"/>
      <c r="J10" s="2"/>
    </row>
    <row r="11" spans="1:13" ht="12.95" customHeight="1">
      <c r="A11" s="16" t="s">
        <v>682</v>
      </c>
      <c r="B11" s="17" t="s">
        <v>683</v>
      </c>
      <c r="C11" s="13" t="s">
        <v>684</v>
      </c>
      <c r="D11" s="13" t="s">
        <v>685</v>
      </c>
      <c r="E11" s="18">
        <v>217355</v>
      </c>
      <c r="F11" s="19">
        <v>3466.7</v>
      </c>
      <c r="G11" s="20">
        <v>3.5299999999999998E-2</v>
      </c>
      <c r="H11" s="36"/>
      <c r="I11" s="22"/>
      <c r="J11" s="2"/>
    </row>
    <row r="12" spans="1:13" ht="12.95" customHeight="1">
      <c r="A12" s="16" t="s">
        <v>740</v>
      </c>
      <c r="B12" s="17" t="s">
        <v>741</v>
      </c>
      <c r="C12" s="13" t="s">
        <v>742</v>
      </c>
      <c r="D12" s="13" t="s">
        <v>731</v>
      </c>
      <c r="E12" s="18">
        <v>201772</v>
      </c>
      <c r="F12" s="19">
        <v>3380.08</v>
      </c>
      <c r="G12" s="20">
        <v>3.4500000000000003E-2</v>
      </c>
      <c r="H12" s="36"/>
      <c r="I12" s="22"/>
      <c r="J12" s="2"/>
    </row>
    <row r="13" spans="1:13" ht="12.95" customHeight="1">
      <c r="A13" s="16" t="s">
        <v>1547</v>
      </c>
      <c r="B13" s="17" t="s">
        <v>1548</v>
      </c>
      <c r="C13" s="13" t="s">
        <v>1549</v>
      </c>
      <c r="D13" s="13" t="s">
        <v>778</v>
      </c>
      <c r="E13" s="18">
        <v>874950</v>
      </c>
      <c r="F13" s="19">
        <v>2916.65</v>
      </c>
      <c r="G13" s="20">
        <v>2.9700000000000001E-2</v>
      </c>
      <c r="H13" s="36"/>
      <c r="I13" s="22"/>
      <c r="J13" s="2"/>
    </row>
    <row r="14" spans="1:13" ht="12.95" customHeight="1">
      <c r="A14" s="16" t="s">
        <v>728</v>
      </c>
      <c r="B14" s="17" t="s">
        <v>729</v>
      </c>
      <c r="C14" s="13" t="s">
        <v>730</v>
      </c>
      <c r="D14" s="13" t="s">
        <v>731</v>
      </c>
      <c r="E14" s="18">
        <v>76581</v>
      </c>
      <c r="F14" s="19">
        <v>2891.35</v>
      </c>
      <c r="G14" s="20">
        <v>2.9499999999999998E-2</v>
      </c>
      <c r="H14" s="36"/>
      <c r="I14" s="22"/>
      <c r="J14" s="2"/>
    </row>
    <row r="15" spans="1:13" ht="12.95" customHeight="1">
      <c r="A15" s="16" t="s">
        <v>720</v>
      </c>
      <c r="B15" s="17" t="s">
        <v>721</v>
      </c>
      <c r="C15" s="13" t="s">
        <v>722</v>
      </c>
      <c r="D15" s="13" t="s">
        <v>723</v>
      </c>
      <c r="E15" s="18">
        <v>32712</v>
      </c>
      <c r="F15" s="19">
        <v>2508.39</v>
      </c>
      <c r="G15" s="20">
        <v>2.5600000000000001E-2</v>
      </c>
      <c r="H15" s="36"/>
      <c r="I15" s="22"/>
      <c r="J15" s="2"/>
    </row>
    <row r="16" spans="1:13" ht="12.95" customHeight="1">
      <c r="A16" s="16" t="s">
        <v>808</v>
      </c>
      <c r="B16" s="17" t="s">
        <v>809</v>
      </c>
      <c r="C16" s="13" t="s">
        <v>810</v>
      </c>
      <c r="D16" s="13" t="s">
        <v>778</v>
      </c>
      <c r="E16" s="18">
        <v>237300</v>
      </c>
      <c r="F16" s="19">
        <v>1905.64</v>
      </c>
      <c r="G16" s="20">
        <v>1.9400000000000001E-2</v>
      </c>
      <c r="H16" s="36"/>
      <c r="I16" s="22"/>
      <c r="J16" s="2"/>
    </row>
    <row r="17" spans="1:10" ht="12.95" customHeight="1">
      <c r="A17" s="16" t="s">
        <v>786</v>
      </c>
      <c r="B17" s="17" t="s">
        <v>787</v>
      </c>
      <c r="C17" s="13" t="s">
        <v>788</v>
      </c>
      <c r="D17" s="13" t="s">
        <v>789</v>
      </c>
      <c r="E17" s="18">
        <v>63703</v>
      </c>
      <c r="F17" s="19">
        <v>1721.13</v>
      </c>
      <c r="G17" s="20">
        <v>1.7500000000000002E-2</v>
      </c>
      <c r="H17" s="36"/>
      <c r="I17" s="22"/>
      <c r="J17" s="2"/>
    </row>
    <row r="18" spans="1:10" ht="12.95" customHeight="1">
      <c r="A18" s="16" t="s">
        <v>736</v>
      </c>
      <c r="B18" s="17" t="s">
        <v>737</v>
      </c>
      <c r="C18" s="13" t="s">
        <v>738</v>
      </c>
      <c r="D18" s="13" t="s">
        <v>739</v>
      </c>
      <c r="E18" s="18">
        <v>38802</v>
      </c>
      <c r="F18" s="19">
        <v>1649.16</v>
      </c>
      <c r="G18" s="20">
        <v>1.6799999999999999E-2</v>
      </c>
      <c r="H18" s="36"/>
      <c r="I18" s="22"/>
      <c r="J18" s="2"/>
    </row>
    <row r="19" spans="1:10" ht="12.95" customHeight="1">
      <c r="A19" s="16" t="s">
        <v>891</v>
      </c>
      <c r="B19" s="17" t="s">
        <v>892</v>
      </c>
      <c r="C19" s="13" t="s">
        <v>893</v>
      </c>
      <c r="D19" s="13" t="s">
        <v>782</v>
      </c>
      <c r="E19" s="18">
        <v>19960</v>
      </c>
      <c r="F19" s="19">
        <v>1476.26</v>
      </c>
      <c r="G19" s="20">
        <v>1.4999999999999999E-2</v>
      </c>
      <c r="H19" s="36"/>
      <c r="I19" s="22"/>
      <c r="J19" s="2"/>
    </row>
    <row r="20" spans="1:10" ht="12.95" customHeight="1">
      <c r="A20" s="16" t="s">
        <v>689</v>
      </c>
      <c r="B20" s="17" t="s">
        <v>690</v>
      </c>
      <c r="C20" s="13" t="s">
        <v>691</v>
      </c>
      <c r="D20" s="13" t="s">
        <v>685</v>
      </c>
      <c r="E20" s="18">
        <v>291511</v>
      </c>
      <c r="F20" s="19">
        <v>1320.54</v>
      </c>
      <c r="G20" s="20">
        <v>1.35E-2</v>
      </c>
      <c r="H20" s="36"/>
      <c r="I20" s="22"/>
      <c r="J20" s="2"/>
    </row>
    <row r="21" spans="1:10" ht="12.95" customHeight="1">
      <c r="A21" s="16" t="s">
        <v>779</v>
      </c>
      <c r="B21" s="17" t="s">
        <v>780</v>
      </c>
      <c r="C21" s="13" t="s">
        <v>781</v>
      </c>
      <c r="D21" s="13" t="s">
        <v>782</v>
      </c>
      <c r="E21" s="18">
        <v>320156</v>
      </c>
      <c r="F21" s="19">
        <v>1281.26</v>
      </c>
      <c r="G21" s="20">
        <v>1.3100000000000001E-2</v>
      </c>
      <c r="H21" s="36"/>
      <c r="I21" s="22"/>
      <c r="J21" s="2"/>
    </row>
    <row r="22" spans="1:10" ht="12.95" customHeight="1">
      <c r="A22" s="16" t="s">
        <v>888</v>
      </c>
      <c r="B22" s="17" t="s">
        <v>889</v>
      </c>
      <c r="C22" s="13" t="s">
        <v>890</v>
      </c>
      <c r="D22" s="13" t="s">
        <v>789</v>
      </c>
      <c r="E22" s="18">
        <v>39038</v>
      </c>
      <c r="F22" s="19">
        <v>1266.6500000000001</v>
      </c>
      <c r="G22" s="20">
        <v>1.29E-2</v>
      </c>
      <c r="H22" s="36"/>
      <c r="I22" s="22"/>
      <c r="J22" s="2"/>
    </row>
    <row r="23" spans="1:10" ht="12.95" customHeight="1">
      <c r="A23" s="16" t="s">
        <v>873</v>
      </c>
      <c r="B23" s="17" t="s">
        <v>874</v>
      </c>
      <c r="C23" s="13" t="s">
        <v>875</v>
      </c>
      <c r="D23" s="13" t="s">
        <v>789</v>
      </c>
      <c r="E23" s="18">
        <v>5994</v>
      </c>
      <c r="F23" s="19">
        <v>1165.57</v>
      </c>
      <c r="G23" s="20">
        <v>1.1900000000000001E-2</v>
      </c>
      <c r="H23" s="36"/>
      <c r="I23" s="22"/>
      <c r="J23" s="2"/>
    </row>
    <row r="24" spans="1:10" ht="12.95" customHeight="1">
      <c r="A24" s="16" t="s">
        <v>775</v>
      </c>
      <c r="B24" s="17" t="s">
        <v>776</v>
      </c>
      <c r="C24" s="13" t="s">
        <v>777</v>
      </c>
      <c r="D24" s="13" t="s">
        <v>778</v>
      </c>
      <c r="E24" s="18">
        <v>14670</v>
      </c>
      <c r="F24" s="19">
        <v>1076.49</v>
      </c>
      <c r="G24" s="20">
        <v>1.0999999999999999E-2</v>
      </c>
      <c r="H24" s="36"/>
      <c r="I24" s="22"/>
      <c r="J24" s="2"/>
    </row>
    <row r="25" spans="1:10" ht="12.95" customHeight="1">
      <c r="A25" s="16" t="s">
        <v>746</v>
      </c>
      <c r="B25" s="17" t="s">
        <v>747</v>
      </c>
      <c r="C25" s="13" t="s">
        <v>748</v>
      </c>
      <c r="D25" s="13" t="s">
        <v>749</v>
      </c>
      <c r="E25" s="18">
        <v>21200</v>
      </c>
      <c r="F25" s="19">
        <v>1017.32</v>
      </c>
      <c r="G25" s="20">
        <v>1.04E-2</v>
      </c>
      <c r="H25" s="36"/>
      <c r="I25" s="22"/>
      <c r="J25" s="2"/>
    </row>
    <row r="26" spans="1:10" ht="12.95" customHeight="1">
      <c r="A26" s="16" t="s">
        <v>942</v>
      </c>
      <c r="B26" s="17" t="s">
        <v>943</v>
      </c>
      <c r="C26" s="13" t="s">
        <v>944</v>
      </c>
      <c r="D26" s="13" t="s">
        <v>945</v>
      </c>
      <c r="E26" s="18">
        <v>54076</v>
      </c>
      <c r="F26" s="19">
        <v>920.89</v>
      </c>
      <c r="G26" s="20">
        <v>9.4000000000000004E-3</v>
      </c>
      <c r="H26" s="36"/>
      <c r="I26" s="22"/>
      <c r="J26" s="2"/>
    </row>
    <row r="27" spans="1:10" ht="12.95" customHeight="1">
      <c r="A27" s="16" t="s">
        <v>698</v>
      </c>
      <c r="B27" s="17" t="s">
        <v>699</v>
      </c>
      <c r="C27" s="13" t="s">
        <v>700</v>
      </c>
      <c r="D27" s="13" t="s">
        <v>685</v>
      </c>
      <c r="E27" s="18">
        <v>70200</v>
      </c>
      <c r="F27" s="19">
        <v>780.55</v>
      </c>
      <c r="G27" s="20">
        <v>8.0000000000000002E-3</v>
      </c>
      <c r="H27" s="36"/>
      <c r="I27" s="22"/>
      <c r="J27" s="2"/>
    </row>
    <row r="28" spans="1:10" ht="12.95" customHeight="1">
      <c r="A28" s="16" t="s">
        <v>924</v>
      </c>
      <c r="B28" s="17" t="s">
        <v>925</v>
      </c>
      <c r="C28" s="13" t="s">
        <v>926</v>
      </c>
      <c r="D28" s="13" t="s">
        <v>771</v>
      </c>
      <c r="E28" s="18">
        <v>139147</v>
      </c>
      <c r="F28" s="19">
        <v>773.45</v>
      </c>
      <c r="G28" s="20">
        <v>7.9000000000000008E-3</v>
      </c>
      <c r="H28" s="36"/>
      <c r="I28" s="22"/>
      <c r="J28" s="2"/>
    </row>
    <row r="29" spans="1:10" ht="12.95" customHeight="1">
      <c r="A29" s="16" t="s">
        <v>1541</v>
      </c>
      <c r="B29" s="17" t="s">
        <v>1542</v>
      </c>
      <c r="C29" s="13" t="s">
        <v>1543</v>
      </c>
      <c r="D29" s="13" t="s">
        <v>814</v>
      </c>
      <c r="E29" s="18">
        <v>102500</v>
      </c>
      <c r="F29" s="19">
        <v>756.35</v>
      </c>
      <c r="G29" s="20">
        <v>7.7000000000000002E-3</v>
      </c>
      <c r="H29" s="36"/>
      <c r="I29" s="22"/>
      <c r="J29" s="2"/>
    </row>
    <row r="30" spans="1:10" ht="12.95" customHeight="1">
      <c r="A30" s="16" t="s">
        <v>1001</v>
      </c>
      <c r="B30" s="17" t="s">
        <v>1002</v>
      </c>
      <c r="C30" s="13" t="s">
        <v>1003</v>
      </c>
      <c r="D30" s="13" t="s">
        <v>789</v>
      </c>
      <c r="E30" s="18">
        <v>83750</v>
      </c>
      <c r="F30" s="19">
        <v>714.47</v>
      </c>
      <c r="G30" s="20">
        <v>7.3000000000000001E-3</v>
      </c>
      <c r="H30" s="36"/>
      <c r="I30" s="22"/>
      <c r="J30" s="2"/>
    </row>
    <row r="31" spans="1:10" ht="12.95" customHeight="1">
      <c r="A31" s="16" t="s">
        <v>946</v>
      </c>
      <c r="B31" s="17" t="s">
        <v>947</v>
      </c>
      <c r="C31" s="13" t="s">
        <v>948</v>
      </c>
      <c r="D31" s="13" t="s">
        <v>949</v>
      </c>
      <c r="E31" s="18">
        <v>53083</v>
      </c>
      <c r="F31" s="19">
        <v>684.19</v>
      </c>
      <c r="G31" s="20">
        <v>7.0000000000000001E-3</v>
      </c>
      <c r="H31" s="36"/>
      <c r="I31" s="22"/>
      <c r="J31" s="2"/>
    </row>
    <row r="32" spans="1:10" ht="12.95" customHeight="1">
      <c r="A32" s="16" t="s">
        <v>772</v>
      </c>
      <c r="B32" s="17" t="s">
        <v>773</v>
      </c>
      <c r="C32" s="13" t="s">
        <v>774</v>
      </c>
      <c r="D32" s="13" t="s">
        <v>731</v>
      </c>
      <c r="E32" s="18">
        <v>49400</v>
      </c>
      <c r="F32" s="19">
        <v>682.02</v>
      </c>
      <c r="G32" s="20">
        <v>7.0000000000000001E-3</v>
      </c>
      <c r="H32" s="36"/>
      <c r="I32" s="22"/>
      <c r="J32" s="2"/>
    </row>
    <row r="33" spans="1:10" ht="12.95" customHeight="1">
      <c r="A33" s="16" t="s">
        <v>1726</v>
      </c>
      <c r="B33" s="17" t="s">
        <v>1727</v>
      </c>
      <c r="C33" s="13" t="s">
        <v>1728</v>
      </c>
      <c r="D33" s="13" t="s">
        <v>763</v>
      </c>
      <c r="E33" s="18">
        <v>27000</v>
      </c>
      <c r="F33" s="19">
        <v>643.13</v>
      </c>
      <c r="G33" s="20">
        <v>6.6E-3</v>
      </c>
      <c r="H33" s="36"/>
      <c r="I33" s="22"/>
      <c r="J33" s="2"/>
    </row>
    <row r="34" spans="1:10" ht="12.95" customHeight="1">
      <c r="A34" s="16" t="s">
        <v>2091</v>
      </c>
      <c r="B34" s="17" t="s">
        <v>2092</v>
      </c>
      <c r="C34" s="13" t="s">
        <v>2093</v>
      </c>
      <c r="D34" s="13" t="s">
        <v>778</v>
      </c>
      <c r="E34" s="18">
        <v>445500</v>
      </c>
      <c r="F34" s="19">
        <v>596.08000000000004</v>
      </c>
      <c r="G34" s="20">
        <v>6.1000000000000004E-3</v>
      </c>
      <c r="H34" s="36"/>
      <c r="I34" s="22"/>
      <c r="J34" s="2"/>
    </row>
    <row r="35" spans="1:10" ht="12.95" customHeight="1">
      <c r="A35" s="16" t="s">
        <v>904</v>
      </c>
      <c r="B35" s="17" t="s">
        <v>905</v>
      </c>
      <c r="C35" s="13" t="s">
        <v>906</v>
      </c>
      <c r="D35" s="13" t="s">
        <v>731</v>
      </c>
      <c r="E35" s="18">
        <v>19155</v>
      </c>
      <c r="F35" s="19">
        <v>594.65</v>
      </c>
      <c r="G35" s="20">
        <v>6.1000000000000004E-3</v>
      </c>
      <c r="H35" s="36"/>
      <c r="I35" s="22"/>
      <c r="J35" s="2"/>
    </row>
    <row r="36" spans="1:10" ht="12.95" customHeight="1">
      <c r="A36" s="16" t="s">
        <v>917</v>
      </c>
      <c r="B36" s="17" t="s">
        <v>918</v>
      </c>
      <c r="C36" s="13" t="s">
        <v>919</v>
      </c>
      <c r="D36" s="13" t="s">
        <v>731</v>
      </c>
      <c r="E36" s="18">
        <v>14779</v>
      </c>
      <c r="F36" s="19">
        <v>549.23</v>
      </c>
      <c r="G36" s="20">
        <v>5.5999999999999999E-3</v>
      </c>
      <c r="H36" s="36"/>
      <c r="I36" s="22"/>
      <c r="J36" s="2"/>
    </row>
    <row r="37" spans="1:10" ht="12.95" customHeight="1">
      <c r="A37" s="16" t="s">
        <v>692</v>
      </c>
      <c r="B37" s="17" t="s">
        <v>693</v>
      </c>
      <c r="C37" s="13" t="s">
        <v>694</v>
      </c>
      <c r="D37" s="13" t="s">
        <v>685</v>
      </c>
      <c r="E37" s="18">
        <v>27343</v>
      </c>
      <c r="F37" s="19">
        <v>548.36</v>
      </c>
      <c r="G37" s="20">
        <v>5.5999999999999999E-3</v>
      </c>
      <c r="H37" s="36"/>
      <c r="I37" s="22"/>
      <c r="J37" s="2"/>
    </row>
    <row r="38" spans="1:10" ht="12.95" customHeight="1">
      <c r="A38" s="16" t="s">
        <v>939</v>
      </c>
      <c r="B38" s="17" t="s">
        <v>940</v>
      </c>
      <c r="C38" s="13" t="s">
        <v>941</v>
      </c>
      <c r="D38" s="13" t="s">
        <v>782</v>
      </c>
      <c r="E38" s="18">
        <v>1780</v>
      </c>
      <c r="F38" s="19">
        <v>514.45000000000005</v>
      </c>
      <c r="G38" s="20">
        <v>5.1999999999999998E-3</v>
      </c>
      <c r="H38" s="36"/>
      <c r="I38" s="22"/>
      <c r="J38" s="2"/>
    </row>
    <row r="39" spans="1:10" ht="12.95" customHeight="1">
      <c r="A39" s="16" t="s">
        <v>1591</v>
      </c>
      <c r="B39" s="17" t="s">
        <v>1592</v>
      </c>
      <c r="C39" s="13" t="s">
        <v>1593</v>
      </c>
      <c r="D39" s="13" t="s">
        <v>685</v>
      </c>
      <c r="E39" s="18">
        <v>291600</v>
      </c>
      <c r="F39" s="19">
        <v>504.47</v>
      </c>
      <c r="G39" s="20">
        <v>5.1000000000000004E-3</v>
      </c>
      <c r="H39" s="36"/>
      <c r="I39" s="22"/>
      <c r="J39" s="2"/>
    </row>
    <row r="40" spans="1:10" ht="12.95" customHeight="1">
      <c r="A40" s="16" t="s">
        <v>1544</v>
      </c>
      <c r="B40" s="17" t="s">
        <v>1545</v>
      </c>
      <c r="C40" s="13" t="s">
        <v>1546</v>
      </c>
      <c r="D40" s="13" t="s">
        <v>771</v>
      </c>
      <c r="E40" s="18">
        <v>44464</v>
      </c>
      <c r="F40" s="19">
        <v>470.21</v>
      </c>
      <c r="G40" s="20">
        <v>4.7999999999999996E-3</v>
      </c>
      <c r="H40" s="36"/>
      <c r="I40" s="22"/>
      <c r="J40" s="2"/>
    </row>
    <row r="41" spans="1:10" ht="12.95" customHeight="1">
      <c r="A41" s="16" t="s">
        <v>901</v>
      </c>
      <c r="B41" s="17" t="s">
        <v>902</v>
      </c>
      <c r="C41" s="13" t="s">
        <v>903</v>
      </c>
      <c r="D41" s="13" t="s">
        <v>767</v>
      </c>
      <c r="E41" s="18">
        <v>20388</v>
      </c>
      <c r="F41" s="19">
        <v>440.76</v>
      </c>
      <c r="G41" s="20">
        <v>4.4999999999999997E-3</v>
      </c>
      <c r="H41" s="36"/>
      <c r="I41" s="22"/>
      <c r="J41" s="2"/>
    </row>
    <row r="42" spans="1:10" ht="12.95" customHeight="1">
      <c r="A42" s="16" t="s">
        <v>879</v>
      </c>
      <c r="B42" s="17" t="s">
        <v>880</v>
      </c>
      <c r="C42" s="13" t="s">
        <v>881</v>
      </c>
      <c r="D42" s="13" t="s">
        <v>723</v>
      </c>
      <c r="E42" s="18">
        <v>17820</v>
      </c>
      <c r="F42" s="19">
        <v>436.62</v>
      </c>
      <c r="G42" s="20">
        <v>4.4999999999999997E-3</v>
      </c>
      <c r="H42" s="36"/>
      <c r="I42" s="22"/>
      <c r="J42" s="2"/>
    </row>
    <row r="43" spans="1:10" ht="12.95" customHeight="1">
      <c r="A43" s="16" t="s">
        <v>911</v>
      </c>
      <c r="B43" s="17" t="s">
        <v>912</v>
      </c>
      <c r="C43" s="13" t="s">
        <v>913</v>
      </c>
      <c r="D43" s="13" t="s">
        <v>789</v>
      </c>
      <c r="E43" s="18">
        <v>41887</v>
      </c>
      <c r="F43" s="19">
        <v>431.39</v>
      </c>
      <c r="G43" s="20">
        <v>4.4000000000000003E-3</v>
      </c>
      <c r="H43" s="36"/>
      <c r="I43" s="22"/>
      <c r="J43" s="2"/>
    </row>
    <row r="44" spans="1:10" ht="12.95" customHeight="1">
      <c r="A44" s="16" t="s">
        <v>1537</v>
      </c>
      <c r="B44" s="17" t="s">
        <v>1538</v>
      </c>
      <c r="C44" s="13" t="s">
        <v>1539</v>
      </c>
      <c r="D44" s="13" t="s">
        <v>1540</v>
      </c>
      <c r="E44" s="18">
        <v>218400</v>
      </c>
      <c r="F44" s="19">
        <v>404.26</v>
      </c>
      <c r="G44" s="20">
        <v>4.1000000000000003E-3</v>
      </c>
      <c r="H44" s="36"/>
      <c r="I44" s="22"/>
      <c r="J44" s="2"/>
    </row>
    <row r="45" spans="1:10" ht="12.95" customHeight="1">
      <c r="A45" s="16" t="s">
        <v>894</v>
      </c>
      <c r="B45" s="17" t="s">
        <v>895</v>
      </c>
      <c r="C45" s="13" t="s">
        <v>896</v>
      </c>
      <c r="D45" s="13" t="s">
        <v>731</v>
      </c>
      <c r="E45" s="18">
        <v>7287</v>
      </c>
      <c r="F45" s="19">
        <v>381.93</v>
      </c>
      <c r="G45" s="20">
        <v>3.8999999999999998E-3</v>
      </c>
      <c r="H45" s="36"/>
      <c r="I45" s="22"/>
      <c r="J45" s="2"/>
    </row>
    <row r="46" spans="1:10" ht="12.95" customHeight="1">
      <c r="A46" s="16" t="s">
        <v>1771</v>
      </c>
      <c r="B46" s="17" t="s">
        <v>1772</v>
      </c>
      <c r="C46" s="13" t="s">
        <v>1773</v>
      </c>
      <c r="D46" s="13" t="s">
        <v>782</v>
      </c>
      <c r="E46" s="18">
        <v>20900</v>
      </c>
      <c r="F46" s="19">
        <v>348.92</v>
      </c>
      <c r="G46" s="20">
        <v>3.5999999999999999E-3</v>
      </c>
      <c r="H46" s="36"/>
      <c r="I46" s="22"/>
      <c r="J46" s="2"/>
    </row>
    <row r="47" spans="1:10" ht="12.95" customHeight="1">
      <c r="A47" s="16" t="s">
        <v>840</v>
      </c>
      <c r="B47" s="17" t="s">
        <v>3924</v>
      </c>
      <c r="C47" s="13" t="s">
        <v>841</v>
      </c>
      <c r="D47" s="13" t="s">
        <v>735</v>
      </c>
      <c r="E47" s="18">
        <v>18342</v>
      </c>
      <c r="F47" s="19">
        <v>343.21</v>
      </c>
      <c r="G47" s="20">
        <v>3.5000000000000001E-3</v>
      </c>
      <c r="H47" s="36"/>
      <c r="I47" s="22"/>
      <c r="J47" s="2"/>
    </row>
    <row r="48" spans="1:10" ht="12.95" customHeight="1">
      <c r="A48" s="16" t="s">
        <v>799</v>
      </c>
      <c r="B48" s="17" t="s">
        <v>800</v>
      </c>
      <c r="C48" s="13" t="s">
        <v>801</v>
      </c>
      <c r="D48" s="13" t="s">
        <v>749</v>
      </c>
      <c r="E48" s="18">
        <v>38385</v>
      </c>
      <c r="F48" s="19">
        <v>314.08999999999997</v>
      </c>
      <c r="G48" s="20">
        <v>3.2000000000000002E-3</v>
      </c>
      <c r="H48" s="36"/>
      <c r="I48" s="22"/>
      <c r="J48" s="2"/>
    </row>
    <row r="49" spans="1:10" ht="12.95" customHeight="1">
      <c r="A49" s="16" t="s">
        <v>914</v>
      </c>
      <c r="B49" s="17" t="s">
        <v>915</v>
      </c>
      <c r="C49" s="13" t="s">
        <v>916</v>
      </c>
      <c r="D49" s="13" t="s">
        <v>731</v>
      </c>
      <c r="E49" s="18">
        <v>6750</v>
      </c>
      <c r="F49" s="19">
        <v>283.51</v>
      </c>
      <c r="G49" s="20">
        <v>2.8999999999999998E-3</v>
      </c>
      <c r="H49" s="36"/>
      <c r="I49" s="22"/>
      <c r="J49" s="2"/>
    </row>
    <row r="50" spans="1:10" ht="12.95" customHeight="1">
      <c r="A50" s="16" t="s">
        <v>796</v>
      </c>
      <c r="B50" s="17" t="s">
        <v>797</v>
      </c>
      <c r="C50" s="13" t="s">
        <v>798</v>
      </c>
      <c r="D50" s="13" t="s">
        <v>771</v>
      </c>
      <c r="E50" s="18">
        <v>123308</v>
      </c>
      <c r="F50" s="19">
        <v>278.61</v>
      </c>
      <c r="G50" s="20">
        <v>2.8E-3</v>
      </c>
      <c r="H50" s="36"/>
      <c r="I50" s="22"/>
      <c r="J50" s="2"/>
    </row>
    <row r="51" spans="1:10" ht="12.95" customHeight="1">
      <c r="A51" s="16" t="s">
        <v>757</v>
      </c>
      <c r="B51" s="17" t="s">
        <v>758</v>
      </c>
      <c r="C51" s="13" t="s">
        <v>759</v>
      </c>
      <c r="D51" s="13" t="s">
        <v>749</v>
      </c>
      <c r="E51" s="18">
        <v>7419</v>
      </c>
      <c r="F51" s="19">
        <v>275.98</v>
      </c>
      <c r="G51" s="20">
        <v>2.8E-3</v>
      </c>
      <c r="H51" s="36"/>
      <c r="I51" s="22"/>
      <c r="J51" s="2"/>
    </row>
    <row r="52" spans="1:10" ht="12.95" customHeight="1">
      <c r="A52" s="16" t="s">
        <v>1732</v>
      </c>
      <c r="B52" s="17" t="s">
        <v>1733</v>
      </c>
      <c r="C52" s="13" t="s">
        <v>1734</v>
      </c>
      <c r="D52" s="13" t="s">
        <v>749</v>
      </c>
      <c r="E52" s="18">
        <v>48400</v>
      </c>
      <c r="F52" s="19">
        <v>267.10000000000002</v>
      </c>
      <c r="G52" s="20">
        <v>2.7000000000000001E-3</v>
      </c>
      <c r="H52" s="36"/>
      <c r="I52" s="22"/>
      <c r="J52" s="2"/>
    </row>
    <row r="53" spans="1:10" ht="12.95" customHeight="1">
      <c r="A53" s="16" t="s">
        <v>897</v>
      </c>
      <c r="B53" s="17" t="s">
        <v>898</v>
      </c>
      <c r="C53" s="13" t="s">
        <v>899</v>
      </c>
      <c r="D53" s="13" t="s">
        <v>900</v>
      </c>
      <c r="E53" s="18">
        <v>1500</v>
      </c>
      <c r="F53" s="19">
        <v>266.8</v>
      </c>
      <c r="G53" s="20">
        <v>2.7000000000000001E-3</v>
      </c>
      <c r="H53" s="36"/>
      <c r="I53" s="22"/>
      <c r="J53" s="2"/>
    </row>
    <row r="54" spans="1:10" ht="12.95" customHeight="1">
      <c r="A54" s="16" t="s">
        <v>1570</v>
      </c>
      <c r="B54" s="17" t="s">
        <v>1571</v>
      </c>
      <c r="C54" s="13" t="s">
        <v>1572</v>
      </c>
      <c r="D54" s="13" t="s">
        <v>1569</v>
      </c>
      <c r="E54" s="18">
        <v>164700</v>
      </c>
      <c r="F54" s="19">
        <v>261.63</v>
      </c>
      <c r="G54" s="20">
        <v>2.7000000000000001E-3</v>
      </c>
      <c r="H54" s="36"/>
      <c r="I54" s="22"/>
      <c r="J54" s="2"/>
    </row>
    <row r="55" spans="1:10" ht="12.95" customHeight="1">
      <c r="A55" s="16" t="s">
        <v>960</v>
      </c>
      <c r="B55" s="17" t="s">
        <v>961</v>
      </c>
      <c r="C55" s="13" t="s">
        <v>962</v>
      </c>
      <c r="D55" s="13" t="s">
        <v>778</v>
      </c>
      <c r="E55" s="18">
        <v>6750</v>
      </c>
      <c r="F55" s="19">
        <v>258.7</v>
      </c>
      <c r="G55" s="20">
        <v>2.5999999999999999E-3</v>
      </c>
      <c r="H55" s="36"/>
      <c r="I55" s="22"/>
      <c r="J55" s="2"/>
    </row>
    <row r="56" spans="1:10" ht="12.95" customHeight="1">
      <c r="A56" s="16" t="s">
        <v>1026</v>
      </c>
      <c r="B56" s="17" t="s">
        <v>1027</v>
      </c>
      <c r="C56" s="13" t="s">
        <v>1028</v>
      </c>
      <c r="D56" s="13" t="s">
        <v>763</v>
      </c>
      <c r="E56" s="18">
        <v>12148</v>
      </c>
      <c r="F56" s="19">
        <v>248.7</v>
      </c>
      <c r="G56" s="20">
        <v>2.5000000000000001E-3</v>
      </c>
      <c r="H56" s="36"/>
      <c r="I56" s="22"/>
      <c r="J56" s="2"/>
    </row>
    <row r="57" spans="1:10" ht="12.95" customHeight="1">
      <c r="A57" s="16" t="s">
        <v>936</v>
      </c>
      <c r="B57" s="17" t="s">
        <v>937</v>
      </c>
      <c r="C57" s="13" t="s">
        <v>938</v>
      </c>
      <c r="D57" s="13" t="s">
        <v>727</v>
      </c>
      <c r="E57" s="18">
        <v>92239</v>
      </c>
      <c r="F57" s="19">
        <v>217.82</v>
      </c>
      <c r="G57" s="20">
        <v>2.2000000000000001E-3</v>
      </c>
      <c r="H57" s="36"/>
      <c r="I57" s="22"/>
      <c r="J57" s="2"/>
    </row>
    <row r="58" spans="1:10" ht="12.95" customHeight="1">
      <c r="A58" s="16" t="s">
        <v>1759</v>
      </c>
      <c r="B58" s="17" t="s">
        <v>1760</v>
      </c>
      <c r="C58" s="13" t="s">
        <v>1761</v>
      </c>
      <c r="D58" s="13" t="s">
        <v>753</v>
      </c>
      <c r="E58" s="18">
        <v>28600</v>
      </c>
      <c r="F58" s="19">
        <v>202.4</v>
      </c>
      <c r="G58" s="20">
        <v>2.0999999999999999E-3</v>
      </c>
      <c r="H58" s="36"/>
      <c r="I58" s="22"/>
      <c r="J58" s="2"/>
    </row>
    <row r="59" spans="1:10" ht="12.95" customHeight="1">
      <c r="A59" s="16" t="s">
        <v>811</v>
      </c>
      <c r="B59" s="17" t="s">
        <v>812</v>
      </c>
      <c r="C59" s="13" t="s">
        <v>813</v>
      </c>
      <c r="D59" s="13" t="s">
        <v>814</v>
      </c>
      <c r="E59" s="18">
        <v>26479</v>
      </c>
      <c r="F59" s="19">
        <v>186.49</v>
      </c>
      <c r="G59" s="20">
        <v>1.9E-3</v>
      </c>
      <c r="H59" s="36"/>
      <c r="I59" s="22"/>
      <c r="J59" s="2"/>
    </row>
    <row r="60" spans="1:10" ht="12.95" customHeight="1">
      <c r="A60" s="16" t="s">
        <v>1855</v>
      </c>
      <c r="B60" s="17" t="s">
        <v>1856</v>
      </c>
      <c r="C60" s="13" t="s">
        <v>1857</v>
      </c>
      <c r="D60" s="13" t="s">
        <v>749</v>
      </c>
      <c r="E60" s="18">
        <v>19550</v>
      </c>
      <c r="F60" s="19">
        <v>186.04</v>
      </c>
      <c r="G60" s="20">
        <v>1.9E-3</v>
      </c>
      <c r="H60" s="36"/>
      <c r="I60" s="22"/>
      <c r="J60" s="2"/>
    </row>
    <row r="61" spans="1:10" ht="12.95" customHeight="1">
      <c r="A61" s="16" t="s">
        <v>930</v>
      </c>
      <c r="B61" s="17" t="s">
        <v>931</v>
      </c>
      <c r="C61" s="13" t="s">
        <v>932</v>
      </c>
      <c r="D61" s="13" t="s">
        <v>723</v>
      </c>
      <c r="E61" s="18">
        <v>28454</v>
      </c>
      <c r="F61" s="19">
        <v>160.55000000000001</v>
      </c>
      <c r="G61" s="20">
        <v>1.6000000000000001E-3</v>
      </c>
      <c r="H61" s="36"/>
      <c r="I61" s="22"/>
      <c r="J61" s="2"/>
    </row>
    <row r="62" spans="1:10" ht="12.95" customHeight="1">
      <c r="A62" s="16" t="s">
        <v>1756</v>
      </c>
      <c r="B62" s="17" t="s">
        <v>1757</v>
      </c>
      <c r="C62" s="13" t="s">
        <v>1758</v>
      </c>
      <c r="D62" s="13" t="s">
        <v>1600</v>
      </c>
      <c r="E62" s="18">
        <v>23650</v>
      </c>
      <c r="F62" s="19">
        <v>115.4</v>
      </c>
      <c r="G62" s="20">
        <v>1.1999999999999999E-3</v>
      </c>
      <c r="H62" s="36"/>
      <c r="I62" s="22"/>
      <c r="J62" s="2"/>
    </row>
    <row r="63" spans="1:10" ht="12.95" customHeight="1">
      <c r="A63" s="16" t="s">
        <v>1807</v>
      </c>
      <c r="B63" s="17" t="s">
        <v>1808</v>
      </c>
      <c r="C63" s="13" t="s">
        <v>1809</v>
      </c>
      <c r="D63" s="13" t="s">
        <v>749</v>
      </c>
      <c r="E63" s="18">
        <v>31000</v>
      </c>
      <c r="F63" s="19">
        <v>99.31</v>
      </c>
      <c r="G63" s="20">
        <v>1E-3</v>
      </c>
      <c r="H63" s="36"/>
      <c r="I63" s="22"/>
      <c r="J63" s="2"/>
    </row>
    <row r="64" spans="1:10" ht="12.95" customHeight="1">
      <c r="A64" s="16" t="s">
        <v>1594</v>
      </c>
      <c r="B64" s="17" t="s">
        <v>1595</v>
      </c>
      <c r="C64" s="13" t="s">
        <v>1596</v>
      </c>
      <c r="D64" s="13" t="s">
        <v>723</v>
      </c>
      <c r="E64" s="18">
        <v>20000</v>
      </c>
      <c r="F64" s="19">
        <v>85.41</v>
      </c>
      <c r="G64" s="20">
        <v>8.9999999999999998E-4</v>
      </c>
      <c r="H64" s="36"/>
      <c r="I64" s="22"/>
      <c r="J64" s="2"/>
    </row>
    <row r="65" spans="1:10" ht="12.95" customHeight="1">
      <c r="A65" s="16" t="s">
        <v>1837</v>
      </c>
      <c r="B65" s="17" t="s">
        <v>1838</v>
      </c>
      <c r="C65" s="13" t="s">
        <v>1839</v>
      </c>
      <c r="D65" s="13" t="s">
        <v>763</v>
      </c>
      <c r="E65" s="18">
        <v>8000</v>
      </c>
      <c r="F65" s="19">
        <v>73.540000000000006</v>
      </c>
      <c r="G65" s="20">
        <v>6.9999999999999999E-4</v>
      </c>
      <c r="H65" s="36"/>
      <c r="I65" s="22"/>
      <c r="J65" s="2"/>
    </row>
    <row r="66" spans="1:10" ht="12.95" customHeight="1">
      <c r="A66" s="16" t="s">
        <v>1783</v>
      </c>
      <c r="B66" s="17" t="s">
        <v>1784</v>
      </c>
      <c r="C66" s="13" t="s">
        <v>1785</v>
      </c>
      <c r="D66" s="13" t="s">
        <v>727</v>
      </c>
      <c r="E66" s="18">
        <v>6000</v>
      </c>
      <c r="F66" s="19">
        <v>59.52</v>
      </c>
      <c r="G66" s="20">
        <v>5.9999999999999995E-4</v>
      </c>
      <c r="H66" s="36"/>
      <c r="I66" s="22"/>
      <c r="J66" s="2"/>
    </row>
    <row r="67" spans="1:10" ht="12.95" customHeight="1">
      <c r="A67" s="16" t="s">
        <v>1762</v>
      </c>
      <c r="B67" s="17" t="s">
        <v>1763</v>
      </c>
      <c r="C67" s="13" t="s">
        <v>1764</v>
      </c>
      <c r="D67" s="13" t="s">
        <v>778</v>
      </c>
      <c r="E67" s="18">
        <v>3850</v>
      </c>
      <c r="F67" s="19">
        <v>56.98</v>
      </c>
      <c r="G67" s="20">
        <v>5.9999999999999995E-4</v>
      </c>
      <c r="H67" s="36"/>
      <c r="I67" s="22"/>
      <c r="J67" s="2"/>
    </row>
    <row r="68" spans="1:10" ht="12.95" customHeight="1">
      <c r="A68" s="16" t="s">
        <v>988</v>
      </c>
      <c r="B68" s="17" t="s">
        <v>989</v>
      </c>
      <c r="C68" s="13" t="s">
        <v>990</v>
      </c>
      <c r="D68" s="13" t="s">
        <v>789</v>
      </c>
      <c r="E68" s="18">
        <v>10000</v>
      </c>
      <c r="F68" s="19">
        <v>54.75</v>
      </c>
      <c r="G68" s="20">
        <v>5.9999999999999995E-4</v>
      </c>
      <c r="H68" s="36"/>
      <c r="I68" s="22"/>
      <c r="J68" s="2"/>
    </row>
    <row r="69" spans="1:10" ht="12.95" customHeight="1">
      <c r="A69" s="16" t="s">
        <v>1780</v>
      </c>
      <c r="B69" s="17" t="s">
        <v>1781</v>
      </c>
      <c r="C69" s="13" t="s">
        <v>1782</v>
      </c>
      <c r="D69" s="13" t="s">
        <v>735</v>
      </c>
      <c r="E69" s="18">
        <v>16200</v>
      </c>
      <c r="F69" s="19">
        <v>48.6</v>
      </c>
      <c r="G69" s="20">
        <v>5.0000000000000001E-4</v>
      </c>
      <c r="H69" s="36"/>
      <c r="I69" s="22"/>
      <c r="J69" s="2"/>
    </row>
    <row r="70" spans="1:10" ht="12.95" customHeight="1">
      <c r="A70" s="16" t="s">
        <v>1563</v>
      </c>
      <c r="B70" s="17" t="s">
        <v>1564</v>
      </c>
      <c r="C70" s="13" t="s">
        <v>1565</v>
      </c>
      <c r="D70" s="13" t="s">
        <v>735</v>
      </c>
      <c r="E70" s="18">
        <v>10800</v>
      </c>
      <c r="F70" s="19">
        <v>46.68</v>
      </c>
      <c r="G70" s="20">
        <v>5.0000000000000001E-4</v>
      </c>
      <c r="H70" s="36"/>
      <c r="I70" s="22"/>
      <c r="J70" s="2"/>
    </row>
    <row r="71" spans="1:10" ht="12.95" customHeight="1">
      <c r="A71" s="16" t="s">
        <v>1813</v>
      </c>
      <c r="B71" s="17" t="s">
        <v>1814</v>
      </c>
      <c r="C71" s="13" t="s">
        <v>1815</v>
      </c>
      <c r="D71" s="13" t="s">
        <v>771</v>
      </c>
      <c r="E71" s="18">
        <v>6000</v>
      </c>
      <c r="F71" s="19">
        <v>44.99</v>
      </c>
      <c r="G71" s="20">
        <v>5.0000000000000001E-4</v>
      </c>
      <c r="H71" s="36"/>
      <c r="I71" s="22"/>
      <c r="J71" s="2"/>
    </row>
    <row r="72" spans="1:10" ht="12.95" customHeight="1">
      <c r="A72" s="16" t="s">
        <v>710</v>
      </c>
      <c r="B72" s="17" t="s">
        <v>711</v>
      </c>
      <c r="C72" s="13" t="s">
        <v>712</v>
      </c>
      <c r="D72" s="13" t="s">
        <v>685</v>
      </c>
      <c r="E72" s="18">
        <v>76000</v>
      </c>
      <c r="F72" s="19">
        <v>36.21</v>
      </c>
      <c r="G72" s="20">
        <v>4.0000000000000002E-4</v>
      </c>
      <c r="H72" s="36"/>
      <c r="I72" s="22"/>
      <c r="J72" s="2"/>
    </row>
    <row r="73" spans="1:10" ht="12.95" customHeight="1">
      <c r="A73" s="16" t="s">
        <v>1804</v>
      </c>
      <c r="B73" s="17" t="s">
        <v>1805</v>
      </c>
      <c r="C73" s="13" t="s">
        <v>1806</v>
      </c>
      <c r="D73" s="13" t="s">
        <v>771</v>
      </c>
      <c r="E73" s="18">
        <v>14400</v>
      </c>
      <c r="F73" s="19">
        <v>25.67</v>
      </c>
      <c r="G73" s="20">
        <v>2.9999999999999997E-4</v>
      </c>
      <c r="H73" s="36"/>
      <c r="I73" s="22"/>
      <c r="J73" s="2"/>
    </row>
    <row r="74" spans="1:10" ht="12.95" customHeight="1">
      <c r="A74" s="16" t="s">
        <v>978</v>
      </c>
      <c r="B74" s="17" t="s">
        <v>979</v>
      </c>
      <c r="C74" s="13" t="s">
        <v>980</v>
      </c>
      <c r="D74" s="13" t="s">
        <v>789</v>
      </c>
      <c r="E74" s="18">
        <v>2500</v>
      </c>
      <c r="F74" s="19">
        <v>15.43</v>
      </c>
      <c r="G74" s="20">
        <v>2.0000000000000001E-4</v>
      </c>
      <c r="H74" s="36"/>
      <c r="I74" s="22"/>
      <c r="J74" s="2"/>
    </row>
    <row r="75" spans="1:10" ht="12.95" customHeight="1">
      <c r="A75" s="16" t="s">
        <v>1843</v>
      </c>
      <c r="B75" s="17" t="s">
        <v>1844</v>
      </c>
      <c r="C75" s="13" t="s">
        <v>1845</v>
      </c>
      <c r="D75" s="13" t="s">
        <v>836</v>
      </c>
      <c r="E75" s="18">
        <v>21000</v>
      </c>
      <c r="F75" s="19">
        <v>13.58</v>
      </c>
      <c r="G75" s="20">
        <v>1E-4</v>
      </c>
      <c r="H75" s="36"/>
      <c r="I75" s="22"/>
      <c r="J75" s="2"/>
    </row>
    <row r="76" spans="1:10" ht="12.95" customHeight="1">
      <c r="A76" s="16" t="s">
        <v>1557</v>
      </c>
      <c r="B76" s="17" t="s">
        <v>1558</v>
      </c>
      <c r="C76" s="13" t="s">
        <v>1559</v>
      </c>
      <c r="D76" s="13" t="s">
        <v>749</v>
      </c>
      <c r="E76" s="18">
        <v>250</v>
      </c>
      <c r="F76" s="19">
        <v>12.2</v>
      </c>
      <c r="G76" s="20">
        <v>1E-4</v>
      </c>
      <c r="H76" s="36"/>
      <c r="I76" s="22"/>
      <c r="J76" s="2"/>
    </row>
    <row r="77" spans="1:10" ht="12.95" customHeight="1">
      <c r="A77" s="16" t="s">
        <v>997</v>
      </c>
      <c r="B77" s="17" t="s">
        <v>998</v>
      </c>
      <c r="C77" s="13" t="s">
        <v>999</v>
      </c>
      <c r="D77" s="13" t="s">
        <v>1000</v>
      </c>
      <c r="E77" s="18">
        <v>3000</v>
      </c>
      <c r="F77" s="19">
        <v>9.1</v>
      </c>
      <c r="G77" s="20">
        <v>1E-4</v>
      </c>
      <c r="H77" s="36"/>
      <c r="I77" s="22"/>
      <c r="J77" s="2"/>
    </row>
    <row r="78" spans="1:10" ht="12.95" customHeight="1">
      <c r="A78" s="2"/>
      <c r="B78" s="12" t="s">
        <v>172</v>
      </c>
      <c r="C78" s="13"/>
      <c r="D78" s="13"/>
      <c r="E78" s="13"/>
      <c r="F78" s="23">
        <v>64356.41</v>
      </c>
      <c r="G78" s="24">
        <v>0.65639999999999998</v>
      </c>
      <c r="H78" s="25"/>
      <c r="I78" s="26"/>
      <c r="J78" s="2"/>
    </row>
    <row r="79" spans="1:10" ht="12.95" customHeight="1">
      <c r="A79" s="2"/>
      <c r="B79" s="27" t="s">
        <v>719</v>
      </c>
      <c r="C79" s="1"/>
      <c r="D79" s="1"/>
      <c r="E79" s="1"/>
      <c r="F79" s="25" t="s">
        <v>204</v>
      </c>
      <c r="G79" s="25" t="s">
        <v>204</v>
      </c>
      <c r="H79" s="25"/>
      <c r="I79" s="26"/>
      <c r="J79" s="2"/>
    </row>
    <row r="80" spans="1:10" ht="12.95" customHeight="1">
      <c r="A80" s="2"/>
      <c r="B80" s="27" t="s">
        <v>172</v>
      </c>
      <c r="C80" s="1"/>
      <c r="D80" s="1"/>
      <c r="E80" s="1"/>
      <c r="F80" s="25" t="s">
        <v>204</v>
      </c>
      <c r="G80" s="25" t="s">
        <v>204</v>
      </c>
      <c r="H80" s="25"/>
      <c r="I80" s="26"/>
      <c r="J80" s="2"/>
    </row>
    <row r="81" spans="1:10" ht="12.95" customHeight="1">
      <c r="A81" s="2"/>
      <c r="B81" s="27" t="s">
        <v>177</v>
      </c>
      <c r="C81" s="28"/>
      <c r="D81" s="1"/>
      <c r="E81" s="28"/>
      <c r="F81" s="23">
        <v>64356.41</v>
      </c>
      <c r="G81" s="24">
        <v>0.65639999999999998</v>
      </c>
      <c r="H81" s="25"/>
      <c r="I81" s="26"/>
      <c r="J81" s="2"/>
    </row>
    <row r="82" spans="1:10" ht="12.95" customHeight="1">
      <c r="A82" s="2"/>
      <c r="B82" s="12" t="s">
        <v>860</v>
      </c>
      <c r="C82" s="13"/>
      <c r="D82" s="13"/>
      <c r="E82" s="13"/>
      <c r="F82" s="13"/>
      <c r="G82" s="13"/>
      <c r="H82" s="14"/>
      <c r="I82" s="15"/>
      <c r="J82" s="2"/>
    </row>
    <row r="83" spans="1:10" ht="12.95" customHeight="1">
      <c r="A83" s="2"/>
      <c r="B83" s="12" t="s">
        <v>1601</v>
      </c>
      <c r="C83" s="13"/>
      <c r="D83" s="13"/>
      <c r="E83" s="13"/>
      <c r="F83" s="2"/>
      <c r="G83" s="14"/>
      <c r="H83" s="14"/>
      <c r="I83" s="15"/>
      <c r="J83" s="2"/>
    </row>
    <row r="84" spans="1:10" ht="12.95" customHeight="1">
      <c r="A84" s="16" t="s">
        <v>1614</v>
      </c>
      <c r="B84" s="17" t="s">
        <v>1615</v>
      </c>
      <c r="C84" s="13"/>
      <c r="D84" s="13"/>
      <c r="E84" s="18">
        <v>-100</v>
      </c>
      <c r="F84" s="19">
        <v>-7.42</v>
      </c>
      <c r="G84" s="20">
        <v>-1E-4</v>
      </c>
      <c r="H84" s="36"/>
      <c r="I84" s="22"/>
      <c r="J84" s="2"/>
    </row>
    <row r="85" spans="1:10" ht="12.95" customHeight="1">
      <c r="A85" s="16" t="s">
        <v>2001</v>
      </c>
      <c r="B85" s="17" t="s">
        <v>2002</v>
      </c>
      <c r="C85" s="13"/>
      <c r="D85" s="13"/>
      <c r="E85" s="18">
        <v>-3000</v>
      </c>
      <c r="F85" s="19">
        <v>-9.1300000000000008</v>
      </c>
      <c r="G85" s="20">
        <v>-1E-4</v>
      </c>
      <c r="H85" s="36"/>
      <c r="I85" s="22"/>
      <c r="J85" s="2"/>
    </row>
    <row r="86" spans="1:10" ht="12.95" customHeight="1">
      <c r="A86" s="16" t="s">
        <v>1640</v>
      </c>
      <c r="B86" s="17" t="s">
        <v>1641</v>
      </c>
      <c r="C86" s="13"/>
      <c r="D86" s="13"/>
      <c r="E86" s="18">
        <v>-250</v>
      </c>
      <c r="F86" s="19">
        <v>-12.25</v>
      </c>
      <c r="G86" s="20">
        <v>-1E-4</v>
      </c>
      <c r="H86" s="36"/>
      <c r="I86" s="22"/>
      <c r="J86" s="2"/>
    </row>
    <row r="87" spans="1:10" ht="12.95" customHeight="1">
      <c r="A87" s="16" t="s">
        <v>1889</v>
      </c>
      <c r="B87" s="17" t="s">
        <v>1890</v>
      </c>
      <c r="C87" s="13"/>
      <c r="D87" s="13"/>
      <c r="E87" s="18">
        <v>-21000</v>
      </c>
      <c r="F87" s="19">
        <v>-13.63</v>
      </c>
      <c r="G87" s="20">
        <v>-1E-4</v>
      </c>
      <c r="H87" s="36"/>
      <c r="I87" s="22"/>
      <c r="J87" s="2"/>
    </row>
    <row r="88" spans="1:10" ht="12.95" customHeight="1">
      <c r="A88" s="16" t="s">
        <v>1638</v>
      </c>
      <c r="B88" s="17" t="s">
        <v>1639</v>
      </c>
      <c r="C88" s="13"/>
      <c r="D88" s="13"/>
      <c r="E88" s="18">
        <v>-2500</v>
      </c>
      <c r="F88" s="19">
        <v>-15.51</v>
      </c>
      <c r="G88" s="20">
        <v>-2.0000000000000001E-4</v>
      </c>
      <c r="H88" s="36"/>
      <c r="I88" s="22"/>
      <c r="J88" s="2"/>
    </row>
    <row r="89" spans="1:10" ht="12.95" customHeight="1">
      <c r="A89" s="16" t="s">
        <v>1999</v>
      </c>
      <c r="B89" s="17" t="s">
        <v>2000</v>
      </c>
      <c r="C89" s="13"/>
      <c r="D89" s="13"/>
      <c r="E89" s="18">
        <v>-10500</v>
      </c>
      <c r="F89" s="19">
        <v>-23.86</v>
      </c>
      <c r="G89" s="20">
        <v>-2.0000000000000001E-4</v>
      </c>
      <c r="H89" s="36"/>
      <c r="I89" s="22"/>
      <c r="J89" s="2"/>
    </row>
    <row r="90" spans="1:10" ht="12.95" customHeight="1">
      <c r="A90" s="16" t="s">
        <v>1925</v>
      </c>
      <c r="B90" s="17" t="s">
        <v>1926</v>
      </c>
      <c r="C90" s="13"/>
      <c r="D90" s="13"/>
      <c r="E90" s="18">
        <v>-14400</v>
      </c>
      <c r="F90" s="19">
        <v>-25.81</v>
      </c>
      <c r="G90" s="20">
        <v>-2.9999999999999997E-4</v>
      </c>
      <c r="H90" s="36"/>
      <c r="I90" s="22"/>
      <c r="J90" s="2"/>
    </row>
    <row r="91" spans="1:10" ht="12.95" customHeight="1">
      <c r="A91" s="16" t="s">
        <v>1680</v>
      </c>
      <c r="B91" s="17" t="s">
        <v>1681</v>
      </c>
      <c r="C91" s="13"/>
      <c r="D91" s="13"/>
      <c r="E91" s="18">
        <v>-900</v>
      </c>
      <c r="F91" s="19">
        <v>-33.96</v>
      </c>
      <c r="G91" s="20">
        <v>-2.9999999999999997E-4</v>
      </c>
      <c r="H91" s="36"/>
      <c r="I91" s="22"/>
      <c r="J91" s="2"/>
    </row>
    <row r="92" spans="1:10" ht="12.95" customHeight="1">
      <c r="A92" s="16" t="s">
        <v>2094</v>
      </c>
      <c r="B92" s="17" t="s">
        <v>2095</v>
      </c>
      <c r="C92" s="13"/>
      <c r="D92" s="13"/>
      <c r="E92" s="18">
        <v>-76000</v>
      </c>
      <c r="F92" s="19">
        <v>-36.4</v>
      </c>
      <c r="G92" s="20">
        <v>-4.0000000000000002E-4</v>
      </c>
      <c r="H92" s="36"/>
      <c r="I92" s="22"/>
      <c r="J92" s="2"/>
    </row>
    <row r="93" spans="1:10" ht="12.95" customHeight="1">
      <c r="A93" s="16" t="s">
        <v>1917</v>
      </c>
      <c r="B93" s="17" t="s">
        <v>1918</v>
      </c>
      <c r="C93" s="13"/>
      <c r="D93" s="13"/>
      <c r="E93" s="18">
        <v>-6000</v>
      </c>
      <c r="F93" s="19">
        <v>-45.23</v>
      </c>
      <c r="G93" s="20">
        <v>-5.0000000000000001E-4</v>
      </c>
      <c r="H93" s="36"/>
      <c r="I93" s="22"/>
      <c r="J93" s="2"/>
    </row>
    <row r="94" spans="1:10" ht="12.95" customHeight="1">
      <c r="A94" s="16" t="s">
        <v>1632</v>
      </c>
      <c r="B94" s="17" t="s">
        <v>1633</v>
      </c>
      <c r="C94" s="13"/>
      <c r="D94" s="13"/>
      <c r="E94" s="18">
        <v>-10800</v>
      </c>
      <c r="F94" s="19">
        <v>-46.78</v>
      </c>
      <c r="G94" s="20">
        <v>-5.0000000000000001E-4</v>
      </c>
      <c r="H94" s="36"/>
      <c r="I94" s="22"/>
      <c r="J94" s="2"/>
    </row>
    <row r="95" spans="1:10" ht="12.95" customHeight="1">
      <c r="A95" s="16" t="s">
        <v>1947</v>
      </c>
      <c r="B95" s="17" t="s">
        <v>1948</v>
      </c>
      <c r="C95" s="13"/>
      <c r="D95" s="13"/>
      <c r="E95" s="18">
        <v>-16200</v>
      </c>
      <c r="F95" s="19">
        <v>-48.68</v>
      </c>
      <c r="G95" s="20">
        <v>-5.0000000000000001E-4</v>
      </c>
      <c r="H95" s="36"/>
      <c r="I95" s="22"/>
      <c r="J95" s="2"/>
    </row>
    <row r="96" spans="1:10" ht="12.95" customHeight="1">
      <c r="A96" s="16" t="s">
        <v>1967</v>
      </c>
      <c r="B96" s="17" t="s">
        <v>1968</v>
      </c>
      <c r="C96" s="13"/>
      <c r="D96" s="13"/>
      <c r="E96" s="18">
        <v>-10000</v>
      </c>
      <c r="F96" s="19">
        <v>-55.01</v>
      </c>
      <c r="G96" s="20">
        <v>-5.9999999999999995E-4</v>
      </c>
      <c r="H96" s="36"/>
      <c r="I96" s="22"/>
      <c r="J96" s="2"/>
    </row>
    <row r="97" spans="1:10" ht="12.95" customHeight="1">
      <c r="A97" s="16" t="s">
        <v>1965</v>
      </c>
      <c r="B97" s="17" t="s">
        <v>1966</v>
      </c>
      <c r="C97" s="13"/>
      <c r="D97" s="13"/>
      <c r="E97" s="18">
        <v>-3850</v>
      </c>
      <c r="F97" s="19">
        <v>-57.3</v>
      </c>
      <c r="G97" s="20">
        <v>-5.9999999999999995E-4</v>
      </c>
      <c r="H97" s="36"/>
      <c r="I97" s="22"/>
      <c r="J97" s="2"/>
    </row>
    <row r="98" spans="1:10" ht="12.95" customHeight="1">
      <c r="A98" s="16" t="s">
        <v>1945</v>
      </c>
      <c r="B98" s="17" t="s">
        <v>1946</v>
      </c>
      <c r="C98" s="13"/>
      <c r="D98" s="13"/>
      <c r="E98" s="18">
        <v>-6000</v>
      </c>
      <c r="F98" s="19">
        <v>-59.87</v>
      </c>
      <c r="G98" s="20">
        <v>-5.9999999999999995E-4</v>
      </c>
      <c r="H98" s="36"/>
      <c r="I98" s="22"/>
      <c r="J98" s="2"/>
    </row>
    <row r="99" spans="1:10" ht="12.95" customHeight="1">
      <c r="A99" s="16" t="s">
        <v>2096</v>
      </c>
      <c r="B99" s="17" t="s">
        <v>2097</v>
      </c>
      <c r="C99" s="13"/>
      <c r="D99" s="13"/>
      <c r="E99" s="18">
        <v>-4400</v>
      </c>
      <c r="F99" s="19">
        <v>-70.41</v>
      </c>
      <c r="G99" s="20">
        <v>-6.9999999999999999E-4</v>
      </c>
      <c r="H99" s="36"/>
      <c r="I99" s="22"/>
      <c r="J99" s="2"/>
    </row>
    <row r="100" spans="1:10" ht="12.95" customHeight="1">
      <c r="A100" s="16" t="s">
        <v>1893</v>
      </c>
      <c r="B100" s="17" t="s">
        <v>1894</v>
      </c>
      <c r="C100" s="13"/>
      <c r="D100" s="13"/>
      <c r="E100" s="18">
        <v>-8000</v>
      </c>
      <c r="F100" s="19">
        <v>-73.930000000000007</v>
      </c>
      <c r="G100" s="20">
        <v>-8.0000000000000004E-4</v>
      </c>
      <c r="H100" s="36"/>
      <c r="I100" s="22"/>
      <c r="J100" s="2"/>
    </row>
    <row r="101" spans="1:10" ht="12.95" customHeight="1">
      <c r="A101" s="16" t="s">
        <v>1604</v>
      </c>
      <c r="B101" s="17" t="s">
        <v>1605</v>
      </c>
      <c r="C101" s="13"/>
      <c r="D101" s="13"/>
      <c r="E101" s="18">
        <v>-20000</v>
      </c>
      <c r="F101" s="19">
        <v>-85.85</v>
      </c>
      <c r="G101" s="20">
        <v>-8.9999999999999998E-4</v>
      </c>
      <c r="H101" s="36"/>
      <c r="I101" s="22"/>
      <c r="J101" s="2"/>
    </row>
    <row r="102" spans="1:10" ht="12.95" customHeight="1">
      <c r="A102" s="16" t="s">
        <v>1923</v>
      </c>
      <c r="B102" s="17" t="s">
        <v>1924</v>
      </c>
      <c r="C102" s="13"/>
      <c r="D102" s="13"/>
      <c r="E102" s="18">
        <v>-31000</v>
      </c>
      <c r="F102" s="19">
        <v>-99.49</v>
      </c>
      <c r="G102" s="20">
        <v>-1E-3</v>
      </c>
      <c r="H102" s="36"/>
      <c r="I102" s="22"/>
      <c r="J102" s="2"/>
    </row>
    <row r="103" spans="1:10" ht="12.95" customHeight="1">
      <c r="A103" s="16" t="s">
        <v>1975</v>
      </c>
      <c r="B103" s="17" t="s">
        <v>1976</v>
      </c>
      <c r="C103" s="13"/>
      <c r="D103" s="13"/>
      <c r="E103" s="18">
        <v>-23650</v>
      </c>
      <c r="F103" s="19">
        <v>-115.55</v>
      </c>
      <c r="G103" s="20">
        <v>-1.1999999999999999E-3</v>
      </c>
      <c r="H103" s="36"/>
      <c r="I103" s="22"/>
      <c r="J103" s="2"/>
    </row>
    <row r="104" spans="1:10" ht="12.95" customHeight="1">
      <c r="A104" s="16" t="s">
        <v>1618</v>
      </c>
      <c r="B104" s="17" t="s">
        <v>1619</v>
      </c>
      <c r="C104" s="13"/>
      <c r="D104" s="13"/>
      <c r="E104" s="18">
        <v>-2000</v>
      </c>
      <c r="F104" s="19">
        <v>-147.09</v>
      </c>
      <c r="G104" s="20">
        <v>-1.5E-3</v>
      </c>
      <c r="H104" s="36"/>
      <c r="I104" s="22"/>
      <c r="J104" s="2"/>
    </row>
    <row r="105" spans="1:10" ht="12.95" customHeight="1">
      <c r="A105" s="16" t="s">
        <v>1666</v>
      </c>
      <c r="B105" s="17" t="s">
        <v>1667</v>
      </c>
      <c r="C105" s="13"/>
      <c r="D105" s="13"/>
      <c r="E105" s="18">
        <v>-3200</v>
      </c>
      <c r="F105" s="19">
        <v>-154.01</v>
      </c>
      <c r="G105" s="20">
        <v>-1.6000000000000001E-3</v>
      </c>
      <c r="H105" s="36"/>
      <c r="I105" s="22"/>
      <c r="J105" s="2"/>
    </row>
    <row r="106" spans="1:10" ht="12.95" customHeight="1">
      <c r="A106" s="16" t="s">
        <v>1672</v>
      </c>
      <c r="B106" s="17" t="s">
        <v>1673</v>
      </c>
      <c r="C106" s="13"/>
      <c r="D106" s="13"/>
      <c r="E106" s="18">
        <v>-9600</v>
      </c>
      <c r="F106" s="19">
        <v>-159.99</v>
      </c>
      <c r="G106" s="20">
        <v>-1.6000000000000001E-3</v>
      </c>
      <c r="H106" s="36"/>
      <c r="I106" s="22"/>
      <c r="J106" s="2"/>
    </row>
    <row r="107" spans="1:10" ht="12.95" customHeight="1">
      <c r="A107" s="16" t="s">
        <v>1875</v>
      </c>
      <c r="B107" s="17" t="s">
        <v>1876</v>
      </c>
      <c r="C107" s="13"/>
      <c r="D107" s="13"/>
      <c r="E107" s="18">
        <v>-19550</v>
      </c>
      <c r="F107" s="19">
        <v>-186.75</v>
      </c>
      <c r="G107" s="20">
        <v>-1.9E-3</v>
      </c>
      <c r="H107" s="36"/>
      <c r="I107" s="22"/>
      <c r="J107" s="2"/>
    </row>
    <row r="108" spans="1:10" ht="12.95" customHeight="1">
      <c r="A108" s="16" t="s">
        <v>1969</v>
      </c>
      <c r="B108" s="17" t="s">
        <v>1970</v>
      </c>
      <c r="C108" s="13"/>
      <c r="D108" s="13"/>
      <c r="E108" s="18">
        <v>-28600</v>
      </c>
      <c r="F108" s="19">
        <v>-203.29</v>
      </c>
      <c r="G108" s="20">
        <v>-2.0999999999999999E-3</v>
      </c>
      <c r="H108" s="36"/>
      <c r="I108" s="22"/>
      <c r="J108" s="2"/>
    </row>
    <row r="109" spans="1:10" ht="12.95" customHeight="1">
      <c r="A109" s="16" t="s">
        <v>1989</v>
      </c>
      <c r="B109" s="17" t="s">
        <v>1990</v>
      </c>
      <c r="C109" s="13"/>
      <c r="D109" s="13"/>
      <c r="E109" s="18">
        <v>-6750</v>
      </c>
      <c r="F109" s="19">
        <v>-259.32</v>
      </c>
      <c r="G109" s="20">
        <v>-2.5999999999999999E-3</v>
      </c>
      <c r="H109" s="36"/>
      <c r="I109" s="22"/>
      <c r="J109" s="2"/>
    </row>
    <row r="110" spans="1:10" ht="12.95" customHeight="1">
      <c r="A110" s="16" t="s">
        <v>1628</v>
      </c>
      <c r="B110" s="17" t="s">
        <v>1629</v>
      </c>
      <c r="C110" s="13"/>
      <c r="D110" s="13"/>
      <c r="E110" s="18">
        <v>-164700</v>
      </c>
      <c r="F110" s="19">
        <v>-263.27</v>
      </c>
      <c r="G110" s="20">
        <v>-2.7000000000000001E-3</v>
      </c>
      <c r="H110" s="36"/>
      <c r="I110" s="22"/>
      <c r="J110" s="2"/>
    </row>
    <row r="111" spans="1:10" ht="12.95" customHeight="1">
      <c r="A111" s="16" t="s">
        <v>1995</v>
      </c>
      <c r="B111" s="17" t="s">
        <v>1996</v>
      </c>
      <c r="C111" s="13"/>
      <c r="D111" s="13"/>
      <c r="E111" s="18">
        <v>-1500</v>
      </c>
      <c r="F111" s="19">
        <v>-267.63</v>
      </c>
      <c r="G111" s="20">
        <v>-2.7000000000000001E-3</v>
      </c>
      <c r="H111" s="36"/>
      <c r="I111" s="22"/>
      <c r="J111" s="2"/>
    </row>
    <row r="112" spans="1:10" ht="12.95" customHeight="1">
      <c r="A112" s="16" t="s">
        <v>2005</v>
      </c>
      <c r="B112" s="17" t="s">
        <v>2006</v>
      </c>
      <c r="C112" s="13"/>
      <c r="D112" s="13"/>
      <c r="E112" s="18">
        <v>-48400</v>
      </c>
      <c r="F112" s="19">
        <v>-268.31</v>
      </c>
      <c r="G112" s="20">
        <v>-2.7000000000000001E-3</v>
      </c>
      <c r="H112" s="36"/>
      <c r="I112" s="22"/>
      <c r="J112" s="2"/>
    </row>
    <row r="113" spans="1:10" ht="12.95" customHeight="1">
      <c r="A113" s="16" t="s">
        <v>1656</v>
      </c>
      <c r="B113" s="17" t="s">
        <v>1657</v>
      </c>
      <c r="C113" s="13"/>
      <c r="D113" s="13"/>
      <c r="E113" s="18">
        <v>-22800</v>
      </c>
      <c r="F113" s="19">
        <v>-316.42</v>
      </c>
      <c r="G113" s="20">
        <v>-3.2000000000000002E-3</v>
      </c>
      <c r="H113" s="36"/>
      <c r="I113" s="22"/>
      <c r="J113" s="2"/>
    </row>
    <row r="114" spans="1:10" ht="12.95" customHeight="1">
      <c r="A114" s="16" t="s">
        <v>1955</v>
      </c>
      <c r="B114" s="17" t="s">
        <v>1956</v>
      </c>
      <c r="C114" s="13"/>
      <c r="D114" s="13"/>
      <c r="E114" s="18">
        <v>-20900</v>
      </c>
      <c r="F114" s="19">
        <v>-350.41</v>
      </c>
      <c r="G114" s="20">
        <v>-3.5999999999999999E-3</v>
      </c>
      <c r="H114" s="36"/>
      <c r="I114" s="22"/>
      <c r="J114" s="2"/>
    </row>
    <row r="115" spans="1:10" ht="12.95" customHeight="1">
      <c r="A115" s="16" t="s">
        <v>1664</v>
      </c>
      <c r="B115" s="17" t="s">
        <v>1665</v>
      </c>
      <c r="C115" s="13"/>
      <c r="D115" s="13"/>
      <c r="E115" s="18">
        <v>-13200</v>
      </c>
      <c r="F115" s="19">
        <v>-355.8</v>
      </c>
      <c r="G115" s="20">
        <v>-3.5999999999999999E-3</v>
      </c>
      <c r="H115" s="36"/>
      <c r="I115" s="22"/>
      <c r="J115" s="2"/>
    </row>
    <row r="116" spans="1:10" ht="12.95" customHeight="1">
      <c r="A116" s="16" t="s">
        <v>1660</v>
      </c>
      <c r="B116" s="17" t="s">
        <v>1661</v>
      </c>
      <c r="C116" s="13"/>
      <c r="D116" s="13"/>
      <c r="E116" s="18">
        <v>-96000</v>
      </c>
      <c r="F116" s="19">
        <v>-386.26</v>
      </c>
      <c r="G116" s="20">
        <v>-3.8999999999999998E-3</v>
      </c>
      <c r="H116" s="36"/>
      <c r="I116" s="22"/>
      <c r="J116" s="2"/>
    </row>
    <row r="117" spans="1:10" ht="12.95" customHeight="1">
      <c r="A117" s="16" t="s">
        <v>1668</v>
      </c>
      <c r="B117" s="17" t="s">
        <v>1669</v>
      </c>
      <c r="C117" s="13"/>
      <c r="D117" s="13"/>
      <c r="E117" s="18">
        <v>-218400</v>
      </c>
      <c r="F117" s="19">
        <v>-406.55</v>
      </c>
      <c r="G117" s="20">
        <v>-4.1000000000000003E-3</v>
      </c>
      <c r="H117" s="36"/>
      <c r="I117" s="22"/>
      <c r="J117" s="2"/>
    </row>
    <row r="118" spans="1:10" ht="12.95" customHeight="1">
      <c r="A118" s="16" t="s">
        <v>1650</v>
      </c>
      <c r="B118" s="17" t="s">
        <v>1651</v>
      </c>
      <c r="C118" s="13"/>
      <c r="D118" s="13"/>
      <c r="E118" s="18">
        <v>-34000</v>
      </c>
      <c r="F118" s="19">
        <v>-439.62</v>
      </c>
      <c r="G118" s="20">
        <v>-4.4999999999999997E-3</v>
      </c>
      <c r="H118" s="36"/>
      <c r="I118" s="22"/>
      <c r="J118" s="2"/>
    </row>
    <row r="119" spans="1:10" ht="12.95" customHeight="1">
      <c r="A119" s="16" t="s">
        <v>1606</v>
      </c>
      <c r="B119" s="17" t="s">
        <v>1607</v>
      </c>
      <c r="C119" s="13"/>
      <c r="D119" s="13"/>
      <c r="E119" s="18">
        <v>-291600</v>
      </c>
      <c r="F119" s="19">
        <v>-507.09</v>
      </c>
      <c r="G119" s="20">
        <v>-5.1999999999999998E-3</v>
      </c>
      <c r="H119" s="36"/>
      <c r="I119" s="22"/>
      <c r="J119" s="2"/>
    </row>
    <row r="120" spans="1:10" ht="12.95" customHeight="1">
      <c r="A120" s="16" t="s">
        <v>1871</v>
      </c>
      <c r="B120" s="17" t="s">
        <v>1872</v>
      </c>
      <c r="C120" s="13"/>
      <c r="D120" s="13"/>
      <c r="E120" s="18">
        <v>-33925</v>
      </c>
      <c r="F120" s="19">
        <v>-579.27</v>
      </c>
      <c r="G120" s="20">
        <v>-5.8999999999999999E-3</v>
      </c>
      <c r="H120" s="36"/>
      <c r="I120" s="22"/>
      <c r="J120" s="2"/>
    </row>
    <row r="121" spans="1:10" ht="12.95" customHeight="1">
      <c r="A121" s="16" t="s">
        <v>2098</v>
      </c>
      <c r="B121" s="17" t="s">
        <v>2099</v>
      </c>
      <c r="C121" s="13"/>
      <c r="D121" s="13"/>
      <c r="E121" s="18">
        <v>-445500</v>
      </c>
      <c r="F121" s="19">
        <v>-599.41999999999996</v>
      </c>
      <c r="G121" s="20">
        <v>-6.1000000000000004E-3</v>
      </c>
      <c r="H121" s="36"/>
      <c r="I121" s="22"/>
      <c r="J121" s="2"/>
    </row>
    <row r="122" spans="1:10" ht="12.95" customHeight="1">
      <c r="A122" s="16" t="s">
        <v>1921</v>
      </c>
      <c r="B122" s="17" t="s">
        <v>1922</v>
      </c>
      <c r="C122" s="13"/>
      <c r="D122" s="13"/>
      <c r="E122" s="18">
        <v>-27000</v>
      </c>
      <c r="F122" s="19">
        <v>-644.5</v>
      </c>
      <c r="G122" s="20">
        <v>-6.6E-3</v>
      </c>
      <c r="H122" s="36"/>
      <c r="I122" s="22"/>
      <c r="J122" s="2"/>
    </row>
    <row r="123" spans="1:10" ht="12.95" customHeight="1">
      <c r="A123" s="16" t="s">
        <v>2007</v>
      </c>
      <c r="B123" s="17" t="s">
        <v>2008</v>
      </c>
      <c r="C123" s="13"/>
      <c r="D123" s="13"/>
      <c r="E123" s="18">
        <v>-144000</v>
      </c>
      <c r="F123" s="19">
        <v>-653.9</v>
      </c>
      <c r="G123" s="20">
        <v>-6.7000000000000002E-3</v>
      </c>
      <c r="H123" s="36"/>
      <c r="I123" s="22"/>
      <c r="J123" s="2"/>
    </row>
    <row r="124" spans="1:10" ht="12.95" customHeight="1">
      <c r="A124" s="16" t="s">
        <v>1997</v>
      </c>
      <c r="B124" s="17" t="s">
        <v>1998</v>
      </c>
      <c r="C124" s="13"/>
      <c r="D124" s="13"/>
      <c r="E124" s="18">
        <v>-83750</v>
      </c>
      <c r="F124" s="19">
        <v>-717.44</v>
      </c>
      <c r="G124" s="20">
        <v>-7.3000000000000001E-3</v>
      </c>
      <c r="H124" s="36"/>
      <c r="I124" s="22"/>
      <c r="J124" s="2"/>
    </row>
    <row r="125" spans="1:10" ht="12.95" customHeight="1">
      <c r="A125" s="16" t="s">
        <v>1662</v>
      </c>
      <c r="B125" s="17" t="s">
        <v>1663</v>
      </c>
      <c r="C125" s="13"/>
      <c r="D125" s="13"/>
      <c r="E125" s="18">
        <v>-102500</v>
      </c>
      <c r="F125" s="19">
        <v>-758.45</v>
      </c>
      <c r="G125" s="20">
        <v>-7.7000000000000002E-3</v>
      </c>
      <c r="H125" s="36"/>
      <c r="I125" s="22"/>
      <c r="J125" s="2"/>
    </row>
    <row r="126" spans="1:10" ht="12.95" customHeight="1">
      <c r="A126" s="16" t="s">
        <v>1901</v>
      </c>
      <c r="B126" s="17" t="s">
        <v>1902</v>
      </c>
      <c r="C126" s="13"/>
      <c r="D126" s="13"/>
      <c r="E126" s="18">
        <v>-70200</v>
      </c>
      <c r="F126" s="19">
        <v>-784.63</v>
      </c>
      <c r="G126" s="20">
        <v>-8.0000000000000002E-3</v>
      </c>
      <c r="H126" s="36"/>
      <c r="I126" s="22"/>
      <c r="J126" s="2"/>
    </row>
    <row r="127" spans="1:10" ht="12.95" customHeight="1">
      <c r="A127" s="16" t="s">
        <v>1658</v>
      </c>
      <c r="B127" s="17" t="s">
        <v>1659</v>
      </c>
      <c r="C127" s="13"/>
      <c r="D127" s="13"/>
      <c r="E127" s="18">
        <v>-237300</v>
      </c>
      <c r="F127" s="19">
        <v>-1910.03</v>
      </c>
      <c r="G127" s="20">
        <v>-1.95E-2</v>
      </c>
      <c r="H127" s="36"/>
      <c r="I127" s="22"/>
      <c r="J127" s="2"/>
    </row>
    <row r="128" spans="1:10" ht="12.95" customHeight="1">
      <c r="A128" s="16" t="s">
        <v>1674</v>
      </c>
      <c r="B128" s="17" t="s">
        <v>1675</v>
      </c>
      <c r="C128" s="13"/>
      <c r="D128" s="13"/>
      <c r="E128" s="18">
        <v>-404250</v>
      </c>
      <c r="F128" s="19">
        <v>-2846.73</v>
      </c>
      <c r="G128" s="20">
        <v>-2.9000000000000001E-2</v>
      </c>
      <c r="H128" s="36"/>
      <c r="I128" s="22"/>
      <c r="J128" s="2"/>
    </row>
    <row r="129" spans="1:10" ht="12.95" customHeight="1">
      <c r="A129" s="16" t="s">
        <v>1654</v>
      </c>
      <c r="B129" s="17" t="s">
        <v>1655</v>
      </c>
      <c r="C129" s="13"/>
      <c r="D129" s="13"/>
      <c r="E129" s="18">
        <v>-874950</v>
      </c>
      <c r="F129" s="19">
        <v>-2923.65</v>
      </c>
      <c r="G129" s="20">
        <v>-2.98E-2</v>
      </c>
      <c r="H129" s="36"/>
      <c r="I129" s="22"/>
      <c r="J129" s="2"/>
    </row>
    <row r="130" spans="1:10" ht="12.95" customHeight="1">
      <c r="A130" s="16" t="s">
        <v>1608</v>
      </c>
      <c r="B130" s="17" t="s">
        <v>1609</v>
      </c>
      <c r="C130" s="13"/>
      <c r="D130" s="13"/>
      <c r="E130" s="18">
        <v>-140400</v>
      </c>
      <c r="F130" s="19">
        <v>-3877.5</v>
      </c>
      <c r="G130" s="20">
        <v>-3.95E-2</v>
      </c>
      <c r="H130" s="36"/>
      <c r="I130" s="22"/>
      <c r="J130" s="2"/>
    </row>
    <row r="131" spans="1:10" ht="12.95" customHeight="1">
      <c r="A131" s="16" t="s">
        <v>1682</v>
      </c>
      <c r="B131" s="17" t="s">
        <v>1683</v>
      </c>
      <c r="C131" s="13"/>
      <c r="D131" s="13"/>
      <c r="E131" s="18">
        <v>-186250</v>
      </c>
      <c r="F131" s="19">
        <v>-4694.5200000000004</v>
      </c>
      <c r="G131" s="20">
        <v>-4.7899999999999998E-2</v>
      </c>
      <c r="H131" s="36"/>
      <c r="I131" s="22"/>
      <c r="J131" s="2"/>
    </row>
    <row r="132" spans="1:10" ht="12.95" customHeight="1">
      <c r="A132" s="2"/>
      <c r="B132" s="12" t="s">
        <v>172</v>
      </c>
      <c r="C132" s="13"/>
      <c r="D132" s="13"/>
      <c r="E132" s="13"/>
      <c r="F132" s="23">
        <v>-26597.919999999998</v>
      </c>
      <c r="G132" s="24">
        <v>-0.2712</v>
      </c>
      <c r="H132" s="25"/>
      <c r="I132" s="26"/>
      <c r="J132" s="2"/>
    </row>
    <row r="133" spans="1:10" ht="12.95" customHeight="1">
      <c r="A133" s="2"/>
      <c r="B133" s="27" t="s">
        <v>177</v>
      </c>
      <c r="C133" s="28"/>
      <c r="D133" s="1"/>
      <c r="E133" s="28"/>
      <c r="F133" s="23">
        <v>-26597.919999999998</v>
      </c>
      <c r="G133" s="24">
        <v>-0.2712</v>
      </c>
      <c r="H133" s="25"/>
      <c r="I133" s="26"/>
      <c r="J133" s="2"/>
    </row>
    <row r="134" spans="1:10" ht="12.95" customHeight="1">
      <c r="A134" s="2"/>
      <c r="B134" s="12" t="s">
        <v>127</v>
      </c>
      <c r="C134" s="13"/>
      <c r="D134" s="13"/>
      <c r="E134" s="13"/>
      <c r="F134" s="13"/>
      <c r="G134" s="13"/>
      <c r="H134" s="14"/>
      <c r="I134" s="15"/>
      <c r="J134" s="2"/>
    </row>
    <row r="135" spans="1:10" ht="12.95" customHeight="1">
      <c r="A135" s="2"/>
      <c r="B135" s="12" t="s">
        <v>128</v>
      </c>
      <c r="C135" s="13"/>
      <c r="D135" s="13"/>
      <c r="E135" s="13"/>
      <c r="F135" s="2"/>
      <c r="G135" s="14"/>
      <c r="H135" s="14"/>
      <c r="I135" s="15"/>
      <c r="J135" s="2"/>
    </row>
    <row r="136" spans="1:10" ht="12.95" customHeight="1">
      <c r="A136" s="16" t="s">
        <v>1048</v>
      </c>
      <c r="B136" s="17" t="s">
        <v>1049</v>
      </c>
      <c r="C136" s="13" t="s">
        <v>1050</v>
      </c>
      <c r="D136" s="13" t="s">
        <v>200</v>
      </c>
      <c r="E136" s="18">
        <v>3500000</v>
      </c>
      <c r="F136" s="19">
        <v>3563.9</v>
      </c>
      <c r="G136" s="20">
        <v>3.6299999999999999E-2</v>
      </c>
      <c r="H136" s="36"/>
      <c r="I136" s="22"/>
      <c r="J136" s="2"/>
    </row>
    <row r="137" spans="1:10" ht="12.95" customHeight="1">
      <c r="A137" s="16" t="s">
        <v>1057</v>
      </c>
      <c r="B137" s="17" t="s">
        <v>1058</v>
      </c>
      <c r="C137" s="13" t="s">
        <v>1059</v>
      </c>
      <c r="D137" s="13" t="s">
        <v>200</v>
      </c>
      <c r="E137" s="18">
        <v>2000000</v>
      </c>
      <c r="F137" s="19">
        <v>1944.04</v>
      </c>
      <c r="G137" s="20">
        <v>1.9800000000000002E-2</v>
      </c>
      <c r="H137" s="21">
        <v>6.9682999999999995E-2</v>
      </c>
      <c r="I137" s="22"/>
      <c r="J137" s="2"/>
    </row>
    <row r="138" spans="1:10" ht="12.95" customHeight="1">
      <c r="A138" s="16" t="s">
        <v>2045</v>
      </c>
      <c r="B138" s="17" t="s">
        <v>2046</v>
      </c>
      <c r="C138" s="13" t="s">
        <v>2047</v>
      </c>
      <c r="D138" s="13" t="s">
        <v>2048</v>
      </c>
      <c r="E138" s="18">
        <v>100</v>
      </c>
      <c r="F138" s="19">
        <v>1276.1300000000001</v>
      </c>
      <c r="G138" s="20">
        <v>1.2999999999999999E-2</v>
      </c>
      <c r="H138" s="21">
        <v>6.3958000000000001E-2</v>
      </c>
      <c r="I138" s="22"/>
      <c r="J138" s="2"/>
    </row>
    <row r="139" spans="1:10" ht="12.95" customHeight="1">
      <c r="A139" s="16" t="s">
        <v>1066</v>
      </c>
      <c r="B139" s="17" t="s">
        <v>1067</v>
      </c>
      <c r="C139" s="13" t="s">
        <v>1068</v>
      </c>
      <c r="D139" s="13" t="s">
        <v>1069</v>
      </c>
      <c r="E139" s="18">
        <v>120</v>
      </c>
      <c r="F139" s="19">
        <v>1215.53</v>
      </c>
      <c r="G139" s="20">
        <v>1.24E-2</v>
      </c>
      <c r="H139" s="21">
        <v>8.3005999999999996E-2</v>
      </c>
      <c r="I139" s="37">
        <v>2.4670000000000001E-2</v>
      </c>
      <c r="J139" s="2"/>
    </row>
    <row r="140" spans="1:10" ht="12.95" customHeight="1">
      <c r="A140" s="16" t="s">
        <v>2100</v>
      </c>
      <c r="B140" s="17" t="s">
        <v>2101</v>
      </c>
      <c r="C140" s="13" t="s">
        <v>2102</v>
      </c>
      <c r="D140" s="13" t="s">
        <v>132</v>
      </c>
      <c r="E140" s="18">
        <v>100</v>
      </c>
      <c r="F140" s="19">
        <v>1101.51</v>
      </c>
      <c r="G140" s="20">
        <v>1.12E-2</v>
      </c>
      <c r="H140" s="21">
        <v>6.6796999999999995E-2</v>
      </c>
      <c r="I140" s="37"/>
      <c r="J140" s="2"/>
    </row>
    <row r="141" spans="1:10" ht="12.95" customHeight="1">
      <c r="A141" s="16" t="s">
        <v>1412</v>
      </c>
      <c r="B141" s="17" t="s">
        <v>1413</v>
      </c>
      <c r="C141" s="13" t="s">
        <v>1414</v>
      </c>
      <c r="D141" s="13" t="s">
        <v>132</v>
      </c>
      <c r="E141" s="18">
        <v>100</v>
      </c>
      <c r="F141" s="19">
        <v>1046.76</v>
      </c>
      <c r="G141" s="20">
        <v>1.0699999999999999E-2</v>
      </c>
      <c r="H141" s="21">
        <v>6.9449999999999998E-2</v>
      </c>
      <c r="I141" s="37"/>
      <c r="J141" s="2"/>
    </row>
    <row r="142" spans="1:10" ht="12.95" customHeight="1">
      <c r="A142" s="16" t="s">
        <v>2103</v>
      </c>
      <c r="B142" s="17" t="s">
        <v>2104</v>
      </c>
      <c r="C142" s="13" t="s">
        <v>2105</v>
      </c>
      <c r="D142" s="13" t="s">
        <v>1073</v>
      </c>
      <c r="E142" s="18">
        <v>100</v>
      </c>
      <c r="F142" s="19">
        <v>1040.77</v>
      </c>
      <c r="G142" s="20">
        <v>1.06E-2</v>
      </c>
      <c r="H142" s="21">
        <v>7.8925499999999996E-2</v>
      </c>
      <c r="I142" s="37">
        <v>6.9980439000000005E-2</v>
      </c>
      <c r="J142" s="2"/>
    </row>
    <row r="143" spans="1:10" ht="12.95" customHeight="1">
      <c r="A143" s="16" t="s">
        <v>1448</v>
      </c>
      <c r="B143" s="17" t="s">
        <v>1449</v>
      </c>
      <c r="C143" s="13" t="s">
        <v>1450</v>
      </c>
      <c r="D143" s="13" t="s">
        <v>171</v>
      </c>
      <c r="E143" s="18">
        <v>100</v>
      </c>
      <c r="F143" s="19">
        <v>1022.89</v>
      </c>
      <c r="G143" s="20">
        <v>1.04E-2</v>
      </c>
      <c r="H143" s="21">
        <v>6.7499000000000003E-2</v>
      </c>
      <c r="I143" s="37"/>
      <c r="J143" s="2"/>
    </row>
    <row r="144" spans="1:10" ht="12.95" customHeight="1">
      <c r="A144" s="16" t="s">
        <v>2106</v>
      </c>
      <c r="B144" s="17" t="s">
        <v>2107</v>
      </c>
      <c r="C144" s="13" t="s">
        <v>2108</v>
      </c>
      <c r="D144" s="13" t="s">
        <v>1099</v>
      </c>
      <c r="E144" s="18">
        <v>100</v>
      </c>
      <c r="F144" s="19">
        <v>1005.06</v>
      </c>
      <c r="G144" s="20">
        <v>1.0200000000000001E-2</v>
      </c>
      <c r="H144" s="21">
        <v>3.6999999999999998E-2</v>
      </c>
      <c r="I144" s="37"/>
      <c r="J144" s="2"/>
    </row>
    <row r="145" spans="1:10" ht="12.95" customHeight="1">
      <c r="A145" s="16" t="s">
        <v>2055</v>
      </c>
      <c r="B145" s="17" t="s">
        <v>2056</v>
      </c>
      <c r="C145" s="13" t="s">
        <v>2057</v>
      </c>
      <c r="D145" s="13" t="s">
        <v>2058</v>
      </c>
      <c r="E145" s="18">
        <v>100</v>
      </c>
      <c r="F145" s="19">
        <v>999.45</v>
      </c>
      <c r="G145" s="20">
        <v>1.0200000000000001E-2</v>
      </c>
      <c r="H145" s="21">
        <v>8.0250000000000002E-2</v>
      </c>
      <c r="I145" s="37"/>
      <c r="J145" s="2"/>
    </row>
    <row r="146" spans="1:10" ht="12.95" customHeight="1">
      <c r="A146" s="16" t="s">
        <v>2109</v>
      </c>
      <c r="B146" s="17" t="s">
        <v>2110</v>
      </c>
      <c r="C146" s="13" t="s">
        <v>2111</v>
      </c>
      <c r="D146" s="13" t="s">
        <v>1095</v>
      </c>
      <c r="E146" s="18">
        <v>95</v>
      </c>
      <c r="F146" s="19">
        <v>955.35</v>
      </c>
      <c r="G146" s="20">
        <v>9.7000000000000003E-3</v>
      </c>
      <c r="H146" s="21">
        <v>9.0593499999999993E-2</v>
      </c>
      <c r="I146" s="37">
        <v>7.5162725E-2</v>
      </c>
      <c r="J146" s="2"/>
    </row>
    <row r="147" spans="1:10" ht="12.95" customHeight="1">
      <c r="A147" s="16" t="s">
        <v>1086</v>
      </c>
      <c r="B147" s="17" t="s">
        <v>1087</v>
      </c>
      <c r="C147" s="13" t="s">
        <v>1088</v>
      </c>
      <c r="D147" s="13" t="s">
        <v>200</v>
      </c>
      <c r="E147" s="18">
        <v>500000</v>
      </c>
      <c r="F147" s="19">
        <v>538.85</v>
      </c>
      <c r="G147" s="20">
        <v>5.4999999999999997E-3</v>
      </c>
      <c r="H147" s="21">
        <v>6.6048999999999997E-2</v>
      </c>
      <c r="I147" s="37"/>
      <c r="J147" s="2"/>
    </row>
    <row r="148" spans="1:10" ht="12.95" customHeight="1">
      <c r="A148" s="16" t="s">
        <v>2112</v>
      </c>
      <c r="B148" s="17" t="s">
        <v>2113</v>
      </c>
      <c r="C148" s="13" t="s">
        <v>2114</v>
      </c>
      <c r="D148" s="13" t="s">
        <v>200</v>
      </c>
      <c r="E148" s="18">
        <v>500000</v>
      </c>
      <c r="F148" s="19">
        <v>492.27</v>
      </c>
      <c r="G148" s="20">
        <v>5.0000000000000001E-3</v>
      </c>
      <c r="H148" s="21">
        <v>6.7750000000000005E-2</v>
      </c>
      <c r="I148" s="37"/>
      <c r="J148" s="2"/>
    </row>
    <row r="149" spans="1:10" ht="12.95" customHeight="1">
      <c r="A149" s="16" t="s">
        <v>1096</v>
      </c>
      <c r="B149" s="17" t="s">
        <v>1097</v>
      </c>
      <c r="C149" s="13" t="s">
        <v>1098</v>
      </c>
      <c r="D149" s="13" t="s">
        <v>1099</v>
      </c>
      <c r="E149" s="18">
        <v>30</v>
      </c>
      <c r="F149" s="19">
        <v>299.16000000000003</v>
      </c>
      <c r="G149" s="20">
        <v>3.0000000000000001E-3</v>
      </c>
      <c r="H149" s="21">
        <v>9.9928500000000003E-2</v>
      </c>
      <c r="I149" s="37">
        <v>0.130434247</v>
      </c>
      <c r="J149" s="2"/>
    </row>
    <row r="150" spans="1:10" ht="12.95" customHeight="1">
      <c r="A150" s="16" t="s">
        <v>1705</v>
      </c>
      <c r="B150" s="17" t="s">
        <v>1706</v>
      </c>
      <c r="C150" s="13" t="s">
        <v>1707</v>
      </c>
      <c r="D150" s="13" t="s">
        <v>132</v>
      </c>
      <c r="E150" s="18">
        <v>20</v>
      </c>
      <c r="F150" s="19">
        <v>211.56</v>
      </c>
      <c r="G150" s="20">
        <v>2.2000000000000001E-3</v>
      </c>
      <c r="H150" s="21">
        <v>6.8900000000000003E-2</v>
      </c>
      <c r="I150" s="37"/>
      <c r="J150" s="2"/>
    </row>
    <row r="151" spans="1:10" ht="12.95" customHeight="1">
      <c r="A151" s="16" t="s">
        <v>1083</v>
      </c>
      <c r="B151" s="17" t="s">
        <v>1084</v>
      </c>
      <c r="C151" s="13" t="s">
        <v>1085</v>
      </c>
      <c r="D151" s="13" t="s">
        <v>200</v>
      </c>
      <c r="E151" s="18">
        <v>200000</v>
      </c>
      <c r="F151" s="19">
        <v>191.87</v>
      </c>
      <c r="G151" s="20">
        <v>2E-3</v>
      </c>
      <c r="H151" s="21">
        <v>6.6629999999999995E-2</v>
      </c>
      <c r="I151" s="37"/>
      <c r="J151" s="2"/>
    </row>
    <row r="152" spans="1:10" ht="12.95" customHeight="1">
      <c r="A152" s="16" t="s">
        <v>2115</v>
      </c>
      <c r="B152" s="17" t="s">
        <v>2116</v>
      </c>
      <c r="C152" s="13" t="s">
        <v>2117</v>
      </c>
      <c r="D152" s="13" t="s">
        <v>1704</v>
      </c>
      <c r="E152" s="18">
        <v>14</v>
      </c>
      <c r="F152" s="19">
        <v>141.63</v>
      </c>
      <c r="G152" s="20">
        <v>1.4E-3</v>
      </c>
      <c r="H152" s="21">
        <v>9.0094499999999994E-2</v>
      </c>
      <c r="I152" s="37">
        <v>6.2677294999999994E-2</v>
      </c>
      <c r="J152" s="2"/>
    </row>
    <row r="153" spans="1:10" ht="12.95" customHeight="1">
      <c r="A153" s="16" t="s">
        <v>1519</v>
      </c>
      <c r="B153" s="17" t="s">
        <v>1520</v>
      </c>
      <c r="C153" s="13" t="s">
        <v>1521</v>
      </c>
      <c r="D153" s="13" t="s">
        <v>132</v>
      </c>
      <c r="E153" s="18">
        <v>10</v>
      </c>
      <c r="F153" s="19">
        <v>109.77</v>
      </c>
      <c r="G153" s="20">
        <v>1.1000000000000001E-3</v>
      </c>
      <c r="H153" s="21">
        <v>6.6250000000000003E-2</v>
      </c>
      <c r="I153" s="37"/>
      <c r="J153" s="2"/>
    </row>
    <row r="154" spans="1:10" ht="12.95" customHeight="1">
      <c r="A154" s="16" t="s">
        <v>2118</v>
      </c>
      <c r="B154" s="17" t="s">
        <v>2119</v>
      </c>
      <c r="C154" s="13" t="s">
        <v>2120</v>
      </c>
      <c r="D154" s="13" t="s">
        <v>200</v>
      </c>
      <c r="E154" s="18">
        <v>100000</v>
      </c>
      <c r="F154" s="19">
        <v>106.12</v>
      </c>
      <c r="G154" s="20">
        <v>1.1000000000000001E-3</v>
      </c>
      <c r="H154" s="21">
        <v>6.2015000000000001E-2</v>
      </c>
      <c r="I154" s="37"/>
      <c r="J154" s="2"/>
    </row>
    <row r="155" spans="1:10" ht="12.95" customHeight="1">
      <c r="A155" s="16" t="s">
        <v>2121</v>
      </c>
      <c r="B155" s="17" t="s">
        <v>2122</v>
      </c>
      <c r="C155" s="13" t="s">
        <v>2123</v>
      </c>
      <c r="D155" s="13" t="s">
        <v>200</v>
      </c>
      <c r="E155" s="18">
        <v>40800</v>
      </c>
      <c r="F155" s="19">
        <v>44.78</v>
      </c>
      <c r="G155" s="20">
        <v>5.0000000000000001E-4</v>
      </c>
      <c r="H155" s="21">
        <v>6.9668999999999995E-2</v>
      </c>
      <c r="I155" s="37"/>
      <c r="J155" s="2"/>
    </row>
    <row r="156" spans="1:10" ht="12.95" customHeight="1">
      <c r="A156" s="2"/>
      <c r="B156" s="12" t="s">
        <v>172</v>
      </c>
      <c r="C156" s="13"/>
      <c r="D156" s="13"/>
      <c r="E156" s="13"/>
      <c r="F156" s="23">
        <v>17307.400000000001</v>
      </c>
      <c r="G156" s="24">
        <v>0.17630000000000001</v>
      </c>
      <c r="H156" s="25"/>
      <c r="I156" s="26"/>
      <c r="J156" s="2"/>
    </row>
    <row r="157" spans="1:10" ht="12.95" customHeight="1">
      <c r="A157" s="2"/>
      <c r="B157" s="27" t="s">
        <v>173</v>
      </c>
      <c r="C157" s="1"/>
      <c r="D157" s="1"/>
      <c r="E157" s="1"/>
      <c r="F157" s="25" t="s">
        <v>204</v>
      </c>
      <c r="G157" s="25" t="s">
        <v>204</v>
      </c>
      <c r="H157" s="25"/>
      <c r="I157" s="26"/>
      <c r="J157" s="2"/>
    </row>
    <row r="158" spans="1:10" ht="12.95" customHeight="1">
      <c r="A158" s="2"/>
      <c r="B158" s="27" t="s">
        <v>172</v>
      </c>
      <c r="C158" s="1"/>
      <c r="D158" s="1"/>
      <c r="E158" s="1"/>
      <c r="F158" s="25" t="s">
        <v>204</v>
      </c>
      <c r="G158" s="25" t="s">
        <v>204</v>
      </c>
      <c r="H158" s="25"/>
      <c r="I158" s="26"/>
      <c r="J158" s="2"/>
    </row>
    <row r="159" spans="1:10" ht="12.95" customHeight="1">
      <c r="A159" s="2"/>
      <c r="B159" s="27" t="s">
        <v>177</v>
      </c>
      <c r="C159" s="28"/>
      <c r="D159" s="1"/>
      <c r="E159" s="28"/>
      <c r="F159" s="23">
        <v>17307.400000000001</v>
      </c>
      <c r="G159" s="24">
        <v>0.17630000000000001</v>
      </c>
      <c r="H159" s="25"/>
      <c r="I159" s="26"/>
      <c r="J159" s="2"/>
    </row>
    <row r="160" spans="1:10" ht="12.95" customHeight="1">
      <c r="A160" s="2"/>
      <c r="B160" s="12" t="s">
        <v>219</v>
      </c>
      <c r="C160" s="13"/>
      <c r="D160" s="13"/>
      <c r="E160" s="13"/>
      <c r="F160" s="13"/>
      <c r="G160" s="13"/>
      <c r="H160" s="14"/>
      <c r="I160" s="15"/>
      <c r="J160" s="2"/>
    </row>
    <row r="161" spans="1:10" ht="12.95" customHeight="1">
      <c r="A161" s="2"/>
      <c r="B161" s="12" t="s">
        <v>1106</v>
      </c>
      <c r="C161" s="13"/>
      <c r="D161" s="38" t="s">
        <v>1107</v>
      </c>
      <c r="E161" s="13"/>
      <c r="F161" s="2"/>
      <c r="G161" s="14"/>
      <c r="H161" s="14"/>
      <c r="I161" s="15"/>
      <c r="J161" s="2"/>
    </row>
    <row r="162" spans="1:10" ht="12.95" customHeight="1">
      <c r="A162" s="16" t="s">
        <v>2124</v>
      </c>
      <c r="B162" s="17" t="s">
        <v>2125</v>
      </c>
      <c r="C162" s="13"/>
      <c r="D162" s="39" t="s">
        <v>1714</v>
      </c>
      <c r="E162" s="40"/>
      <c r="F162" s="19">
        <v>2455</v>
      </c>
      <c r="G162" s="20">
        <v>2.5000000000000001E-2</v>
      </c>
      <c r="H162" s="21">
        <v>2.9755434779999999E-2</v>
      </c>
      <c r="I162" s="37"/>
      <c r="J162" s="2"/>
    </row>
    <row r="163" spans="1:10" ht="12.95" customHeight="1">
      <c r="A163" s="16" t="s">
        <v>2126</v>
      </c>
      <c r="B163" s="17" t="s">
        <v>2127</v>
      </c>
      <c r="C163" s="13"/>
      <c r="D163" s="39" t="s">
        <v>2128</v>
      </c>
      <c r="E163" s="40"/>
      <c r="F163" s="19">
        <v>982</v>
      </c>
      <c r="G163" s="20">
        <v>0.01</v>
      </c>
      <c r="H163" s="21">
        <v>2.5999999999999999E-2</v>
      </c>
      <c r="I163" s="37"/>
      <c r="J163" s="2"/>
    </row>
    <row r="164" spans="1:10" ht="12.95" customHeight="1">
      <c r="A164" s="16" t="s">
        <v>2129</v>
      </c>
      <c r="B164" s="17" t="s">
        <v>2130</v>
      </c>
      <c r="C164" s="13"/>
      <c r="D164" s="39" t="s">
        <v>2131</v>
      </c>
      <c r="E164" s="40"/>
      <c r="F164" s="19">
        <v>982</v>
      </c>
      <c r="G164" s="20">
        <v>0.01</v>
      </c>
      <c r="H164" s="21">
        <v>2.5999999999999999E-2</v>
      </c>
      <c r="I164" s="37"/>
      <c r="J164" s="2"/>
    </row>
    <row r="165" spans="1:10" ht="12.95" customHeight="1">
      <c r="A165" s="16" t="s">
        <v>2132</v>
      </c>
      <c r="B165" s="17" t="s">
        <v>2133</v>
      </c>
      <c r="C165" s="13"/>
      <c r="D165" s="39" t="s">
        <v>2134</v>
      </c>
      <c r="E165" s="40"/>
      <c r="F165" s="19">
        <v>982</v>
      </c>
      <c r="G165" s="20">
        <v>0.01</v>
      </c>
      <c r="H165" s="21">
        <v>2.5999999999999999E-2</v>
      </c>
      <c r="I165" s="37"/>
      <c r="J165" s="2"/>
    </row>
    <row r="166" spans="1:10" ht="12.95" customHeight="1">
      <c r="A166" s="16" t="s">
        <v>2135</v>
      </c>
      <c r="B166" s="17" t="s">
        <v>2136</v>
      </c>
      <c r="C166" s="13"/>
      <c r="D166" s="39" t="s">
        <v>1722</v>
      </c>
      <c r="E166" s="40"/>
      <c r="F166" s="19">
        <v>491</v>
      </c>
      <c r="G166" s="20">
        <v>5.0000000000000001E-3</v>
      </c>
      <c r="H166" s="21">
        <v>2.9978600540000001E-2</v>
      </c>
      <c r="I166" s="37"/>
      <c r="J166" s="2"/>
    </row>
    <row r="167" spans="1:10" ht="12.95" customHeight="1">
      <c r="A167" s="16" t="s">
        <v>2137</v>
      </c>
      <c r="B167" s="17" t="s">
        <v>2138</v>
      </c>
      <c r="C167" s="13"/>
      <c r="D167" s="39" t="s">
        <v>2139</v>
      </c>
      <c r="E167" s="40"/>
      <c r="F167" s="19">
        <v>491</v>
      </c>
      <c r="G167" s="20">
        <v>5.0000000000000001E-3</v>
      </c>
      <c r="H167" s="21">
        <v>2.9978600540000001E-2</v>
      </c>
      <c r="I167" s="37"/>
      <c r="J167" s="2"/>
    </row>
    <row r="168" spans="1:10" ht="12.95" customHeight="1">
      <c r="A168" s="16" t="s">
        <v>2140</v>
      </c>
      <c r="B168" s="17" t="s">
        <v>2141</v>
      </c>
      <c r="C168" s="13"/>
      <c r="D168" s="39" t="s">
        <v>2139</v>
      </c>
      <c r="E168" s="40"/>
      <c r="F168" s="19">
        <v>491</v>
      </c>
      <c r="G168" s="20">
        <v>5.0000000000000001E-3</v>
      </c>
      <c r="H168" s="21">
        <v>2.9978600540000001E-2</v>
      </c>
      <c r="I168" s="37"/>
      <c r="J168" s="2"/>
    </row>
    <row r="169" spans="1:10" ht="12.95" customHeight="1">
      <c r="A169" s="16" t="s">
        <v>2142</v>
      </c>
      <c r="B169" s="17" t="s">
        <v>2143</v>
      </c>
      <c r="C169" s="13"/>
      <c r="D169" s="39" t="s">
        <v>2139</v>
      </c>
      <c r="E169" s="40"/>
      <c r="F169" s="19">
        <v>491</v>
      </c>
      <c r="G169" s="20">
        <v>5.0000000000000001E-3</v>
      </c>
      <c r="H169" s="21">
        <v>3.053534598E-2</v>
      </c>
      <c r="I169" s="37"/>
      <c r="J169" s="2"/>
    </row>
    <row r="170" spans="1:10" ht="12.95" customHeight="1">
      <c r="A170" s="16" t="s">
        <v>2144</v>
      </c>
      <c r="B170" s="17" t="s">
        <v>2145</v>
      </c>
      <c r="C170" s="13"/>
      <c r="D170" s="39" t="s">
        <v>2139</v>
      </c>
      <c r="E170" s="40"/>
      <c r="F170" s="19">
        <v>491</v>
      </c>
      <c r="G170" s="20">
        <v>5.0000000000000001E-3</v>
      </c>
      <c r="H170" s="21">
        <v>3.0203440049999999E-2</v>
      </c>
      <c r="I170" s="37"/>
      <c r="J170" s="2"/>
    </row>
    <row r="171" spans="1:10" ht="12.95" customHeight="1">
      <c r="A171" s="16" t="s">
        <v>2146</v>
      </c>
      <c r="B171" s="17" t="s">
        <v>2147</v>
      </c>
      <c r="C171" s="13"/>
      <c r="D171" s="39" t="s">
        <v>2139</v>
      </c>
      <c r="E171" s="40"/>
      <c r="F171" s="19">
        <v>491</v>
      </c>
      <c r="G171" s="20">
        <v>5.0000000000000001E-3</v>
      </c>
      <c r="H171" s="21">
        <v>3.053534598E-2</v>
      </c>
      <c r="I171" s="37"/>
      <c r="J171" s="2"/>
    </row>
    <row r="172" spans="1:10" ht="12.95" customHeight="1">
      <c r="A172" s="16" t="s">
        <v>2148</v>
      </c>
      <c r="B172" s="17" t="s">
        <v>2149</v>
      </c>
      <c r="C172" s="13"/>
      <c r="D172" s="39" t="s">
        <v>2139</v>
      </c>
      <c r="E172" s="40"/>
      <c r="F172" s="19">
        <v>300</v>
      </c>
      <c r="G172" s="20">
        <v>3.0999999999999999E-3</v>
      </c>
      <c r="H172" s="21">
        <v>4.0471358700000001E-2</v>
      </c>
      <c r="I172" s="37"/>
      <c r="J172" s="2"/>
    </row>
    <row r="173" spans="1:10" ht="12.95" customHeight="1">
      <c r="A173" s="2"/>
      <c r="B173" s="12" t="s">
        <v>172</v>
      </c>
      <c r="C173" s="13"/>
      <c r="D173" s="13"/>
      <c r="E173" s="13"/>
      <c r="F173" s="23">
        <v>8647</v>
      </c>
      <c r="G173" s="24">
        <v>8.8099999999999998E-2</v>
      </c>
      <c r="H173" s="25"/>
      <c r="I173" s="26"/>
      <c r="J173" s="2"/>
    </row>
    <row r="174" spans="1:10" ht="12.95" customHeight="1">
      <c r="A174" s="2"/>
      <c r="B174" s="27" t="s">
        <v>177</v>
      </c>
      <c r="C174" s="28"/>
      <c r="D174" s="1"/>
      <c r="E174" s="28"/>
      <c r="F174" s="23">
        <v>8647</v>
      </c>
      <c r="G174" s="24">
        <v>8.8099999999999998E-2</v>
      </c>
      <c r="H174" s="25"/>
      <c r="I174" s="26"/>
      <c r="J174" s="2"/>
    </row>
    <row r="175" spans="1:10" ht="12.95" customHeight="1">
      <c r="A175" s="2"/>
      <c r="B175" s="12" t="s">
        <v>178</v>
      </c>
      <c r="C175" s="13"/>
      <c r="D175" s="13"/>
      <c r="E175" s="13"/>
      <c r="F175" s="13"/>
      <c r="G175" s="13"/>
      <c r="H175" s="14"/>
      <c r="I175" s="15"/>
      <c r="J175" s="2"/>
    </row>
    <row r="176" spans="1:10" ht="12.95" customHeight="1">
      <c r="A176" s="16" t="s">
        <v>179</v>
      </c>
      <c r="B176" s="17" t="s">
        <v>180</v>
      </c>
      <c r="C176" s="13"/>
      <c r="D176" s="13"/>
      <c r="E176" s="18"/>
      <c r="F176" s="19">
        <v>8742.9500000000007</v>
      </c>
      <c r="G176" s="20">
        <v>8.9099999999999999E-2</v>
      </c>
      <c r="H176" s="21">
        <v>3.3046405638507442E-2</v>
      </c>
      <c r="I176" s="37"/>
      <c r="J176" s="2"/>
    </row>
    <row r="177" spans="1:10" ht="12.95" customHeight="1">
      <c r="A177" s="2"/>
      <c r="B177" s="12" t="s">
        <v>172</v>
      </c>
      <c r="C177" s="13"/>
      <c r="D177" s="13"/>
      <c r="E177" s="13"/>
      <c r="F177" s="23">
        <v>8742.9500000000007</v>
      </c>
      <c r="G177" s="24">
        <v>8.9099999999999999E-2</v>
      </c>
      <c r="H177" s="25"/>
      <c r="I177" s="26"/>
      <c r="J177" s="2"/>
    </row>
    <row r="178" spans="1:10" ht="12.95" customHeight="1">
      <c r="A178" s="2"/>
      <c r="B178" s="27" t="s">
        <v>173</v>
      </c>
      <c r="C178" s="1"/>
      <c r="D178" s="1"/>
      <c r="E178" s="1"/>
      <c r="F178" s="25" t="s">
        <v>204</v>
      </c>
      <c r="G178" s="25" t="s">
        <v>204</v>
      </c>
      <c r="H178" s="25"/>
      <c r="I178" s="26"/>
      <c r="J178" s="2"/>
    </row>
    <row r="179" spans="1:10" ht="12.95" customHeight="1">
      <c r="A179" s="2"/>
      <c r="B179" s="27" t="s">
        <v>172</v>
      </c>
      <c r="C179" s="1"/>
      <c r="D179" s="1"/>
      <c r="E179" s="1"/>
      <c r="F179" s="25" t="s">
        <v>204</v>
      </c>
      <c r="G179" s="25" t="s">
        <v>204</v>
      </c>
      <c r="H179" s="25"/>
      <c r="I179" s="26"/>
      <c r="J179" s="2"/>
    </row>
    <row r="180" spans="1:10" ht="12.95" customHeight="1">
      <c r="A180" s="2"/>
      <c r="B180" s="27" t="s">
        <v>177</v>
      </c>
      <c r="C180" s="28"/>
      <c r="D180" s="1"/>
      <c r="E180" s="28"/>
      <c r="F180" s="23">
        <v>8742.9500000000007</v>
      </c>
      <c r="G180" s="24">
        <v>8.9099999999999999E-2</v>
      </c>
      <c r="H180" s="25"/>
      <c r="I180" s="26"/>
      <c r="J180" s="2"/>
    </row>
    <row r="181" spans="1:10" ht="12.95" customHeight="1">
      <c r="A181" s="2"/>
      <c r="B181" s="27" t="s">
        <v>181</v>
      </c>
      <c r="C181" s="13"/>
      <c r="D181" s="1"/>
      <c r="E181" s="13"/>
      <c r="F181" s="29">
        <v>25645.93</v>
      </c>
      <c r="G181" s="24">
        <v>0.26129999999999998</v>
      </c>
      <c r="H181" s="25"/>
      <c r="I181" s="26"/>
      <c r="J181" s="2"/>
    </row>
    <row r="182" spans="1:10" ht="12.95" customHeight="1">
      <c r="A182" s="2"/>
      <c r="B182" s="30" t="s">
        <v>182</v>
      </c>
      <c r="C182" s="31"/>
      <c r="D182" s="31"/>
      <c r="E182" s="31"/>
      <c r="F182" s="32">
        <v>98101.77</v>
      </c>
      <c r="G182" s="33">
        <v>1</v>
      </c>
      <c r="H182" s="34"/>
      <c r="I182" s="35"/>
      <c r="J182" s="2"/>
    </row>
    <row r="183" spans="1:10" ht="12.95" customHeight="1">
      <c r="A183" s="2"/>
      <c r="B183" s="5"/>
      <c r="C183" s="2"/>
      <c r="D183" s="2"/>
      <c r="E183" s="2"/>
      <c r="F183" s="2"/>
      <c r="G183" s="2"/>
      <c r="H183" s="2"/>
      <c r="I183" s="2"/>
      <c r="J183" s="2"/>
    </row>
    <row r="184" spans="1:10" ht="12.95" customHeight="1">
      <c r="A184" s="2"/>
      <c r="B184" s="3" t="s">
        <v>183</v>
      </c>
      <c r="C184" s="2"/>
      <c r="D184" s="2"/>
      <c r="E184" s="2"/>
      <c r="F184" s="2"/>
      <c r="G184" s="2"/>
      <c r="H184" s="2"/>
      <c r="I184" s="2"/>
      <c r="J184" s="2"/>
    </row>
    <row r="185" spans="1:10" ht="12.95" customHeight="1">
      <c r="A185" s="2"/>
      <c r="B185" s="3" t="s">
        <v>184</v>
      </c>
      <c r="C185" s="2"/>
      <c r="D185" s="2"/>
      <c r="E185" s="2"/>
      <c r="F185" s="2"/>
      <c r="G185" s="2"/>
      <c r="H185" s="2"/>
      <c r="I185" s="2"/>
      <c r="J185" s="2"/>
    </row>
    <row r="186" spans="1:10" ht="12.95" customHeight="1">
      <c r="A186" s="2"/>
      <c r="B186" s="3" t="s">
        <v>186</v>
      </c>
      <c r="C186" s="2"/>
      <c r="D186" s="2"/>
      <c r="E186" s="2"/>
      <c r="F186" s="2"/>
      <c r="G186" s="2"/>
      <c r="H186" s="2"/>
      <c r="I186" s="2"/>
      <c r="J186" s="2"/>
    </row>
    <row r="187" spans="1:10" ht="23.25" customHeight="1">
      <c r="A187" s="2"/>
      <c r="B187" s="189" t="s">
        <v>4025</v>
      </c>
      <c r="C187" s="189"/>
      <c r="D187" s="189"/>
      <c r="E187" s="189"/>
      <c r="F187" s="189"/>
      <c r="G187" s="189"/>
      <c r="H187" s="189"/>
      <c r="I187" s="189"/>
      <c r="J187" s="2"/>
    </row>
    <row r="188" spans="1:10" ht="12.95" customHeight="1">
      <c r="A188" s="2"/>
      <c r="B188" s="3"/>
      <c r="C188" s="2"/>
      <c r="D188" s="2"/>
      <c r="E188" s="2"/>
      <c r="F188" s="2"/>
      <c r="G188" s="2"/>
      <c r="H188" s="2"/>
      <c r="I188" s="2"/>
      <c r="J188" s="2"/>
    </row>
    <row r="189" spans="1:10">
      <c r="C189" s="111" t="s">
        <v>3948</v>
      </c>
    </row>
    <row r="190" spans="1:10">
      <c r="B190" s="111" t="s">
        <v>3933</v>
      </c>
      <c r="C190" s="111" t="s">
        <v>3934</v>
      </c>
    </row>
  </sheetData>
  <mergeCells count="2">
    <mergeCell ref="B2:I2"/>
    <mergeCell ref="B187:I187"/>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1"/>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AXISESG</v>
      </c>
    </row>
    <row r="2" spans="1:13" ht="34.5" customHeight="1" thickBot="1">
      <c r="A2" s="135" t="str">
        <f>M2</f>
        <v>AXISESG</v>
      </c>
      <c r="B2" s="186" t="s">
        <v>43</v>
      </c>
      <c r="C2" s="187"/>
      <c r="D2" s="187"/>
      <c r="E2" s="187"/>
      <c r="F2" s="187"/>
      <c r="G2" s="187"/>
      <c r="H2" s="187"/>
      <c r="I2" s="188"/>
      <c r="J2" s="2"/>
      <c r="M2" s="108" t="s">
        <v>42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736</v>
      </c>
      <c r="B8" s="17" t="s">
        <v>737</v>
      </c>
      <c r="C8" s="13" t="s">
        <v>738</v>
      </c>
      <c r="D8" s="13" t="s">
        <v>739</v>
      </c>
      <c r="E8" s="18">
        <v>520913</v>
      </c>
      <c r="F8" s="19">
        <v>22139.84</v>
      </c>
      <c r="G8" s="20">
        <v>0.10349999999999999</v>
      </c>
      <c r="H8" s="36"/>
      <c r="I8" s="22"/>
      <c r="J8" s="2"/>
    </row>
    <row r="9" spans="1:13" ht="12.95" customHeight="1">
      <c r="A9" s="16" t="s">
        <v>720</v>
      </c>
      <c r="B9" s="17" t="s">
        <v>721</v>
      </c>
      <c r="C9" s="13" t="s">
        <v>722</v>
      </c>
      <c r="D9" s="13" t="s">
        <v>723</v>
      </c>
      <c r="E9" s="18">
        <v>276076</v>
      </c>
      <c r="F9" s="19">
        <v>21169.78</v>
      </c>
      <c r="G9" s="20">
        <v>9.9000000000000005E-2</v>
      </c>
      <c r="H9" s="36"/>
      <c r="I9" s="22"/>
      <c r="J9" s="2"/>
    </row>
    <row r="10" spans="1:13" ht="12.95" customHeight="1">
      <c r="A10" s="16" t="s">
        <v>873</v>
      </c>
      <c r="B10" s="17" t="s">
        <v>874</v>
      </c>
      <c r="C10" s="13" t="s">
        <v>875</v>
      </c>
      <c r="D10" s="13" t="s">
        <v>789</v>
      </c>
      <c r="E10" s="18">
        <v>100528</v>
      </c>
      <c r="F10" s="19">
        <v>19548.22</v>
      </c>
      <c r="G10" s="20">
        <v>9.1399999999999995E-2</v>
      </c>
      <c r="H10" s="36"/>
      <c r="I10" s="22"/>
      <c r="J10" s="2"/>
    </row>
    <row r="11" spans="1:13" ht="12.95" customHeight="1">
      <c r="A11" s="16" t="s">
        <v>728</v>
      </c>
      <c r="B11" s="17" t="s">
        <v>729</v>
      </c>
      <c r="C11" s="13" t="s">
        <v>730</v>
      </c>
      <c r="D11" s="13" t="s">
        <v>731</v>
      </c>
      <c r="E11" s="18">
        <v>437556</v>
      </c>
      <c r="F11" s="19">
        <v>16520.150000000001</v>
      </c>
      <c r="G11" s="20">
        <v>7.7200000000000005E-2</v>
      </c>
      <c r="H11" s="36"/>
      <c r="I11" s="22"/>
      <c r="J11" s="2"/>
    </row>
    <row r="12" spans="1:13" ht="12.95" customHeight="1">
      <c r="A12" s="16" t="s">
        <v>963</v>
      </c>
      <c r="B12" s="17" t="s">
        <v>964</v>
      </c>
      <c r="C12" s="13" t="s">
        <v>965</v>
      </c>
      <c r="D12" s="13" t="s">
        <v>739</v>
      </c>
      <c r="E12" s="18">
        <v>238789</v>
      </c>
      <c r="F12" s="19">
        <v>15357.48</v>
      </c>
      <c r="G12" s="20">
        <v>7.1800000000000003E-2</v>
      </c>
      <c r="H12" s="36"/>
      <c r="I12" s="22"/>
      <c r="J12" s="2"/>
    </row>
    <row r="13" spans="1:13" ht="12.95" customHeight="1">
      <c r="A13" s="16" t="s">
        <v>2078</v>
      </c>
      <c r="B13" s="17" t="s">
        <v>2079</v>
      </c>
      <c r="C13" s="13" t="s">
        <v>2080</v>
      </c>
      <c r="D13" s="13" t="s">
        <v>731</v>
      </c>
      <c r="E13" s="18">
        <v>2369255</v>
      </c>
      <c r="F13" s="19">
        <v>15023.45</v>
      </c>
      <c r="G13" s="20">
        <v>7.0199999999999999E-2</v>
      </c>
      <c r="H13" s="36"/>
      <c r="I13" s="22"/>
      <c r="J13" s="2"/>
    </row>
    <row r="14" spans="1:13" ht="12.95" customHeight="1">
      <c r="A14" s="16" t="s">
        <v>682</v>
      </c>
      <c r="B14" s="17" t="s">
        <v>683</v>
      </c>
      <c r="C14" s="13" t="s">
        <v>684</v>
      </c>
      <c r="D14" s="13" t="s">
        <v>685</v>
      </c>
      <c r="E14" s="18">
        <v>906052</v>
      </c>
      <c r="F14" s="19">
        <v>14451.08</v>
      </c>
      <c r="G14" s="20">
        <v>6.7599999999999993E-2</v>
      </c>
      <c r="H14" s="36"/>
      <c r="I14" s="22"/>
      <c r="J14" s="2"/>
    </row>
    <row r="15" spans="1:13" ht="12.95" customHeight="1">
      <c r="A15" s="16" t="s">
        <v>743</v>
      </c>
      <c r="B15" s="17" t="s">
        <v>744</v>
      </c>
      <c r="C15" s="13" t="s">
        <v>745</v>
      </c>
      <c r="D15" s="13" t="s">
        <v>723</v>
      </c>
      <c r="E15" s="18">
        <v>475317</v>
      </c>
      <c r="F15" s="19">
        <v>13091.66</v>
      </c>
      <c r="G15" s="20">
        <v>6.1199999999999997E-2</v>
      </c>
      <c r="H15" s="36"/>
      <c r="I15" s="22"/>
      <c r="J15" s="2"/>
    </row>
    <row r="16" spans="1:13" ht="12.95" customHeight="1">
      <c r="A16" s="16" t="s">
        <v>692</v>
      </c>
      <c r="B16" s="17" t="s">
        <v>693</v>
      </c>
      <c r="C16" s="13" t="s">
        <v>694</v>
      </c>
      <c r="D16" s="13" t="s">
        <v>685</v>
      </c>
      <c r="E16" s="18">
        <v>443424</v>
      </c>
      <c r="F16" s="19">
        <v>8892.8700000000008</v>
      </c>
      <c r="G16" s="20">
        <v>4.1599999999999998E-2</v>
      </c>
      <c r="H16" s="36"/>
      <c r="I16" s="22"/>
      <c r="J16" s="2"/>
    </row>
    <row r="17" spans="1:10" ht="12.95" customHeight="1">
      <c r="A17" s="16" t="s">
        <v>1858</v>
      </c>
      <c r="B17" s="17" t="s">
        <v>1859</v>
      </c>
      <c r="C17" s="13" t="s">
        <v>1860</v>
      </c>
      <c r="D17" s="13" t="s">
        <v>1556</v>
      </c>
      <c r="E17" s="18">
        <v>1468006</v>
      </c>
      <c r="F17" s="19">
        <v>7414.16</v>
      </c>
      <c r="G17" s="20">
        <v>3.4700000000000002E-2</v>
      </c>
      <c r="H17" s="36"/>
      <c r="I17" s="22"/>
      <c r="J17" s="2"/>
    </row>
    <row r="18" spans="1:10" ht="12.95" customHeight="1">
      <c r="A18" s="16" t="s">
        <v>790</v>
      </c>
      <c r="B18" s="17" t="s">
        <v>791</v>
      </c>
      <c r="C18" s="13" t="s">
        <v>792</v>
      </c>
      <c r="D18" s="13" t="s">
        <v>767</v>
      </c>
      <c r="E18" s="18">
        <v>202502</v>
      </c>
      <c r="F18" s="19">
        <v>2168.6999999999998</v>
      </c>
      <c r="G18" s="20">
        <v>1.01E-2</v>
      </c>
      <c r="H18" s="36"/>
      <c r="I18" s="22"/>
      <c r="J18" s="2"/>
    </row>
    <row r="19" spans="1:10" ht="12.95" customHeight="1">
      <c r="A19" s="16" t="s">
        <v>924</v>
      </c>
      <c r="B19" s="17" t="s">
        <v>925</v>
      </c>
      <c r="C19" s="13" t="s">
        <v>926</v>
      </c>
      <c r="D19" s="13" t="s">
        <v>771</v>
      </c>
      <c r="E19" s="18">
        <v>343638</v>
      </c>
      <c r="F19" s="19">
        <v>1910.11</v>
      </c>
      <c r="G19" s="20">
        <v>8.8999999999999999E-3</v>
      </c>
      <c r="H19" s="36"/>
      <c r="I19" s="22"/>
      <c r="J19" s="2"/>
    </row>
    <row r="20" spans="1:10" ht="12.95" customHeight="1">
      <c r="A20" s="16" t="s">
        <v>1026</v>
      </c>
      <c r="B20" s="17" t="s">
        <v>1027</v>
      </c>
      <c r="C20" s="13" t="s">
        <v>1028</v>
      </c>
      <c r="D20" s="13" t="s">
        <v>763</v>
      </c>
      <c r="E20" s="18">
        <v>6270</v>
      </c>
      <c r="F20" s="19">
        <v>128.36000000000001</v>
      </c>
      <c r="G20" s="20">
        <v>5.9999999999999995E-4</v>
      </c>
      <c r="H20" s="36"/>
      <c r="I20" s="22"/>
      <c r="J20" s="2"/>
    </row>
    <row r="21" spans="1:10" ht="12.95" customHeight="1">
      <c r="A21" s="16" t="s">
        <v>1735</v>
      </c>
      <c r="B21" s="17" t="s">
        <v>1736</v>
      </c>
      <c r="C21" s="13" t="s">
        <v>1737</v>
      </c>
      <c r="D21" s="13" t="s">
        <v>900</v>
      </c>
      <c r="E21" s="18">
        <v>771</v>
      </c>
      <c r="F21" s="19">
        <v>5.57</v>
      </c>
      <c r="G21" s="36" t="s">
        <v>643</v>
      </c>
      <c r="H21" s="36"/>
      <c r="I21" s="22"/>
      <c r="J21" s="2"/>
    </row>
    <row r="22" spans="1:10" ht="12.95" customHeight="1">
      <c r="A22" s="2"/>
      <c r="B22" s="12" t="s">
        <v>172</v>
      </c>
      <c r="C22" s="13"/>
      <c r="D22" s="13"/>
      <c r="E22" s="13"/>
      <c r="F22" s="23">
        <v>157821.43</v>
      </c>
      <c r="G22" s="24">
        <v>0.73780000000000001</v>
      </c>
      <c r="H22" s="25"/>
      <c r="I22" s="26"/>
      <c r="J22" s="2"/>
    </row>
    <row r="23" spans="1:10" ht="12.95" customHeight="1">
      <c r="A23" s="2"/>
      <c r="B23" s="27" t="s">
        <v>719</v>
      </c>
      <c r="C23" s="1"/>
      <c r="D23" s="1"/>
      <c r="E23" s="1"/>
      <c r="F23" s="25" t="s">
        <v>204</v>
      </c>
      <c r="G23" s="25" t="s">
        <v>204</v>
      </c>
      <c r="H23" s="25"/>
      <c r="I23" s="26"/>
      <c r="J23" s="2"/>
    </row>
    <row r="24" spans="1:10" ht="12.95" customHeight="1">
      <c r="A24" s="2"/>
      <c r="B24" s="27" t="s">
        <v>172</v>
      </c>
      <c r="C24" s="1"/>
      <c r="D24" s="1"/>
      <c r="E24" s="1"/>
      <c r="F24" s="25" t="s">
        <v>204</v>
      </c>
      <c r="G24" s="25" t="s">
        <v>204</v>
      </c>
      <c r="H24" s="25"/>
      <c r="I24" s="26"/>
      <c r="J24" s="2"/>
    </row>
    <row r="25" spans="1:10" ht="12.95" customHeight="1">
      <c r="A25" s="2"/>
      <c r="B25" s="27" t="s">
        <v>177</v>
      </c>
      <c r="C25" s="28"/>
      <c r="D25" s="1"/>
      <c r="E25" s="28"/>
      <c r="F25" s="23">
        <v>157821.43</v>
      </c>
      <c r="G25" s="24">
        <v>0.73780000000000001</v>
      </c>
      <c r="H25" s="25"/>
      <c r="I25" s="26"/>
      <c r="J25" s="2"/>
    </row>
    <row r="26" spans="1:10" ht="12.95" customHeight="1">
      <c r="A26" s="2"/>
      <c r="B26" s="12" t="s">
        <v>2150</v>
      </c>
      <c r="C26" s="13"/>
      <c r="D26" s="13"/>
      <c r="E26" s="13"/>
      <c r="F26" s="13"/>
      <c r="G26" s="13"/>
      <c r="H26" s="14"/>
      <c r="I26" s="15"/>
      <c r="J26" s="2"/>
    </row>
    <row r="27" spans="1:10" ht="12.95" customHeight="1">
      <c r="A27" s="2"/>
      <c r="B27" s="12" t="s">
        <v>681</v>
      </c>
      <c r="C27" s="13"/>
      <c r="D27" s="13"/>
      <c r="E27" s="13"/>
      <c r="F27" s="2"/>
      <c r="G27" s="14"/>
      <c r="H27" s="14"/>
      <c r="I27" s="15"/>
      <c r="J27" s="2"/>
    </row>
    <row r="28" spans="1:10" ht="12.95" customHeight="1">
      <c r="A28" s="16" t="s">
        <v>2151</v>
      </c>
      <c r="B28" s="17" t="s">
        <v>2152</v>
      </c>
      <c r="C28" s="13" t="s">
        <v>2153</v>
      </c>
      <c r="D28" s="13" t="s">
        <v>2154</v>
      </c>
      <c r="E28" s="18">
        <v>14464</v>
      </c>
      <c r="F28" s="19">
        <v>3050.23</v>
      </c>
      <c r="G28" s="20">
        <v>1.43E-2</v>
      </c>
      <c r="H28" s="36"/>
      <c r="I28" s="22"/>
      <c r="J28" s="2"/>
    </row>
    <row r="29" spans="1:10" ht="12.95" customHeight="1">
      <c r="A29" s="16" t="s">
        <v>2155</v>
      </c>
      <c r="B29" s="17" t="s">
        <v>2156</v>
      </c>
      <c r="C29" s="13" t="s">
        <v>2157</v>
      </c>
      <c r="D29" s="13" t="s">
        <v>2158</v>
      </c>
      <c r="E29" s="18">
        <v>1355</v>
      </c>
      <c r="F29" s="19">
        <v>2703.61</v>
      </c>
      <c r="G29" s="20">
        <v>1.26E-2</v>
      </c>
      <c r="H29" s="36"/>
      <c r="I29" s="22"/>
      <c r="J29" s="2"/>
    </row>
    <row r="30" spans="1:10" ht="12.95" customHeight="1">
      <c r="A30" s="16" t="s">
        <v>2159</v>
      </c>
      <c r="B30" s="17" t="s">
        <v>2160</v>
      </c>
      <c r="C30" s="13" t="s">
        <v>2161</v>
      </c>
      <c r="D30" s="13" t="s">
        <v>2162</v>
      </c>
      <c r="E30" s="18">
        <v>280702</v>
      </c>
      <c r="F30" s="19">
        <v>2551.25</v>
      </c>
      <c r="G30" s="20">
        <v>1.1900000000000001E-2</v>
      </c>
      <c r="H30" s="36"/>
      <c r="I30" s="22"/>
      <c r="J30" s="2"/>
    </row>
    <row r="31" spans="1:10" ht="12.95" customHeight="1">
      <c r="A31" s="16" t="s">
        <v>2163</v>
      </c>
      <c r="B31" s="17" t="s">
        <v>2164</v>
      </c>
      <c r="C31" s="13" t="s">
        <v>2165</v>
      </c>
      <c r="D31" s="13" t="s">
        <v>2166</v>
      </c>
      <c r="E31" s="18">
        <v>1340</v>
      </c>
      <c r="F31" s="19">
        <v>2365.9699999999998</v>
      </c>
      <c r="G31" s="20">
        <v>1.11E-2</v>
      </c>
      <c r="H31" s="36"/>
      <c r="I31" s="22"/>
      <c r="J31" s="2"/>
    </row>
    <row r="32" spans="1:10" ht="12.95" customHeight="1">
      <c r="A32" s="16" t="s">
        <v>2167</v>
      </c>
      <c r="B32" s="17" t="s">
        <v>2168</v>
      </c>
      <c r="C32" s="13" t="s">
        <v>2169</v>
      </c>
      <c r="D32" s="13" t="s">
        <v>2170</v>
      </c>
      <c r="E32" s="18">
        <v>15501</v>
      </c>
      <c r="F32" s="19">
        <v>2222.29</v>
      </c>
      <c r="G32" s="20">
        <v>1.04E-2</v>
      </c>
      <c r="H32" s="36"/>
      <c r="I32" s="22"/>
      <c r="J32" s="2"/>
    </row>
    <row r="33" spans="1:10" ht="12.95" customHeight="1">
      <c r="A33" s="16" t="s">
        <v>2171</v>
      </c>
      <c r="B33" s="17" t="s">
        <v>2172</v>
      </c>
      <c r="C33" s="13" t="s">
        <v>2173</v>
      </c>
      <c r="D33" s="13" t="s">
        <v>2174</v>
      </c>
      <c r="E33" s="18">
        <v>4998</v>
      </c>
      <c r="F33" s="19">
        <v>2151.0500000000002</v>
      </c>
      <c r="G33" s="20">
        <v>1.01E-2</v>
      </c>
      <c r="H33" s="36"/>
      <c r="I33" s="22"/>
      <c r="J33" s="2"/>
    </row>
    <row r="34" spans="1:10" ht="12.95" customHeight="1">
      <c r="A34" s="16" t="s">
        <v>2175</v>
      </c>
      <c r="B34" s="17" t="s">
        <v>2176</v>
      </c>
      <c r="C34" s="13" t="s">
        <v>2177</v>
      </c>
      <c r="D34" s="13" t="s">
        <v>2170</v>
      </c>
      <c r="E34" s="18">
        <v>24978</v>
      </c>
      <c r="F34" s="19">
        <v>2070.27</v>
      </c>
      <c r="G34" s="20">
        <v>9.7000000000000003E-3</v>
      </c>
      <c r="H34" s="36"/>
      <c r="I34" s="22"/>
      <c r="J34" s="2"/>
    </row>
    <row r="35" spans="1:10" ht="12.95" customHeight="1">
      <c r="A35" s="16" t="s">
        <v>2178</v>
      </c>
      <c r="B35" s="17" t="s">
        <v>2179</v>
      </c>
      <c r="C35" s="13" t="s">
        <v>2180</v>
      </c>
      <c r="D35" s="13" t="s">
        <v>2181</v>
      </c>
      <c r="E35" s="18">
        <v>56538</v>
      </c>
      <c r="F35" s="19">
        <v>1904.32</v>
      </c>
      <c r="G35" s="20">
        <v>8.8999999999999999E-3</v>
      </c>
      <c r="H35" s="36"/>
      <c r="I35" s="22"/>
      <c r="J35" s="2"/>
    </row>
    <row r="36" spans="1:10" ht="12.95" customHeight="1">
      <c r="A36" s="16" t="s">
        <v>2182</v>
      </c>
      <c r="B36" s="17" t="s">
        <v>2183</v>
      </c>
      <c r="C36" s="13" t="s">
        <v>2184</v>
      </c>
      <c r="D36" s="13" t="s">
        <v>2185</v>
      </c>
      <c r="E36" s="18">
        <v>37516</v>
      </c>
      <c r="F36" s="19">
        <v>1855.03</v>
      </c>
      <c r="G36" s="20">
        <v>8.6999999999999994E-3</v>
      </c>
      <c r="H36" s="36"/>
      <c r="I36" s="22"/>
      <c r="J36" s="2"/>
    </row>
    <row r="37" spans="1:10" ht="12.95" customHeight="1">
      <c r="A37" s="16" t="s">
        <v>2186</v>
      </c>
      <c r="B37" s="17" t="s">
        <v>2187</v>
      </c>
      <c r="C37" s="13" t="s">
        <v>2188</v>
      </c>
      <c r="D37" s="13" t="s">
        <v>2189</v>
      </c>
      <c r="E37" s="18">
        <v>20368</v>
      </c>
      <c r="F37" s="19">
        <v>1819.6</v>
      </c>
      <c r="G37" s="20">
        <v>8.5000000000000006E-3</v>
      </c>
      <c r="H37" s="36"/>
      <c r="I37" s="22"/>
      <c r="J37" s="2"/>
    </row>
    <row r="38" spans="1:10" ht="12.95" customHeight="1">
      <c r="A38" s="16" t="s">
        <v>2190</v>
      </c>
      <c r="B38" s="17" t="s">
        <v>2191</v>
      </c>
      <c r="C38" s="13" t="s">
        <v>2192</v>
      </c>
      <c r="D38" s="13" t="s">
        <v>2193</v>
      </c>
      <c r="E38" s="18">
        <v>73198</v>
      </c>
      <c r="F38" s="19">
        <v>1796.04</v>
      </c>
      <c r="G38" s="20">
        <v>8.3999999999999995E-3</v>
      </c>
      <c r="H38" s="36"/>
      <c r="I38" s="22"/>
      <c r="J38" s="2"/>
    </row>
    <row r="39" spans="1:10" ht="12.95" customHeight="1">
      <c r="A39" s="16" t="s">
        <v>2194</v>
      </c>
      <c r="B39" s="17" t="s">
        <v>2195</v>
      </c>
      <c r="C39" s="13" t="s">
        <v>2196</v>
      </c>
      <c r="D39" s="13" t="s">
        <v>2197</v>
      </c>
      <c r="E39" s="18">
        <v>70658</v>
      </c>
      <c r="F39" s="19">
        <v>1759.22</v>
      </c>
      <c r="G39" s="20">
        <v>8.2000000000000007E-3</v>
      </c>
      <c r="H39" s="36"/>
      <c r="I39" s="22"/>
      <c r="J39" s="2"/>
    </row>
    <row r="40" spans="1:10" ht="12.95" customHeight="1">
      <c r="A40" s="16" t="s">
        <v>2198</v>
      </c>
      <c r="B40" s="17" t="s">
        <v>2199</v>
      </c>
      <c r="C40" s="13" t="s">
        <v>2200</v>
      </c>
      <c r="D40" s="13" t="s">
        <v>2185</v>
      </c>
      <c r="E40" s="18">
        <v>40500</v>
      </c>
      <c r="F40" s="19">
        <v>1748.76</v>
      </c>
      <c r="G40" s="20">
        <v>8.2000000000000007E-3</v>
      </c>
      <c r="H40" s="36"/>
      <c r="I40" s="22"/>
      <c r="J40" s="2"/>
    </row>
    <row r="41" spans="1:10" ht="12.95" customHeight="1">
      <c r="A41" s="16" t="s">
        <v>2201</v>
      </c>
      <c r="B41" s="17" t="s">
        <v>2202</v>
      </c>
      <c r="C41" s="13" t="s">
        <v>2203</v>
      </c>
      <c r="D41" s="13" t="s">
        <v>2204</v>
      </c>
      <c r="E41" s="18">
        <v>10259</v>
      </c>
      <c r="F41" s="19">
        <v>1726.81</v>
      </c>
      <c r="G41" s="20">
        <v>8.0999999999999996E-3</v>
      </c>
      <c r="H41" s="36"/>
      <c r="I41" s="22"/>
      <c r="J41" s="2"/>
    </row>
    <row r="42" spans="1:10" ht="12.95" customHeight="1">
      <c r="A42" s="16" t="s">
        <v>2205</v>
      </c>
      <c r="B42" s="17" t="s">
        <v>2206</v>
      </c>
      <c r="C42" s="13" t="s">
        <v>2207</v>
      </c>
      <c r="D42" s="13" t="s">
        <v>2204</v>
      </c>
      <c r="E42" s="18">
        <v>6004</v>
      </c>
      <c r="F42" s="19">
        <v>1574.62</v>
      </c>
      <c r="G42" s="20">
        <v>7.4000000000000003E-3</v>
      </c>
      <c r="H42" s="36"/>
      <c r="I42" s="22"/>
      <c r="J42" s="2"/>
    </row>
    <row r="43" spans="1:10" ht="12.95" customHeight="1">
      <c r="A43" s="16" t="s">
        <v>2208</v>
      </c>
      <c r="B43" s="17" t="s">
        <v>2209</v>
      </c>
      <c r="C43" s="13" t="s">
        <v>2210</v>
      </c>
      <c r="D43" s="13" t="s">
        <v>2211</v>
      </c>
      <c r="E43" s="18">
        <v>11998</v>
      </c>
      <c r="F43" s="19">
        <v>1571.66</v>
      </c>
      <c r="G43" s="20">
        <v>7.3000000000000001E-3</v>
      </c>
      <c r="H43" s="36"/>
      <c r="I43" s="22"/>
      <c r="J43" s="2"/>
    </row>
    <row r="44" spans="1:10" ht="12.95" customHeight="1">
      <c r="A44" s="16" t="s">
        <v>2212</v>
      </c>
      <c r="B44" s="17" t="s">
        <v>2213</v>
      </c>
      <c r="C44" s="13" t="s">
        <v>2214</v>
      </c>
      <c r="D44" s="13" t="s">
        <v>749</v>
      </c>
      <c r="E44" s="18">
        <v>46169</v>
      </c>
      <c r="F44" s="19">
        <v>1548.9</v>
      </c>
      <c r="G44" s="20">
        <v>7.1999999999999998E-3</v>
      </c>
      <c r="H44" s="36"/>
      <c r="I44" s="22"/>
      <c r="J44" s="2"/>
    </row>
    <row r="45" spans="1:10" ht="12.95" customHeight="1">
      <c r="A45" s="16" t="s">
        <v>2215</v>
      </c>
      <c r="B45" s="17" t="s">
        <v>2216</v>
      </c>
      <c r="C45" s="13" t="s">
        <v>2217</v>
      </c>
      <c r="D45" s="13" t="s">
        <v>2211</v>
      </c>
      <c r="E45" s="18">
        <v>140774</v>
      </c>
      <c r="F45" s="19">
        <v>1511.53</v>
      </c>
      <c r="G45" s="20">
        <v>7.1000000000000004E-3</v>
      </c>
      <c r="H45" s="36"/>
      <c r="I45" s="22"/>
      <c r="J45" s="2"/>
    </row>
    <row r="46" spans="1:10" ht="12.95" customHeight="1">
      <c r="A46" s="16" t="s">
        <v>2218</v>
      </c>
      <c r="B46" s="17" t="s">
        <v>2219</v>
      </c>
      <c r="C46" s="13" t="s">
        <v>2220</v>
      </c>
      <c r="D46" s="13" t="s">
        <v>2221</v>
      </c>
      <c r="E46" s="18">
        <v>5077</v>
      </c>
      <c r="F46" s="19">
        <v>1509.52</v>
      </c>
      <c r="G46" s="20">
        <v>7.1000000000000004E-3</v>
      </c>
      <c r="H46" s="36"/>
      <c r="I46" s="22"/>
      <c r="J46" s="2"/>
    </row>
    <row r="47" spans="1:10" ht="12.95" customHeight="1">
      <c r="A47" s="16" t="s">
        <v>2222</v>
      </c>
      <c r="B47" s="17" t="s">
        <v>2223</v>
      </c>
      <c r="C47" s="13" t="s">
        <v>2224</v>
      </c>
      <c r="D47" s="13" t="s">
        <v>2225</v>
      </c>
      <c r="E47" s="18">
        <v>12817</v>
      </c>
      <c r="F47" s="19">
        <v>1495.16</v>
      </c>
      <c r="G47" s="20">
        <v>7.0000000000000001E-3</v>
      </c>
      <c r="H47" s="36"/>
      <c r="I47" s="22"/>
      <c r="J47" s="2"/>
    </row>
    <row r="48" spans="1:10" ht="12.95" customHeight="1">
      <c r="A48" s="16" t="s">
        <v>2226</v>
      </c>
      <c r="B48" s="17" t="s">
        <v>2227</v>
      </c>
      <c r="C48" s="13" t="s">
        <v>2228</v>
      </c>
      <c r="D48" s="13" t="s">
        <v>2229</v>
      </c>
      <c r="E48" s="18">
        <v>145372</v>
      </c>
      <c r="F48" s="19">
        <v>1485.34</v>
      </c>
      <c r="G48" s="20">
        <v>6.8999999999999999E-3</v>
      </c>
      <c r="H48" s="36"/>
      <c r="I48" s="22"/>
      <c r="J48" s="2"/>
    </row>
    <row r="49" spans="1:10" ht="12.95" customHeight="1">
      <c r="A49" s="16" t="s">
        <v>2230</v>
      </c>
      <c r="B49" s="17" t="s">
        <v>2231</v>
      </c>
      <c r="C49" s="13" t="s">
        <v>2232</v>
      </c>
      <c r="D49" s="13" t="s">
        <v>2197</v>
      </c>
      <c r="E49" s="18">
        <v>78733</v>
      </c>
      <c r="F49" s="19">
        <v>1419.49</v>
      </c>
      <c r="G49" s="20">
        <v>6.6E-3</v>
      </c>
      <c r="H49" s="36"/>
      <c r="I49" s="22"/>
      <c r="J49" s="2"/>
    </row>
    <row r="50" spans="1:10" ht="12.95" customHeight="1">
      <c r="A50" s="16" t="s">
        <v>2233</v>
      </c>
      <c r="B50" s="17" t="s">
        <v>2234</v>
      </c>
      <c r="C50" s="13" t="s">
        <v>2235</v>
      </c>
      <c r="D50" s="13" t="s">
        <v>2236</v>
      </c>
      <c r="E50" s="18">
        <v>3141</v>
      </c>
      <c r="F50" s="19">
        <v>1347.4</v>
      </c>
      <c r="G50" s="20">
        <v>6.3E-3</v>
      </c>
      <c r="H50" s="36"/>
      <c r="I50" s="22"/>
      <c r="J50" s="2"/>
    </row>
    <row r="51" spans="1:10" ht="12.95" customHeight="1">
      <c r="A51" s="16" t="s">
        <v>2237</v>
      </c>
      <c r="B51" s="17" t="s">
        <v>2238</v>
      </c>
      <c r="C51" s="13" t="s">
        <v>2239</v>
      </c>
      <c r="D51" s="13" t="s">
        <v>2221</v>
      </c>
      <c r="E51" s="18">
        <v>4642</v>
      </c>
      <c r="F51" s="19">
        <v>1340.16</v>
      </c>
      <c r="G51" s="20">
        <v>6.3E-3</v>
      </c>
      <c r="H51" s="36"/>
      <c r="I51" s="22"/>
      <c r="J51" s="2"/>
    </row>
    <row r="52" spans="1:10" ht="12.95" customHeight="1">
      <c r="A52" s="16" t="s">
        <v>2240</v>
      </c>
      <c r="B52" s="17" t="s">
        <v>2241</v>
      </c>
      <c r="C52" s="13" t="s">
        <v>2242</v>
      </c>
      <c r="D52" s="13" t="s">
        <v>2243</v>
      </c>
      <c r="E52" s="18">
        <v>2167</v>
      </c>
      <c r="F52" s="19">
        <v>1207.51</v>
      </c>
      <c r="G52" s="20">
        <v>5.5999999999999999E-3</v>
      </c>
      <c r="H52" s="36"/>
      <c r="I52" s="22"/>
      <c r="J52" s="2"/>
    </row>
    <row r="53" spans="1:10" ht="12.95" customHeight="1">
      <c r="A53" s="16" t="s">
        <v>2244</v>
      </c>
      <c r="B53" s="17" t="s">
        <v>2245</v>
      </c>
      <c r="C53" s="13" t="s">
        <v>2246</v>
      </c>
      <c r="D53" s="13" t="s">
        <v>2185</v>
      </c>
      <c r="E53" s="18">
        <v>244528</v>
      </c>
      <c r="F53" s="19">
        <v>1202.02</v>
      </c>
      <c r="G53" s="20">
        <v>5.5999999999999999E-3</v>
      </c>
      <c r="H53" s="36"/>
      <c r="I53" s="22"/>
      <c r="J53" s="2"/>
    </row>
    <row r="54" spans="1:10" ht="12.95" customHeight="1">
      <c r="A54" s="16" t="s">
        <v>2247</v>
      </c>
      <c r="B54" s="17" t="s">
        <v>2248</v>
      </c>
      <c r="C54" s="13" t="s">
        <v>2249</v>
      </c>
      <c r="D54" s="13" t="s">
        <v>2250</v>
      </c>
      <c r="E54" s="18">
        <v>27799</v>
      </c>
      <c r="F54" s="19">
        <v>1128.08</v>
      </c>
      <c r="G54" s="20">
        <v>5.3E-3</v>
      </c>
      <c r="H54" s="36"/>
      <c r="I54" s="22"/>
      <c r="J54" s="2"/>
    </row>
    <row r="55" spans="1:10" ht="12.95" customHeight="1">
      <c r="A55" s="16" t="s">
        <v>2251</v>
      </c>
      <c r="B55" s="17" t="s">
        <v>2252</v>
      </c>
      <c r="C55" s="13" t="s">
        <v>2253</v>
      </c>
      <c r="D55" s="13" t="s">
        <v>2254</v>
      </c>
      <c r="E55" s="18">
        <v>316015</v>
      </c>
      <c r="F55" s="19">
        <v>1091.93</v>
      </c>
      <c r="G55" s="20">
        <v>5.1000000000000004E-3</v>
      </c>
      <c r="H55" s="36"/>
      <c r="I55" s="22"/>
      <c r="J55" s="2"/>
    </row>
    <row r="56" spans="1:10" ht="12.95" customHeight="1">
      <c r="A56" s="16" t="s">
        <v>2255</v>
      </c>
      <c r="B56" s="17" t="s">
        <v>2256</v>
      </c>
      <c r="C56" s="13" t="s">
        <v>2257</v>
      </c>
      <c r="D56" s="13" t="s">
        <v>2258</v>
      </c>
      <c r="E56" s="18">
        <v>2447</v>
      </c>
      <c r="F56" s="19">
        <v>991.33</v>
      </c>
      <c r="G56" s="20">
        <v>4.5999999999999999E-3</v>
      </c>
      <c r="H56" s="36"/>
      <c r="I56" s="22"/>
      <c r="J56" s="2"/>
    </row>
    <row r="57" spans="1:10" ht="12.95" customHeight="1">
      <c r="A57" s="16" t="s">
        <v>2259</v>
      </c>
      <c r="B57" s="17" t="s">
        <v>2260</v>
      </c>
      <c r="C57" s="13" t="s">
        <v>2261</v>
      </c>
      <c r="D57" s="13" t="s">
        <v>2262</v>
      </c>
      <c r="E57" s="18">
        <v>53580</v>
      </c>
      <c r="F57" s="19">
        <v>953.27</v>
      </c>
      <c r="G57" s="20">
        <v>4.4999999999999997E-3</v>
      </c>
      <c r="H57" s="36"/>
      <c r="I57" s="22"/>
      <c r="J57" s="2"/>
    </row>
    <row r="58" spans="1:10" ht="12.95" customHeight="1">
      <c r="A58" s="16" t="s">
        <v>2263</v>
      </c>
      <c r="B58" s="17" t="s">
        <v>2264</v>
      </c>
      <c r="C58" s="13" t="s">
        <v>2265</v>
      </c>
      <c r="D58" s="13" t="s">
        <v>2266</v>
      </c>
      <c r="E58" s="18">
        <v>6481</v>
      </c>
      <c r="F58" s="19">
        <v>937.61</v>
      </c>
      <c r="G58" s="20">
        <v>4.4000000000000003E-3</v>
      </c>
      <c r="H58" s="36"/>
      <c r="I58" s="22"/>
      <c r="J58" s="2"/>
    </row>
    <row r="59" spans="1:10" ht="12.95" customHeight="1">
      <c r="A59" s="16" t="s">
        <v>2267</v>
      </c>
      <c r="B59" s="17" t="s">
        <v>2268</v>
      </c>
      <c r="C59" s="13" t="s">
        <v>2269</v>
      </c>
      <c r="D59" s="13" t="s">
        <v>2270</v>
      </c>
      <c r="E59" s="18">
        <v>211155</v>
      </c>
      <c r="F59" s="19">
        <v>697.73</v>
      </c>
      <c r="G59" s="20">
        <v>3.3E-3</v>
      </c>
      <c r="H59" s="36"/>
      <c r="I59" s="22"/>
      <c r="J59" s="2"/>
    </row>
    <row r="60" spans="1:10" ht="12.95" customHeight="1">
      <c r="A60" s="16" t="s">
        <v>2271</v>
      </c>
      <c r="B60" s="17" t="s">
        <v>2272</v>
      </c>
      <c r="C60" s="13" t="s">
        <v>2273</v>
      </c>
      <c r="D60" s="13" t="s">
        <v>2274</v>
      </c>
      <c r="E60" s="18">
        <v>4033</v>
      </c>
      <c r="F60" s="19">
        <v>605.94000000000005</v>
      </c>
      <c r="G60" s="20">
        <v>2.8E-3</v>
      </c>
      <c r="H60" s="36"/>
      <c r="I60" s="22"/>
      <c r="J60" s="2"/>
    </row>
    <row r="61" spans="1:10" ht="12.95" customHeight="1">
      <c r="A61" s="16" t="s">
        <v>2275</v>
      </c>
      <c r="B61" s="17" t="s">
        <v>2276</v>
      </c>
      <c r="C61" s="13" t="s">
        <v>2277</v>
      </c>
      <c r="D61" s="13" t="s">
        <v>2278</v>
      </c>
      <c r="E61" s="18">
        <v>15034</v>
      </c>
      <c r="F61" s="19">
        <v>570.46</v>
      </c>
      <c r="G61" s="20">
        <v>2.7000000000000001E-3</v>
      </c>
      <c r="H61" s="36"/>
      <c r="I61" s="22"/>
      <c r="J61" s="2"/>
    </row>
    <row r="62" spans="1:10" ht="12.95" customHeight="1">
      <c r="A62" s="16" t="s">
        <v>2279</v>
      </c>
      <c r="B62" s="17" t="s">
        <v>2280</v>
      </c>
      <c r="C62" s="13" t="s">
        <v>2281</v>
      </c>
      <c r="D62" s="13" t="s">
        <v>2282</v>
      </c>
      <c r="E62" s="18">
        <v>9900</v>
      </c>
      <c r="F62" s="19">
        <v>327.72</v>
      </c>
      <c r="G62" s="20">
        <v>1.5E-3</v>
      </c>
      <c r="H62" s="36"/>
      <c r="I62" s="22"/>
      <c r="J62" s="2"/>
    </row>
    <row r="63" spans="1:10" ht="12.95" customHeight="1">
      <c r="A63" s="16" t="s">
        <v>2283</v>
      </c>
      <c r="B63" s="17" t="s">
        <v>2284</v>
      </c>
      <c r="C63" s="13" t="s">
        <v>2285</v>
      </c>
      <c r="D63" s="13" t="s">
        <v>2286</v>
      </c>
      <c r="E63" s="18">
        <v>213</v>
      </c>
      <c r="F63" s="19">
        <v>6.39</v>
      </c>
      <c r="G63" s="36" t="s">
        <v>643</v>
      </c>
      <c r="H63" s="36"/>
      <c r="I63" s="22"/>
      <c r="J63" s="2"/>
    </row>
    <row r="64" spans="1:10" ht="12.95" customHeight="1">
      <c r="A64" s="2"/>
      <c r="B64" s="12" t="s">
        <v>172</v>
      </c>
      <c r="C64" s="13"/>
      <c r="D64" s="13"/>
      <c r="E64" s="13"/>
      <c r="F64" s="23">
        <v>54248.22</v>
      </c>
      <c r="G64" s="24">
        <v>0.25369999999999998</v>
      </c>
      <c r="H64" s="25"/>
      <c r="I64" s="26"/>
      <c r="J64" s="2"/>
    </row>
    <row r="65" spans="1:10" ht="12.95" customHeight="1">
      <c r="A65" s="2"/>
      <c r="B65" s="27" t="s">
        <v>719</v>
      </c>
      <c r="C65" s="1"/>
      <c r="D65" s="1"/>
      <c r="E65" s="1"/>
      <c r="F65" s="25" t="s">
        <v>204</v>
      </c>
      <c r="G65" s="25" t="s">
        <v>204</v>
      </c>
      <c r="H65" s="25"/>
      <c r="I65" s="26"/>
      <c r="J65" s="2"/>
    </row>
    <row r="66" spans="1:10" ht="12.95" customHeight="1">
      <c r="A66" s="2"/>
      <c r="B66" s="27" t="s">
        <v>172</v>
      </c>
      <c r="C66" s="1"/>
      <c r="D66" s="1"/>
      <c r="E66" s="1"/>
      <c r="F66" s="25" t="s">
        <v>204</v>
      </c>
      <c r="G66" s="25" t="s">
        <v>204</v>
      </c>
      <c r="H66" s="25"/>
      <c r="I66" s="26"/>
      <c r="J66" s="2"/>
    </row>
    <row r="67" spans="1:10" ht="12.95" customHeight="1">
      <c r="A67" s="2"/>
      <c r="B67" s="27" t="s">
        <v>177</v>
      </c>
      <c r="C67" s="28"/>
      <c r="D67" s="1"/>
      <c r="E67" s="28"/>
      <c r="F67" s="23">
        <v>54248.22</v>
      </c>
      <c r="G67" s="24">
        <v>0.25369999999999998</v>
      </c>
      <c r="H67" s="25"/>
      <c r="I67" s="26"/>
      <c r="J67" s="2"/>
    </row>
    <row r="68" spans="1:10" ht="12.95" customHeight="1">
      <c r="A68" s="2"/>
      <c r="B68" s="12" t="s">
        <v>178</v>
      </c>
      <c r="C68" s="13"/>
      <c r="D68" s="13"/>
      <c r="E68" s="13"/>
      <c r="F68" s="13"/>
      <c r="G68" s="13"/>
      <c r="H68" s="14"/>
      <c r="I68" s="15"/>
      <c r="J68" s="2"/>
    </row>
    <row r="69" spans="1:10" ht="12.95" customHeight="1">
      <c r="A69" s="16" t="s">
        <v>179</v>
      </c>
      <c r="B69" s="17" t="s">
        <v>180</v>
      </c>
      <c r="C69" s="13"/>
      <c r="D69" s="13"/>
      <c r="E69" s="18"/>
      <c r="F69" s="19">
        <v>3109.55</v>
      </c>
      <c r="G69" s="20">
        <v>1.4500000000000001E-2</v>
      </c>
      <c r="H69" s="21">
        <v>3.304678667892183E-2</v>
      </c>
      <c r="I69" s="22"/>
      <c r="J69" s="2"/>
    </row>
    <row r="70" spans="1:10" ht="12.95" customHeight="1">
      <c r="A70" s="2"/>
      <c r="B70" s="12" t="s">
        <v>172</v>
      </c>
      <c r="C70" s="13"/>
      <c r="D70" s="13"/>
      <c r="E70" s="13"/>
      <c r="F70" s="23">
        <v>3109.55</v>
      </c>
      <c r="G70" s="24">
        <v>1.4500000000000001E-2</v>
      </c>
      <c r="H70" s="25"/>
      <c r="I70" s="26"/>
      <c r="J70" s="2"/>
    </row>
    <row r="71" spans="1:10" ht="12.95" customHeight="1">
      <c r="A71" s="2"/>
      <c r="B71" s="27" t="s">
        <v>177</v>
      </c>
      <c r="C71" s="28"/>
      <c r="D71" s="1"/>
      <c r="E71" s="28"/>
      <c r="F71" s="23">
        <v>3109.55</v>
      </c>
      <c r="G71" s="24">
        <v>1.4500000000000001E-2</v>
      </c>
      <c r="H71" s="25"/>
      <c r="I71" s="26"/>
      <c r="J71" s="2"/>
    </row>
    <row r="72" spans="1:10" ht="12.95" customHeight="1">
      <c r="A72" s="2"/>
      <c r="B72" s="27" t="s">
        <v>181</v>
      </c>
      <c r="C72" s="13"/>
      <c r="D72" s="1"/>
      <c r="E72" s="13"/>
      <c r="F72" s="29">
        <v>-1270.8399999999999</v>
      </c>
      <c r="G72" s="24">
        <v>-6.0000000000000001E-3</v>
      </c>
      <c r="H72" s="25"/>
      <c r="I72" s="26"/>
      <c r="J72" s="2"/>
    </row>
    <row r="73" spans="1:10" ht="12.95" customHeight="1">
      <c r="A73" s="2"/>
      <c r="B73" s="30" t="s">
        <v>182</v>
      </c>
      <c r="C73" s="31"/>
      <c r="D73" s="31"/>
      <c r="E73" s="31"/>
      <c r="F73" s="32">
        <v>213908.36</v>
      </c>
      <c r="G73" s="33">
        <v>1</v>
      </c>
      <c r="H73" s="34"/>
      <c r="I73" s="35"/>
      <c r="J73" s="2"/>
    </row>
    <row r="74" spans="1:10" ht="12.95" customHeight="1">
      <c r="A74" s="2"/>
      <c r="B74" s="5"/>
      <c r="C74" s="2"/>
      <c r="D74" s="2"/>
      <c r="E74" s="2"/>
      <c r="F74" s="2"/>
      <c r="G74" s="2"/>
      <c r="H74" s="2"/>
      <c r="I74" s="2"/>
      <c r="J74" s="2"/>
    </row>
    <row r="75" spans="1:10" ht="12.95" customHeight="1">
      <c r="A75" s="2"/>
      <c r="B75" s="3" t="s">
        <v>244</v>
      </c>
      <c r="C75" s="2"/>
      <c r="D75" s="2"/>
      <c r="E75" s="2"/>
      <c r="F75" s="2"/>
      <c r="G75" s="2"/>
      <c r="H75" s="2"/>
      <c r="I75" s="2"/>
      <c r="J75" s="2"/>
    </row>
    <row r="76" spans="1:10" ht="12.95" customHeight="1">
      <c r="A76" s="2"/>
      <c r="B76" s="3" t="s">
        <v>678</v>
      </c>
      <c r="C76" s="2"/>
      <c r="D76" s="2"/>
      <c r="E76" s="2"/>
      <c r="F76" s="2"/>
      <c r="G76" s="2"/>
      <c r="H76" s="2"/>
      <c r="I76" s="2"/>
      <c r="J76" s="2"/>
    </row>
    <row r="77" spans="1:10" ht="12.95" customHeight="1">
      <c r="A77" s="2"/>
      <c r="B77" s="3" t="s">
        <v>186</v>
      </c>
      <c r="C77" s="2"/>
      <c r="D77" s="2"/>
      <c r="E77" s="2"/>
      <c r="F77" s="2"/>
      <c r="G77" s="2"/>
      <c r="H77" s="2"/>
      <c r="I77" s="2"/>
      <c r="J77" s="2"/>
    </row>
    <row r="78" spans="1:10" ht="23.25" customHeight="1">
      <c r="A78" s="2"/>
      <c r="B78" s="189" t="s">
        <v>4025</v>
      </c>
      <c r="C78" s="189"/>
      <c r="D78" s="189"/>
      <c r="E78" s="189"/>
      <c r="F78" s="189"/>
      <c r="G78" s="189"/>
      <c r="H78" s="189"/>
      <c r="I78" s="189"/>
      <c r="J78" s="2"/>
    </row>
    <row r="79" spans="1:10" ht="12.95" customHeight="1">
      <c r="A79" s="2"/>
      <c r="B79" s="3"/>
      <c r="C79" s="2"/>
      <c r="D79" s="2"/>
      <c r="E79" s="2"/>
      <c r="F79" s="2"/>
      <c r="G79" s="2"/>
      <c r="H79" s="2"/>
      <c r="I79" s="2"/>
      <c r="J79" s="2"/>
    </row>
    <row r="80" spans="1:10">
      <c r="C80" s="111" t="s">
        <v>3949</v>
      </c>
    </row>
    <row r="81" spans="2:3">
      <c r="B81" s="111" t="s">
        <v>3933</v>
      </c>
      <c r="C81" s="111" t="s">
        <v>3934</v>
      </c>
    </row>
  </sheetData>
  <mergeCells count="2">
    <mergeCell ref="B2:I2"/>
    <mergeCell ref="B78:I78"/>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73"/>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AXISF25</v>
      </c>
    </row>
    <row r="2" spans="1:13" ht="34.5" customHeight="1" thickBot="1">
      <c r="A2" s="135" t="str">
        <f>M2</f>
        <v>AXISF25</v>
      </c>
      <c r="B2" s="186" t="s">
        <v>45</v>
      </c>
      <c r="C2" s="187"/>
      <c r="D2" s="187"/>
      <c r="E2" s="187"/>
      <c r="F2" s="187"/>
      <c r="G2" s="187"/>
      <c r="H2" s="187"/>
      <c r="I2" s="188"/>
      <c r="J2" s="2"/>
      <c r="M2" s="108" t="s">
        <v>44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2670167</v>
      </c>
      <c r="F8" s="19">
        <v>204751.08</v>
      </c>
      <c r="G8" s="20">
        <v>0.1007</v>
      </c>
      <c r="H8" s="36"/>
      <c r="I8" s="22"/>
      <c r="J8" s="2"/>
    </row>
    <row r="9" spans="1:13" ht="12.95" customHeight="1">
      <c r="A9" s="16" t="s">
        <v>736</v>
      </c>
      <c r="B9" s="17" t="s">
        <v>737</v>
      </c>
      <c r="C9" s="13" t="s">
        <v>738</v>
      </c>
      <c r="D9" s="13" t="s">
        <v>739</v>
      </c>
      <c r="E9" s="18">
        <v>4080778</v>
      </c>
      <c r="F9" s="19">
        <v>173441.23</v>
      </c>
      <c r="G9" s="20">
        <v>8.5300000000000001E-2</v>
      </c>
      <c r="H9" s="36"/>
      <c r="I9" s="22"/>
      <c r="J9" s="2"/>
    </row>
    <row r="10" spans="1:13" ht="12.95" customHeight="1">
      <c r="A10" s="16" t="s">
        <v>728</v>
      </c>
      <c r="B10" s="17" t="s">
        <v>729</v>
      </c>
      <c r="C10" s="13" t="s">
        <v>730</v>
      </c>
      <c r="D10" s="13" t="s">
        <v>731</v>
      </c>
      <c r="E10" s="18">
        <v>4420804</v>
      </c>
      <c r="F10" s="19">
        <v>166909.67000000001</v>
      </c>
      <c r="G10" s="20">
        <v>8.2100000000000006E-2</v>
      </c>
      <c r="H10" s="36"/>
      <c r="I10" s="22"/>
      <c r="J10" s="2"/>
    </row>
    <row r="11" spans="1:13" ht="12.95" customHeight="1">
      <c r="A11" s="16" t="s">
        <v>963</v>
      </c>
      <c r="B11" s="17" t="s">
        <v>964</v>
      </c>
      <c r="C11" s="13" t="s">
        <v>965</v>
      </c>
      <c r="D11" s="13" t="s">
        <v>739</v>
      </c>
      <c r="E11" s="18">
        <v>2515759</v>
      </c>
      <c r="F11" s="19">
        <v>161798.51999999999</v>
      </c>
      <c r="G11" s="20">
        <v>7.9600000000000004E-2</v>
      </c>
      <c r="H11" s="36"/>
      <c r="I11" s="22"/>
      <c r="J11" s="2"/>
    </row>
    <row r="12" spans="1:13" ht="12.95" customHeight="1">
      <c r="A12" s="16" t="s">
        <v>1726</v>
      </c>
      <c r="B12" s="17" t="s">
        <v>1727</v>
      </c>
      <c r="C12" s="13" t="s">
        <v>1728</v>
      </c>
      <c r="D12" s="13" t="s">
        <v>763</v>
      </c>
      <c r="E12" s="18">
        <v>5087425</v>
      </c>
      <c r="F12" s="19">
        <v>121179.92</v>
      </c>
      <c r="G12" s="20">
        <v>5.96E-2</v>
      </c>
      <c r="H12" s="36"/>
      <c r="I12" s="22"/>
      <c r="J12" s="2"/>
    </row>
    <row r="13" spans="1:13" ht="12.95" customHeight="1">
      <c r="A13" s="16" t="s">
        <v>746</v>
      </c>
      <c r="B13" s="17" t="s">
        <v>747</v>
      </c>
      <c r="C13" s="13" t="s">
        <v>748</v>
      </c>
      <c r="D13" s="13" t="s">
        <v>749</v>
      </c>
      <c r="E13" s="18">
        <v>2328887</v>
      </c>
      <c r="F13" s="19">
        <v>111756.3</v>
      </c>
      <c r="G13" s="20">
        <v>5.5E-2</v>
      </c>
      <c r="H13" s="36"/>
      <c r="I13" s="22"/>
      <c r="J13" s="2"/>
    </row>
    <row r="14" spans="1:13" ht="12.95" customHeight="1">
      <c r="A14" s="16" t="s">
        <v>692</v>
      </c>
      <c r="B14" s="17" t="s">
        <v>693</v>
      </c>
      <c r="C14" s="13" t="s">
        <v>694</v>
      </c>
      <c r="D14" s="13" t="s">
        <v>685</v>
      </c>
      <c r="E14" s="18">
        <v>5208728</v>
      </c>
      <c r="F14" s="19">
        <v>104461.04</v>
      </c>
      <c r="G14" s="20">
        <v>5.1400000000000001E-2</v>
      </c>
      <c r="H14" s="36"/>
      <c r="I14" s="22"/>
      <c r="J14" s="2"/>
    </row>
    <row r="15" spans="1:13" ht="12.95" customHeight="1">
      <c r="A15" s="16" t="s">
        <v>743</v>
      </c>
      <c r="B15" s="17" t="s">
        <v>744</v>
      </c>
      <c r="C15" s="13" t="s">
        <v>745</v>
      </c>
      <c r="D15" s="13" t="s">
        <v>723</v>
      </c>
      <c r="E15" s="18">
        <v>3775161</v>
      </c>
      <c r="F15" s="19">
        <v>103979.26</v>
      </c>
      <c r="G15" s="20">
        <v>5.11E-2</v>
      </c>
      <c r="H15" s="36"/>
      <c r="I15" s="22"/>
      <c r="J15" s="2"/>
    </row>
    <row r="16" spans="1:13" ht="12.95" customHeight="1">
      <c r="A16" s="16" t="s">
        <v>682</v>
      </c>
      <c r="B16" s="17" t="s">
        <v>683</v>
      </c>
      <c r="C16" s="13" t="s">
        <v>684</v>
      </c>
      <c r="D16" s="13" t="s">
        <v>685</v>
      </c>
      <c r="E16" s="18">
        <v>5136460</v>
      </c>
      <c r="F16" s="19">
        <v>81923.97</v>
      </c>
      <c r="G16" s="20">
        <v>4.0300000000000002E-2</v>
      </c>
      <c r="H16" s="36"/>
      <c r="I16" s="22"/>
      <c r="J16" s="2"/>
    </row>
    <row r="17" spans="1:10" ht="12.95" customHeight="1">
      <c r="A17" s="16" t="s">
        <v>732</v>
      </c>
      <c r="B17" s="17" t="s">
        <v>733</v>
      </c>
      <c r="C17" s="13" t="s">
        <v>734</v>
      </c>
      <c r="D17" s="13" t="s">
        <v>735</v>
      </c>
      <c r="E17" s="18">
        <v>2999816</v>
      </c>
      <c r="F17" s="19">
        <v>75572.86</v>
      </c>
      <c r="G17" s="20">
        <v>3.7199999999999997E-2</v>
      </c>
      <c r="H17" s="36"/>
      <c r="I17" s="22"/>
      <c r="J17" s="2"/>
    </row>
    <row r="18" spans="1:10" ht="12.95" customHeight="1">
      <c r="A18" s="16" t="s">
        <v>897</v>
      </c>
      <c r="B18" s="17" t="s">
        <v>898</v>
      </c>
      <c r="C18" s="13" t="s">
        <v>899</v>
      </c>
      <c r="D18" s="13" t="s">
        <v>900</v>
      </c>
      <c r="E18" s="18">
        <v>383843</v>
      </c>
      <c r="F18" s="19">
        <v>68273.19</v>
      </c>
      <c r="G18" s="20">
        <v>3.3599999999999998E-2</v>
      </c>
      <c r="H18" s="36"/>
      <c r="I18" s="22"/>
      <c r="J18" s="2"/>
    </row>
    <row r="19" spans="1:10" ht="12.95" customHeight="1">
      <c r="A19" s="16" t="s">
        <v>754</v>
      </c>
      <c r="B19" s="17" t="s">
        <v>755</v>
      </c>
      <c r="C19" s="13" t="s">
        <v>756</v>
      </c>
      <c r="D19" s="13" t="s">
        <v>727</v>
      </c>
      <c r="E19" s="18">
        <v>2858599</v>
      </c>
      <c r="F19" s="19">
        <v>66735.42</v>
      </c>
      <c r="G19" s="20">
        <v>3.2800000000000003E-2</v>
      </c>
      <c r="H19" s="36"/>
      <c r="I19" s="22"/>
      <c r="J19" s="2"/>
    </row>
    <row r="20" spans="1:10" ht="12.95" customHeight="1">
      <c r="A20" s="16" t="s">
        <v>939</v>
      </c>
      <c r="B20" s="17" t="s">
        <v>940</v>
      </c>
      <c r="C20" s="13" t="s">
        <v>941</v>
      </c>
      <c r="D20" s="13" t="s">
        <v>782</v>
      </c>
      <c r="E20" s="18">
        <v>218049</v>
      </c>
      <c r="F20" s="19">
        <v>63019.54</v>
      </c>
      <c r="G20" s="20">
        <v>3.1E-2</v>
      </c>
      <c r="H20" s="36"/>
      <c r="I20" s="22"/>
      <c r="J20" s="2"/>
    </row>
    <row r="21" spans="1:10" ht="12.95" customHeight="1">
      <c r="A21" s="16" t="s">
        <v>2078</v>
      </c>
      <c r="B21" s="17" t="s">
        <v>2079</v>
      </c>
      <c r="C21" s="13" t="s">
        <v>2080</v>
      </c>
      <c r="D21" s="13" t="s">
        <v>731</v>
      </c>
      <c r="E21" s="18">
        <v>9177000</v>
      </c>
      <c r="F21" s="19">
        <v>58191.360000000001</v>
      </c>
      <c r="G21" s="20">
        <v>2.86E-2</v>
      </c>
      <c r="H21" s="36"/>
      <c r="I21" s="22"/>
      <c r="J21" s="2"/>
    </row>
    <row r="22" spans="1:10" ht="12.95" customHeight="1">
      <c r="A22" s="16" t="s">
        <v>796</v>
      </c>
      <c r="B22" s="17" t="s">
        <v>797</v>
      </c>
      <c r="C22" s="13" t="s">
        <v>798</v>
      </c>
      <c r="D22" s="13" t="s">
        <v>771</v>
      </c>
      <c r="E22" s="18">
        <v>23826951</v>
      </c>
      <c r="F22" s="19">
        <v>53837</v>
      </c>
      <c r="G22" s="20">
        <v>2.6499999999999999E-2</v>
      </c>
      <c r="H22" s="36"/>
      <c r="I22" s="22"/>
      <c r="J22" s="2"/>
    </row>
    <row r="23" spans="1:10" ht="12.95" customHeight="1">
      <c r="A23" s="16" t="s">
        <v>757</v>
      </c>
      <c r="B23" s="17" t="s">
        <v>758</v>
      </c>
      <c r="C23" s="13" t="s">
        <v>759</v>
      </c>
      <c r="D23" s="13" t="s">
        <v>749</v>
      </c>
      <c r="E23" s="18">
        <v>1417992</v>
      </c>
      <c r="F23" s="19">
        <v>52747.88</v>
      </c>
      <c r="G23" s="20">
        <v>2.5899999999999999E-2</v>
      </c>
      <c r="H23" s="36"/>
      <c r="I23" s="22"/>
      <c r="J23" s="2"/>
    </row>
    <row r="24" spans="1:10" ht="12.95" customHeight="1">
      <c r="A24" s="16" t="s">
        <v>740</v>
      </c>
      <c r="B24" s="17" t="s">
        <v>741</v>
      </c>
      <c r="C24" s="13" t="s">
        <v>742</v>
      </c>
      <c r="D24" s="13" t="s">
        <v>731</v>
      </c>
      <c r="E24" s="18">
        <v>2478886</v>
      </c>
      <c r="F24" s="19">
        <v>41526.300000000003</v>
      </c>
      <c r="G24" s="20">
        <v>2.0400000000000001E-2</v>
      </c>
      <c r="H24" s="36"/>
      <c r="I24" s="22"/>
      <c r="J24" s="2"/>
    </row>
    <row r="25" spans="1:10" ht="12.95" customHeight="1">
      <c r="A25" s="16" t="s">
        <v>924</v>
      </c>
      <c r="B25" s="17" t="s">
        <v>925</v>
      </c>
      <c r="C25" s="13" t="s">
        <v>926</v>
      </c>
      <c r="D25" s="13" t="s">
        <v>771</v>
      </c>
      <c r="E25" s="18">
        <v>6149610</v>
      </c>
      <c r="F25" s="19">
        <v>34182.61</v>
      </c>
      <c r="G25" s="20">
        <v>1.6799999999999999E-2</v>
      </c>
      <c r="H25" s="36"/>
      <c r="I25" s="22"/>
      <c r="J25" s="2"/>
    </row>
    <row r="26" spans="1:10" ht="12.95" customHeight="1">
      <c r="A26" s="16" t="s">
        <v>686</v>
      </c>
      <c r="B26" s="17" t="s">
        <v>687</v>
      </c>
      <c r="C26" s="13" t="s">
        <v>688</v>
      </c>
      <c r="D26" s="13" t="s">
        <v>685</v>
      </c>
      <c r="E26" s="18">
        <v>4813026</v>
      </c>
      <c r="F26" s="19">
        <v>33732.089999999997</v>
      </c>
      <c r="G26" s="20">
        <v>1.66E-2</v>
      </c>
      <c r="H26" s="36"/>
      <c r="I26" s="22"/>
      <c r="J26" s="2"/>
    </row>
    <row r="27" spans="1:10" ht="12.95" customHeight="1">
      <c r="A27" s="16" t="s">
        <v>1858</v>
      </c>
      <c r="B27" s="17" t="s">
        <v>1859</v>
      </c>
      <c r="C27" s="13" t="s">
        <v>1860</v>
      </c>
      <c r="D27" s="13" t="s">
        <v>1556</v>
      </c>
      <c r="E27" s="18">
        <v>4955041</v>
      </c>
      <c r="F27" s="19">
        <v>25025.43</v>
      </c>
      <c r="G27" s="20">
        <v>1.23E-2</v>
      </c>
      <c r="H27" s="36"/>
      <c r="I27" s="22"/>
      <c r="J27" s="2"/>
    </row>
    <row r="28" spans="1:10" ht="12.95" customHeight="1">
      <c r="A28" s="16" t="s">
        <v>848</v>
      </c>
      <c r="B28" s="17" t="s">
        <v>849</v>
      </c>
      <c r="C28" s="13" t="s">
        <v>850</v>
      </c>
      <c r="D28" s="13" t="s">
        <v>739</v>
      </c>
      <c r="E28" s="18">
        <v>13218749</v>
      </c>
      <c r="F28" s="19">
        <v>18056.810000000001</v>
      </c>
      <c r="G28" s="20">
        <v>8.8999999999999999E-3</v>
      </c>
      <c r="H28" s="36"/>
      <c r="I28" s="22"/>
      <c r="J28" s="2"/>
    </row>
    <row r="29" spans="1:10" ht="12.95" customHeight="1">
      <c r="A29" s="16" t="s">
        <v>750</v>
      </c>
      <c r="B29" s="17" t="s">
        <v>751</v>
      </c>
      <c r="C29" s="13" t="s">
        <v>752</v>
      </c>
      <c r="D29" s="13" t="s">
        <v>753</v>
      </c>
      <c r="E29" s="18">
        <v>453892</v>
      </c>
      <c r="F29" s="19">
        <v>14426.28</v>
      </c>
      <c r="G29" s="20">
        <v>7.1000000000000004E-3</v>
      </c>
      <c r="H29" s="36"/>
      <c r="I29" s="22"/>
      <c r="J29" s="2"/>
    </row>
    <row r="30" spans="1:10" ht="12.95" customHeight="1">
      <c r="A30" s="16" t="s">
        <v>914</v>
      </c>
      <c r="B30" s="17" t="s">
        <v>915</v>
      </c>
      <c r="C30" s="13" t="s">
        <v>916</v>
      </c>
      <c r="D30" s="13" t="s">
        <v>731</v>
      </c>
      <c r="E30" s="18">
        <v>100000</v>
      </c>
      <c r="F30" s="19">
        <v>4200.1000000000004</v>
      </c>
      <c r="G30" s="20">
        <v>2.0999999999999999E-3</v>
      </c>
      <c r="H30" s="36"/>
      <c r="I30" s="22"/>
      <c r="J30" s="2"/>
    </row>
    <row r="31" spans="1:10" ht="12.95" customHeight="1">
      <c r="A31" s="2"/>
      <c r="B31" s="12" t="s">
        <v>172</v>
      </c>
      <c r="C31" s="13"/>
      <c r="D31" s="13"/>
      <c r="E31" s="13"/>
      <c r="F31" s="23">
        <v>1839727.86</v>
      </c>
      <c r="G31" s="24">
        <v>0.90490000000000004</v>
      </c>
      <c r="H31" s="25"/>
      <c r="I31" s="26"/>
      <c r="J31" s="2"/>
    </row>
    <row r="32" spans="1:10" ht="12.95" customHeight="1">
      <c r="A32" s="2"/>
      <c r="B32" s="27" t="s">
        <v>719</v>
      </c>
      <c r="C32" s="1"/>
      <c r="D32" s="1"/>
      <c r="E32" s="1"/>
      <c r="F32" s="25" t="s">
        <v>204</v>
      </c>
      <c r="G32" s="25" t="s">
        <v>204</v>
      </c>
      <c r="H32" s="25"/>
      <c r="I32" s="26"/>
      <c r="J32" s="2"/>
    </row>
    <row r="33" spans="1:10" ht="12.95" customHeight="1">
      <c r="A33" s="2"/>
      <c r="B33" s="27" t="s">
        <v>172</v>
      </c>
      <c r="C33" s="1"/>
      <c r="D33" s="1"/>
      <c r="E33" s="1"/>
      <c r="F33" s="25" t="s">
        <v>204</v>
      </c>
      <c r="G33" s="25" t="s">
        <v>204</v>
      </c>
      <c r="H33" s="25"/>
      <c r="I33" s="26"/>
      <c r="J33" s="2"/>
    </row>
    <row r="34" spans="1:10" ht="12.95" customHeight="1">
      <c r="A34" s="2"/>
      <c r="B34" s="27" t="s">
        <v>177</v>
      </c>
      <c r="C34" s="28"/>
      <c r="D34" s="1"/>
      <c r="E34" s="28"/>
      <c r="F34" s="23">
        <v>1839727.86</v>
      </c>
      <c r="G34" s="24">
        <v>0.90490000000000004</v>
      </c>
      <c r="H34" s="25"/>
      <c r="I34" s="26"/>
      <c r="J34" s="2"/>
    </row>
    <row r="35" spans="1:10" ht="12.95" customHeight="1">
      <c r="A35" s="2"/>
      <c r="B35" s="12" t="s">
        <v>860</v>
      </c>
      <c r="C35" s="13"/>
      <c r="D35" s="13"/>
      <c r="E35" s="13"/>
      <c r="F35" s="13"/>
      <c r="G35" s="13"/>
      <c r="H35" s="14"/>
      <c r="I35" s="15"/>
      <c r="J35" s="2"/>
    </row>
    <row r="36" spans="1:10" ht="12.95" customHeight="1">
      <c r="A36" s="2"/>
      <c r="B36" s="12" t="s">
        <v>1601</v>
      </c>
      <c r="C36" s="13"/>
      <c r="D36" s="13"/>
      <c r="E36" s="13"/>
      <c r="F36" s="2"/>
      <c r="G36" s="14"/>
      <c r="H36" s="14"/>
      <c r="I36" s="15"/>
      <c r="J36" s="2"/>
    </row>
    <row r="37" spans="1:10" ht="12.95" customHeight="1">
      <c r="A37" s="16" t="s">
        <v>1682</v>
      </c>
      <c r="B37" s="17" t="s">
        <v>1683</v>
      </c>
      <c r="C37" s="13"/>
      <c r="D37" s="13"/>
      <c r="E37" s="18">
        <v>966250</v>
      </c>
      <c r="F37" s="19">
        <v>24354.81</v>
      </c>
      <c r="G37" s="20">
        <v>1.2E-2</v>
      </c>
      <c r="H37" s="36"/>
      <c r="I37" s="22"/>
      <c r="J37" s="2"/>
    </row>
    <row r="38" spans="1:10" ht="12.95" customHeight="1">
      <c r="A38" s="16" t="s">
        <v>2287</v>
      </c>
      <c r="B38" s="17" t="s">
        <v>2288</v>
      </c>
      <c r="C38" s="13"/>
      <c r="D38" s="13"/>
      <c r="E38" s="18">
        <v>568000</v>
      </c>
      <c r="F38" s="19">
        <v>23967.61</v>
      </c>
      <c r="G38" s="20">
        <v>1.18E-2</v>
      </c>
      <c r="H38" s="36"/>
      <c r="I38" s="22"/>
      <c r="J38" s="2"/>
    </row>
    <row r="39" spans="1:10" ht="12.95" customHeight="1">
      <c r="A39" s="16" t="s">
        <v>1674</v>
      </c>
      <c r="B39" s="17" t="s">
        <v>1675</v>
      </c>
      <c r="C39" s="13"/>
      <c r="D39" s="13"/>
      <c r="E39" s="18">
        <v>2750000</v>
      </c>
      <c r="F39" s="19">
        <v>19365.5</v>
      </c>
      <c r="G39" s="20">
        <v>9.4999999999999998E-3</v>
      </c>
      <c r="H39" s="36"/>
      <c r="I39" s="22"/>
      <c r="J39" s="2"/>
    </row>
    <row r="40" spans="1:10" ht="12.95" customHeight="1">
      <c r="A40" s="16" t="s">
        <v>2289</v>
      </c>
      <c r="B40" s="17" t="s">
        <v>2290</v>
      </c>
      <c r="C40" s="13"/>
      <c r="D40" s="13"/>
      <c r="E40" s="18">
        <v>3732300</v>
      </c>
      <c r="F40" s="19">
        <v>15649.53</v>
      </c>
      <c r="G40" s="20">
        <v>7.7000000000000002E-3</v>
      </c>
      <c r="H40" s="36"/>
      <c r="I40" s="22"/>
      <c r="J40" s="115"/>
    </row>
    <row r="41" spans="1:10" ht="12.95" customHeight="1">
      <c r="A41" s="16" t="s">
        <v>2291</v>
      </c>
      <c r="B41" s="17" t="s">
        <v>2292</v>
      </c>
      <c r="C41" s="13"/>
      <c r="D41" s="13"/>
      <c r="E41" s="18">
        <v>375000</v>
      </c>
      <c r="F41" s="19">
        <v>11948.44</v>
      </c>
      <c r="G41" s="20">
        <v>5.8999999999999999E-3</v>
      </c>
      <c r="H41" s="36"/>
      <c r="I41" s="22"/>
      <c r="J41" s="2"/>
    </row>
    <row r="42" spans="1:10" ht="12.95" customHeight="1">
      <c r="A42" s="16" t="s">
        <v>1995</v>
      </c>
      <c r="B42" s="17" t="s">
        <v>1996</v>
      </c>
      <c r="C42" s="13"/>
      <c r="D42" s="13"/>
      <c r="E42" s="18">
        <v>62475</v>
      </c>
      <c r="F42" s="19">
        <v>11146.66</v>
      </c>
      <c r="G42" s="20">
        <v>5.4999999999999997E-3</v>
      </c>
      <c r="H42" s="36"/>
      <c r="I42" s="22"/>
      <c r="J42" s="2"/>
    </row>
    <row r="43" spans="1:10" ht="12.95" customHeight="1">
      <c r="A43" s="16" t="s">
        <v>1999</v>
      </c>
      <c r="B43" s="17" t="s">
        <v>2000</v>
      </c>
      <c r="C43" s="13"/>
      <c r="D43" s="13"/>
      <c r="E43" s="18">
        <v>2516500</v>
      </c>
      <c r="F43" s="19">
        <v>5717.49</v>
      </c>
      <c r="G43" s="20">
        <v>2.8E-3</v>
      </c>
      <c r="H43" s="36"/>
      <c r="I43" s="22"/>
      <c r="J43" s="2"/>
    </row>
    <row r="44" spans="1:10" ht="12.95" customHeight="1">
      <c r="A44" s="16" t="s">
        <v>1873</v>
      </c>
      <c r="B44" s="17" t="s">
        <v>1874</v>
      </c>
      <c r="C44" s="13"/>
      <c r="D44" s="13"/>
      <c r="E44" s="18">
        <v>1125000</v>
      </c>
      <c r="F44" s="19">
        <v>5716.69</v>
      </c>
      <c r="G44" s="20">
        <v>2.8E-3</v>
      </c>
      <c r="H44" s="36"/>
      <c r="I44" s="22"/>
      <c r="J44" s="2"/>
    </row>
    <row r="45" spans="1:10" ht="12.95" customHeight="1">
      <c r="A45" s="16" t="s">
        <v>1650</v>
      </c>
      <c r="B45" s="17" t="s">
        <v>1651</v>
      </c>
      <c r="C45" s="13"/>
      <c r="D45" s="13"/>
      <c r="E45" s="18">
        <v>-1530000</v>
      </c>
      <c r="F45" s="19">
        <v>-19782.900000000001</v>
      </c>
      <c r="G45" s="20">
        <v>-9.7000000000000003E-3</v>
      </c>
      <c r="H45" s="36"/>
      <c r="I45" s="22"/>
      <c r="J45" s="2"/>
    </row>
    <row r="46" spans="1:10" ht="12.95" customHeight="1">
      <c r="A46" s="2"/>
      <c r="B46" s="12" t="s">
        <v>172</v>
      </c>
      <c r="C46" s="13"/>
      <c r="D46" s="13"/>
      <c r="E46" s="13"/>
      <c r="F46" s="23">
        <v>98083.83</v>
      </c>
      <c r="G46" s="24">
        <v>4.8300000000000003E-2</v>
      </c>
      <c r="H46" s="25"/>
      <c r="I46" s="26"/>
      <c r="J46" s="2"/>
    </row>
    <row r="47" spans="1:10" ht="12.95" customHeight="1">
      <c r="A47" s="2"/>
      <c r="B47" s="27" t="s">
        <v>177</v>
      </c>
      <c r="C47" s="28"/>
      <c r="D47" s="1"/>
      <c r="E47" s="28"/>
      <c r="F47" s="23">
        <v>98083.83</v>
      </c>
      <c r="G47" s="24">
        <v>4.8300000000000003E-2</v>
      </c>
      <c r="H47" s="25"/>
      <c r="I47" s="26"/>
      <c r="J47" s="2"/>
    </row>
    <row r="48" spans="1:10" ht="12.95" customHeight="1">
      <c r="A48" s="2"/>
      <c r="B48" s="12" t="s">
        <v>219</v>
      </c>
      <c r="C48" s="13"/>
      <c r="D48" s="13"/>
      <c r="E48" s="13"/>
      <c r="F48" s="13"/>
      <c r="G48" s="13"/>
      <c r="H48" s="14"/>
      <c r="I48" s="15"/>
      <c r="J48" s="2"/>
    </row>
    <row r="49" spans="1:10" ht="12.95" customHeight="1">
      <c r="A49" s="2"/>
      <c r="B49" s="12" t="s">
        <v>1106</v>
      </c>
      <c r="C49" s="13"/>
      <c r="D49" s="38" t="s">
        <v>1107</v>
      </c>
      <c r="E49" s="13"/>
      <c r="F49" s="2"/>
      <c r="G49" s="14"/>
      <c r="H49" s="14"/>
      <c r="I49" s="15"/>
      <c r="J49" s="2"/>
    </row>
    <row r="50" spans="1:10" ht="12.95" customHeight="1">
      <c r="A50" s="16" t="s">
        <v>2075</v>
      </c>
      <c r="B50" s="17" t="s">
        <v>2076</v>
      </c>
      <c r="C50" s="13"/>
      <c r="D50" s="39" t="s">
        <v>2077</v>
      </c>
      <c r="E50" s="40"/>
      <c r="F50" s="19">
        <v>18798</v>
      </c>
      <c r="G50" s="20">
        <v>9.1999999999999998E-3</v>
      </c>
      <c r="H50" s="21">
        <v>2.9978600540000001E-2</v>
      </c>
      <c r="I50" s="22"/>
      <c r="J50" s="2"/>
    </row>
    <row r="51" spans="1:10" ht="12.95" customHeight="1">
      <c r="A51" s="16" t="s">
        <v>2293</v>
      </c>
      <c r="B51" s="17" t="s">
        <v>2294</v>
      </c>
      <c r="C51" s="13"/>
      <c r="D51" s="39" t="s">
        <v>1722</v>
      </c>
      <c r="E51" s="40"/>
      <c r="F51" s="19">
        <v>4950</v>
      </c>
      <c r="G51" s="20">
        <v>2.3999999999999998E-3</v>
      </c>
      <c r="H51" s="21">
        <v>2.9978600540000001E-2</v>
      </c>
      <c r="I51" s="22"/>
      <c r="J51" s="2"/>
    </row>
    <row r="52" spans="1:10" ht="12.95" customHeight="1">
      <c r="A52" s="16" t="s">
        <v>2295</v>
      </c>
      <c r="B52" s="17" t="s">
        <v>2296</v>
      </c>
      <c r="C52" s="13"/>
      <c r="D52" s="39" t="s">
        <v>2077</v>
      </c>
      <c r="E52" s="40"/>
      <c r="F52" s="19">
        <v>2966</v>
      </c>
      <c r="G52" s="20">
        <v>1.5E-3</v>
      </c>
      <c r="H52" s="21">
        <v>2.9978600540000001E-2</v>
      </c>
      <c r="I52" s="22"/>
      <c r="J52" s="2"/>
    </row>
    <row r="53" spans="1:10" ht="12.95" customHeight="1">
      <c r="A53" s="16" t="s">
        <v>2297</v>
      </c>
      <c r="B53" s="17" t="s">
        <v>2298</v>
      </c>
      <c r="C53" s="13"/>
      <c r="D53" s="39" t="s">
        <v>2077</v>
      </c>
      <c r="E53" s="40"/>
      <c r="F53" s="19">
        <v>2475</v>
      </c>
      <c r="G53" s="20">
        <v>1.1999999999999999E-3</v>
      </c>
      <c r="H53" s="21">
        <v>2.9978600540000001E-2</v>
      </c>
      <c r="I53" s="22"/>
      <c r="J53" s="2"/>
    </row>
    <row r="54" spans="1:10" ht="12.95" customHeight="1">
      <c r="A54" s="16" t="s">
        <v>2299</v>
      </c>
      <c r="B54" s="17" t="s">
        <v>2300</v>
      </c>
      <c r="C54" s="13"/>
      <c r="D54" s="39" t="s">
        <v>2301</v>
      </c>
      <c r="E54" s="40"/>
      <c r="F54" s="19">
        <v>2475</v>
      </c>
      <c r="G54" s="20">
        <v>1.1999999999999999E-3</v>
      </c>
      <c r="H54" s="21">
        <v>2.5999999999999999E-2</v>
      </c>
      <c r="I54" s="22"/>
      <c r="J54" s="2"/>
    </row>
    <row r="55" spans="1:10" ht="12.95" customHeight="1">
      <c r="A55" s="16" t="s">
        <v>2302</v>
      </c>
      <c r="B55" s="17" t="s">
        <v>2303</v>
      </c>
      <c r="C55" s="13"/>
      <c r="D55" s="39" t="s">
        <v>2139</v>
      </c>
      <c r="E55" s="40"/>
      <c r="F55" s="19">
        <v>2475</v>
      </c>
      <c r="G55" s="20">
        <v>1.1999999999999999E-3</v>
      </c>
      <c r="H55" s="21">
        <v>2.9978600540000001E-2</v>
      </c>
      <c r="I55" s="22"/>
      <c r="J55" s="2"/>
    </row>
    <row r="56" spans="1:10" ht="12.95" customHeight="1">
      <c r="A56" s="16" t="s">
        <v>2304</v>
      </c>
      <c r="B56" s="17" t="s">
        <v>2305</v>
      </c>
      <c r="C56" s="13"/>
      <c r="D56" s="39" t="s">
        <v>1722</v>
      </c>
      <c r="E56" s="40"/>
      <c r="F56" s="19">
        <v>2475</v>
      </c>
      <c r="G56" s="20">
        <v>1.1999999999999999E-3</v>
      </c>
      <c r="H56" s="21">
        <v>2.9978600540000001E-2</v>
      </c>
      <c r="I56" s="22"/>
      <c r="J56" s="2"/>
    </row>
    <row r="57" spans="1:10" ht="12.95" customHeight="1">
      <c r="A57" s="16" t="s">
        <v>2306</v>
      </c>
      <c r="B57" s="17" t="s">
        <v>2307</v>
      </c>
      <c r="C57" s="13"/>
      <c r="D57" s="39" t="s">
        <v>2077</v>
      </c>
      <c r="E57" s="40"/>
      <c r="F57" s="19">
        <v>1964</v>
      </c>
      <c r="G57" s="20">
        <v>1E-3</v>
      </c>
      <c r="H57" s="21">
        <v>2.9978600540000001E-2</v>
      </c>
      <c r="I57" s="22"/>
      <c r="J57" s="2"/>
    </row>
    <row r="58" spans="1:10" ht="12.95" customHeight="1">
      <c r="A58" s="16" t="s">
        <v>2308</v>
      </c>
      <c r="B58" s="17" t="s">
        <v>2309</v>
      </c>
      <c r="C58" s="13"/>
      <c r="D58" s="39" t="s">
        <v>2077</v>
      </c>
      <c r="E58" s="40"/>
      <c r="F58" s="19">
        <v>982</v>
      </c>
      <c r="G58" s="20">
        <v>5.0000000000000001E-4</v>
      </c>
      <c r="H58" s="21">
        <v>2.9978600540000001E-2</v>
      </c>
      <c r="I58" s="22"/>
      <c r="J58" s="2"/>
    </row>
    <row r="59" spans="1:10" ht="12.95" customHeight="1">
      <c r="A59" s="2"/>
      <c r="B59" s="12" t="s">
        <v>172</v>
      </c>
      <c r="C59" s="13"/>
      <c r="D59" s="13"/>
      <c r="E59" s="13"/>
      <c r="F59" s="23">
        <v>39560</v>
      </c>
      <c r="G59" s="24">
        <v>1.9400000000000001E-2</v>
      </c>
      <c r="H59" s="25"/>
      <c r="I59" s="26"/>
      <c r="J59" s="2"/>
    </row>
    <row r="60" spans="1:10" ht="12.95" customHeight="1">
      <c r="A60" s="2"/>
      <c r="B60" s="27" t="s">
        <v>177</v>
      </c>
      <c r="C60" s="28"/>
      <c r="D60" s="1"/>
      <c r="E60" s="28"/>
      <c r="F60" s="23">
        <v>39560</v>
      </c>
      <c r="G60" s="24">
        <v>1.9400000000000001E-2</v>
      </c>
      <c r="H60" s="25"/>
      <c r="I60" s="26"/>
      <c r="J60" s="2"/>
    </row>
    <row r="61" spans="1:10" ht="12.95" customHeight="1">
      <c r="A61" s="2"/>
      <c r="B61" s="12" t="s">
        <v>178</v>
      </c>
      <c r="C61" s="13"/>
      <c r="D61" s="13"/>
      <c r="E61" s="13"/>
      <c r="F61" s="13"/>
      <c r="G61" s="13"/>
      <c r="H61" s="14"/>
      <c r="I61" s="15"/>
      <c r="J61" s="2"/>
    </row>
    <row r="62" spans="1:10" ht="12.95" customHeight="1">
      <c r="A62" s="16" t="s">
        <v>179</v>
      </c>
      <c r="B62" s="17" t="s">
        <v>180</v>
      </c>
      <c r="C62" s="13"/>
      <c r="D62" s="13"/>
      <c r="E62" s="18"/>
      <c r="F62" s="19">
        <v>146722.99</v>
      </c>
      <c r="G62" s="20">
        <v>7.22E-2</v>
      </c>
      <c r="H62" s="21">
        <v>3.3046297669620153E-2</v>
      </c>
      <c r="I62" s="22"/>
      <c r="J62" s="2"/>
    </row>
    <row r="63" spans="1:10" ht="12.95" customHeight="1">
      <c r="A63" s="2"/>
      <c r="B63" s="12" t="s">
        <v>172</v>
      </c>
      <c r="C63" s="13"/>
      <c r="D63" s="13"/>
      <c r="E63" s="13"/>
      <c r="F63" s="23">
        <v>146722.99</v>
      </c>
      <c r="G63" s="24">
        <v>7.22E-2</v>
      </c>
      <c r="H63" s="25"/>
      <c r="I63" s="26"/>
      <c r="J63" s="2"/>
    </row>
    <row r="64" spans="1:10" ht="12.95" customHeight="1">
      <c r="A64" s="2"/>
      <c r="B64" s="27" t="s">
        <v>177</v>
      </c>
      <c r="C64" s="28"/>
      <c r="D64" s="1"/>
      <c r="E64" s="28"/>
      <c r="F64" s="23">
        <v>146722.99</v>
      </c>
      <c r="G64" s="24">
        <v>7.22E-2</v>
      </c>
      <c r="H64" s="25"/>
      <c r="I64" s="26"/>
      <c r="J64" s="2"/>
    </row>
    <row r="65" spans="1:10" ht="12.95" customHeight="1">
      <c r="A65" s="2"/>
      <c r="B65" s="27" t="s">
        <v>181</v>
      </c>
      <c r="C65" s="13"/>
      <c r="D65" s="1"/>
      <c r="E65" s="13"/>
      <c r="F65" s="29">
        <v>-90707.31</v>
      </c>
      <c r="G65" s="24">
        <v>-4.48E-2</v>
      </c>
      <c r="H65" s="25"/>
      <c r="I65" s="26"/>
      <c r="J65" s="2"/>
    </row>
    <row r="66" spans="1:10" ht="12.95" customHeight="1">
      <c r="A66" s="2"/>
      <c r="B66" s="30" t="s">
        <v>182</v>
      </c>
      <c r="C66" s="31"/>
      <c r="D66" s="31"/>
      <c r="E66" s="31"/>
      <c r="F66" s="32">
        <v>2033387.37</v>
      </c>
      <c r="G66" s="33">
        <v>1</v>
      </c>
      <c r="H66" s="34"/>
      <c r="I66" s="35"/>
      <c r="J66" s="2"/>
    </row>
    <row r="67" spans="1:10" ht="12.95" customHeight="1">
      <c r="A67" s="2"/>
      <c r="B67" s="5"/>
      <c r="C67" s="2"/>
      <c r="D67" s="2"/>
      <c r="E67" s="2"/>
      <c r="F67" s="2"/>
      <c r="G67" s="2"/>
      <c r="H67" s="2"/>
      <c r="I67" s="2"/>
      <c r="J67" s="2"/>
    </row>
    <row r="68" spans="1:10" ht="12.95" customHeight="1">
      <c r="A68" s="2"/>
      <c r="B68" s="3" t="s">
        <v>244</v>
      </c>
      <c r="C68" s="2"/>
      <c r="D68" s="2"/>
      <c r="E68" s="2"/>
      <c r="F68" s="2"/>
      <c r="G68" s="2"/>
      <c r="H68" s="2"/>
      <c r="I68" s="2"/>
      <c r="J68" s="2"/>
    </row>
    <row r="69" spans="1:10" ht="12.95" customHeight="1">
      <c r="A69" s="2"/>
      <c r="B69" s="3" t="s">
        <v>186</v>
      </c>
      <c r="C69" s="2"/>
      <c r="D69" s="2"/>
      <c r="E69" s="2"/>
      <c r="F69" s="2"/>
      <c r="G69" s="2"/>
      <c r="H69" s="2"/>
      <c r="I69" s="2"/>
      <c r="J69" s="2"/>
    </row>
    <row r="70" spans="1:10" ht="23.25" customHeight="1">
      <c r="A70" s="2"/>
      <c r="B70" s="189" t="s">
        <v>4025</v>
      </c>
      <c r="C70" s="189"/>
      <c r="D70" s="189"/>
      <c r="E70" s="189"/>
      <c r="F70" s="189"/>
      <c r="G70" s="189"/>
      <c r="H70" s="189"/>
      <c r="I70" s="189"/>
      <c r="J70" s="2"/>
    </row>
    <row r="71" spans="1:10" ht="12.95" customHeight="1">
      <c r="A71" s="2"/>
      <c r="B71" s="3"/>
      <c r="C71" s="2"/>
      <c r="D71" s="2"/>
      <c r="E71" s="2"/>
      <c r="F71" s="2"/>
      <c r="G71" s="2"/>
      <c r="H71" s="2"/>
      <c r="I71" s="2"/>
      <c r="J71" s="2"/>
    </row>
    <row r="72" spans="1:10">
      <c r="C72" s="111" t="s">
        <v>3947</v>
      </c>
    </row>
    <row r="73" spans="1:10">
      <c r="B73" s="111" t="s">
        <v>3933</v>
      </c>
      <c r="C73" s="111" t="s">
        <v>3934</v>
      </c>
    </row>
  </sheetData>
  <mergeCells count="2">
    <mergeCell ref="B2:I2"/>
    <mergeCell ref="B70:I7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0"/>
  <sheetViews>
    <sheetView workbookViewId="0"/>
  </sheetViews>
  <sheetFormatPr defaultRowHeight="15"/>
  <cols>
    <col min="1" max="1" width="3.28515625" customWidth="1"/>
    <col min="2" max="2" width="71.5703125" customWidth="1"/>
    <col min="3" max="3" width="24.5703125" customWidth="1"/>
    <col min="4"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AXISFLO</v>
      </c>
    </row>
    <row r="2" spans="1:13" ht="34.5" customHeight="1" thickBot="1">
      <c r="A2" s="135" t="str">
        <f>M2</f>
        <v>AXISFLO</v>
      </c>
      <c r="B2" s="186" t="s">
        <v>47</v>
      </c>
      <c r="C2" s="187"/>
      <c r="D2" s="187"/>
      <c r="E2" s="187"/>
      <c r="F2" s="187"/>
      <c r="G2" s="187"/>
      <c r="H2" s="187"/>
      <c r="I2" s="188"/>
      <c r="J2" s="2"/>
      <c r="M2" s="108" t="s">
        <v>46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860</v>
      </c>
      <c r="C6" s="13"/>
      <c r="D6" s="13"/>
      <c r="E6" s="13"/>
      <c r="F6" s="13"/>
      <c r="G6" s="13"/>
      <c r="H6" s="14"/>
      <c r="I6" s="15"/>
      <c r="J6" s="2"/>
    </row>
    <row r="7" spans="1:13" ht="12.95" customHeight="1">
      <c r="A7" s="2"/>
      <c r="B7" s="104" t="s">
        <v>3920</v>
      </c>
      <c r="C7" s="13"/>
      <c r="D7" s="13"/>
      <c r="E7" s="13"/>
      <c r="F7" s="2"/>
      <c r="G7" s="14"/>
      <c r="H7" s="14"/>
      <c r="I7" s="15"/>
      <c r="J7" s="2"/>
    </row>
    <row r="8" spans="1:13" ht="12.95" customHeight="1">
      <c r="A8" s="16" t="s">
        <v>2310</v>
      </c>
      <c r="B8" s="134" t="s">
        <v>3995</v>
      </c>
      <c r="C8" s="13"/>
      <c r="D8" s="13"/>
      <c r="E8" s="18"/>
      <c r="F8" s="19">
        <f>-2496.24+2500</f>
        <v>3.7600000000002183</v>
      </c>
      <c r="G8" s="20">
        <v>0</v>
      </c>
      <c r="H8" s="21">
        <v>4.4101000000000001E-2</v>
      </c>
      <c r="I8" s="22"/>
      <c r="J8" s="2"/>
    </row>
    <row r="9" spans="1:13" ht="12.95" customHeight="1">
      <c r="A9" s="16" t="s">
        <v>2311</v>
      </c>
      <c r="B9" s="134" t="s">
        <v>3996</v>
      </c>
      <c r="C9" s="13"/>
      <c r="D9" s="13"/>
      <c r="E9" s="18"/>
      <c r="F9" s="19">
        <f>-3993.75+4000</f>
        <v>6.25</v>
      </c>
      <c r="G9" s="20">
        <v>0</v>
      </c>
      <c r="H9" s="21">
        <v>4.4428000000000002E-2</v>
      </c>
      <c r="I9" s="22"/>
      <c r="J9" s="2"/>
    </row>
    <row r="10" spans="1:13" ht="12.95" customHeight="1">
      <c r="A10" s="16" t="s">
        <v>2312</v>
      </c>
      <c r="B10" s="134" t="s">
        <v>3997</v>
      </c>
      <c r="C10" s="13"/>
      <c r="D10" s="13"/>
      <c r="E10" s="18"/>
      <c r="F10" s="19">
        <f>-4987.82+2500+2500</f>
        <v>12.180000000000291</v>
      </c>
      <c r="G10" s="20">
        <v>1E-4</v>
      </c>
      <c r="H10" s="21">
        <v>4.4595000000000003E-2</v>
      </c>
      <c r="I10" s="22"/>
      <c r="J10" s="2"/>
    </row>
    <row r="11" spans="1:13" ht="12.95" customHeight="1">
      <c r="A11" s="16" t="s">
        <v>2313</v>
      </c>
      <c r="B11" s="134" t="s">
        <v>3998</v>
      </c>
      <c r="C11" s="13"/>
      <c r="D11" s="13"/>
      <c r="E11" s="18"/>
      <c r="F11" s="19">
        <f>-4996.95+2500+2500</f>
        <v>3.0500000000001819</v>
      </c>
      <c r="G11" s="20">
        <v>0</v>
      </c>
      <c r="H11" s="21">
        <v>3.9347E-2</v>
      </c>
      <c r="I11" s="22"/>
      <c r="J11" s="2"/>
    </row>
    <row r="12" spans="1:13" ht="12.95" customHeight="1">
      <c r="A12" s="16" t="s">
        <v>2314</v>
      </c>
      <c r="B12" s="134" t="s">
        <v>3999</v>
      </c>
      <c r="C12" s="13"/>
      <c r="D12" s="13"/>
      <c r="E12" s="18"/>
      <c r="F12" s="19">
        <f>-4997.94+2500+2500</f>
        <v>2.0600000000004002</v>
      </c>
      <c r="G12" s="20">
        <v>0</v>
      </c>
      <c r="H12" s="21">
        <v>3.8186999999999999E-2</v>
      </c>
      <c r="I12" s="22"/>
      <c r="J12" s="2"/>
    </row>
    <row r="13" spans="1:13" ht="12.95" customHeight="1">
      <c r="A13" s="16" t="s">
        <v>2315</v>
      </c>
      <c r="B13" s="134" t="s">
        <v>4000</v>
      </c>
      <c r="C13" s="13"/>
      <c r="D13" s="13"/>
      <c r="E13" s="18"/>
      <c r="F13" s="19">
        <f>-4998.01+2500+2500</f>
        <v>1.9899999999997817</v>
      </c>
      <c r="G13" s="20">
        <v>0</v>
      </c>
      <c r="H13" s="21">
        <v>3.8185999999999998E-2</v>
      </c>
      <c r="I13" s="22"/>
      <c r="J13" s="2"/>
    </row>
    <row r="14" spans="1:13" ht="12.95" customHeight="1">
      <c r="A14" s="16" t="s">
        <v>2316</v>
      </c>
      <c r="B14" s="134" t="s">
        <v>4001</v>
      </c>
      <c r="C14" s="13"/>
      <c r="D14" s="13"/>
      <c r="E14" s="18"/>
      <c r="F14" s="19">
        <f>-4998.24+2500+2500</f>
        <v>1.7600000000002183</v>
      </c>
      <c r="G14" s="20">
        <v>0</v>
      </c>
      <c r="H14" s="21">
        <v>3.7155000000000001E-2</v>
      </c>
      <c r="I14" s="22"/>
      <c r="J14" s="2"/>
    </row>
    <row r="15" spans="1:13" ht="12.95" customHeight="1">
      <c r="A15" s="16" t="s">
        <v>2317</v>
      </c>
      <c r="B15" s="134" t="s">
        <v>4003</v>
      </c>
      <c r="C15" s="13"/>
      <c r="D15" s="13"/>
      <c r="E15" s="18"/>
      <c r="F15" s="19">
        <f>-4998.24+2500+2500</f>
        <v>1.7600000000002183</v>
      </c>
      <c r="G15" s="20">
        <v>0</v>
      </c>
      <c r="H15" s="21">
        <v>3.7155000000000001E-2</v>
      </c>
      <c r="I15" s="22"/>
      <c r="J15" s="2"/>
    </row>
    <row r="16" spans="1:13" ht="12.95" customHeight="1">
      <c r="A16" s="16" t="s">
        <v>2318</v>
      </c>
      <c r="B16" s="134" t="s">
        <v>4002</v>
      </c>
      <c r="C16" s="13"/>
      <c r="D16" s="13"/>
      <c r="E16" s="18"/>
      <c r="F16" s="19">
        <f>-4998.24+2500+2500</f>
        <v>1.7600000000002183</v>
      </c>
      <c r="G16" s="20">
        <v>0</v>
      </c>
      <c r="H16" s="21">
        <v>3.7155000000000001E-2</v>
      </c>
      <c r="I16" s="22"/>
      <c r="J16" s="2"/>
    </row>
    <row r="17" spans="1:10" ht="12.95" customHeight="1">
      <c r="A17" s="16" t="s">
        <v>2319</v>
      </c>
      <c r="B17" s="134" t="s">
        <v>4008</v>
      </c>
      <c r="C17" s="13"/>
      <c r="D17" s="13"/>
      <c r="E17" s="18"/>
      <c r="F17" s="19">
        <f>-4998.29+2500+2500</f>
        <v>1.7100000000000364</v>
      </c>
      <c r="G17" s="20">
        <v>0</v>
      </c>
      <c r="H17" s="21">
        <v>3.7155000000000001E-2</v>
      </c>
      <c r="I17" s="22"/>
      <c r="J17" s="2"/>
    </row>
    <row r="18" spans="1:10" ht="12.95" customHeight="1">
      <c r="A18" s="16" t="s">
        <v>2320</v>
      </c>
      <c r="B18" s="134" t="s">
        <v>4024</v>
      </c>
      <c r="C18" s="13"/>
      <c r="D18" s="13"/>
      <c r="E18" s="18"/>
      <c r="F18" s="19">
        <f>-7495.15+7500</f>
        <v>4.8500000000003638</v>
      </c>
      <c r="G18" s="20">
        <v>0</v>
      </c>
      <c r="H18" s="21">
        <v>3.9398500000000003E-2</v>
      </c>
      <c r="I18" s="22"/>
      <c r="J18" s="2"/>
    </row>
    <row r="19" spans="1:10" ht="12.95" customHeight="1">
      <c r="A19" s="16" t="s">
        <v>2321</v>
      </c>
      <c r="B19" s="134" t="s">
        <v>4004</v>
      </c>
      <c r="C19" s="13"/>
      <c r="D19" s="13"/>
      <c r="E19" s="18"/>
      <c r="F19" s="19">
        <f>-7496.21+7500</f>
        <v>3.7899999999999636</v>
      </c>
      <c r="G19" s="20">
        <v>0</v>
      </c>
      <c r="H19" s="21">
        <v>3.9365499999999998E-2</v>
      </c>
      <c r="I19" s="22"/>
      <c r="J19" s="2"/>
    </row>
    <row r="20" spans="1:10" ht="12.95" customHeight="1">
      <c r="A20" s="16" t="s">
        <v>2322</v>
      </c>
      <c r="B20" s="134" t="s">
        <v>4005</v>
      </c>
      <c r="C20" s="13"/>
      <c r="D20" s="13"/>
      <c r="E20" s="18"/>
      <c r="F20" s="19">
        <f>-7499.03+7500</f>
        <v>0.97000000000025466</v>
      </c>
      <c r="G20" s="20">
        <v>0</v>
      </c>
      <c r="H20" s="21">
        <v>3.5344E-2</v>
      </c>
      <c r="I20" s="22"/>
      <c r="J20" s="2"/>
    </row>
    <row r="21" spans="1:10" ht="12.95" customHeight="1">
      <c r="A21" s="16" t="s">
        <v>2323</v>
      </c>
      <c r="B21" s="134" t="s">
        <v>4006</v>
      </c>
      <c r="C21" s="13"/>
      <c r="D21" s="13"/>
      <c r="E21" s="18"/>
      <c r="F21" s="19">
        <f>-7499.03+7500</f>
        <v>0.97000000000025466</v>
      </c>
      <c r="G21" s="20">
        <v>0</v>
      </c>
      <c r="H21" s="21">
        <v>3.5344E-2</v>
      </c>
      <c r="I21" s="22"/>
      <c r="J21" s="2"/>
    </row>
    <row r="22" spans="1:10" ht="12.95" customHeight="1">
      <c r="A22" s="16" t="s">
        <v>2324</v>
      </c>
      <c r="B22" s="134" t="s">
        <v>4007</v>
      </c>
      <c r="C22" s="13"/>
      <c r="D22" s="13"/>
      <c r="E22" s="18"/>
      <c r="F22" s="19">
        <f>-7499.06+7500</f>
        <v>0.93999999999959982</v>
      </c>
      <c r="G22" s="20">
        <v>0</v>
      </c>
      <c r="H22" s="21">
        <v>3.5344E-2</v>
      </c>
      <c r="I22" s="22"/>
      <c r="J22" s="2"/>
    </row>
    <row r="23" spans="1:10" ht="12.95" customHeight="1">
      <c r="A23" s="2"/>
      <c r="B23" s="12" t="s">
        <v>172</v>
      </c>
      <c r="C23" s="13"/>
      <c r="D23" s="13"/>
      <c r="E23" s="13"/>
      <c r="F23" s="23">
        <v>47.8</v>
      </c>
      <c r="G23" s="24">
        <v>1E-4</v>
      </c>
      <c r="H23" s="25"/>
      <c r="I23" s="26"/>
      <c r="J23" s="2"/>
    </row>
    <row r="24" spans="1:10" ht="12.95" customHeight="1">
      <c r="A24" s="2"/>
      <c r="B24" s="27" t="s">
        <v>177</v>
      </c>
      <c r="C24" s="28"/>
      <c r="D24" s="1"/>
      <c r="E24" s="28"/>
      <c r="F24" s="23">
        <v>47.8</v>
      </c>
      <c r="G24" s="24">
        <v>1E-4</v>
      </c>
      <c r="H24" s="25"/>
      <c r="I24" s="26"/>
      <c r="J24" s="2"/>
    </row>
    <row r="25" spans="1:10" ht="12.95" customHeight="1">
      <c r="A25" s="2"/>
      <c r="B25" s="12" t="s">
        <v>127</v>
      </c>
      <c r="C25" s="13"/>
      <c r="D25" s="13"/>
      <c r="E25" s="13"/>
      <c r="F25" s="13"/>
      <c r="G25" s="13"/>
      <c r="H25" s="14"/>
      <c r="I25" s="15"/>
      <c r="J25" s="2"/>
    </row>
    <row r="26" spans="1:10" ht="12.95" customHeight="1">
      <c r="A26" s="2"/>
      <c r="B26" s="12" t="s">
        <v>128</v>
      </c>
      <c r="C26" s="13"/>
      <c r="D26" s="13"/>
      <c r="E26" s="13"/>
      <c r="F26" s="2"/>
      <c r="G26" s="14"/>
      <c r="H26" s="14"/>
      <c r="I26" s="15"/>
      <c r="J26" s="2"/>
    </row>
    <row r="27" spans="1:10" ht="12.95" customHeight="1">
      <c r="A27" s="16" t="s">
        <v>1048</v>
      </c>
      <c r="B27" s="17" t="s">
        <v>1049</v>
      </c>
      <c r="C27" s="13" t="s">
        <v>1050</v>
      </c>
      <c r="D27" s="13" t="s">
        <v>200</v>
      </c>
      <c r="E27" s="18">
        <v>43500000</v>
      </c>
      <c r="F27" s="19">
        <v>44294.18</v>
      </c>
      <c r="G27" s="20">
        <v>0.18329999999999999</v>
      </c>
      <c r="H27" s="21"/>
      <c r="I27" s="22"/>
      <c r="J27" s="2"/>
    </row>
    <row r="28" spans="1:10" ht="12.95" customHeight="1">
      <c r="A28" s="16" t="s">
        <v>538</v>
      </c>
      <c r="B28" s="17" t="s">
        <v>539</v>
      </c>
      <c r="C28" s="13" t="s">
        <v>540</v>
      </c>
      <c r="D28" s="13" t="s">
        <v>132</v>
      </c>
      <c r="E28" s="18">
        <v>870</v>
      </c>
      <c r="F28" s="19">
        <v>8972.3700000000008</v>
      </c>
      <c r="G28" s="20">
        <v>3.7100000000000001E-2</v>
      </c>
      <c r="H28" s="21">
        <v>4.7550000000000002E-2</v>
      </c>
      <c r="I28" s="22"/>
      <c r="J28" s="2"/>
    </row>
    <row r="29" spans="1:10" ht="12.95" customHeight="1">
      <c r="A29" s="16" t="s">
        <v>302</v>
      </c>
      <c r="B29" s="17" t="s">
        <v>303</v>
      </c>
      <c r="C29" s="13" t="s">
        <v>304</v>
      </c>
      <c r="D29" s="13" t="s">
        <v>132</v>
      </c>
      <c r="E29" s="18">
        <v>750</v>
      </c>
      <c r="F29" s="19">
        <v>7588.15</v>
      </c>
      <c r="G29" s="20">
        <v>3.1399999999999997E-2</v>
      </c>
      <c r="H29" s="21">
        <v>4.795E-2</v>
      </c>
      <c r="I29" s="22"/>
      <c r="J29" s="2"/>
    </row>
    <row r="30" spans="1:10" ht="12.95" customHeight="1">
      <c r="A30" s="16" t="s">
        <v>2325</v>
      </c>
      <c r="B30" s="17" t="s">
        <v>2326</v>
      </c>
      <c r="C30" s="13" t="s">
        <v>2327</v>
      </c>
      <c r="D30" s="13" t="s">
        <v>1073</v>
      </c>
      <c r="E30" s="18">
        <v>580000</v>
      </c>
      <c r="F30" s="19">
        <v>5911.05</v>
      </c>
      <c r="G30" s="20">
        <v>2.4500000000000001E-2</v>
      </c>
      <c r="H30" s="21">
        <v>6.3E-2</v>
      </c>
      <c r="I30" s="22"/>
      <c r="J30" s="2"/>
    </row>
    <row r="31" spans="1:10" ht="12.95" customHeight="1">
      <c r="A31" s="16" t="s">
        <v>2328</v>
      </c>
      <c r="B31" s="17" t="s">
        <v>2329</v>
      </c>
      <c r="C31" s="13" t="s">
        <v>2330</v>
      </c>
      <c r="D31" s="13" t="s">
        <v>200</v>
      </c>
      <c r="E31" s="18">
        <v>5000000</v>
      </c>
      <c r="F31" s="19">
        <v>5217.78</v>
      </c>
      <c r="G31" s="20">
        <v>2.1600000000000001E-2</v>
      </c>
      <c r="H31" s="21">
        <v>4.4144999999999997E-2</v>
      </c>
      <c r="I31" s="22"/>
      <c r="J31" s="2"/>
    </row>
    <row r="32" spans="1:10" ht="12.95" customHeight="1">
      <c r="A32" s="16" t="s">
        <v>2331</v>
      </c>
      <c r="B32" s="17" t="s">
        <v>2332</v>
      </c>
      <c r="C32" s="13" t="s">
        <v>2333</v>
      </c>
      <c r="D32" s="13" t="s">
        <v>132</v>
      </c>
      <c r="E32" s="18">
        <v>500</v>
      </c>
      <c r="F32" s="19">
        <v>5168.7</v>
      </c>
      <c r="G32" s="20">
        <v>2.1399999999999999E-2</v>
      </c>
      <c r="H32" s="21">
        <v>4.8000000000000001E-2</v>
      </c>
      <c r="I32" s="22"/>
      <c r="J32" s="2"/>
    </row>
    <row r="33" spans="1:10" ht="12.95" customHeight="1">
      <c r="A33" s="16" t="s">
        <v>392</v>
      </c>
      <c r="B33" s="17" t="s">
        <v>393</v>
      </c>
      <c r="C33" s="13" t="s">
        <v>394</v>
      </c>
      <c r="D33" s="13" t="s">
        <v>132</v>
      </c>
      <c r="E33" s="18">
        <v>500</v>
      </c>
      <c r="F33" s="19">
        <v>5168.38</v>
      </c>
      <c r="G33" s="20">
        <v>2.1399999999999999E-2</v>
      </c>
      <c r="H33" s="21">
        <v>4.3999999999999997E-2</v>
      </c>
      <c r="I33" s="22"/>
      <c r="J33" s="2"/>
    </row>
    <row r="34" spans="1:10" ht="12.95" customHeight="1">
      <c r="A34" s="16" t="s">
        <v>2334</v>
      </c>
      <c r="B34" s="17" t="s">
        <v>2335</v>
      </c>
      <c r="C34" s="13" t="s">
        <v>2336</v>
      </c>
      <c r="D34" s="13" t="s">
        <v>132</v>
      </c>
      <c r="E34" s="18">
        <v>500</v>
      </c>
      <c r="F34" s="19">
        <v>5163.25</v>
      </c>
      <c r="G34" s="20">
        <v>2.1399999999999999E-2</v>
      </c>
      <c r="H34" s="21">
        <v>4.7199999999999999E-2</v>
      </c>
      <c r="I34" s="22"/>
      <c r="J34" s="2"/>
    </row>
    <row r="35" spans="1:10" ht="12.95" customHeight="1">
      <c r="A35" s="16" t="s">
        <v>451</v>
      </c>
      <c r="B35" s="17" t="s">
        <v>452</v>
      </c>
      <c r="C35" s="13" t="s">
        <v>453</v>
      </c>
      <c r="D35" s="13" t="s">
        <v>132</v>
      </c>
      <c r="E35" s="18">
        <v>500</v>
      </c>
      <c r="F35" s="19">
        <v>5154.71</v>
      </c>
      <c r="G35" s="20">
        <v>2.1299999999999999E-2</v>
      </c>
      <c r="H35" s="21">
        <v>4.7199999999999999E-2</v>
      </c>
      <c r="I35" s="22"/>
      <c r="J35" s="2"/>
    </row>
    <row r="36" spans="1:10" ht="12.95" customHeight="1">
      <c r="A36" s="16" t="s">
        <v>445</v>
      </c>
      <c r="B36" s="17" t="s">
        <v>446</v>
      </c>
      <c r="C36" s="13" t="s">
        <v>447</v>
      </c>
      <c r="D36" s="13" t="s">
        <v>132</v>
      </c>
      <c r="E36" s="18">
        <v>500</v>
      </c>
      <c r="F36" s="19">
        <v>5131.47</v>
      </c>
      <c r="G36" s="20">
        <v>2.12E-2</v>
      </c>
      <c r="H36" s="21">
        <v>4.4499999999999998E-2</v>
      </c>
      <c r="I36" s="22"/>
      <c r="J36" s="2"/>
    </row>
    <row r="37" spans="1:10" ht="12.95" customHeight="1">
      <c r="A37" s="16" t="s">
        <v>1181</v>
      </c>
      <c r="B37" s="17" t="s">
        <v>1182</v>
      </c>
      <c r="C37" s="13" t="s">
        <v>1183</v>
      </c>
      <c r="D37" s="13" t="s">
        <v>196</v>
      </c>
      <c r="E37" s="18">
        <v>500</v>
      </c>
      <c r="F37" s="19">
        <v>5037.75</v>
      </c>
      <c r="G37" s="20">
        <v>2.0799999999999999E-2</v>
      </c>
      <c r="H37" s="21">
        <v>6.565E-2</v>
      </c>
      <c r="I37" s="22"/>
      <c r="J37" s="2"/>
    </row>
    <row r="38" spans="1:10" ht="12.95" customHeight="1">
      <c r="A38" s="16" t="s">
        <v>2337</v>
      </c>
      <c r="B38" s="17" t="s">
        <v>2338</v>
      </c>
      <c r="C38" s="13" t="s">
        <v>2339</v>
      </c>
      <c r="D38" s="13" t="s">
        <v>171</v>
      </c>
      <c r="E38" s="18">
        <v>500</v>
      </c>
      <c r="F38" s="19">
        <v>4993.93</v>
      </c>
      <c r="G38" s="20">
        <v>2.07E-2</v>
      </c>
      <c r="H38" s="21">
        <v>5.9812999999999998E-2</v>
      </c>
      <c r="I38" s="22"/>
      <c r="J38" s="2"/>
    </row>
    <row r="39" spans="1:10" ht="12.95" customHeight="1">
      <c r="A39" s="16" t="s">
        <v>2340</v>
      </c>
      <c r="B39" s="17" t="s">
        <v>2341</v>
      </c>
      <c r="C39" s="13" t="s">
        <v>2342</v>
      </c>
      <c r="D39" s="13" t="s">
        <v>200</v>
      </c>
      <c r="E39" s="18">
        <v>5000000</v>
      </c>
      <c r="F39" s="19">
        <v>4991.1400000000003</v>
      </c>
      <c r="G39" s="20">
        <v>2.07E-2</v>
      </c>
      <c r="H39" s="21"/>
      <c r="I39" s="22"/>
      <c r="J39" s="2"/>
    </row>
    <row r="40" spans="1:10" ht="12.95" customHeight="1">
      <c r="A40" s="16" t="s">
        <v>257</v>
      </c>
      <c r="B40" s="17" t="s">
        <v>258</v>
      </c>
      <c r="C40" s="13" t="s">
        <v>259</v>
      </c>
      <c r="D40" s="13" t="s">
        <v>200</v>
      </c>
      <c r="E40" s="18">
        <v>4500000</v>
      </c>
      <c r="F40" s="19">
        <v>4690.71</v>
      </c>
      <c r="G40" s="20">
        <v>1.9400000000000001E-2</v>
      </c>
      <c r="H40" s="21">
        <v>4.4408999999999997E-2</v>
      </c>
      <c r="I40" s="22"/>
      <c r="J40" s="2"/>
    </row>
    <row r="41" spans="1:10" ht="12.95" customHeight="1">
      <c r="A41" s="16" t="s">
        <v>2343</v>
      </c>
      <c r="B41" s="17" t="s">
        <v>2344</v>
      </c>
      <c r="C41" s="13" t="s">
        <v>2345</v>
      </c>
      <c r="D41" s="13" t="s">
        <v>132</v>
      </c>
      <c r="E41" s="18">
        <v>450</v>
      </c>
      <c r="F41" s="19">
        <v>4493.55</v>
      </c>
      <c r="G41" s="20">
        <v>1.8599999999999998E-2</v>
      </c>
      <c r="H41" s="21">
        <v>6.3006999999999994E-2</v>
      </c>
      <c r="I41" s="22"/>
      <c r="J41" s="2"/>
    </row>
    <row r="42" spans="1:10" ht="12.95" customHeight="1">
      <c r="A42" s="16" t="s">
        <v>1118</v>
      </c>
      <c r="B42" s="17" t="s">
        <v>1119</v>
      </c>
      <c r="C42" s="13" t="s">
        <v>1120</v>
      </c>
      <c r="D42" s="13" t="s">
        <v>132</v>
      </c>
      <c r="E42" s="18">
        <v>350</v>
      </c>
      <c r="F42" s="19">
        <v>4367.2700000000004</v>
      </c>
      <c r="G42" s="20">
        <v>1.8100000000000002E-2</v>
      </c>
      <c r="H42" s="21">
        <v>6.7150000000000001E-2</v>
      </c>
      <c r="I42" s="22"/>
      <c r="J42" s="2"/>
    </row>
    <row r="43" spans="1:10" ht="12.95" customHeight="1">
      <c r="A43" s="16" t="s">
        <v>2346</v>
      </c>
      <c r="B43" s="17" t="s">
        <v>2347</v>
      </c>
      <c r="C43" s="13" t="s">
        <v>2348</v>
      </c>
      <c r="D43" s="13" t="s">
        <v>1694</v>
      </c>
      <c r="E43" s="18">
        <v>400</v>
      </c>
      <c r="F43" s="19">
        <v>4023.53</v>
      </c>
      <c r="G43" s="20">
        <v>1.66E-2</v>
      </c>
      <c r="H43" s="21">
        <v>7.17E-2</v>
      </c>
      <c r="I43" s="22"/>
      <c r="J43" s="2"/>
    </row>
    <row r="44" spans="1:10" ht="12.95" customHeight="1">
      <c r="A44" s="16" t="s">
        <v>2349</v>
      </c>
      <c r="B44" s="17" t="s">
        <v>2350</v>
      </c>
      <c r="C44" s="13" t="s">
        <v>2351</v>
      </c>
      <c r="D44" s="13" t="s">
        <v>1073</v>
      </c>
      <c r="E44" s="18">
        <v>400</v>
      </c>
      <c r="F44" s="19">
        <v>4010.75</v>
      </c>
      <c r="G44" s="20">
        <v>1.66E-2</v>
      </c>
      <c r="H44" s="21">
        <v>5.7930000000000002E-2</v>
      </c>
      <c r="I44" s="22"/>
      <c r="J44" s="2"/>
    </row>
    <row r="45" spans="1:10" ht="12.95" customHeight="1">
      <c r="A45" s="16" t="s">
        <v>2352</v>
      </c>
      <c r="B45" s="17" t="s">
        <v>2353</v>
      </c>
      <c r="C45" s="13" t="s">
        <v>2354</v>
      </c>
      <c r="D45" s="13" t="s">
        <v>1069</v>
      </c>
      <c r="E45" s="18">
        <v>400</v>
      </c>
      <c r="F45" s="19">
        <v>3935.11</v>
      </c>
      <c r="G45" s="20">
        <v>1.6299999999999999E-2</v>
      </c>
      <c r="H45" s="21">
        <v>7.3371000000000006E-2</v>
      </c>
      <c r="I45" s="22"/>
      <c r="J45" s="2"/>
    </row>
    <row r="46" spans="1:10" ht="12.95" customHeight="1">
      <c r="A46" s="16" t="s">
        <v>2355</v>
      </c>
      <c r="B46" s="17" t="s">
        <v>2356</v>
      </c>
      <c r="C46" s="13" t="s">
        <v>2357</v>
      </c>
      <c r="D46" s="13" t="s">
        <v>200</v>
      </c>
      <c r="E46" s="18">
        <v>2500000</v>
      </c>
      <c r="F46" s="19">
        <v>2597.4</v>
      </c>
      <c r="G46" s="20">
        <v>1.0699999999999999E-2</v>
      </c>
      <c r="H46" s="21">
        <v>5.4387999999999999E-2</v>
      </c>
      <c r="I46" s="22"/>
      <c r="J46" s="2"/>
    </row>
    <row r="47" spans="1:10" ht="12.95" customHeight="1">
      <c r="A47" s="16" t="s">
        <v>299</v>
      </c>
      <c r="B47" s="17" t="s">
        <v>300</v>
      </c>
      <c r="C47" s="13" t="s">
        <v>301</v>
      </c>
      <c r="D47" s="13" t="s">
        <v>132</v>
      </c>
      <c r="E47" s="18">
        <v>250</v>
      </c>
      <c r="F47" s="19">
        <v>2574.88</v>
      </c>
      <c r="G47" s="20">
        <v>1.0699999999999999E-2</v>
      </c>
      <c r="H47" s="21">
        <v>4.4499999999999998E-2</v>
      </c>
      <c r="I47" s="22"/>
      <c r="J47" s="2"/>
    </row>
    <row r="48" spans="1:10" ht="12.95" customHeight="1">
      <c r="A48" s="16" t="s">
        <v>493</v>
      </c>
      <c r="B48" s="17" t="s">
        <v>494</v>
      </c>
      <c r="C48" s="13" t="s">
        <v>495</v>
      </c>
      <c r="D48" s="13" t="s">
        <v>196</v>
      </c>
      <c r="E48" s="18">
        <v>250</v>
      </c>
      <c r="F48" s="19">
        <v>2559.94</v>
      </c>
      <c r="G48" s="20">
        <v>1.06E-2</v>
      </c>
      <c r="H48" s="21">
        <v>4.2200000000000001E-2</v>
      </c>
      <c r="I48" s="22"/>
      <c r="J48" s="2"/>
    </row>
    <row r="49" spans="1:10" ht="12.95" customHeight="1">
      <c r="A49" s="16" t="s">
        <v>2358</v>
      </c>
      <c r="B49" s="17" t="s">
        <v>2359</v>
      </c>
      <c r="C49" s="13" t="s">
        <v>2360</v>
      </c>
      <c r="D49" s="13" t="s">
        <v>2361</v>
      </c>
      <c r="E49" s="18">
        <v>250</v>
      </c>
      <c r="F49" s="19">
        <v>2497.42</v>
      </c>
      <c r="G49" s="20">
        <v>1.03E-2</v>
      </c>
      <c r="H49" s="21">
        <v>7.8784000000000007E-2</v>
      </c>
      <c r="I49" s="22"/>
      <c r="J49" s="2"/>
    </row>
    <row r="50" spans="1:10" ht="12.95" customHeight="1">
      <c r="A50" s="16" t="s">
        <v>1074</v>
      </c>
      <c r="B50" s="17" t="s">
        <v>1075</v>
      </c>
      <c r="C50" s="13" t="s">
        <v>1076</v>
      </c>
      <c r="D50" s="13" t="s">
        <v>200</v>
      </c>
      <c r="E50" s="18">
        <v>2500000</v>
      </c>
      <c r="F50" s="19">
        <v>2478.52</v>
      </c>
      <c r="G50" s="20">
        <v>1.03E-2</v>
      </c>
      <c r="H50" s="21">
        <v>6.2170000000000003E-2</v>
      </c>
      <c r="I50" s="22"/>
      <c r="J50" s="2"/>
    </row>
    <row r="51" spans="1:10" ht="12.95" customHeight="1">
      <c r="A51" s="16" t="s">
        <v>484</v>
      </c>
      <c r="B51" s="17" t="s">
        <v>485</v>
      </c>
      <c r="C51" s="13" t="s">
        <v>486</v>
      </c>
      <c r="D51" s="13" t="s">
        <v>132</v>
      </c>
      <c r="E51" s="18">
        <v>200</v>
      </c>
      <c r="F51" s="19">
        <v>2062.85</v>
      </c>
      <c r="G51" s="20">
        <v>8.5000000000000006E-3</v>
      </c>
      <c r="H51" s="21">
        <v>4.4499999999999998E-2</v>
      </c>
      <c r="I51" s="22"/>
      <c r="J51" s="2"/>
    </row>
    <row r="52" spans="1:10" ht="12.95" customHeight="1">
      <c r="A52" s="16" t="s">
        <v>2362</v>
      </c>
      <c r="B52" s="17" t="s">
        <v>2363</v>
      </c>
      <c r="C52" s="13" t="s">
        <v>2364</v>
      </c>
      <c r="D52" s="13" t="s">
        <v>132</v>
      </c>
      <c r="E52" s="18">
        <v>150</v>
      </c>
      <c r="F52" s="19">
        <v>1546.02</v>
      </c>
      <c r="G52" s="20">
        <v>6.4000000000000003E-3</v>
      </c>
      <c r="H52" s="21">
        <v>4.7199999999999999E-2</v>
      </c>
      <c r="I52" s="22"/>
      <c r="J52" s="2"/>
    </row>
    <row r="53" spans="1:10" ht="12.95" customHeight="1">
      <c r="A53" s="16" t="s">
        <v>272</v>
      </c>
      <c r="B53" s="17" t="s">
        <v>273</v>
      </c>
      <c r="C53" s="13" t="s">
        <v>274</v>
      </c>
      <c r="D53" s="13" t="s">
        <v>132</v>
      </c>
      <c r="E53" s="18">
        <v>150</v>
      </c>
      <c r="F53" s="19">
        <v>1543.12</v>
      </c>
      <c r="G53" s="20">
        <v>6.4000000000000003E-3</v>
      </c>
      <c r="H53" s="21">
        <v>4.4499999999999998E-2</v>
      </c>
      <c r="I53" s="22"/>
      <c r="J53" s="2"/>
    </row>
    <row r="54" spans="1:10" ht="12.95" customHeight="1">
      <c r="A54" s="16" t="s">
        <v>2365</v>
      </c>
      <c r="B54" s="17" t="s">
        <v>2366</v>
      </c>
      <c r="C54" s="13" t="s">
        <v>2367</v>
      </c>
      <c r="D54" s="13" t="s">
        <v>200</v>
      </c>
      <c r="E54" s="18">
        <v>500000</v>
      </c>
      <c r="F54" s="19">
        <v>539.03</v>
      </c>
      <c r="G54" s="20">
        <v>2.2000000000000001E-3</v>
      </c>
      <c r="H54" s="21">
        <v>5.4817999999999999E-2</v>
      </c>
      <c r="I54" s="22"/>
      <c r="J54" s="2"/>
    </row>
    <row r="55" spans="1:10" ht="12.95" customHeight="1">
      <c r="A55" s="16" t="s">
        <v>2368</v>
      </c>
      <c r="B55" s="17" t="s">
        <v>2369</v>
      </c>
      <c r="C55" s="13" t="s">
        <v>2370</v>
      </c>
      <c r="D55" s="13" t="s">
        <v>132</v>
      </c>
      <c r="E55" s="18">
        <v>50</v>
      </c>
      <c r="F55" s="19">
        <v>499.81</v>
      </c>
      <c r="G55" s="20">
        <v>2.0999999999999999E-3</v>
      </c>
      <c r="H55" s="21">
        <v>5.2767000000000001E-2</v>
      </c>
      <c r="I55" s="22"/>
      <c r="J55" s="2"/>
    </row>
    <row r="56" spans="1:10" ht="12.95" customHeight="1">
      <c r="A56" s="2"/>
      <c r="B56" s="12" t="s">
        <v>172</v>
      </c>
      <c r="C56" s="13"/>
      <c r="D56" s="13"/>
      <c r="E56" s="13"/>
      <c r="F56" s="23">
        <v>157212.76999999999</v>
      </c>
      <c r="G56" s="24">
        <v>0.65059999999999996</v>
      </c>
      <c r="H56" s="25"/>
      <c r="I56" s="26"/>
      <c r="J56" s="2"/>
    </row>
    <row r="57" spans="1:10" ht="12.95" customHeight="1">
      <c r="A57" s="2"/>
      <c r="B57" s="27" t="s">
        <v>173</v>
      </c>
      <c r="C57" s="1"/>
      <c r="D57" s="1"/>
      <c r="E57" s="1"/>
      <c r="F57" s="25" t="s">
        <v>204</v>
      </c>
      <c r="G57" s="25" t="s">
        <v>204</v>
      </c>
      <c r="H57" s="25"/>
      <c r="I57" s="26"/>
      <c r="J57" s="2"/>
    </row>
    <row r="58" spans="1:10" ht="12.95" customHeight="1">
      <c r="A58" s="2"/>
      <c r="B58" s="27" t="s">
        <v>172</v>
      </c>
      <c r="C58" s="1"/>
      <c r="D58" s="1"/>
      <c r="E58" s="1"/>
      <c r="F58" s="25" t="s">
        <v>204</v>
      </c>
      <c r="G58" s="25" t="s">
        <v>204</v>
      </c>
      <c r="H58" s="25"/>
      <c r="I58" s="26"/>
      <c r="J58" s="2"/>
    </row>
    <row r="59" spans="1:10" ht="12.95" customHeight="1">
      <c r="A59" s="2"/>
      <c r="B59" s="12" t="s">
        <v>1292</v>
      </c>
      <c r="C59" s="13"/>
      <c r="D59" s="13"/>
      <c r="E59" s="13"/>
      <c r="F59" s="2"/>
      <c r="G59" s="14"/>
      <c r="H59" s="14"/>
      <c r="I59" s="15"/>
      <c r="J59" s="2"/>
    </row>
    <row r="60" spans="1:10" ht="12.95" customHeight="1">
      <c r="A60" s="16" t="s">
        <v>2371</v>
      </c>
      <c r="B60" s="17" t="s">
        <v>2372</v>
      </c>
      <c r="C60" s="13" t="s">
        <v>2373</v>
      </c>
      <c r="D60" s="13" t="s">
        <v>1296</v>
      </c>
      <c r="E60" s="18">
        <v>32</v>
      </c>
      <c r="F60" s="19">
        <v>3128.78</v>
      </c>
      <c r="G60" s="20">
        <v>1.29E-2</v>
      </c>
      <c r="H60" s="21">
        <v>4.5650000000000003E-2</v>
      </c>
      <c r="I60" s="22"/>
      <c r="J60" s="2"/>
    </row>
    <row r="61" spans="1:10" ht="12.95" customHeight="1">
      <c r="A61" s="16" t="s">
        <v>2374</v>
      </c>
      <c r="B61" s="17" t="s">
        <v>2375</v>
      </c>
      <c r="C61" s="13" t="s">
        <v>2376</v>
      </c>
      <c r="D61" s="13" t="s">
        <v>1296</v>
      </c>
      <c r="E61" s="18">
        <v>32</v>
      </c>
      <c r="F61" s="19">
        <v>3052.13</v>
      </c>
      <c r="G61" s="20">
        <v>1.26E-2</v>
      </c>
      <c r="H61" s="21">
        <v>4.845E-2</v>
      </c>
      <c r="I61" s="22"/>
      <c r="J61" s="2"/>
    </row>
    <row r="62" spans="1:10" ht="12.95" customHeight="1">
      <c r="A62" s="2"/>
      <c r="B62" s="12" t="s">
        <v>172</v>
      </c>
      <c r="C62" s="13"/>
      <c r="D62" s="13"/>
      <c r="E62" s="13"/>
      <c r="F62" s="23">
        <v>6180.91</v>
      </c>
      <c r="G62" s="24">
        <v>2.5499999999999998E-2</v>
      </c>
      <c r="H62" s="25"/>
      <c r="I62" s="26"/>
      <c r="J62" s="2"/>
    </row>
    <row r="63" spans="1:10" ht="12.95" customHeight="1">
      <c r="A63" s="2"/>
      <c r="B63" s="27" t="s">
        <v>173</v>
      </c>
      <c r="C63" s="1"/>
      <c r="D63" s="1"/>
      <c r="E63" s="1"/>
      <c r="F63" s="25" t="s">
        <v>204</v>
      </c>
      <c r="G63" s="25" t="s">
        <v>204</v>
      </c>
      <c r="H63" s="25"/>
      <c r="I63" s="26"/>
      <c r="J63" s="2"/>
    </row>
    <row r="64" spans="1:10" ht="12.95" customHeight="1">
      <c r="A64" s="2"/>
      <c r="B64" s="27" t="s">
        <v>172</v>
      </c>
      <c r="C64" s="1"/>
      <c r="D64" s="1"/>
      <c r="E64" s="1"/>
      <c r="F64" s="25" t="s">
        <v>204</v>
      </c>
      <c r="G64" s="25" t="s">
        <v>204</v>
      </c>
      <c r="H64" s="25"/>
      <c r="I64" s="26"/>
      <c r="J64" s="2"/>
    </row>
    <row r="65" spans="1:10" ht="12.95" customHeight="1">
      <c r="A65" s="2"/>
      <c r="B65" s="27" t="s">
        <v>177</v>
      </c>
      <c r="C65" s="28"/>
      <c r="D65" s="1"/>
      <c r="E65" s="28"/>
      <c r="F65" s="23">
        <v>163393.68</v>
      </c>
      <c r="G65" s="24">
        <v>0.67610000000000003</v>
      </c>
      <c r="H65" s="25"/>
      <c r="I65" s="26"/>
      <c r="J65" s="2"/>
    </row>
    <row r="66" spans="1:10" ht="12.95" customHeight="1">
      <c r="A66" s="2"/>
      <c r="B66" s="12" t="s">
        <v>656</v>
      </c>
      <c r="C66" s="13"/>
      <c r="D66" s="13"/>
      <c r="E66" s="13"/>
      <c r="F66" s="13"/>
      <c r="G66" s="13"/>
      <c r="H66" s="14"/>
      <c r="I66" s="15"/>
      <c r="J66" s="2"/>
    </row>
    <row r="67" spans="1:10" ht="12.95" customHeight="1">
      <c r="A67" s="2"/>
      <c r="B67" s="12" t="s">
        <v>662</v>
      </c>
      <c r="C67" s="13"/>
      <c r="D67" s="13"/>
      <c r="E67" s="13"/>
      <c r="F67" s="2"/>
      <c r="G67" s="14"/>
      <c r="H67" s="14"/>
      <c r="I67" s="15"/>
      <c r="J67" s="2"/>
    </row>
    <row r="68" spans="1:10" ht="12.95" customHeight="1">
      <c r="A68" s="16" t="s">
        <v>2377</v>
      </c>
      <c r="B68" s="17" t="s">
        <v>2378</v>
      </c>
      <c r="C68" s="13" t="s">
        <v>2379</v>
      </c>
      <c r="D68" s="13" t="s">
        <v>661</v>
      </c>
      <c r="E68" s="18">
        <v>1600</v>
      </c>
      <c r="F68" s="19">
        <v>7684.85</v>
      </c>
      <c r="G68" s="20">
        <v>3.1800000000000002E-2</v>
      </c>
      <c r="H68" s="21">
        <v>4.4549999999999999E-2</v>
      </c>
      <c r="I68" s="22"/>
      <c r="J68" s="2"/>
    </row>
    <row r="69" spans="1:10" ht="12.95" customHeight="1">
      <c r="A69" s="16" t="s">
        <v>2380</v>
      </c>
      <c r="B69" s="17" t="s">
        <v>2381</v>
      </c>
      <c r="C69" s="13" t="s">
        <v>2382</v>
      </c>
      <c r="D69" s="13" t="s">
        <v>661</v>
      </c>
      <c r="E69" s="18">
        <v>1500</v>
      </c>
      <c r="F69" s="19">
        <v>7389.8</v>
      </c>
      <c r="G69" s="20">
        <v>3.0599999999999999E-2</v>
      </c>
      <c r="H69" s="21">
        <v>4.3201000000000003E-2</v>
      </c>
      <c r="I69" s="22"/>
      <c r="J69" s="2"/>
    </row>
    <row r="70" spans="1:10" ht="12.95" customHeight="1">
      <c r="A70" s="16" t="s">
        <v>2383</v>
      </c>
      <c r="B70" s="17" t="s">
        <v>2384</v>
      </c>
      <c r="C70" s="13" t="s">
        <v>2385</v>
      </c>
      <c r="D70" s="13" t="s">
        <v>661</v>
      </c>
      <c r="E70" s="18">
        <v>1500</v>
      </c>
      <c r="F70" s="19">
        <v>7259</v>
      </c>
      <c r="G70" s="20">
        <v>0.03</v>
      </c>
      <c r="H70" s="21">
        <v>7.2999999999999995E-2</v>
      </c>
      <c r="I70" s="22"/>
      <c r="J70" s="2"/>
    </row>
    <row r="71" spans="1:10" ht="12.95" customHeight="1">
      <c r="A71" s="16" t="s">
        <v>2386</v>
      </c>
      <c r="B71" s="17" t="s">
        <v>2387</v>
      </c>
      <c r="C71" s="13" t="s">
        <v>2388</v>
      </c>
      <c r="D71" s="13" t="s">
        <v>661</v>
      </c>
      <c r="E71" s="18">
        <v>1000</v>
      </c>
      <c r="F71" s="19">
        <v>4925.55</v>
      </c>
      <c r="G71" s="20">
        <v>2.0400000000000001E-2</v>
      </c>
      <c r="H71" s="21">
        <v>3.805E-2</v>
      </c>
      <c r="I71" s="22"/>
      <c r="J71" s="2"/>
    </row>
    <row r="72" spans="1:10" ht="12.95" customHeight="1">
      <c r="A72" s="16" t="s">
        <v>2389</v>
      </c>
      <c r="B72" s="17" t="s">
        <v>2390</v>
      </c>
      <c r="C72" s="13" t="s">
        <v>2391</v>
      </c>
      <c r="D72" s="13" t="s">
        <v>661</v>
      </c>
      <c r="E72" s="18">
        <v>1000</v>
      </c>
      <c r="F72" s="19">
        <v>4916.54</v>
      </c>
      <c r="G72" s="20">
        <v>2.0299999999999999E-2</v>
      </c>
      <c r="H72" s="21">
        <v>4.0500000000000001E-2</v>
      </c>
      <c r="I72" s="22"/>
      <c r="J72" s="2"/>
    </row>
    <row r="73" spans="1:10" ht="12.95" customHeight="1">
      <c r="A73" s="16" t="s">
        <v>2392</v>
      </c>
      <c r="B73" s="17" t="s">
        <v>2393</v>
      </c>
      <c r="C73" s="13" t="s">
        <v>2394</v>
      </c>
      <c r="D73" s="13" t="s">
        <v>661</v>
      </c>
      <c r="E73" s="18">
        <v>1000</v>
      </c>
      <c r="F73" s="19">
        <v>4821.21</v>
      </c>
      <c r="G73" s="20">
        <v>1.9900000000000001E-2</v>
      </c>
      <c r="H73" s="21">
        <v>4.165E-2</v>
      </c>
      <c r="I73" s="22"/>
      <c r="J73" s="2"/>
    </row>
    <row r="74" spans="1:10" ht="12.95" customHeight="1">
      <c r="A74" s="16" t="s">
        <v>2395</v>
      </c>
      <c r="B74" s="17" t="s">
        <v>2396</v>
      </c>
      <c r="C74" s="13" t="s">
        <v>2397</v>
      </c>
      <c r="D74" s="13" t="s">
        <v>661</v>
      </c>
      <c r="E74" s="18">
        <v>600</v>
      </c>
      <c r="F74" s="19">
        <v>2982.73</v>
      </c>
      <c r="G74" s="20">
        <v>1.23E-2</v>
      </c>
      <c r="H74" s="21">
        <v>4.0651E-2</v>
      </c>
      <c r="I74" s="22"/>
      <c r="J74" s="2"/>
    </row>
    <row r="75" spans="1:10" ht="12.95" customHeight="1">
      <c r="A75" s="16" t="s">
        <v>2398</v>
      </c>
      <c r="B75" s="17" t="s">
        <v>2399</v>
      </c>
      <c r="C75" s="13" t="s">
        <v>2400</v>
      </c>
      <c r="D75" s="13" t="s">
        <v>661</v>
      </c>
      <c r="E75" s="18">
        <v>500</v>
      </c>
      <c r="F75" s="19">
        <v>2461.2600000000002</v>
      </c>
      <c r="G75" s="20">
        <v>1.0200000000000001E-2</v>
      </c>
      <c r="H75" s="21">
        <v>4.3200000000000002E-2</v>
      </c>
      <c r="I75" s="22"/>
      <c r="J75" s="2"/>
    </row>
    <row r="76" spans="1:10" ht="12.95" customHeight="1">
      <c r="A76" s="16" t="s">
        <v>2401</v>
      </c>
      <c r="B76" s="17" t="s">
        <v>2402</v>
      </c>
      <c r="C76" s="13" t="s">
        <v>2403</v>
      </c>
      <c r="D76" s="13" t="s">
        <v>661</v>
      </c>
      <c r="E76" s="18">
        <v>500</v>
      </c>
      <c r="F76" s="19">
        <v>2455.59</v>
      </c>
      <c r="G76" s="20">
        <v>1.0200000000000001E-2</v>
      </c>
      <c r="H76" s="21">
        <v>4.1000000000000002E-2</v>
      </c>
      <c r="I76" s="22"/>
      <c r="J76" s="2"/>
    </row>
    <row r="77" spans="1:10" ht="12.95" customHeight="1">
      <c r="A77" s="2"/>
      <c r="B77" s="12" t="s">
        <v>172</v>
      </c>
      <c r="C77" s="13"/>
      <c r="D77" s="13"/>
      <c r="E77" s="13"/>
      <c r="F77" s="23">
        <v>44896.53</v>
      </c>
      <c r="G77" s="24">
        <v>0.1857</v>
      </c>
      <c r="H77" s="25"/>
      <c r="I77" s="26"/>
      <c r="J77" s="2"/>
    </row>
    <row r="78" spans="1:10" ht="12.95" customHeight="1">
      <c r="A78" s="2"/>
      <c r="B78" s="12" t="s">
        <v>1316</v>
      </c>
      <c r="C78" s="13"/>
      <c r="D78" s="13"/>
      <c r="E78" s="13"/>
      <c r="F78" s="2"/>
      <c r="G78" s="14"/>
      <c r="H78" s="14"/>
      <c r="I78" s="15"/>
      <c r="J78" s="2"/>
    </row>
    <row r="79" spans="1:10" ht="12.95" customHeight="1">
      <c r="A79" s="16" t="s">
        <v>2404</v>
      </c>
      <c r="B79" s="17" t="s">
        <v>2405</v>
      </c>
      <c r="C79" s="13" t="s">
        <v>2406</v>
      </c>
      <c r="D79" s="13" t="s">
        <v>200</v>
      </c>
      <c r="E79" s="18">
        <v>5000000</v>
      </c>
      <c r="F79" s="19">
        <v>4964.57</v>
      </c>
      <c r="G79" s="20">
        <v>2.0500000000000001E-2</v>
      </c>
      <c r="H79" s="21">
        <v>3.4277000000000002E-2</v>
      </c>
      <c r="I79" s="22"/>
      <c r="J79" s="2"/>
    </row>
    <row r="80" spans="1:10" ht="12.95" customHeight="1">
      <c r="A80" s="2"/>
      <c r="B80" s="12" t="s">
        <v>172</v>
      </c>
      <c r="C80" s="13"/>
      <c r="D80" s="13"/>
      <c r="E80" s="13"/>
      <c r="F80" s="23">
        <v>4964.57</v>
      </c>
      <c r="G80" s="24">
        <v>2.0500000000000001E-2</v>
      </c>
      <c r="H80" s="25"/>
      <c r="I80" s="26"/>
      <c r="J80" s="2"/>
    </row>
    <row r="81" spans="1:10" ht="12.95" customHeight="1">
      <c r="A81" s="2"/>
      <c r="B81" s="27" t="s">
        <v>177</v>
      </c>
      <c r="C81" s="28"/>
      <c r="D81" s="1"/>
      <c r="E81" s="28"/>
      <c r="F81" s="23">
        <v>49861.1</v>
      </c>
      <c r="G81" s="24">
        <v>0.20619999999999999</v>
      </c>
      <c r="H81" s="25"/>
      <c r="I81" s="26"/>
      <c r="J81" s="2"/>
    </row>
    <row r="82" spans="1:10" ht="12.95" customHeight="1">
      <c r="A82" s="2"/>
      <c r="B82" s="12" t="s">
        <v>178</v>
      </c>
      <c r="C82" s="13"/>
      <c r="D82" s="13"/>
      <c r="E82" s="13"/>
      <c r="F82" s="13"/>
      <c r="G82" s="13"/>
      <c r="H82" s="14"/>
      <c r="I82" s="15"/>
      <c r="J82" s="2"/>
    </row>
    <row r="83" spans="1:10" ht="12.95" customHeight="1">
      <c r="A83" s="16" t="s">
        <v>179</v>
      </c>
      <c r="B83" s="17" t="s">
        <v>180</v>
      </c>
      <c r="C83" s="13"/>
      <c r="D83" s="13"/>
      <c r="E83" s="18"/>
      <c r="F83" s="19">
        <v>8059.82</v>
      </c>
      <c r="G83" s="20">
        <v>3.3300000000000003E-2</v>
      </c>
      <c r="H83" s="21">
        <v>3.3046196895323877E-2</v>
      </c>
      <c r="I83" s="22"/>
      <c r="J83" s="2"/>
    </row>
    <row r="84" spans="1:10" ht="12.95" customHeight="1">
      <c r="A84" s="16" t="s">
        <v>2407</v>
      </c>
      <c r="B84" s="17" t="s">
        <v>733</v>
      </c>
      <c r="C84" s="13"/>
      <c r="D84" s="13"/>
      <c r="E84" s="18"/>
      <c r="F84" s="19">
        <v>7442.75</v>
      </c>
      <c r="G84" s="20">
        <v>3.0800000000000001E-2</v>
      </c>
      <c r="H84" s="21">
        <v>3.5999999999999997E-2</v>
      </c>
      <c r="I84" s="22"/>
      <c r="J84" s="2"/>
    </row>
    <row r="85" spans="1:10" ht="12.95" customHeight="1">
      <c r="A85" s="16" t="s">
        <v>2408</v>
      </c>
      <c r="B85" s="17" t="s">
        <v>733</v>
      </c>
      <c r="C85" s="13"/>
      <c r="D85" s="13"/>
      <c r="E85" s="18"/>
      <c r="F85" s="19">
        <v>7031.19</v>
      </c>
      <c r="G85" s="20">
        <v>2.9100000000000001E-2</v>
      </c>
      <c r="H85" s="21">
        <v>3.4500000000000003E-2</v>
      </c>
      <c r="I85" s="22"/>
      <c r="J85" s="2"/>
    </row>
    <row r="86" spans="1:10" ht="12.95" customHeight="1">
      <c r="A86" s="2"/>
      <c r="B86" s="12" t="s">
        <v>172</v>
      </c>
      <c r="C86" s="13"/>
      <c r="D86" s="13"/>
      <c r="E86" s="13"/>
      <c r="F86" s="23">
        <v>22533.759999999998</v>
      </c>
      <c r="G86" s="24">
        <v>9.3200000000000005E-2</v>
      </c>
      <c r="H86" s="25"/>
      <c r="I86" s="26"/>
      <c r="J86" s="2"/>
    </row>
    <row r="87" spans="1:10" ht="12.95" customHeight="1">
      <c r="A87" s="2"/>
      <c r="B87" s="27" t="s">
        <v>173</v>
      </c>
      <c r="C87" s="1"/>
      <c r="D87" s="1"/>
      <c r="E87" s="1"/>
      <c r="F87" s="25" t="s">
        <v>204</v>
      </c>
      <c r="G87" s="25" t="s">
        <v>204</v>
      </c>
      <c r="H87" s="25"/>
      <c r="I87" s="26"/>
      <c r="J87" s="2"/>
    </row>
    <row r="88" spans="1:10" ht="12.95" customHeight="1">
      <c r="A88" s="2"/>
      <c r="B88" s="27" t="s">
        <v>172</v>
      </c>
      <c r="C88" s="1"/>
      <c r="D88" s="1"/>
      <c r="E88" s="1"/>
      <c r="F88" s="25" t="s">
        <v>204</v>
      </c>
      <c r="G88" s="25" t="s">
        <v>204</v>
      </c>
      <c r="H88" s="25"/>
      <c r="I88" s="26"/>
      <c r="J88" s="2"/>
    </row>
    <row r="89" spans="1:10" ht="12.95" customHeight="1">
      <c r="A89" s="2"/>
      <c r="B89" s="27" t="s">
        <v>177</v>
      </c>
      <c r="C89" s="28"/>
      <c r="D89" s="1"/>
      <c r="E89" s="28"/>
      <c r="F89" s="23">
        <v>22533.759999999998</v>
      </c>
      <c r="G89" s="24">
        <v>9.3200000000000005E-2</v>
      </c>
      <c r="H89" s="25"/>
      <c r="I89" s="26"/>
      <c r="J89" s="2"/>
    </row>
    <row r="90" spans="1:10" ht="12.95" customHeight="1">
      <c r="A90" s="2"/>
      <c r="B90" s="27" t="s">
        <v>181</v>
      </c>
      <c r="C90" s="13"/>
      <c r="D90" s="1"/>
      <c r="E90" s="13"/>
      <c r="F90" s="29">
        <v>5858.37</v>
      </c>
      <c r="G90" s="24">
        <v>2.4400000000000002E-2</v>
      </c>
      <c r="H90" s="25"/>
      <c r="I90" s="26"/>
      <c r="J90" s="2"/>
    </row>
    <row r="91" spans="1:10" ht="12.95" customHeight="1">
      <c r="A91" s="2"/>
      <c r="B91" s="30" t="s">
        <v>182</v>
      </c>
      <c r="C91" s="31"/>
      <c r="D91" s="31"/>
      <c r="E91" s="31"/>
      <c r="F91" s="32">
        <v>241694.71</v>
      </c>
      <c r="G91" s="33">
        <v>1</v>
      </c>
      <c r="H91" s="34"/>
      <c r="I91" s="35"/>
      <c r="J91" s="2"/>
    </row>
    <row r="92" spans="1:10" ht="12.95" customHeight="1">
      <c r="A92" s="2"/>
      <c r="B92" s="5"/>
      <c r="C92" s="2"/>
      <c r="D92" s="2"/>
      <c r="E92" s="2"/>
      <c r="F92" s="2"/>
      <c r="G92" s="2"/>
      <c r="H92" s="2"/>
      <c r="I92" s="2"/>
      <c r="J92" s="2"/>
    </row>
    <row r="93" spans="1:10" ht="12.95" customHeight="1">
      <c r="A93" s="2"/>
      <c r="B93" s="3" t="s">
        <v>1320</v>
      </c>
      <c r="C93" s="2"/>
      <c r="D93" s="2"/>
      <c r="E93" s="2"/>
      <c r="F93" s="2"/>
      <c r="G93" s="2"/>
      <c r="H93" s="2"/>
      <c r="I93" s="2"/>
      <c r="J93" s="2"/>
    </row>
    <row r="94" spans="1:10" ht="12.95" customHeight="1">
      <c r="A94" s="2"/>
      <c r="B94" s="3" t="s">
        <v>184</v>
      </c>
      <c r="C94" s="2"/>
      <c r="D94" s="2"/>
      <c r="E94" s="2"/>
      <c r="F94" s="2"/>
      <c r="G94" s="2"/>
      <c r="H94" s="2"/>
      <c r="I94" s="2"/>
      <c r="J94" s="2"/>
    </row>
    <row r="95" spans="1:10" ht="12.95" customHeight="1">
      <c r="A95" s="2"/>
      <c r="B95" s="3" t="s">
        <v>186</v>
      </c>
      <c r="C95" s="2"/>
      <c r="D95" s="2"/>
      <c r="E95" s="2"/>
      <c r="F95" s="2"/>
      <c r="G95" s="2"/>
      <c r="H95" s="2"/>
      <c r="I95" s="2"/>
      <c r="J95" s="2"/>
    </row>
    <row r="96" spans="1:10" ht="23.25" customHeight="1">
      <c r="A96" s="2"/>
      <c r="B96" s="189" t="s">
        <v>4025</v>
      </c>
      <c r="C96" s="189"/>
      <c r="D96" s="189"/>
      <c r="E96" s="189"/>
      <c r="F96" s="189"/>
      <c r="G96" s="189"/>
      <c r="H96" s="189"/>
      <c r="I96" s="189"/>
      <c r="J96" s="2"/>
    </row>
    <row r="97" spans="1:7" s="110" customFormat="1" ht="15.75" customHeight="1">
      <c r="B97" s="204" t="s">
        <v>4029</v>
      </c>
      <c r="C97" s="183"/>
      <c r="D97" s="183"/>
      <c r="E97" s="183"/>
      <c r="F97" s="183"/>
      <c r="G97" s="183"/>
    </row>
    <row r="98" spans="1:7" s="110" customFormat="1" ht="13.5" customHeight="1">
      <c r="A98" s="184"/>
      <c r="B98" s="184"/>
      <c r="C98" s="184"/>
      <c r="D98" s="184"/>
      <c r="E98" s="184"/>
      <c r="F98" s="184"/>
      <c r="G98" s="184"/>
    </row>
    <row r="99" spans="1:7">
      <c r="A99" s="184"/>
      <c r="B99" s="184"/>
      <c r="C99" s="111" t="s">
        <v>3950</v>
      </c>
    </row>
    <row r="100" spans="1:7">
      <c r="B100" s="111" t="s">
        <v>3933</v>
      </c>
      <c r="C100" s="111" t="s">
        <v>3934</v>
      </c>
    </row>
  </sheetData>
  <mergeCells count="2">
    <mergeCell ref="B2:I2"/>
    <mergeCell ref="B96:I96"/>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AXISGCE</v>
      </c>
    </row>
    <row r="2" spans="1:13" ht="34.5" customHeight="1" thickBot="1">
      <c r="A2" s="135" t="str">
        <f>M2</f>
        <v>AXISGCE</v>
      </c>
      <c r="B2" s="186" t="s">
        <v>49</v>
      </c>
      <c r="C2" s="187"/>
      <c r="D2" s="187"/>
      <c r="E2" s="187"/>
      <c r="F2" s="187"/>
      <c r="G2" s="187"/>
      <c r="H2" s="187"/>
      <c r="I2" s="188"/>
      <c r="J2" s="2"/>
      <c r="M2" s="108" t="s">
        <v>48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219</v>
      </c>
      <c r="C6" s="13"/>
      <c r="D6" s="13"/>
      <c r="E6" s="13"/>
      <c r="F6" s="13"/>
      <c r="G6" s="13"/>
      <c r="H6" s="14"/>
      <c r="I6" s="15"/>
      <c r="J6" s="2"/>
    </row>
    <row r="7" spans="1:13" ht="12.95" customHeight="1">
      <c r="A7" s="2"/>
      <c r="B7" s="12" t="s">
        <v>2409</v>
      </c>
      <c r="C7" s="13"/>
      <c r="D7" s="13"/>
      <c r="E7" s="13"/>
      <c r="F7" s="2"/>
      <c r="G7" s="14"/>
      <c r="H7" s="14"/>
      <c r="I7" s="15"/>
      <c r="J7" s="2"/>
    </row>
    <row r="8" spans="1:13" ht="12.95" customHeight="1">
      <c r="A8" s="16" t="s">
        <v>2410</v>
      </c>
      <c r="B8" s="17" t="s">
        <v>2411</v>
      </c>
      <c r="C8" s="13" t="s">
        <v>2412</v>
      </c>
      <c r="D8" s="13"/>
      <c r="E8" s="18">
        <v>193611.72</v>
      </c>
      <c r="F8" s="19">
        <v>11538.71</v>
      </c>
      <c r="G8" s="20">
        <v>1.0609</v>
      </c>
      <c r="H8" s="36"/>
      <c r="I8" s="22"/>
      <c r="J8" s="2"/>
    </row>
    <row r="9" spans="1:13" ht="12.95" customHeight="1">
      <c r="A9" s="2"/>
      <c r="B9" s="12" t="s">
        <v>172</v>
      </c>
      <c r="C9" s="13"/>
      <c r="D9" s="13"/>
      <c r="E9" s="13"/>
      <c r="F9" s="23">
        <v>11538.71</v>
      </c>
      <c r="G9" s="24">
        <v>1.0609</v>
      </c>
      <c r="H9" s="25"/>
      <c r="I9" s="26"/>
      <c r="J9" s="2"/>
    </row>
    <row r="10" spans="1:13" ht="12.95" customHeight="1">
      <c r="A10" s="2"/>
      <c r="B10" s="27" t="s">
        <v>177</v>
      </c>
      <c r="C10" s="28"/>
      <c r="D10" s="1"/>
      <c r="E10" s="28"/>
      <c r="F10" s="23">
        <v>11538.71</v>
      </c>
      <c r="G10" s="24">
        <v>1.0609</v>
      </c>
      <c r="H10" s="25"/>
      <c r="I10" s="26"/>
      <c r="J10" s="2"/>
    </row>
    <row r="11" spans="1:13" ht="12.95" customHeight="1">
      <c r="A11" s="2"/>
      <c r="B11" s="12" t="s">
        <v>178</v>
      </c>
      <c r="C11" s="13"/>
      <c r="D11" s="13"/>
      <c r="E11" s="13"/>
      <c r="F11" s="13"/>
      <c r="G11" s="13"/>
      <c r="H11" s="14"/>
      <c r="I11" s="15"/>
      <c r="J11" s="2"/>
    </row>
    <row r="12" spans="1:13" ht="12.95" customHeight="1">
      <c r="A12" s="16" t="s">
        <v>179</v>
      </c>
      <c r="B12" s="17" t="s">
        <v>180</v>
      </c>
      <c r="C12" s="13"/>
      <c r="D12" s="13"/>
      <c r="E12" s="18"/>
      <c r="F12" s="19">
        <v>66.040000000000006</v>
      </c>
      <c r="G12" s="20">
        <v>6.1000000000000004E-3</v>
      </c>
      <c r="H12" s="21">
        <v>3.3066335697053403E-2</v>
      </c>
      <c r="I12" s="22"/>
      <c r="J12" s="2"/>
    </row>
    <row r="13" spans="1:13" ht="12.95" customHeight="1">
      <c r="A13" s="2"/>
      <c r="B13" s="12" t="s">
        <v>172</v>
      </c>
      <c r="C13" s="13"/>
      <c r="D13" s="13"/>
      <c r="E13" s="13"/>
      <c r="F13" s="23">
        <v>66.040000000000006</v>
      </c>
      <c r="G13" s="24">
        <v>6.1000000000000004E-3</v>
      </c>
      <c r="H13" s="25"/>
      <c r="I13" s="26"/>
      <c r="J13" s="2"/>
    </row>
    <row r="14" spans="1:13" ht="12.95" customHeight="1">
      <c r="A14" s="2"/>
      <c r="B14" s="27" t="s">
        <v>177</v>
      </c>
      <c r="C14" s="28"/>
      <c r="D14" s="1"/>
      <c r="E14" s="28"/>
      <c r="F14" s="23">
        <v>66.040000000000006</v>
      </c>
      <c r="G14" s="24">
        <v>6.1000000000000004E-3</v>
      </c>
      <c r="H14" s="25"/>
      <c r="I14" s="26"/>
      <c r="J14" s="2"/>
    </row>
    <row r="15" spans="1:13" ht="12.95" customHeight="1">
      <c r="A15" s="2"/>
      <c r="B15" s="27" t="s">
        <v>181</v>
      </c>
      <c r="C15" s="13"/>
      <c r="D15" s="1"/>
      <c r="E15" s="13"/>
      <c r="F15" s="29">
        <v>-728.23</v>
      </c>
      <c r="G15" s="24">
        <v>-6.7000000000000004E-2</v>
      </c>
      <c r="H15" s="25"/>
      <c r="I15" s="26"/>
      <c r="J15" s="2"/>
    </row>
    <row r="16" spans="1:13" ht="12.95" customHeight="1">
      <c r="A16" s="2"/>
      <c r="B16" s="30" t="s">
        <v>182</v>
      </c>
      <c r="C16" s="31"/>
      <c r="D16" s="31"/>
      <c r="E16" s="31"/>
      <c r="F16" s="32">
        <v>10876.52</v>
      </c>
      <c r="G16" s="33">
        <v>1</v>
      </c>
      <c r="H16" s="34"/>
      <c r="I16" s="35"/>
      <c r="J16" s="2"/>
    </row>
    <row r="17" spans="1:10" ht="12.95" customHeight="1">
      <c r="A17" s="2"/>
      <c r="B17" s="5"/>
      <c r="C17" s="2"/>
      <c r="D17" s="2"/>
      <c r="E17" s="2"/>
      <c r="F17" s="2"/>
      <c r="G17" s="2"/>
      <c r="H17" s="2"/>
      <c r="I17" s="2"/>
      <c r="J17" s="2"/>
    </row>
    <row r="18" spans="1:10" ht="12.95" customHeight="1">
      <c r="A18" s="2"/>
      <c r="B18" s="3" t="s">
        <v>244</v>
      </c>
      <c r="C18" s="2"/>
      <c r="D18" s="2"/>
      <c r="E18" s="2"/>
      <c r="F18" s="2"/>
      <c r="G18" s="2"/>
      <c r="H18" s="2"/>
      <c r="I18" s="2"/>
      <c r="J18" s="2"/>
    </row>
    <row r="19" spans="1:10" ht="12.95" customHeight="1">
      <c r="A19" s="2"/>
      <c r="B19" s="3" t="s">
        <v>186</v>
      </c>
      <c r="C19" s="2"/>
      <c r="D19" s="2"/>
      <c r="E19" s="2"/>
      <c r="F19" s="2"/>
      <c r="G19" s="2"/>
      <c r="H19" s="2"/>
      <c r="I19" s="2"/>
      <c r="J19" s="2"/>
    </row>
    <row r="20" spans="1:10" ht="23.25" customHeight="1">
      <c r="A20" s="2"/>
      <c r="B20" s="189" t="s">
        <v>4025</v>
      </c>
      <c r="C20" s="189"/>
      <c r="D20" s="189"/>
      <c r="E20" s="189"/>
      <c r="F20" s="189"/>
      <c r="G20" s="189"/>
      <c r="H20" s="189"/>
      <c r="I20" s="189"/>
      <c r="J20" s="2"/>
    </row>
    <row r="21" spans="1:10" ht="12.95" customHeight="1">
      <c r="A21" s="2"/>
      <c r="B21" s="3"/>
      <c r="C21" s="2"/>
      <c r="D21" s="2"/>
      <c r="E21" s="2"/>
      <c r="F21" s="2"/>
      <c r="G21" s="2"/>
      <c r="H21" s="2"/>
      <c r="I21" s="2"/>
      <c r="J21" s="2"/>
    </row>
    <row r="22" spans="1:10">
      <c r="C22" s="111" t="s">
        <v>3951</v>
      </c>
    </row>
    <row r="23" spans="1:10">
      <c r="B23" s="111" t="s">
        <v>3933</v>
      </c>
      <c r="C23" s="111" t="s">
        <v>3934</v>
      </c>
    </row>
  </sheetData>
  <mergeCells count="2">
    <mergeCell ref="B2:I2"/>
    <mergeCell ref="B20:I2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15.28515625" bestFit="1" customWidth="1"/>
    <col min="7" max="9" width="10.7109375" customWidth="1"/>
    <col min="10" max="10" width="10.85546875" customWidth="1"/>
  </cols>
  <sheetData>
    <row r="1" spans="1:13" ht="15.75" thickBot="1">
      <c r="A1" s="108" t="str">
        <f>M2</f>
        <v>AXISGEA</v>
      </c>
    </row>
    <row r="2" spans="1:13" ht="34.5" customHeight="1" thickBot="1">
      <c r="A2" s="135" t="str">
        <f>M2</f>
        <v>AXISGEA</v>
      </c>
      <c r="B2" s="186" t="s">
        <v>51</v>
      </c>
      <c r="C2" s="187"/>
      <c r="D2" s="187"/>
      <c r="E2" s="187"/>
      <c r="F2" s="187"/>
      <c r="G2" s="187"/>
      <c r="H2" s="187"/>
      <c r="I2" s="188"/>
      <c r="J2" s="2"/>
      <c r="M2" s="108" t="s">
        <v>50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219</v>
      </c>
      <c r="C6" s="13"/>
      <c r="D6" s="13"/>
      <c r="E6" s="13"/>
      <c r="F6" s="13"/>
      <c r="G6" s="13"/>
      <c r="H6" s="14"/>
      <c r="I6" s="15"/>
      <c r="J6" s="2"/>
    </row>
    <row r="7" spans="1:13" ht="12.95" customHeight="1">
      <c r="A7" s="2"/>
      <c r="B7" s="12" t="s">
        <v>2409</v>
      </c>
      <c r="C7" s="13"/>
      <c r="D7" s="13"/>
      <c r="E7" s="13"/>
      <c r="F7" s="2"/>
      <c r="G7" s="14"/>
      <c r="H7" s="14"/>
      <c r="I7" s="15"/>
      <c r="J7" s="2"/>
    </row>
    <row r="8" spans="1:13" ht="12.95" customHeight="1">
      <c r="A8" s="16" t="s">
        <v>2413</v>
      </c>
      <c r="B8" s="17" t="s">
        <v>2414</v>
      </c>
      <c r="C8" s="13" t="s">
        <v>2415</v>
      </c>
      <c r="D8" s="13"/>
      <c r="E8" s="18">
        <v>1572600</v>
      </c>
      <c r="F8" s="19">
        <v>152447.9</v>
      </c>
      <c r="G8" s="20">
        <v>0.99850000000000005</v>
      </c>
      <c r="H8" s="36"/>
      <c r="I8" s="22"/>
      <c r="J8" s="2"/>
    </row>
    <row r="9" spans="1:13" ht="12.95" customHeight="1">
      <c r="A9" s="2"/>
      <c r="B9" s="12" t="s">
        <v>172</v>
      </c>
      <c r="C9" s="13"/>
      <c r="D9" s="13"/>
      <c r="E9" s="13"/>
      <c r="F9" s="23">
        <v>152447.9</v>
      </c>
      <c r="G9" s="24">
        <v>0.99850000000000005</v>
      </c>
      <c r="H9" s="25"/>
      <c r="I9" s="26"/>
      <c r="J9" s="2"/>
    </row>
    <row r="10" spans="1:13" ht="12.95" customHeight="1">
      <c r="A10" s="2"/>
      <c r="B10" s="27" t="s">
        <v>177</v>
      </c>
      <c r="C10" s="28"/>
      <c r="D10" s="1"/>
      <c r="E10" s="28"/>
      <c r="F10" s="23">
        <v>152447.9</v>
      </c>
      <c r="G10" s="24">
        <v>0.99850000000000005</v>
      </c>
      <c r="H10" s="25"/>
      <c r="I10" s="26"/>
      <c r="J10" s="2"/>
    </row>
    <row r="11" spans="1:13" ht="12.95" customHeight="1">
      <c r="A11" s="2"/>
      <c r="B11" s="12" t="s">
        <v>178</v>
      </c>
      <c r="C11" s="13"/>
      <c r="D11" s="13"/>
      <c r="E11" s="13"/>
      <c r="F11" s="13"/>
      <c r="G11" s="13"/>
      <c r="H11" s="14"/>
      <c r="I11" s="15"/>
      <c r="J11" s="2"/>
    </row>
    <row r="12" spans="1:13" ht="12.95" customHeight="1">
      <c r="A12" s="16" t="s">
        <v>179</v>
      </c>
      <c r="B12" s="17" t="s">
        <v>180</v>
      </c>
      <c r="C12" s="13"/>
      <c r="D12" s="13"/>
      <c r="E12" s="18"/>
      <c r="F12" s="19">
        <v>2844.55</v>
      </c>
      <c r="G12" s="20">
        <v>1.8599999999999998E-2</v>
      </c>
      <c r="H12" s="21">
        <v>3.3046196374775863E-2</v>
      </c>
      <c r="I12" s="22"/>
      <c r="J12" s="2"/>
    </row>
    <row r="13" spans="1:13" ht="12.95" customHeight="1">
      <c r="A13" s="2"/>
      <c r="B13" s="12" t="s">
        <v>172</v>
      </c>
      <c r="C13" s="13"/>
      <c r="D13" s="13"/>
      <c r="E13" s="13"/>
      <c r="F13" s="23">
        <v>2844.55</v>
      </c>
      <c r="G13" s="24">
        <v>1.8599999999999998E-2</v>
      </c>
      <c r="H13" s="25"/>
      <c r="I13" s="26"/>
      <c r="J13" s="2"/>
    </row>
    <row r="14" spans="1:13" ht="12.95" customHeight="1">
      <c r="A14" s="2"/>
      <c r="B14" s="27" t="s">
        <v>177</v>
      </c>
      <c r="C14" s="28"/>
      <c r="D14" s="1"/>
      <c r="E14" s="28"/>
      <c r="F14" s="23">
        <v>2844.55</v>
      </c>
      <c r="G14" s="24">
        <v>1.8599999999999998E-2</v>
      </c>
      <c r="H14" s="25"/>
      <c r="I14" s="26"/>
      <c r="J14" s="2"/>
    </row>
    <row r="15" spans="1:13" ht="12.95" customHeight="1">
      <c r="A15" s="2"/>
      <c r="B15" s="27" t="s">
        <v>181</v>
      </c>
      <c r="C15" s="13"/>
      <c r="D15" s="1"/>
      <c r="E15" s="13"/>
      <c r="F15" s="29">
        <v>-2612.3200000000002</v>
      </c>
      <c r="G15" s="24">
        <v>-1.7100000000000001E-2</v>
      </c>
      <c r="H15" s="25"/>
      <c r="I15" s="26"/>
      <c r="J15" s="2"/>
    </row>
    <row r="16" spans="1:13" ht="12.95" customHeight="1">
      <c r="A16" s="2"/>
      <c r="B16" s="30" t="s">
        <v>182</v>
      </c>
      <c r="C16" s="31"/>
      <c r="D16" s="31"/>
      <c r="E16" s="31"/>
      <c r="F16" s="32">
        <v>152680.13</v>
      </c>
      <c r="G16" s="33">
        <v>1</v>
      </c>
      <c r="H16" s="34"/>
      <c r="I16" s="35"/>
      <c r="J16" s="2"/>
    </row>
    <row r="17" spans="1:10" ht="12.95" customHeight="1">
      <c r="A17" s="2"/>
      <c r="B17" s="5"/>
      <c r="C17" s="2"/>
      <c r="D17" s="2"/>
      <c r="E17" s="2"/>
      <c r="F17" s="2"/>
      <c r="G17" s="2"/>
      <c r="H17" s="2"/>
      <c r="I17" s="2"/>
      <c r="J17" s="2"/>
    </row>
    <row r="18" spans="1:10" ht="12.95" customHeight="1">
      <c r="A18" s="2"/>
      <c r="B18" s="3" t="s">
        <v>244</v>
      </c>
      <c r="C18" s="2"/>
      <c r="D18" s="2"/>
      <c r="E18" s="2"/>
      <c r="F18" s="2"/>
      <c r="G18" s="2"/>
      <c r="H18" s="2"/>
      <c r="I18" s="2"/>
      <c r="J18" s="2"/>
    </row>
    <row r="19" spans="1:10" ht="12.95" customHeight="1">
      <c r="A19" s="2"/>
      <c r="B19" s="3" t="s">
        <v>186</v>
      </c>
      <c r="C19" s="2"/>
      <c r="D19" s="2"/>
      <c r="E19" s="2"/>
      <c r="F19" s="2"/>
      <c r="G19" s="2"/>
      <c r="H19" s="2"/>
      <c r="I19" s="2"/>
      <c r="J19" s="2"/>
    </row>
    <row r="20" spans="1:10" ht="23.25" customHeight="1">
      <c r="A20" s="2"/>
      <c r="B20" s="189" t="s">
        <v>4025</v>
      </c>
      <c r="C20" s="189"/>
      <c r="D20" s="189"/>
      <c r="E20" s="189"/>
      <c r="F20" s="189"/>
      <c r="G20" s="189"/>
      <c r="H20" s="189"/>
      <c r="I20" s="189"/>
      <c r="J20" s="2"/>
    </row>
    <row r="21" spans="1:10" ht="12.95" customHeight="1">
      <c r="A21" s="2"/>
      <c r="B21" s="3"/>
      <c r="C21" s="2"/>
      <c r="D21" s="2"/>
      <c r="E21" s="2"/>
      <c r="F21" s="2"/>
      <c r="G21" s="2"/>
      <c r="H21" s="2"/>
      <c r="I21" s="2"/>
      <c r="J21" s="2"/>
    </row>
    <row r="22" spans="1:10">
      <c r="C22" s="111" t="s">
        <v>3952</v>
      </c>
    </row>
    <row r="23" spans="1:10">
      <c r="B23" s="111" t="s">
        <v>3933</v>
      </c>
      <c r="C23" s="111" t="s">
        <v>3934</v>
      </c>
    </row>
  </sheetData>
  <mergeCells count="2">
    <mergeCell ref="B2:I2"/>
    <mergeCell ref="B20:I2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AXISGETF</v>
      </c>
    </row>
    <row r="2" spans="1:13" ht="34.5" customHeight="1" thickBot="1">
      <c r="A2" s="135" t="str">
        <f>M2</f>
        <v>AXISGETF</v>
      </c>
      <c r="B2" s="186" t="s">
        <v>53</v>
      </c>
      <c r="C2" s="187"/>
      <c r="D2" s="187"/>
      <c r="E2" s="187"/>
      <c r="F2" s="187"/>
      <c r="G2" s="187"/>
      <c r="H2" s="187"/>
      <c r="I2" s="188"/>
      <c r="J2" s="2"/>
      <c r="M2" s="108" t="s">
        <v>52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18</v>
      </c>
    </row>
    <row r="6" spans="1:13" ht="12.95" customHeight="1">
      <c r="A6" s="2"/>
      <c r="B6" s="12" t="s">
        <v>2416</v>
      </c>
      <c r="C6" s="13"/>
      <c r="D6" s="13"/>
      <c r="E6" s="13"/>
      <c r="F6" s="13"/>
      <c r="G6" s="13"/>
      <c r="H6" s="14"/>
      <c r="I6" s="15"/>
      <c r="J6" s="2"/>
    </row>
    <row r="7" spans="1:13" ht="12.95" customHeight="1">
      <c r="A7" s="16" t="s">
        <v>2417</v>
      </c>
      <c r="B7" s="17" t="s">
        <v>2418</v>
      </c>
      <c r="C7" s="13"/>
      <c r="D7" s="13"/>
      <c r="E7" s="18">
        <v>1047</v>
      </c>
      <c r="F7" s="19">
        <v>47927.28</v>
      </c>
      <c r="G7" s="20">
        <v>0.97789999999999999</v>
      </c>
      <c r="H7" s="36"/>
      <c r="I7" s="22"/>
      <c r="J7" s="2"/>
    </row>
    <row r="8" spans="1:13" ht="12.95" customHeight="1">
      <c r="A8" s="2"/>
      <c r="B8" s="12" t="s">
        <v>172</v>
      </c>
      <c r="C8" s="13"/>
      <c r="D8" s="13"/>
      <c r="E8" s="13"/>
      <c r="F8" s="23">
        <v>47927.28</v>
      </c>
      <c r="G8" s="24">
        <v>0.97789999999999999</v>
      </c>
      <c r="H8" s="25"/>
      <c r="I8" s="26"/>
      <c r="J8" s="2"/>
    </row>
    <row r="9" spans="1:13" ht="12.95" customHeight="1">
      <c r="A9" s="2"/>
      <c r="B9" s="27" t="s">
        <v>177</v>
      </c>
      <c r="C9" s="28"/>
      <c r="D9" s="1"/>
      <c r="E9" s="28"/>
      <c r="F9" s="23">
        <v>47927.28</v>
      </c>
      <c r="G9" s="24">
        <v>0.97789999999999999</v>
      </c>
      <c r="H9" s="25"/>
      <c r="I9" s="26"/>
      <c r="J9" s="2"/>
    </row>
    <row r="10" spans="1:13" ht="12.95" customHeight="1">
      <c r="A10" s="2"/>
      <c r="B10" s="12" t="s">
        <v>178</v>
      </c>
      <c r="C10" s="13"/>
      <c r="D10" s="13"/>
      <c r="E10" s="13"/>
      <c r="F10" s="13"/>
      <c r="G10" s="13"/>
      <c r="H10" s="14"/>
      <c r="I10" s="15"/>
      <c r="J10" s="2"/>
    </row>
    <row r="11" spans="1:13" ht="12.95" customHeight="1">
      <c r="A11" s="16" t="s">
        <v>179</v>
      </c>
      <c r="B11" s="17" t="s">
        <v>180</v>
      </c>
      <c r="C11" s="13"/>
      <c r="D11" s="13"/>
      <c r="E11" s="18"/>
      <c r="F11" s="19">
        <v>75.59</v>
      </c>
      <c r="G11" s="20">
        <v>1.5E-3</v>
      </c>
      <c r="H11" s="21">
        <v>3.3032133171018871E-2</v>
      </c>
      <c r="I11" s="22"/>
      <c r="J11" s="2"/>
    </row>
    <row r="12" spans="1:13" ht="12.95" customHeight="1">
      <c r="A12" s="2"/>
      <c r="B12" s="12" t="s">
        <v>172</v>
      </c>
      <c r="C12" s="13"/>
      <c r="D12" s="13"/>
      <c r="E12" s="13"/>
      <c r="F12" s="23">
        <v>75.59</v>
      </c>
      <c r="G12" s="24">
        <v>1.5E-3</v>
      </c>
      <c r="H12" s="25"/>
      <c r="I12" s="26"/>
      <c r="J12" s="2"/>
    </row>
    <row r="13" spans="1:13" ht="12.95" customHeight="1">
      <c r="A13" s="2"/>
      <c r="B13" s="27" t="s">
        <v>177</v>
      </c>
      <c r="C13" s="28"/>
      <c r="D13" s="1"/>
      <c r="E13" s="28"/>
      <c r="F13" s="23">
        <v>75.59</v>
      </c>
      <c r="G13" s="24">
        <v>1.5E-3</v>
      </c>
      <c r="H13" s="25"/>
      <c r="I13" s="26"/>
      <c r="J13" s="2"/>
    </row>
    <row r="14" spans="1:13" ht="12.95" customHeight="1">
      <c r="A14" s="2"/>
      <c r="B14" s="27" t="s">
        <v>181</v>
      </c>
      <c r="C14" s="13"/>
      <c r="D14" s="1"/>
      <c r="E14" s="13"/>
      <c r="F14" s="29">
        <v>1009.9</v>
      </c>
      <c r="G14" s="24">
        <v>2.06E-2</v>
      </c>
      <c r="H14" s="25"/>
      <c r="I14" s="26"/>
      <c r="J14" s="2"/>
    </row>
    <row r="15" spans="1:13" ht="12.95" customHeight="1">
      <c r="A15" s="2"/>
      <c r="B15" s="30" t="s">
        <v>182</v>
      </c>
      <c r="C15" s="31"/>
      <c r="D15" s="31"/>
      <c r="E15" s="31"/>
      <c r="F15" s="32">
        <v>49012.77</v>
      </c>
      <c r="G15" s="33">
        <v>1</v>
      </c>
      <c r="H15" s="34"/>
      <c r="I15" s="35"/>
      <c r="J15" s="2"/>
    </row>
    <row r="16" spans="1:13" ht="12.95" customHeight="1">
      <c r="A16" s="2"/>
      <c r="B16" s="5"/>
      <c r="C16" s="2"/>
      <c r="D16" s="2"/>
      <c r="E16" s="2"/>
      <c r="F16" s="2"/>
      <c r="G16" s="2"/>
      <c r="H16" s="2"/>
      <c r="I16" s="2"/>
      <c r="J16" s="2"/>
    </row>
    <row r="17" spans="1:10" ht="12.95" customHeight="1">
      <c r="A17" s="2"/>
      <c r="B17" s="3" t="s">
        <v>244</v>
      </c>
      <c r="C17" s="2"/>
      <c r="D17" s="2"/>
      <c r="E17" s="2"/>
      <c r="F17" s="2"/>
      <c r="G17" s="2"/>
      <c r="H17" s="2"/>
      <c r="I17" s="2"/>
      <c r="J17" s="2"/>
    </row>
    <row r="18" spans="1:10" ht="12.95" customHeight="1">
      <c r="A18" s="2"/>
      <c r="B18" s="3" t="s">
        <v>186</v>
      </c>
      <c r="C18" s="2"/>
      <c r="D18" s="2"/>
      <c r="E18" s="2"/>
      <c r="F18" s="2"/>
      <c r="G18" s="2"/>
      <c r="H18" s="2"/>
      <c r="I18" s="2"/>
      <c r="J18" s="2"/>
    </row>
    <row r="19" spans="1:10" ht="23.25" customHeight="1">
      <c r="A19" s="2"/>
      <c r="B19" s="189" t="s">
        <v>4025</v>
      </c>
      <c r="C19" s="189"/>
      <c r="D19" s="189"/>
      <c r="E19" s="189"/>
      <c r="F19" s="189"/>
      <c r="G19" s="189"/>
      <c r="H19" s="189"/>
      <c r="I19" s="189"/>
      <c r="J19" s="2"/>
    </row>
    <row r="20" spans="1:10" s="205" customFormat="1" ht="15" customHeight="1">
      <c r="A20" s="110"/>
      <c r="B20" s="206" t="s">
        <v>4030</v>
      </c>
      <c r="C20" s="110"/>
      <c r="D20" s="110"/>
      <c r="E20" s="110"/>
      <c r="F20" s="110"/>
    </row>
    <row r="21" spans="1:10" s="205" customFormat="1">
      <c r="A21" s="110"/>
      <c r="B21" s="110"/>
      <c r="C21" s="110"/>
      <c r="D21" s="110"/>
      <c r="E21" s="110"/>
      <c r="F21" s="110"/>
    </row>
    <row r="22" spans="1:10">
      <c r="B22" s="110"/>
      <c r="C22" s="111" t="s">
        <v>3953</v>
      </c>
    </row>
    <row r="23" spans="1:10">
      <c r="B23" s="111" t="s">
        <v>3933</v>
      </c>
      <c r="C23" s="111" t="s">
        <v>3934</v>
      </c>
    </row>
  </sheetData>
  <mergeCells count="2">
    <mergeCell ref="B2:I2"/>
    <mergeCell ref="B19:I19"/>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sheetViews>
  <sheetFormatPr defaultRowHeight="15"/>
  <cols>
    <col min="1" max="1" width="3.28515625" style="137" customWidth="1"/>
    <col min="2" max="2" width="69.140625" style="137" customWidth="1"/>
    <col min="3" max="3" width="18.7109375" style="137" bestFit="1" customWidth="1"/>
    <col min="4" max="4" width="22.7109375" style="137" bestFit="1" customWidth="1"/>
    <col min="5" max="5" width="25.7109375" style="137" customWidth="1"/>
    <col min="6" max="6" width="25" style="137" customWidth="1"/>
    <col min="7" max="9" width="10.7109375" style="137" customWidth="1"/>
    <col min="10" max="10" width="10.85546875" style="137" customWidth="1"/>
    <col min="11" max="16384" width="9.140625" style="137"/>
  </cols>
  <sheetData>
    <row r="1" spans="1:13" ht="15.75" thickBot="1">
      <c r="A1" s="136" t="str">
        <f>M2</f>
        <v>AXISGIF</v>
      </c>
    </row>
    <row r="2" spans="1:13" ht="34.5" customHeight="1" thickBot="1">
      <c r="A2" s="138" t="str">
        <f>M2</f>
        <v>AXISGIF</v>
      </c>
      <c r="B2" s="190" t="s">
        <v>55</v>
      </c>
      <c r="C2" s="191"/>
      <c r="D2" s="191"/>
      <c r="E2" s="191"/>
      <c r="F2" s="191"/>
      <c r="G2" s="191"/>
      <c r="H2" s="191"/>
      <c r="I2" s="192"/>
      <c r="J2" s="139"/>
      <c r="M2" s="136" t="s">
        <v>54</v>
      </c>
    </row>
    <row r="3" spans="1:13" ht="12.95" customHeight="1">
      <c r="A3" s="139"/>
      <c r="B3" s="140"/>
      <c r="C3" s="139"/>
      <c r="D3" s="139"/>
      <c r="E3" s="139"/>
      <c r="F3" s="139"/>
      <c r="G3" s="139"/>
      <c r="H3" s="139"/>
      <c r="I3" s="139"/>
      <c r="J3" s="139"/>
    </row>
    <row r="4" spans="1:13" ht="12.95" customHeight="1">
      <c r="A4" s="141" t="s">
        <v>118</v>
      </c>
      <c r="B4" s="142" t="s">
        <v>4035</v>
      </c>
      <c r="C4" s="139"/>
      <c r="D4" s="139"/>
      <c r="E4" s="139"/>
      <c r="F4" s="139"/>
      <c r="G4" s="139"/>
      <c r="H4" s="139"/>
      <c r="I4" s="139"/>
      <c r="J4" s="139"/>
    </row>
    <row r="5" spans="1:13" ht="27.95" customHeight="1">
      <c r="A5" s="139"/>
      <c r="B5" s="143" t="s">
        <v>119</v>
      </c>
      <c r="C5" s="144" t="s">
        <v>120</v>
      </c>
      <c r="D5" s="145" t="s">
        <v>217</v>
      </c>
      <c r="E5" s="145" t="s">
        <v>122</v>
      </c>
      <c r="F5" s="145" t="s">
        <v>123</v>
      </c>
      <c r="G5" s="145" t="s">
        <v>124</v>
      </c>
      <c r="H5" s="145" t="s">
        <v>125</v>
      </c>
      <c r="I5" s="146" t="s">
        <v>126</v>
      </c>
      <c r="J5" s="147" t="s">
        <v>218</v>
      </c>
    </row>
    <row r="6" spans="1:13" ht="12.95" customHeight="1">
      <c r="A6" s="139"/>
      <c r="B6" s="148" t="s">
        <v>219</v>
      </c>
      <c r="C6" s="149"/>
      <c r="D6" s="149"/>
      <c r="E6" s="149"/>
      <c r="F6" s="149"/>
      <c r="G6" s="149"/>
      <c r="H6" s="150"/>
      <c r="I6" s="151"/>
      <c r="J6" s="139"/>
    </row>
    <row r="7" spans="1:13" ht="12.95" customHeight="1">
      <c r="A7" s="139"/>
      <c r="B7" s="148" t="s">
        <v>2409</v>
      </c>
      <c r="C7" s="149"/>
      <c r="D7" s="149"/>
      <c r="E7" s="149"/>
      <c r="F7" s="139"/>
      <c r="G7" s="150"/>
      <c r="H7" s="150"/>
      <c r="I7" s="151"/>
      <c r="J7" s="139"/>
    </row>
    <row r="8" spans="1:13" ht="12.95" customHeight="1">
      <c r="A8" s="152" t="s">
        <v>2419</v>
      </c>
      <c r="B8" s="153" t="s">
        <v>2420</v>
      </c>
      <c r="C8" s="149" t="s">
        <v>2421</v>
      </c>
      <c r="D8" s="149"/>
      <c r="E8" s="154">
        <v>2198110.0499999998</v>
      </c>
      <c r="F8" s="155">
        <v>171692.05</v>
      </c>
      <c r="G8" s="156">
        <v>0.97440000000000004</v>
      </c>
      <c r="H8" s="157"/>
      <c r="I8" s="158"/>
      <c r="J8" s="139"/>
    </row>
    <row r="9" spans="1:13" ht="12.95" customHeight="1">
      <c r="A9" s="139"/>
      <c r="B9" s="148" t="s">
        <v>172</v>
      </c>
      <c r="C9" s="149"/>
      <c r="D9" s="149"/>
      <c r="E9" s="149"/>
      <c r="F9" s="159">
        <v>171692.05</v>
      </c>
      <c r="G9" s="160">
        <v>0.97440000000000004</v>
      </c>
      <c r="H9" s="161"/>
      <c r="I9" s="162"/>
      <c r="J9" s="139"/>
    </row>
    <row r="10" spans="1:13" ht="12.95" customHeight="1">
      <c r="A10" s="139"/>
      <c r="B10" s="163" t="s">
        <v>177</v>
      </c>
      <c r="C10" s="165"/>
      <c r="D10" s="164"/>
      <c r="E10" s="165"/>
      <c r="F10" s="159">
        <v>171692.05</v>
      </c>
      <c r="G10" s="160">
        <v>0.97440000000000004</v>
      </c>
      <c r="H10" s="161"/>
      <c r="I10" s="162"/>
      <c r="J10" s="139"/>
    </row>
    <row r="11" spans="1:13" ht="12.95" customHeight="1">
      <c r="A11" s="139"/>
      <c r="B11" s="148" t="s">
        <v>178</v>
      </c>
      <c r="C11" s="149"/>
      <c r="D11" s="149"/>
      <c r="E11" s="149"/>
      <c r="F11" s="149"/>
      <c r="G11" s="149"/>
      <c r="H11" s="150"/>
      <c r="I11" s="151"/>
      <c r="J11" s="139"/>
    </row>
    <row r="12" spans="1:13" ht="12.95" customHeight="1">
      <c r="A12" s="152" t="s">
        <v>179</v>
      </c>
      <c r="B12" s="153" t="s">
        <v>180</v>
      </c>
      <c r="C12" s="149"/>
      <c r="D12" s="149"/>
      <c r="E12" s="154"/>
      <c r="F12" s="155">
        <v>5485.83</v>
      </c>
      <c r="G12" s="156">
        <v>3.1099999999999999E-2</v>
      </c>
      <c r="H12" s="166">
        <v>3.3046003155610869E-2</v>
      </c>
      <c r="I12" s="158"/>
      <c r="J12" s="139"/>
    </row>
    <row r="13" spans="1:13" ht="12.95" customHeight="1">
      <c r="A13" s="139"/>
      <c r="B13" s="148" t="s">
        <v>172</v>
      </c>
      <c r="C13" s="149"/>
      <c r="D13" s="149"/>
      <c r="E13" s="149"/>
      <c r="F13" s="159">
        <v>5485.83</v>
      </c>
      <c r="G13" s="160">
        <v>3.1099999999999999E-2</v>
      </c>
      <c r="H13" s="161"/>
      <c r="I13" s="162"/>
      <c r="J13" s="139"/>
    </row>
    <row r="14" spans="1:13" ht="12.95" customHeight="1">
      <c r="A14" s="139"/>
      <c r="B14" s="163" t="s">
        <v>177</v>
      </c>
      <c r="C14" s="165"/>
      <c r="D14" s="164"/>
      <c r="E14" s="165"/>
      <c r="F14" s="159">
        <v>5485.83</v>
      </c>
      <c r="G14" s="160">
        <v>3.1099999999999999E-2</v>
      </c>
      <c r="H14" s="161"/>
      <c r="I14" s="162"/>
      <c r="J14" s="139"/>
    </row>
    <row r="15" spans="1:13" ht="12.95" customHeight="1">
      <c r="A15" s="139"/>
      <c r="B15" s="163" t="s">
        <v>181</v>
      </c>
      <c r="C15" s="149"/>
      <c r="D15" s="164"/>
      <c r="E15" s="149"/>
      <c r="F15" s="171">
        <v>-968.25</v>
      </c>
      <c r="G15" s="160">
        <v>-5.4999999999999997E-3</v>
      </c>
      <c r="H15" s="161"/>
      <c r="I15" s="162"/>
      <c r="J15" s="139"/>
    </row>
    <row r="16" spans="1:13" ht="12.95" customHeight="1">
      <c r="A16" s="139"/>
      <c r="B16" s="172" t="s">
        <v>182</v>
      </c>
      <c r="C16" s="173"/>
      <c r="D16" s="173"/>
      <c r="E16" s="173"/>
      <c r="F16" s="174">
        <v>176209.63</v>
      </c>
      <c r="G16" s="175">
        <v>1</v>
      </c>
      <c r="H16" s="176"/>
      <c r="I16" s="177"/>
      <c r="J16" s="139"/>
    </row>
    <row r="17" spans="1:10" ht="12.95" customHeight="1">
      <c r="A17" s="139"/>
      <c r="B17" s="141"/>
      <c r="C17" s="139"/>
      <c r="D17" s="139"/>
      <c r="E17" s="139"/>
      <c r="F17" s="139"/>
      <c r="G17" s="139"/>
      <c r="H17" s="139"/>
      <c r="I17" s="139"/>
      <c r="J17" s="139"/>
    </row>
    <row r="18" spans="1:10" ht="12.95" customHeight="1">
      <c r="A18" s="139"/>
      <c r="B18" s="178" t="s">
        <v>244</v>
      </c>
      <c r="C18" s="139"/>
      <c r="D18" s="139"/>
      <c r="E18" s="139"/>
      <c r="F18" s="139"/>
      <c r="G18" s="139"/>
      <c r="H18" s="139"/>
      <c r="I18" s="139"/>
      <c r="J18" s="139"/>
    </row>
    <row r="19" spans="1:10" ht="12.95" customHeight="1">
      <c r="A19" s="139"/>
      <c r="B19" s="178" t="s">
        <v>186</v>
      </c>
      <c r="C19" s="139"/>
      <c r="D19" s="139"/>
      <c r="E19" s="139"/>
      <c r="F19" s="139"/>
      <c r="G19" s="139"/>
      <c r="H19" s="139"/>
      <c r="I19" s="139"/>
      <c r="J19" s="139"/>
    </row>
    <row r="20" spans="1:10" customFormat="1" ht="23.25" customHeight="1">
      <c r="A20" s="2"/>
      <c r="B20" s="189" t="s">
        <v>4025</v>
      </c>
      <c r="C20" s="189"/>
      <c r="D20" s="189"/>
      <c r="E20" s="189"/>
      <c r="F20" s="189"/>
      <c r="G20" s="189"/>
      <c r="H20" s="189"/>
      <c r="I20" s="189"/>
      <c r="J20" s="2"/>
    </row>
    <row r="21" spans="1:10" ht="12.95" customHeight="1">
      <c r="A21" s="139"/>
      <c r="B21" s="178"/>
      <c r="C21" s="139"/>
      <c r="D21" s="139"/>
      <c r="E21" s="139"/>
      <c r="F21" s="139"/>
      <c r="G21" s="139"/>
      <c r="H21" s="139"/>
      <c r="I21" s="139"/>
      <c r="J21" s="139"/>
    </row>
    <row r="22" spans="1:10">
      <c r="C22" s="182" t="s">
        <v>3954</v>
      </c>
    </row>
    <row r="23" spans="1:10">
      <c r="B23" s="182" t="s">
        <v>3933</v>
      </c>
      <c r="C23" s="182" t="s">
        <v>3934</v>
      </c>
    </row>
  </sheetData>
  <mergeCells count="2">
    <mergeCell ref="B2:I2"/>
    <mergeCell ref="B20:I20"/>
  </mergeCells>
  <hyperlinks>
    <hyperlink ref="A2" location="Index!A1" display="Index"/>
  </hyperlinks>
  <pageMargins left="0" right="0" top="0" bottom="0" header="0" footer="0"/>
  <pageSetup orientation="landscape" r:id="rId1"/>
  <headerFooter>
    <oddFooter>&amp;C&amp;1#&amp;"Calibri"&amp;10&amp;K000000 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sheetViews>
  <sheetFormatPr defaultRowHeight="15"/>
  <cols>
    <col min="1" max="1" width="3.28515625" customWidth="1"/>
    <col min="2" max="2" width="69.140625" customWidth="1"/>
    <col min="3" max="3" width="18.7109375" bestFit="1" customWidth="1"/>
    <col min="4" max="4" width="22.7109375" bestFit="1" customWidth="1"/>
    <col min="5" max="5" width="25.7109375" customWidth="1"/>
    <col min="6" max="6" width="25" customWidth="1"/>
    <col min="7" max="9" width="10.7109375" customWidth="1"/>
    <col min="10" max="10" width="10.85546875" customWidth="1"/>
  </cols>
  <sheetData>
    <row r="1" spans="1:13" ht="15.75" thickBot="1">
      <c r="A1" s="108" t="str">
        <f>M2</f>
        <v>AXISGLD</v>
      </c>
    </row>
    <row r="2" spans="1:13" ht="34.5" customHeight="1" thickBot="1">
      <c r="A2" s="135" t="str">
        <f>M2</f>
        <v>AXISGLD</v>
      </c>
      <c r="B2" s="186" t="s">
        <v>57</v>
      </c>
      <c r="C2" s="187"/>
      <c r="D2" s="187"/>
      <c r="E2" s="187"/>
      <c r="F2" s="187"/>
      <c r="G2" s="187"/>
      <c r="H2" s="187"/>
      <c r="I2" s="188"/>
      <c r="J2" s="2"/>
      <c r="M2" s="108" t="s">
        <v>56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219</v>
      </c>
      <c r="C6" s="13"/>
      <c r="D6" s="13"/>
      <c r="E6" s="13"/>
      <c r="F6" s="13"/>
      <c r="G6" s="13"/>
      <c r="H6" s="14"/>
      <c r="I6" s="15"/>
      <c r="J6" s="2"/>
    </row>
    <row r="7" spans="1:13" ht="12.95" customHeight="1">
      <c r="A7" s="2"/>
      <c r="B7" s="12" t="s">
        <v>2422</v>
      </c>
      <c r="C7" s="13"/>
      <c r="D7" s="13"/>
      <c r="E7" s="13"/>
      <c r="F7" s="2"/>
      <c r="G7" s="14"/>
      <c r="H7" s="14"/>
      <c r="I7" s="15"/>
      <c r="J7" s="2"/>
    </row>
    <row r="8" spans="1:13" ht="12.95" customHeight="1">
      <c r="A8" s="16" t="s">
        <v>2423</v>
      </c>
      <c r="B8" s="17" t="s">
        <v>53</v>
      </c>
      <c r="C8" s="13" t="s">
        <v>2424</v>
      </c>
      <c r="D8" s="13"/>
      <c r="E8" s="18">
        <v>59200000</v>
      </c>
      <c r="F8" s="19">
        <v>23573.439999999999</v>
      </c>
      <c r="G8" s="20">
        <v>0.97140000000000004</v>
      </c>
      <c r="H8" s="36"/>
      <c r="I8" s="22"/>
      <c r="J8" s="2"/>
    </row>
    <row r="9" spans="1:13" ht="12.95" customHeight="1">
      <c r="A9" s="2"/>
      <c r="B9" s="12" t="s">
        <v>172</v>
      </c>
      <c r="C9" s="13"/>
      <c r="D9" s="13"/>
      <c r="E9" s="13"/>
      <c r="F9" s="23">
        <v>23573.439999999999</v>
      </c>
      <c r="G9" s="24">
        <v>0.97140000000000004</v>
      </c>
      <c r="H9" s="25"/>
      <c r="I9" s="26"/>
      <c r="J9" s="2"/>
    </row>
    <row r="10" spans="1:13" ht="12.95" customHeight="1">
      <c r="A10" s="2"/>
      <c r="B10" s="27" t="s">
        <v>177</v>
      </c>
      <c r="C10" s="28"/>
      <c r="D10" s="1"/>
      <c r="E10" s="28"/>
      <c r="F10" s="23">
        <v>23573.439999999999</v>
      </c>
      <c r="G10" s="24">
        <v>0.97140000000000004</v>
      </c>
      <c r="H10" s="25"/>
      <c r="I10" s="26"/>
      <c r="J10" s="2"/>
    </row>
    <row r="11" spans="1:13" ht="12.95" customHeight="1">
      <c r="A11" s="2"/>
      <c r="B11" s="12" t="s">
        <v>178</v>
      </c>
      <c r="C11" s="13"/>
      <c r="D11" s="13"/>
      <c r="E11" s="13"/>
      <c r="F11" s="13"/>
      <c r="G11" s="13"/>
      <c r="H11" s="14"/>
      <c r="I11" s="15"/>
      <c r="J11" s="2"/>
    </row>
    <row r="12" spans="1:13" ht="12.95" customHeight="1">
      <c r="A12" s="16" t="s">
        <v>179</v>
      </c>
      <c r="B12" s="17" t="s">
        <v>180</v>
      </c>
      <c r="C12" s="13"/>
      <c r="D12" s="13"/>
      <c r="E12" s="18"/>
      <c r="F12" s="19">
        <v>778.39</v>
      </c>
      <c r="G12" s="20">
        <v>3.2099999999999997E-2</v>
      </c>
      <c r="H12" s="21">
        <v>3.3045763189863811E-2</v>
      </c>
      <c r="I12" s="22"/>
      <c r="J12" s="2"/>
    </row>
    <row r="13" spans="1:13" ht="12.95" customHeight="1">
      <c r="A13" s="2"/>
      <c r="B13" s="12" t="s">
        <v>172</v>
      </c>
      <c r="C13" s="13"/>
      <c r="D13" s="13"/>
      <c r="E13" s="13"/>
      <c r="F13" s="23">
        <v>778.39</v>
      </c>
      <c r="G13" s="24">
        <v>3.2099999999999997E-2</v>
      </c>
      <c r="H13" s="25"/>
      <c r="I13" s="26"/>
      <c r="J13" s="2"/>
    </row>
    <row r="14" spans="1:13" ht="12.95" customHeight="1">
      <c r="A14" s="2"/>
      <c r="B14" s="27" t="s">
        <v>177</v>
      </c>
      <c r="C14" s="28"/>
      <c r="D14" s="1"/>
      <c r="E14" s="28"/>
      <c r="F14" s="23">
        <v>778.39</v>
      </c>
      <c r="G14" s="24">
        <v>3.2099999999999997E-2</v>
      </c>
      <c r="H14" s="25"/>
      <c r="I14" s="26"/>
      <c r="J14" s="2"/>
    </row>
    <row r="15" spans="1:13" ht="12.95" customHeight="1">
      <c r="A15" s="2"/>
      <c r="B15" s="27" t="s">
        <v>181</v>
      </c>
      <c r="C15" s="13"/>
      <c r="D15" s="1"/>
      <c r="E15" s="13"/>
      <c r="F15" s="29">
        <v>-83.76</v>
      </c>
      <c r="G15" s="24">
        <v>-3.5000000000000001E-3</v>
      </c>
      <c r="H15" s="25"/>
      <c r="I15" s="26"/>
      <c r="J15" s="2"/>
    </row>
    <row r="16" spans="1:13" ht="12.95" customHeight="1">
      <c r="A16" s="2"/>
      <c r="B16" s="30" t="s">
        <v>182</v>
      </c>
      <c r="C16" s="31"/>
      <c r="D16" s="31"/>
      <c r="E16" s="31"/>
      <c r="F16" s="32">
        <v>24268.07</v>
      </c>
      <c r="G16" s="33">
        <v>1</v>
      </c>
      <c r="H16" s="34"/>
      <c r="I16" s="35"/>
      <c r="J16" s="2"/>
    </row>
    <row r="17" spans="1:10" ht="12.95" customHeight="1">
      <c r="A17" s="2"/>
      <c r="B17" s="5"/>
      <c r="C17" s="2"/>
      <c r="D17" s="2"/>
      <c r="E17" s="2"/>
      <c r="F17" s="2"/>
      <c r="G17" s="2"/>
      <c r="H17" s="2"/>
      <c r="I17" s="2"/>
      <c r="J17" s="2"/>
    </row>
    <row r="18" spans="1:10" ht="12.95" customHeight="1">
      <c r="A18" s="2"/>
      <c r="B18" s="3" t="s">
        <v>244</v>
      </c>
      <c r="C18" s="2"/>
      <c r="D18" s="2"/>
      <c r="E18" s="2"/>
      <c r="F18" s="2"/>
      <c r="G18" s="2"/>
      <c r="H18" s="2"/>
      <c r="I18" s="2"/>
      <c r="J18" s="2"/>
    </row>
    <row r="19" spans="1:10" ht="12.95" customHeight="1">
      <c r="A19" s="2"/>
      <c r="B19" s="3" t="s">
        <v>186</v>
      </c>
      <c r="C19" s="2"/>
      <c r="D19" s="2"/>
      <c r="E19" s="2"/>
      <c r="F19" s="2"/>
      <c r="G19" s="2"/>
      <c r="H19" s="2"/>
      <c r="I19" s="2"/>
      <c r="J19" s="2"/>
    </row>
    <row r="20" spans="1:10" ht="23.25" customHeight="1">
      <c r="A20" s="2"/>
      <c r="B20" s="189" t="s">
        <v>4025</v>
      </c>
      <c r="C20" s="189"/>
      <c r="D20" s="189"/>
      <c r="E20" s="189"/>
      <c r="F20" s="189"/>
      <c r="G20" s="189"/>
      <c r="H20" s="189"/>
      <c r="I20" s="189"/>
      <c r="J20" s="2"/>
    </row>
    <row r="21" spans="1:10" ht="12.95" customHeight="1">
      <c r="A21" s="2"/>
      <c r="B21" s="3"/>
      <c r="C21" s="2"/>
      <c r="D21" s="2"/>
      <c r="E21" s="2"/>
      <c r="F21" s="2"/>
      <c r="G21" s="2"/>
      <c r="H21" s="2"/>
      <c r="I21" s="2"/>
      <c r="J21" s="2"/>
    </row>
    <row r="22" spans="1:10">
      <c r="C22" s="111" t="s">
        <v>3953</v>
      </c>
    </row>
    <row r="23" spans="1:10">
      <c r="B23" s="111" t="s">
        <v>3933</v>
      </c>
      <c r="C23" s="111" t="s">
        <v>3934</v>
      </c>
    </row>
  </sheetData>
  <mergeCells count="2">
    <mergeCell ref="B2:I2"/>
    <mergeCell ref="B20:I20"/>
  </mergeCells>
  <hyperlinks>
    <hyperlink ref="A2" location="Index!A1" display="Index"/>
  </hyperlinks>
  <pageMargins left="0" right="0" top="0" bottom="0" header="0" footer="0"/>
  <pageSetup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96"/>
  <sheetViews>
    <sheetView workbookViewId="0"/>
  </sheetViews>
  <sheetFormatPr defaultRowHeight="15"/>
  <cols>
    <col min="1" max="1" width="3.28515625" customWidth="1"/>
    <col min="2" max="2" width="69.140625" customWidth="1"/>
    <col min="3" max="3" width="18.7109375" bestFit="1" customWidth="1"/>
    <col min="4" max="4" width="33.140625" bestFit="1" customWidth="1"/>
    <col min="5" max="5" width="25.7109375" customWidth="1"/>
    <col min="6" max="6" width="20.85546875" bestFit="1" customWidth="1"/>
    <col min="7" max="9" width="10.7109375" customWidth="1"/>
    <col min="10" max="10" width="3.85546875" bestFit="1" customWidth="1"/>
  </cols>
  <sheetData>
    <row r="1" spans="1:13" ht="15.75" thickBot="1">
      <c r="A1" s="108" t="str">
        <f>M2</f>
        <v>AXISGOF</v>
      </c>
    </row>
    <row r="2" spans="1:13" ht="34.5" customHeight="1" thickBot="1">
      <c r="A2" s="135" t="str">
        <f>M2</f>
        <v>AXISGOF</v>
      </c>
      <c r="B2" s="186" t="s">
        <v>59</v>
      </c>
      <c r="C2" s="187"/>
      <c r="D2" s="187"/>
      <c r="E2" s="187"/>
      <c r="F2" s="187"/>
      <c r="G2" s="187"/>
      <c r="H2" s="187"/>
      <c r="I2" s="188"/>
      <c r="J2" s="2"/>
      <c r="M2" s="108" t="s">
        <v>58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2425</v>
      </c>
      <c r="B8" s="17" t="s">
        <v>2426</v>
      </c>
      <c r="C8" s="13" t="s">
        <v>2427</v>
      </c>
      <c r="D8" s="13" t="s">
        <v>731</v>
      </c>
      <c r="E8" s="18">
        <v>630026</v>
      </c>
      <c r="F8" s="19">
        <v>35243.97</v>
      </c>
      <c r="G8" s="20">
        <v>7.5300000000000006E-2</v>
      </c>
      <c r="H8" s="36"/>
      <c r="I8" s="22"/>
      <c r="J8" s="2"/>
    </row>
    <row r="9" spans="1:13" ht="12.95" customHeight="1">
      <c r="A9" s="16" t="s">
        <v>750</v>
      </c>
      <c r="B9" s="17" t="s">
        <v>751</v>
      </c>
      <c r="C9" s="13" t="s">
        <v>752</v>
      </c>
      <c r="D9" s="13" t="s">
        <v>753</v>
      </c>
      <c r="E9" s="18">
        <v>975293</v>
      </c>
      <c r="F9" s="19">
        <v>30998.23</v>
      </c>
      <c r="G9" s="20">
        <v>6.6199999999999995E-2</v>
      </c>
      <c r="H9" s="36"/>
      <c r="I9" s="22"/>
      <c r="J9" s="2"/>
    </row>
    <row r="10" spans="1:13" ht="12.95" customHeight="1">
      <c r="A10" s="16" t="s">
        <v>720</v>
      </c>
      <c r="B10" s="17" t="s">
        <v>721</v>
      </c>
      <c r="C10" s="13" t="s">
        <v>722</v>
      </c>
      <c r="D10" s="13" t="s">
        <v>723</v>
      </c>
      <c r="E10" s="18">
        <v>385557</v>
      </c>
      <c r="F10" s="19">
        <v>29564.9</v>
      </c>
      <c r="G10" s="20">
        <v>6.3200000000000006E-2</v>
      </c>
      <c r="H10" s="36"/>
      <c r="I10" s="22"/>
      <c r="J10" s="2"/>
    </row>
    <row r="11" spans="1:13" ht="12.95" customHeight="1">
      <c r="A11" s="16" t="s">
        <v>894</v>
      </c>
      <c r="B11" s="17" t="s">
        <v>895</v>
      </c>
      <c r="C11" s="13" t="s">
        <v>896</v>
      </c>
      <c r="D11" s="13" t="s">
        <v>731</v>
      </c>
      <c r="E11" s="18">
        <v>500697</v>
      </c>
      <c r="F11" s="19">
        <v>26243.03</v>
      </c>
      <c r="G11" s="20">
        <v>5.6099999999999997E-2</v>
      </c>
      <c r="H11" s="36"/>
      <c r="I11" s="22"/>
      <c r="J11" s="2"/>
    </row>
    <row r="12" spans="1:13" ht="12.95" customHeight="1">
      <c r="A12" s="16" t="s">
        <v>724</v>
      </c>
      <c r="B12" s="17" t="s">
        <v>725</v>
      </c>
      <c r="C12" s="13" t="s">
        <v>726</v>
      </c>
      <c r="D12" s="13" t="s">
        <v>727</v>
      </c>
      <c r="E12" s="18">
        <v>1122762</v>
      </c>
      <c r="F12" s="19">
        <v>24256.15</v>
      </c>
      <c r="G12" s="20">
        <v>5.1799999999999999E-2</v>
      </c>
      <c r="H12" s="36"/>
      <c r="I12" s="22"/>
      <c r="J12" s="2"/>
    </row>
    <row r="13" spans="1:13" ht="12.95" customHeight="1">
      <c r="A13" s="16" t="s">
        <v>879</v>
      </c>
      <c r="B13" s="17" t="s">
        <v>880</v>
      </c>
      <c r="C13" s="13" t="s">
        <v>881</v>
      </c>
      <c r="D13" s="13" t="s">
        <v>723</v>
      </c>
      <c r="E13" s="18">
        <v>986410</v>
      </c>
      <c r="F13" s="19">
        <v>24168.52</v>
      </c>
      <c r="G13" s="20">
        <v>5.16E-2</v>
      </c>
      <c r="H13" s="36"/>
      <c r="I13" s="22"/>
      <c r="J13" s="2"/>
    </row>
    <row r="14" spans="1:13" ht="12.95" customHeight="1">
      <c r="A14" s="16" t="s">
        <v>1858</v>
      </c>
      <c r="B14" s="17" t="s">
        <v>1859</v>
      </c>
      <c r="C14" s="13" t="s">
        <v>1860</v>
      </c>
      <c r="D14" s="13" t="s">
        <v>1556</v>
      </c>
      <c r="E14" s="18">
        <v>4537200</v>
      </c>
      <c r="F14" s="19">
        <v>22915.13</v>
      </c>
      <c r="G14" s="20">
        <v>4.9000000000000002E-2</v>
      </c>
      <c r="H14" s="36"/>
      <c r="I14" s="22"/>
      <c r="J14" s="2"/>
    </row>
    <row r="15" spans="1:13" ht="12.95" customHeight="1">
      <c r="A15" s="16" t="s">
        <v>963</v>
      </c>
      <c r="B15" s="17" t="s">
        <v>964</v>
      </c>
      <c r="C15" s="13" t="s">
        <v>965</v>
      </c>
      <c r="D15" s="13" t="s">
        <v>739</v>
      </c>
      <c r="E15" s="18">
        <v>271844</v>
      </c>
      <c r="F15" s="19">
        <v>17483.38</v>
      </c>
      <c r="G15" s="20">
        <v>3.7400000000000003E-2</v>
      </c>
      <c r="H15" s="36"/>
      <c r="I15" s="22"/>
      <c r="J15" s="2"/>
    </row>
    <row r="16" spans="1:13" ht="12.95" customHeight="1">
      <c r="A16" s="16" t="s">
        <v>764</v>
      </c>
      <c r="B16" s="17" t="s">
        <v>765</v>
      </c>
      <c r="C16" s="13" t="s">
        <v>766</v>
      </c>
      <c r="D16" s="13" t="s">
        <v>767</v>
      </c>
      <c r="E16" s="18">
        <v>147066</v>
      </c>
      <c r="F16" s="19">
        <v>13064.46</v>
      </c>
      <c r="G16" s="20">
        <v>2.7900000000000001E-2</v>
      </c>
      <c r="H16" s="36"/>
      <c r="I16" s="22"/>
      <c r="J16" s="2"/>
    </row>
    <row r="17" spans="1:10" ht="12.95" customHeight="1">
      <c r="A17" s="16" t="s">
        <v>754</v>
      </c>
      <c r="B17" s="17" t="s">
        <v>755</v>
      </c>
      <c r="C17" s="13" t="s">
        <v>756</v>
      </c>
      <c r="D17" s="13" t="s">
        <v>727</v>
      </c>
      <c r="E17" s="18">
        <v>411127</v>
      </c>
      <c r="F17" s="19">
        <v>9597.9699999999993</v>
      </c>
      <c r="G17" s="20">
        <v>2.0500000000000001E-2</v>
      </c>
      <c r="H17" s="36"/>
      <c r="I17" s="22"/>
      <c r="J17" s="2"/>
    </row>
    <row r="18" spans="1:10" ht="12.95" customHeight="1">
      <c r="A18" s="16" t="s">
        <v>1026</v>
      </c>
      <c r="B18" s="17" t="s">
        <v>1027</v>
      </c>
      <c r="C18" s="13" t="s">
        <v>1028</v>
      </c>
      <c r="D18" s="13" t="s">
        <v>763</v>
      </c>
      <c r="E18" s="18">
        <v>424885</v>
      </c>
      <c r="F18" s="19">
        <v>8698.4599999999991</v>
      </c>
      <c r="G18" s="20">
        <v>1.8599999999999998E-2</v>
      </c>
      <c r="H18" s="36"/>
      <c r="I18" s="22"/>
      <c r="J18" s="2"/>
    </row>
    <row r="19" spans="1:10" ht="12.95" customHeight="1">
      <c r="A19" s="16" t="s">
        <v>1033</v>
      </c>
      <c r="B19" s="17" t="s">
        <v>1034</v>
      </c>
      <c r="C19" s="13" t="s">
        <v>1035</v>
      </c>
      <c r="D19" s="13" t="s">
        <v>814</v>
      </c>
      <c r="E19" s="18">
        <v>218371</v>
      </c>
      <c r="F19" s="19">
        <v>8294.82</v>
      </c>
      <c r="G19" s="20">
        <v>1.77E-2</v>
      </c>
      <c r="H19" s="36"/>
      <c r="I19" s="22"/>
      <c r="J19" s="2"/>
    </row>
    <row r="20" spans="1:10" ht="12.95" customHeight="1">
      <c r="A20" s="16" t="s">
        <v>950</v>
      </c>
      <c r="B20" s="17" t="s">
        <v>951</v>
      </c>
      <c r="C20" s="13" t="s">
        <v>952</v>
      </c>
      <c r="D20" s="13" t="s">
        <v>910</v>
      </c>
      <c r="E20" s="18">
        <v>1348443</v>
      </c>
      <c r="F20" s="19">
        <v>7685.45</v>
      </c>
      <c r="G20" s="20">
        <v>1.6400000000000001E-2</v>
      </c>
      <c r="H20" s="36"/>
      <c r="I20" s="22"/>
      <c r="J20" s="2"/>
    </row>
    <row r="21" spans="1:10" ht="12.95" customHeight="1">
      <c r="A21" s="16" t="s">
        <v>757</v>
      </c>
      <c r="B21" s="17" t="s">
        <v>758</v>
      </c>
      <c r="C21" s="13" t="s">
        <v>759</v>
      </c>
      <c r="D21" s="13" t="s">
        <v>749</v>
      </c>
      <c r="E21" s="18">
        <v>197933</v>
      </c>
      <c r="F21" s="19">
        <v>7362.91</v>
      </c>
      <c r="G21" s="20">
        <v>1.5699999999999999E-2</v>
      </c>
      <c r="H21" s="36"/>
      <c r="I21" s="22"/>
      <c r="J21" s="2"/>
    </row>
    <row r="22" spans="1:10" ht="12.95" customHeight="1">
      <c r="A22" s="16" t="s">
        <v>2428</v>
      </c>
      <c r="B22" s="17" t="s">
        <v>2429</v>
      </c>
      <c r="C22" s="13" t="s">
        <v>2430</v>
      </c>
      <c r="D22" s="13" t="s">
        <v>987</v>
      </c>
      <c r="E22" s="18">
        <v>3647429</v>
      </c>
      <c r="F22" s="19">
        <v>6616.44</v>
      </c>
      <c r="G22" s="20">
        <v>1.41E-2</v>
      </c>
      <c r="H22" s="36"/>
      <c r="I22" s="22"/>
      <c r="J22" s="2"/>
    </row>
    <row r="23" spans="1:10" ht="12.95" customHeight="1">
      <c r="A23" s="16" t="s">
        <v>768</v>
      </c>
      <c r="B23" s="17" t="s">
        <v>769</v>
      </c>
      <c r="C23" s="13" t="s">
        <v>770</v>
      </c>
      <c r="D23" s="13" t="s">
        <v>771</v>
      </c>
      <c r="E23" s="18">
        <v>401945</v>
      </c>
      <c r="F23" s="19">
        <v>6368.62</v>
      </c>
      <c r="G23" s="20">
        <v>1.3599999999999999E-2</v>
      </c>
      <c r="H23" s="36"/>
      <c r="I23" s="22"/>
      <c r="J23" s="2"/>
    </row>
    <row r="24" spans="1:10" ht="12.95" customHeight="1">
      <c r="A24" s="16" t="s">
        <v>930</v>
      </c>
      <c r="B24" s="17" t="s">
        <v>931</v>
      </c>
      <c r="C24" s="13" t="s">
        <v>932</v>
      </c>
      <c r="D24" s="13" t="s">
        <v>723</v>
      </c>
      <c r="E24" s="18">
        <v>1081858</v>
      </c>
      <c r="F24" s="19">
        <v>6104.38</v>
      </c>
      <c r="G24" s="20">
        <v>1.2999999999999999E-2</v>
      </c>
      <c r="H24" s="36"/>
      <c r="I24" s="22"/>
      <c r="J24" s="2"/>
    </row>
    <row r="25" spans="1:10" ht="12.95" customHeight="1">
      <c r="A25" s="16" t="s">
        <v>736</v>
      </c>
      <c r="B25" s="17" t="s">
        <v>737</v>
      </c>
      <c r="C25" s="13" t="s">
        <v>738</v>
      </c>
      <c r="D25" s="13" t="s">
        <v>739</v>
      </c>
      <c r="E25" s="18">
        <v>138240</v>
      </c>
      <c r="F25" s="19">
        <v>5875.48</v>
      </c>
      <c r="G25" s="20">
        <v>1.26E-2</v>
      </c>
      <c r="H25" s="36"/>
      <c r="I25" s="22"/>
      <c r="J25" s="2"/>
    </row>
    <row r="26" spans="1:10" ht="12.95" customHeight="1">
      <c r="A26" s="16" t="s">
        <v>728</v>
      </c>
      <c r="B26" s="17" t="s">
        <v>729</v>
      </c>
      <c r="C26" s="13" t="s">
        <v>730</v>
      </c>
      <c r="D26" s="13" t="s">
        <v>731</v>
      </c>
      <c r="E26" s="18">
        <v>154549</v>
      </c>
      <c r="F26" s="19">
        <v>5835.07</v>
      </c>
      <c r="G26" s="20">
        <v>1.2500000000000001E-2</v>
      </c>
      <c r="H26" s="36"/>
      <c r="I26" s="22"/>
      <c r="J26" s="2"/>
    </row>
    <row r="27" spans="1:10" ht="12.95" customHeight="1">
      <c r="A27" s="16" t="s">
        <v>830</v>
      </c>
      <c r="B27" s="17" t="s">
        <v>831</v>
      </c>
      <c r="C27" s="13" t="s">
        <v>832</v>
      </c>
      <c r="D27" s="13" t="s">
        <v>763</v>
      </c>
      <c r="E27" s="18">
        <v>311756</v>
      </c>
      <c r="F27" s="19">
        <v>5818.93</v>
      </c>
      <c r="G27" s="20">
        <v>1.24E-2</v>
      </c>
      <c r="H27" s="36"/>
      <c r="I27" s="22"/>
      <c r="J27" s="2"/>
    </row>
    <row r="28" spans="1:10" ht="12.95" customHeight="1">
      <c r="A28" s="16" t="s">
        <v>917</v>
      </c>
      <c r="B28" s="17" t="s">
        <v>918</v>
      </c>
      <c r="C28" s="13" t="s">
        <v>919</v>
      </c>
      <c r="D28" s="13" t="s">
        <v>731</v>
      </c>
      <c r="E28" s="18">
        <v>149083</v>
      </c>
      <c r="F28" s="19">
        <v>5540.37</v>
      </c>
      <c r="G28" s="20">
        <v>1.18E-2</v>
      </c>
      <c r="H28" s="36"/>
      <c r="I28" s="22"/>
      <c r="J28" s="2"/>
    </row>
    <row r="29" spans="1:10" ht="12.95" customHeight="1">
      <c r="A29" s="16" t="s">
        <v>842</v>
      </c>
      <c r="B29" s="17" t="s">
        <v>843</v>
      </c>
      <c r="C29" s="13" t="s">
        <v>844</v>
      </c>
      <c r="D29" s="13" t="s">
        <v>771</v>
      </c>
      <c r="E29" s="18">
        <v>657582</v>
      </c>
      <c r="F29" s="19">
        <v>5300.77</v>
      </c>
      <c r="G29" s="20">
        <v>1.1299999999999999E-2</v>
      </c>
      <c r="H29" s="36"/>
      <c r="I29" s="22"/>
      <c r="J29" s="2"/>
    </row>
    <row r="30" spans="1:10" ht="12.95" customHeight="1">
      <c r="A30" s="16" t="s">
        <v>821</v>
      </c>
      <c r="B30" s="17" t="s">
        <v>822</v>
      </c>
      <c r="C30" s="13" t="s">
        <v>823</v>
      </c>
      <c r="D30" s="13" t="s">
        <v>753</v>
      </c>
      <c r="E30" s="18">
        <v>1143593</v>
      </c>
      <c r="F30" s="19">
        <v>4598.96</v>
      </c>
      <c r="G30" s="20">
        <v>9.7999999999999997E-3</v>
      </c>
      <c r="H30" s="36"/>
      <c r="I30" s="22"/>
      <c r="J30" s="2"/>
    </row>
    <row r="31" spans="1:10" ht="12.95" customHeight="1">
      <c r="A31" s="16" t="s">
        <v>924</v>
      </c>
      <c r="B31" s="17" t="s">
        <v>925</v>
      </c>
      <c r="C31" s="13" t="s">
        <v>926</v>
      </c>
      <c r="D31" s="13" t="s">
        <v>771</v>
      </c>
      <c r="E31" s="18">
        <v>763264</v>
      </c>
      <c r="F31" s="19">
        <v>4242.6000000000004</v>
      </c>
      <c r="G31" s="20">
        <v>9.1000000000000004E-3</v>
      </c>
      <c r="H31" s="36"/>
      <c r="I31" s="22"/>
      <c r="J31" s="2"/>
    </row>
    <row r="32" spans="1:10" ht="12.95" customHeight="1">
      <c r="A32" s="16" t="s">
        <v>2431</v>
      </c>
      <c r="B32" s="17" t="s">
        <v>2432</v>
      </c>
      <c r="C32" s="13" t="s">
        <v>2433</v>
      </c>
      <c r="D32" s="13" t="s">
        <v>723</v>
      </c>
      <c r="E32" s="18">
        <v>1324218</v>
      </c>
      <c r="F32" s="19">
        <v>4190.49</v>
      </c>
      <c r="G32" s="20">
        <v>8.9999999999999993E-3</v>
      </c>
      <c r="H32" s="36"/>
      <c r="I32" s="22"/>
      <c r="J32" s="2"/>
    </row>
    <row r="33" spans="1:10" ht="12.95" customHeight="1">
      <c r="A33" s="16" t="s">
        <v>2434</v>
      </c>
      <c r="B33" s="17" t="s">
        <v>2435</v>
      </c>
      <c r="C33" s="13" t="s">
        <v>2436</v>
      </c>
      <c r="D33" s="13" t="s">
        <v>2437</v>
      </c>
      <c r="E33" s="18">
        <v>85345</v>
      </c>
      <c r="F33" s="19">
        <v>3830.84</v>
      </c>
      <c r="G33" s="20">
        <v>8.2000000000000007E-3</v>
      </c>
      <c r="H33" s="36"/>
      <c r="I33" s="22"/>
      <c r="J33" s="2"/>
    </row>
    <row r="34" spans="1:10" ht="12.95" customHeight="1">
      <c r="A34" s="16" t="s">
        <v>2438</v>
      </c>
      <c r="B34" s="17" t="s">
        <v>2439</v>
      </c>
      <c r="C34" s="13" t="s">
        <v>2440</v>
      </c>
      <c r="D34" s="13" t="s">
        <v>2441</v>
      </c>
      <c r="E34" s="18">
        <v>185990</v>
      </c>
      <c r="F34" s="19">
        <v>3445.28</v>
      </c>
      <c r="G34" s="20">
        <v>7.4000000000000003E-3</v>
      </c>
      <c r="H34" s="36"/>
      <c r="I34" s="22"/>
      <c r="J34" s="2"/>
    </row>
    <row r="35" spans="1:10" ht="12.95" customHeight="1">
      <c r="A35" s="16" t="s">
        <v>1726</v>
      </c>
      <c r="B35" s="17" t="s">
        <v>1727</v>
      </c>
      <c r="C35" s="13" t="s">
        <v>1728</v>
      </c>
      <c r="D35" s="13" t="s">
        <v>763</v>
      </c>
      <c r="E35" s="18">
        <v>119252</v>
      </c>
      <c r="F35" s="19">
        <v>2840.52</v>
      </c>
      <c r="G35" s="20">
        <v>6.1000000000000004E-3</v>
      </c>
      <c r="H35" s="36"/>
      <c r="I35" s="22"/>
      <c r="J35" s="2"/>
    </row>
    <row r="36" spans="1:10" ht="12.95" customHeight="1">
      <c r="A36" s="16" t="s">
        <v>2442</v>
      </c>
      <c r="B36" s="17" t="s">
        <v>2443</v>
      </c>
      <c r="C36" s="13" t="s">
        <v>2444</v>
      </c>
      <c r="D36" s="13" t="s">
        <v>789</v>
      </c>
      <c r="E36" s="18">
        <v>750000</v>
      </c>
      <c r="F36" s="19">
        <v>2748.75</v>
      </c>
      <c r="G36" s="20">
        <v>5.8999999999999999E-3</v>
      </c>
      <c r="H36" s="36"/>
      <c r="I36" s="22"/>
      <c r="J36" s="2"/>
    </row>
    <row r="37" spans="1:10" ht="12.95" customHeight="1">
      <c r="A37" s="16" t="s">
        <v>2445</v>
      </c>
      <c r="B37" s="17" t="s">
        <v>2446</v>
      </c>
      <c r="C37" s="13" t="s">
        <v>2447</v>
      </c>
      <c r="D37" s="13" t="s">
        <v>1047</v>
      </c>
      <c r="E37" s="18">
        <v>180205</v>
      </c>
      <c r="F37" s="19">
        <v>2324.64</v>
      </c>
      <c r="G37" s="20">
        <v>5.0000000000000001E-3</v>
      </c>
      <c r="H37" s="36"/>
      <c r="I37" s="22"/>
      <c r="J37" s="2"/>
    </row>
    <row r="38" spans="1:10" ht="12.95" customHeight="1">
      <c r="A38" s="16" t="s">
        <v>1001</v>
      </c>
      <c r="B38" s="17" t="s">
        <v>1002</v>
      </c>
      <c r="C38" s="13" t="s">
        <v>1003</v>
      </c>
      <c r="D38" s="13" t="s">
        <v>789</v>
      </c>
      <c r="E38" s="18">
        <v>250000</v>
      </c>
      <c r="F38" s="19">
        <v>2132.75</v>
      </c>
      <c r="G38" s="20">
        <v>4.5999999999999999E-3</v>
      </c>
      <c r="H38" s="36"/>
      <c r="I38" s="22"/>
      <c r="J38" s="2"/>
    </row>
    <row r="39" spans="1:10" ht="12.95" customHeight="1">
      <c r="A39" s="16" t="s">
        <v>796</v>
      </c>
      <c r="B39" s="17" t="s">
        <v>797</v>
      </c>
      <c r="C39" s="13" t="s">
        <v>798</v>
      </c>
      <c r="D39" s="13" t="s">
        <v>771</v>
      </c>
      <c r="E39" s="18">
        <v>915000</v>
      </c>
      <c r="F39" s="19">
        <v>2067.44</v>
      </c>
      <c r="G39" s="20">
        <v>4.4000000000000003E-3</v>
      </c>
      <c r="H39" s="36"/>
      <c r="I39" s="22"/>
      <c r="J39" s="2"/>
    </row>
    <row r="40" spans="1:10" ht="12.95" customHeight="1">
      <c r="A40" s="16" t="s">
        <v>2448</v>
      </c>
      <c r="B40" s="17" t="s">
        <v>2449</v>
      </c>
      <c r="C40" s="13" t="s">
        <v>2450</v>
      </c>
      <c r="D40" s="13" t="s">
        <v>1047</v>
      </c>
      <c r="E40" s="18">
        <v>250000</v>
      </c>
      <c r="F40" s="19">
        <v>1895.88</v>
      </c>
      <c r="G40" s="20">
        <v>4.1000000000000003E-3</v>
      </c>
      <c r="H40" s="36"/>
      <c r="I40" s="22"/>
      <c r="J40" s="2"/>
    </row>
    <row r="41" spans="1:10" ht="12.95" customHeight="1">
      <c r="A41" s="16" t="s">
        <v>827</v>
      </c>
      <c r="B41" s="17" t="s">
        <v>828</v>
      </c>
      <c r="C41" s="13" t="s">
        <v>829</v>
      </c>
      <c r="D41" s="13" t="s">
        <v>763</v>
      </c>
      <c r="E41" s="18">
        <v>50000</v>
      </c>
      <c r="F41" s="19">
        <v>1842.38</v>
      </c>
      <c r="G41" s="20">
        <v>3.8999999999999998E-3</v>
      </c>
      <c r="H41" s="36"/>
      <c r="I41" s="22"/>
      <c r="J41" s="2"/>
    </row>
    <row r="42" spans="1:10" ht="12.95" customHeight="1">
      <c r="A42" s="16" t="s">
        <v>848</v>
      </c>
      <c r="B42" s="17" t="s">
        <v>849</v>
      </c>
      <c r="C42" s="13" t="s">
        <v>850</v>
      </c>
      <c r="D42" s="13" t="s">
        <v>739</v>
      </c>
      <c r="E42" s="18">
        <v>1000000</v>
      </c>
      <c r="F42" s="19">
        <v>1366</v>
      </c>
      <c r="G42" s="20">
        <v>2.8999999999999998E-3</v>
      </c>
      <c r="H42" s="36"/>
      <c r="I42" s="22"/>
      <c r="J42" s="2"/>
    </row>
    <row r="43" spans="1:10" ht="12.95" customHeight="1">
      <c r="A43" s="16" t="s">
        <v>790</v>
      </c>
      <c r="B43" s="17" t="s">
        <v>791</v>
      </c>
      <c r="C43" s="13" t="s">
        <v>792</v>
      </c>
      <c r="D43" s="13" t="s">
        <v>767</v>
      </c>
      <c r="E43" s="18">
        <v>120721</v>
      </c>
      <c r="F43" s="19">
        <v>1292.8599999999999</v>
      </c>
      <c r="G43" s="20">
        <v>2.8E-3</v>
      </c>
      <c r="H43" s="36"/>
      <c r="I43" s="22"/>
      <c r="J43" s="2"/>
    </row>
    <row r="44" spans="1:10" ht="12.95" customHeight="1">
      <c r="A44" s="16" t="s">
        <v>833</v>
      </c>
      <c r="B44" s="17" t="s">
        <v>834</v>
      </c>
      <c r="C44" s="13" t="s">
        <v>835</v>
      </c>
      <c r="D44" s="13" t="s">
        <v>836</v>
      </c>
      <c r="E44" s="18">
        <v>2495</v>
      </c>
      <c r="F44" s="19">
        <v>1140.58</v>
      </c>
      <c r="G44" s="20">
        <v>2.3999999999999998E-3</v>
      </c>
      <c r="H44" s="36"/>
      <c r="I44" s="22"/>
      <c r="J44" s="2"/>
    </row>
    <row r="45" spans="1:10" ht="12.95" customHeight="1">
      <c r="A45" s="16" t="s">
        <v>2451</v>
      </c>
      <c r="B45" s="17" t="s">
        <v>2452</v>
      </c>
      <c r="C45" s="13" t="s">
        <v>2453</v>
      </c>
      <c r="D45" s="13" t="s">
        <v>836</v>
      </c>
      <c r="E45" s="18">
        <v>870669</v>
      </c>
      <c r="F45" s="19">
        <v>1070.49</v>
      </c>
      <c r="G45" s="20">
        <v>2.3E-3</v>
      </c>
      <c r="H45" s="36"/>
      <c r="I45" s="22"/>
      <c r="J45" s="2"/>
    </row>
    <row r="46" spans="1:10" ht="12.95" customHeight="1">
      <c r="A46" s="16" t="s">
        <v>2454</v>
      </c>
      <c r="B46" s="17" t="s">
        <v>2455</v>
      </c>
      <c r="C46" s="13" t="s">
        <v>2456</v>
      </c>
      <c r="D46" s="13" t="s">
        <v>685</v>
      </c>
      <c r="E46" s="18">
        <v>320088</v>
      </c>
      <c r="F46" s="19">
        <v>1014.04</v>
      </c>
      <c r="G46" s="20">
        <v>2.2000000000000001E-3</v>
      </c>
      <c r="H46" s="36"/>
      <c r="I46" s="22"/>
      <c r="J46" s="2"/>
    </row>
    <row r="47" spans="1:10" ht="12.95" customHeight="1">
      <c r="A47" s="16" t="s">
        <v>2457</v>
      </c>
      <c r="B47" s="17" t="s">
        <v>2458</v>
      </c>
      <c r="C47" s="13" t="s">
        <v>2459</v>
      </c>
      <c r="D47" s="13" t="s">
        <v>814</v>
      </c>
      <c r="E47" s="18">
        <v>8396</v>
      </c>
      <c r="F47" s="19">
        <v>546.32000000000005</v>
      </c>
      <c r="G47" s="20">
        <v>1.1999999999999999E-3</v>
      </c>
      <c r="H47" s="36"/>
      <c r="I47" s="22"/>
      <c r="J47" s="2"/>
    </row>
    <row r="48" spans="1:10" ht="12.95" customHeight="1">
      <c r="A48" s="16" t="s">
        <v>1553</v>
      </c>
      <c r="B48" s="17" t="s">
        <v>1554</v>
      </c>
      <c r="C48" s="13" t="s">
        <v>1555</v>
      </c>
      <c r="D48" s="13" t="s">
        <v>1556</v>
      </c>
      <c r="E48" s="18">
        <v>279127</v>
      </c>
      <c r="F48" s="19">
        <v>443.11</v>
      </c>
      <c r="G48" s="20">
        <v>8.9999999999999998E-4</v>
      </c>
      <c r="H48" s="36"/>
      <c r="I48" s="22"/>
      <c r="J48" s="2"/>
    </row>
    <row r="49" spans="1:10" ht="12.95" customHeight="1">
      <c r="A49" s="16" t="s">
        <v>818</v>
      </c>
      <c r="B49" s="17" t="s">
        <v>819</v>
      </c>
      <c r="C49" s="13" t="s">
        <v>820</v>
      </c>
      <c r="D49" s="13" t="s">
        <v>739</v>
      </c>
      <c r="E49" s="18">
        <v>4300</v>
      </c>
      <c r="F49" s="19">
        <v>360.29</v>
      </c>
      <c r="G49" s="20">
        <v>8.0000000000000004E-4</v>
      </c>
      <c r="H49" s="36"/>
      <c r="I49" s="22"/>
      <c r="J49" s="2"/>
    </row>
    <row r="50" spans="1:10" ht="12.95" customHeight="1">
      <c r="A50" s="16" t="s">
        <v>2460</v>
      </c>
      <c r="B50" s="17" t="s">
        <v>2461</v>
      </c>
      <c r="C50" s="13" t="s">
        <v>2462</v>
      </c>
      <c r="D50" s="13" t="s">
        <v>767</v>
      </c>
      <c r="E50" s="18">
        <v>5820</v>
      </c>
      <c r="F50" s="19">
        <v>268.41000000000003</v>
      </c>
      <c r="G50" s="20">
        <v>5.9999999999999995E-4</v>
      </c>
      <c r="H50" s="36"/>
      <c r="I50" s="22"/>
      <c r="J50" s="2"/>
    </row>
    <row r="51" spans="1:10" ht="12.95" customHeight="1">
      <c r="A51" s="16" t="s">
        <v>1045</v>
      </c>
      <c r="B51" s="17" t="s">
        <v>3930</v>
      </c>
      <c r="C51" s="13" t="s">
        <v>1046</v>
      </c>
      <c r="D51" s="13" t="s">
        <v>1047</v>
      </c>
      <c r="E51" s="18">
        <v>245780</v>
      </c>
      <c r="F51" s="19">
        <v>1749.95</v>
      </c>
      <c r="G51" s="20">
        <v>3.7000000000000002E-3</v>
      </c>
      <c r="H51" s="36"/>
      <c r="I51" s="22"/>
      <c r="J51" s="2"/>
    </row>
    <row r="52" spans="1:10" ht="12.95" customHeight="1">
      <c r="A52" s="2"/>
      <c r="B52" s="27" t="s">
        <v>177</v>
      </c>
      <c r="C52" s="28"/>
      <c r="D52" s="1"/>
      <c r="E52" s="28"/>
      <c r="F52" s="23">
        <v>358450.02</v>
      </c>
      <c r="G52" s="24">
        <v>0.76600000000000001</v>
      </c>
      <c r="H52" s="25"/>
      <c r="I52" s="26"/>
      <c r="J52" s="2"/>
    </row>
    <row r="53" spans="1:10" ht="12.95" customHeight="1">
      <c r="A53" s="2"/>
      <c r="B53" s="12" t="s">
        <v>2150</v>
      </c>
      <c r="C53" s="13"/>
      <c r="D53" s="13"/>
      <c r="E53" s="13"/>
      <c r="F53" s="13"/>
      <c r="G53" s="13"/>
      <c r="H53" s="14"/>
      <c r="I53" s="15"/>
      <c r="J53" s="2"/>
    </row>
    <row r="54" spans="1:10" ht="12.95" customHeight="1">
      <c r="A54" s="2"/>
      <c r="B54" s="12" t="s">
        <v>681</v>
      </c>
      <c r="C54" s="13"/>
      <c r="D54" s="13"/>
      <c r="E54" s="13"/>
      <c r="F54" s="2"/>
      <c r="G54" s="14"/>
      <c r="H54" s="14"/>
      <c r="I54" s="15"/>
      <c r="J54" s="2"/>
    </row>
    <row r="55" spans="1:10" ht="12.95" customHeight="1">
      <c r="A55" s="16" t="s">
        <v>2151</v>
      </c>
      <c r="B55" s="17" t="s">
        <v>2152</v>
      </c>
      <c r="C55" s="13" t="s">
        <v>2153</v>
      </c>
      <c r="D55" s="13" t="s">
        <v>2154</v>
      </c>
      <c r="E55" s="18">
        <v>34165</v>
      </c>
      <c r="F55" s="19">
        <v>7204.87</v>
      </c>
      <c r="G55" s="20">
        <v>1.54E-2</v>
      </c>
      <c r="H55" s="36"/>
      <c r="I55" s="22"/>
      <c r="J55" s="2"/>
    </row>
    <row r="56" spans="1:10" ht="12.95" customHeight="1">
      <c r="A56" s="16" t="s">
        <v>2155</v>
      </c>
      <c r="B56" s="17" t="s">
        <v>2156</v>
      </c>
      <c r="C56" s="13" t="s">
        <v>2157</v>
      </c>
      <c r="D56" s="13" t="s">
        <v>2158</v>
      </c>
      <c r="E56" s="18">
        <v>3340</v>
      </c>
      <c r="F56" s="19">
        <v>6664.26</v>
      </c>
      <c r="G56" s="20">
        <v>1.4200000000000001E-2</v>
      </c>
      <c r="H56" s="36"/>
      <c r="I56" s="22"/>
      <c r="J56" s="2"/>
    </row>
    <row r="57" spans="1:10" ht="12.95" customHeight="1">
      <c r="A57" s="16" t="s">
        <v>2463</v>
      </c>
      <c r="B57" s="17" t="s">
        <v>2464</v>
      </c>
      <c r="C57" s="13" t="s">
        <v>2465</v>
      </c>
      <c r="D57" s="13" t="s">
        <v>2466</v>
      </c>
      <c r="E57" s="18">
        <v>2361</v>
      </c>
      <c r="F57" s="19">
        <v>5787.4</v>
      </c>
      <c r="G57" s="20">
        <v>1.24E-2</v>
      </c>
      <c r="H57" s="36"/>
      <c r="I57" s="22"/>
      <c r="J57" s="2"/>
    </row>
    <row r="58" spans="1:10" ht="12.95" customHeight="1">
      <c r="A58" s="16" t="s">
        <v>2467</v>
      </c>
      <c r="B58" s="17" t="s">
        <v>2468</v>
      </c>
      <c r="C58" s="13" t="s">
        <v>2469</v>
      </c>
      <c r="D58" s="13" t="s">
        <v>2158</v>
      </c>
      <c r="E58" s="18">
        <v>18695</v>
      </c>
      <c r="F58" s="19">
        <v>4714.46</v>
      </c>
      <c r="G58" s="20">
        <v>1.01E-2</v>
      </c>
      <c r="H58" s="36"/>
      <c r="I58" s="22"/>
      <c r="J58" s="2"/>
    </row>
    <row r="59" spans="1:10" ht="12.95" customHeight="1">
      <c r="A59" s="16" t="s">
        <v>2470</v>
      </c>
      <c r="B59" s="17" t="s">
        <v>2471</v>
      </c>
      <c r="C59" s="13" t="s">
        <v>2472</v>
      </c>
      <c r="D59" s="13" t="s">
        <v>2185</v>
      </c>
      <c r="E59" s="18">
        <v>35764</v>
      </c>
      <c r="F59" s="19">
        <v>4407.07</v>
      </c>
      <c r="G59" s="20">
        <v>9.4000000000000004E-3</v>
      </c>
      <c r="H59" s="36"/>
      <c r="I59" s="22"/>
      <c r="J59" s="2"/>
    </row>
    <row r="60" spans="1:10" ht="12.95" customHeight="1">
      <c r="A60" s="16" t="s">
        <v>2473</v>
      </c>
      <c r="B60" s="17" t="s">
        <v>2474</v>
      </c>
      <c r="C60" s="13" t="s">
        <v>2475</v>
      </c>
      <c r="D60" s="13" t="s">
        <v>2476</v>
      </c>
      <c r="E60" s="18">
        <v>38443</v>
      </c>
      <c r="F60" s="19">
        <v>4054.09</v>
      </c>
      <c r="G60" s="20">
        <v>8.6999999999999994E-3</v>
      </c>
      <c r="H60" s="36"/>
      <c r="I60" s="22"/>
      <c r="J60" s="2"/>
    </row>
    <row r="61" spans="1:10" ht="12.95" customHeight="1">
      <c r="A61" s="16" t="s">
        <v>2201</v>
      </c>
      <c r="B61" s="17" t="s">
        <v>2202</v>
      </c>
      <c r="C61" s="13" t="s">
        <v>2203</v>
      </c>
      <c r="D61" s="13" t="s">
        <v>2204</v>
      </c>
      <c r="E61" s="18">
        <v>23394</v>
      </c>
      <c r="F61" s="19">
        <v>3937.71</v>
      </c>
      <c r="G61" s="20">
        <v>8.3999999999999995E-3</v>
      </c>
      <c r="H61" s="36"/>
      <c r="I61" s="22"/>
      <c r="J61" s="2"/>
    </row>
    <row r="62" spans="1:10" ht="12.95" customHeight="1">
      <c r="A62" s="16" t="s">
        <v>2218</v>
      </c>
      <c r="B62" s="17" t="s">
        <v>2219</v>
      </c>
      <c r="C62" s="13" t="s">
        <v>2220</v>
      </c>
      <c r="D62" s="13" t="s">
        <v>2221</v>
      </c>
      <c r="E62" s="18">
        <v>13135</v>
      </c>
      <c r="F62" s="19">
        <v>3905.36</v>
      </c>
      <c r="G62" s="20">
        <v>8.3000000000000001E-3</v>
      </c>
      <c r="H62" s="36"/>
      <c r="I62" s="22"/>
      <c r="J62" s="2"/>
    </row>
    <row r="63" spans="1:10" ht="12.95" customHeight="1">
      <c r="A63" s="16" t="s">
        <v>2186</v>
      </c>
      <c r="B63" s="17" t="s">
        <v>2187</v>
      </c>
      <c r="C63" s="13" t="s">
        <v>2188</v>
      </c>
      <c r="D63" s="13" t="s">
        <v>2189</v>
      </c>
      <c r="E63" s="18">
        <v>42489</v>
      </c>
      <c r="F63" s="19">
        <v>3795.81</v>
      </c>
      <c r="G63" s="20">
        <v>8.0999999999999996E-3</v>
      </c>
      <c r="H63" s="36"/>
      <c r="I63" s="22"/>
      <c r="J63" s="2"/>
    </row>
    <row r="64" spans="1:10" ht="12.95" customHeight="1">
      <c r="A64" s="16" t="s">
        <v>2477</v>
      </c>
      <c r="B64" s="17" t="s">
        <v>2478</v>
      </c>
      <c r="C64" s="13" t="s">
        <v>2479</v>
      </c>
      <c r="D64" s="13" t="s">
        <v>2480</v>
      </c>
      <c r="E64" s="18">
        <v>2935</v>
      </c>
      <c r="F64" s="19">
        <v>3785.6</v>
      </c>
      <c r="G64" s="20">
        <v>8.0999999999999996E-3</v>
      </c>
      <c r="H64" s="36"/>
      <c r="I64" s="22"/>
      <c r="J64" s="2"/>
    </row>
    <row r="65" spans="1:10" ht="12.95" customHeight="1">
      <c r="A65" s="16" t="s">
        <v>2233</v>
      </c>
      <c r="B65" s="17" t="s">
        <v>2234</v>
      </c>
      <c r="C65" s="13" t="s">
        <v>2235</v>
      </c>
      <c r="D65" s="13" t="s">
        <v>2236</v>
      </c>
      <c r="E65" s="18">
        <v>8670</v>
      </c>
      <c r="F65" s="19">
        <v>3719.18</v>
      </c>
      <c r="G65" s="20">
        <v>7.9000000000000008E-3</v>
      </c>
      <c r="H65" s="36"/>
      <c r="I65" s="22"/>
      <c r="J65" s="2"/>
    </row>
    <row r="66" spans="1:10" ht="12.95" customHeight="1">
      <c r="A66" s="16" t="s">
        <v>2481</v>
      </c>
      <c r="B66" s="17" t="s">
        <v>2482</v>
      </c>
      <c r="C66" s="13" t="s">
        <v>2483</v>
      </c>
      <c r="D66" s="13" t="s">
        <v>2254</v>
      </c>
      <c r="E66" s="18">
        <v>23960</v>
      </c>
      <c r="F66" s="19">
        <v>3684.62</v>
      </c>
      <c r="G66" s="20">
        <v>7.9000000000000008E-3</v>
      </c>
      <c r="H66" s="36"/>
      <c r="I66" s="22"/>
      <c r="J66" s="2"/>
    </row>
    <row r="67" spans="1:10" ht="12.95" customHeight="1">
      <c r="A67" s="16" t="s">
        <v>2484</v>
      </c>
      <c r="B67" s="17" t="s">
        <v>2485</v>
      </c>
      <c r="C67" s="13" t="s">
        <v>2486</v>
      </c>
      <c r="D67" s="13" t="s">
        <v>2487</v>
      </c>
      <c r="E67" s="18">
        <v>28891</v>
      </c>
      <c r="F67" s="19">
        <v>3680.05</v>
      </c>
      <c r="G67" s="20">
        <v>7.9000000000000008E-3</v>
      </c>
      <c r="H67" s="36"/>
      <c r="I67" s="22"/>
      <c r="J67" s="2"/>
    </row>
    <row r="68" spans="1:10" ht="12.95" customHeight="1">
      <c r="A68" s="16" t="s">
        <v>2163</v>
      </c>
      <c r="B68" s="17" t="s">
        <v>2164</v>
      </c>
      <c r="C68" s="13" t="s">
        <v>2165</v>
      </c>
      <c r="D68" s="13" t="s">
        <v>2166</v>
      </c>
      <c r="E68" s="18">
        <v>2079</v>
      </c>
      <c r="F68" s="19">
        <v>3670.79</v>
      </c>
      <c r="G68" s="20">
        <v>7.7999999999999996E-3</v>
      </c>
      <c r="H68" s="36"/>
      <c r="I68" s="22"/>
      <c r="J68" s="2"/>
    </row>
    <row r="69" spans="1:10" ht="12.95" customHeight="1">
      <c r="A69" s="16" t="s">
        <v>2212</v>
      </c>
      <c r="B69" s="17" t="s">
        <v>2213</v>
      </c>
      <c r="C69" s="13" t="s">
        <v>2214</v>
      </c>
      <c r="D69" s="13" t="s">
        <v>749</v>
      </c>
      <c r="E69" s="18">
        <v>107070</v>
      </c>
      <c r="F69" s="19">
        <v>3592.03</v>
      </c>
      <c r="G69" s="20">
        <v>7.7000000000000002E-3</v>
      </c>
      <c r="H69" s="36"/>
      <c r="I69" s="22"/>
      <c r="J69" s="2"/>
    </row>
    <row r="70" spans="1:10" ht="12.95" customHeight="1">
      <c r="A70" s="16" t="s">
        <v>2167</v>
      </c>
      <c r="B70" s="17" t="s">
        <v>2168</v>
      </c>
      <c r="C70" s="13" t="s">
        <v>2169</v>
      </c>
      <c r="D70" s="13" t="s">
        <v>2170</v>
      </c>
      <c r="E70" s="18">
        <v>25032</v>
      </c>
      <c r="F70" s="19">
        <v>3588.7</v>
      </c>
      <c r="G70" s="20">
        <v>7.7000000000000002E-3</v>
      </c>
      <c r="H70" s="36"/>
      <c r="I70" s="22"/>
      <c r="J70" s="2"/>
    </row>
    <row r="71" spans="1:10" ht="12.95" customHeight="1">
      <c r="A71" s="16" t="s">
        <v>2488</v>
      </c>
      <c r="B71" s="17" t="s">
        <v>2489</v>
      </c>
      <c r="C71" s="13" t="s">
        <v>2490</v>
      </c>
      <c r="D71" s="13" t="s">
        <v>2491</v>
      </c>
      <c r="E71" s="18">
        <v>86301</v>
      </c>
      <c r="F71" s="19">
        <v>3584.16</v>
      </c>
      <c r="G71" s="20">
        <v>7.7000000000000002E-3</v>
      </c>
      <c r="H71" s="36"/>
      <c r="I71" s="22"/>
      <c r="J71" s="2"/>
    </row>
    <row r="72" spans="1:10" ht="12.95" customHeight="1">
      <c r="A72" s="16" t="s">
        <v>2492</v>
      </c>
      <c r="B72" s="17" t="s">
        <v>2493</v>
      </c>
      <c r="C72" s="13" t="s">
        <v>2494</v>
      </c>
      <c r="D72" s="13" t="s">
        <v>2258</v>
      </c>
      <c r="E72" s="18">
        <v>42380</v>
      </c>
      <c r="F72" s="19">
        <v>3572.4</v>
      </c>
      <c r="G72" s="20">
        <v>7.6E-3</v>
      </c>
      <c r="H72" s="36"/>
      <c r="I72" s="22"/>
      <c r="J72" s="2"/>
    </row>
    <row r="73" spans="1:10" ht="12.95" customHeight="1">
      <c r="A73" s="16" t="s">
        <v>2495</v>
      </c>
      <c r="B73" s="17" t="s">
        <v>2496</v>
      </c>
      <c r="C73" s="13" t="s">
        <v>2497</v>
      </c>
      <c r="D73" s="13" t="s">
        <v>2498</v>
      </c>
      <c r="E73" s="18">
        <v>46647</v>
      </c>
      <c r="F73" s="19">
        <v>3446.11</v>
      </c>
      <c r="G73" s="20">
        <v>7.4000000000000003E-3</v>
      </c>
      <c r="H73" s="36"/>
      <c r="I73" s="22"/>
      <c r="J73" s="2"/>
    </row>
    <row r="74" spans="1:10" ht="12.95" customHeight="1">
      <c r="A74" s="16" t="s">
        <v>2499</v>
      </c>
      <c r="B74" s="17" t="s">
        <v>2500</v>
      </c>
      <c r="C74" s="13" t="s">
        <v>2501</v>
      </c>
      <c r="D74" s="13" t="s">
        <v>749</v>
      </c>
      <c r="E74" s="18">
        <v>61716</v>
      </c>
      <c r="F74" s="19">
        <v>3441.17</v>
      </c>
      <c r="G74" s="20">
        <v>7.4000000000000003E-3</v>
      </c>
      <c r="H74" s="36"/>
      <c r="I74" s="22"/>
      <c r="J74" s="2"/>
    </row>
    <row r="75" spans="1:10" ht="12.95" customHeight="1">
      <c r="A75" s="16" t="s">
        <v>2502</v>
      </c>
      <c r="B75" s="17" t="s">
        <v>2503</v>
      </c>
      <c r="C75" s="13" t="s">
        <v>2504</v>
      </c>
      <c r="D75" s="13" t="s">
        <v>2505</v>
      </c>
      <c r="E75" s="18">
        <v>96207</v>
      </c>
      <c r="F75" s="19">
        <v>3421.78</v>
      </c>
      <c r="G75" s="20">
        <v>7.3000000000000001E-3</v>
      </c>
      <c r="H75" s="36"/>
      <c r="I75" s="22"/>
      <c r="J75" s="2"/>
    </row>
    <row r="76" spans="1:10" ht="12.95" customHeight="1">
      <c r="A76" s="16" t="s">
        <v>2506</v>
      </c>
      <c r="B76" s="17" t="s">
        <v>2507</v>
      </c>
      <c r="C76" s="13" t="s">
        <v>2508</v>
      </c>
      <c r="D76" s="13" t="s">
        <v>2274</v>
      </c>
      <c r="E76" s="18">
        <v>61556</v>
      </c>
      <c r="F76" s="19">
        <v>3306.09</v>
      </c>
      <c r="G76" s="20">
        <v>7.1000000000000004E-3</v>
      </c>
      <c r="H76" s="36"/>
      <c r="I76" s="22"/>
      <c r="J76" s="2"/>
    </row>
    <row r="77" spans="1:10" ht="12.95" customHeight="1">
      <c r="A77" s="16" t="s">
        <v>2178</v>
      </c>
      <c r="B77" s="17" t="s">
        <v>2179</v>
      </c>
      <c r="C77" s="13" t="s">
        <v>2180</v>
      </c>
      <c r="D77" s="13" t="s">
        <v>2181</v>
      </c>
      <c r="E77" s="18">
        <v>94947</v>
      </c>
      <c r="F77" s="19">
        <v>3198.02</v>
      </c>
      <c r="G77" s="20">
        <v>6.7999999999999996E-3</v>
      </c>
      <c r="H77" s="36"/>
      <c r="I77" s="22"/>
      <c r="J77" s="2"/>
    </row>
    <row r="78" spans="1:10" ht="12.95" customHeight="1">
      <c r="A78" s="16" t="s">
        <v>2509</v>
      </c>
      <c r="B78" s="17" t="s">
        <v>2510</v>
      </c>
      <c r="C78" s="13" t="s">
        <v>2511</v>
      </c>
      <c r="D78" s="13" t="s">
        <v>2512</v>
      </c>
      <c r="E78" s="18">
        <v>21331</v>
      </c>
      <c r="F78" s="19">
        <v>3194.48</v>
      </c>
      <c r="G78" s="20">
        <v>6.7999999999999996E-3</v>
      </c>
      <c r="H78" s="36"/>
      <c r="I78" s="22"/>
      <c r="J78" s="2"/>
    </row>
    <row r="79" spans="1:10" ht="12.95" customHeight="1">
      <c r="A79" s="16" t="s">
        <v>2222</v>
      </c>
      <c r="B79" s="17" t="s">
        <v>2223</v>
      </c>
      <c r="C79" s="13" t="s">
        <v>2224</v>
      </c>
      <c r="D79" s="13" t="s">
        <v>2225</v>
      </c>
      <c r="E79" s="18">
        <v>24607</v>
      </c>
      <c r="F79" s="19">
        <v>2870.52</v>
      </c>
      <c r="G79" s="20">
        <v>6.1000000000000004E-3</v>
      </c>
      <c r="H79" s="36"/>
      <c r="I79" s="22"/>
      <c r="J79" s="2"/>
    </row>
    <row r="80" spans="1:10" ht="12.95" customHeight="1">
      <c r="A80" s="16" t="s">
        <v>2513</v>
      </c>
      <c r="B80" s="17" t="s">
        <v>2514</v>
      </c>
      <c r="C80" s="13" t="s">
        <v>2515</v>
      </c>
      <c r="D80" s="13" t="s">
        <v>2466</v>
      </c>
      <c r="E80" s="18">
        <v>1956</v>
      </c>
      <c r="F80" s="19">
        <v>214.35</v>
      </c>
      <c r="G80" s="20">
        <v>5.0000000000000001E-4</v>
      </c>
      <c r="H80" s="36"/>
      <c r="I80" s="22"/>
      <c r="J80" s="2"/>
    </row>
    <row r="81" spans="1:10" ht="12.95" customHeight="1">
      <c r="A81" s="2"/>
      <c r="B81" s="12" t="s">
        <v>172</v>
      </c>
      <c r="C81" s="13"/>
      <c r="D81" s="13"/>
      <c r="E81" s="13"/>
      <c r="F81" s="23">
        <v>100441.08</v>
      </c>
      <c r="G81" s="24">
        <v>0.2147</v>
      </c>
      <c r="H81" s="25"/>
      <c r="I81" s="26"/>
      <c r="J81" s="2"/>
    </row>
    <row r="82" spans="1:10" ht="12.95" customHeight="1">
      <c r="A82" s="2"/>
      <c r="B82" s="27" t="s">
        <v>177</v>
      </c>
      <c r="C82" s="28"/>
      <c r="D82" s="1"/>
      <c r="E82" s="28"/>
      <c r="F82" s="23">
        <v>100441.08</v>
      </c>
      <c r="G82" s="24">
        <v>0.2147</v>
      </c>
      <c r="H82" s="25"/>
      <c r="I82" s="26"/>
      <c r="J82" s="2"/>
    </row>
    <row r="83" spans="1:10" ht="12.95" customHeight="1">
      <c r="A83" s="2"/>
      <c r="B83" s="12" t="s">
        <v>178</v>
      </c>
      <c r="C83" s="13"/>
      <c r="D83" s="13"/>
      <c r="E83" s="13"/>
      <c r="F83" s="13"/>
      <c r="G83" s="13"/>
      <c r="H83" s="14"/>
      <c r="I83" s="15"/>
      <c r="J83" s="2"/>
    </row>
    <row r="84" spans="1:10" ht="12.95" customHeight="1">
      <c r="A84" s="16" t="s">
        <v>179</v>
      </c>
      <c r="B84" s="17" t="s">
        <v>180</v>
      </c>
      <c r="C84" s="13"/>
      <c r="D84" s="13"/>
      <c r="E84" s="18"/>
      <c r="F84" s="19">
        <v>12028.99</v>
      </c>
      <c r="G84" s="20">
        <v>2.5700000000000001E-2</v>
      </c>
      <c r="H84" s="21">
        <v>3.3046294056282607E-2</v>
      </c>
      <c r="I84" s="22"/>
      <c r="J84" s="2"/>
    </row>
    <row r="85" spans="1:10" ht="12.95" customHeight="1">
      <c r="A85" s="2"/>
      <c r="B85" s="12" t="s">
        <v>172</v>
      </c>
      <c r="C85" s="13"/>
      <c r="D85" s="13"/>
      <c r="E85" s="13"/>
      <c r="F85" s="23">
        <v>12028.99</v>
      </c>
      <c r="G85" s="24">
        <v>2.5700000000000001E-2</v>
      </c>
      <c r="H85" s="25"/>
      <c r="I85" s="26"/>
      <c r="J85" s="2"/>
    </row>
    <row r="86" spans="1:10" ht="12.95" customHeight="1">
      <c r="A86" s="2"/>
      <c r="B86" s="27" t="s">
        <v>177</v>
      </c>
      <c r="C86" s="28"/>
      <c r="D86" s="1"/>
      <c r="E86" s="28"/>
      <c r="F86" s="23">
        <v>12028.99</v>
      </c>
      <c r="G86" s="24">
        <v>2.5700000000000001E-2</v>
      </c>
      <c r="H86" s="25"/>
      <c r="I86" s="26"/>
      <c r="J86" s="2"/>
    </row>
    <row r="87" spans="1:10" ht="12.95" customHeight="1">
      <c r="A87" s="2"/>
      <c r="B87" s="27" t="s">
        <v>181</v>
      </c>
      <c r="C87" s="13"/>
      <c r="D87" s="1"/>
      <c r="E87" s="13"/>
      <c r="F87" s="29">
        <v>-2916.47</v>
      </c>
      <c r="G87" s="24">
        <v>-6.4000000000000003E-3</v>
      </c>
      <c r="H87" s="25"/>
      <c r="I87" s="26"/>
      <c r="J87" s="2"/>
    </row>
    <row r="88" spans="1:10" ht="12.95" customHeight="1">
      <c r="A88" s="2"/>
      <c r="B88" s="30" t="s">
        <v>182</v>
      </c>
      <c r="C88" s="31"/>
      <c r="D88" s="31"/>
      <c r="E88" s="31"/>
      <c r="F88" s="32">
        <v>468003.62</v>
      </c>
      <c r="G88" s="33">
        <v>1</v>
      </c>
      <c r="H88" s="34"/>
      <c r="I88" s="35"/>
      <c r="J88" s="2"/>
    </row>
    <row r="89" spans="1:10" ht="12.95" customHeight="1">
      <c r="A89" s="2"/>
      <c r="B89" s="5"/>
      <c r="C89" s="2"/>
      <c r="D89" s="2"/>
      <c r="E89" s="2"/>
      <c r="F89" s="2"/>
      <c r="G89" s="2"/>
      <c r="H89" s="2"/>
      <c r="I89" s="2"/>
      <c r="J89" s="2"/>
    </row>
    <row r="90" spans="1:10" ht="12.95" customHeight="1">
      <c r="A90" s="2"/>
      <c r="B90" s="3" t="s">
        <v>244</v>
      </c>
      <c r="C90" s="2"/>
      <c r="D90" s="2"/>
      <c r="E90" s="2"/>
      <c r="F90" s="2"/>
      <c r="G90" s="2"/>
      <c r="H90" s="2"/>
      <c r="I90" s="2"/>
      <c r="J90" s="2"/>
    </row>
    <row r="91" spans="1:10" ht="12.95" customHeight="1">
      <c r="A91" s="2"/>
      <c r="B91" s="3"/>
      <c r="C91" s="2"/>
      <c r="D91" s="2"/>
      <c r="E91" s="2"/>
      <c r="F91" s="2"/>
      <c r="G91" s="2"/>
      <c r="H91" s="2"/>
      <c r="I91" s="2"/>
      <c r="J91" s="2"/>
    </row>
    <row r="92" spans="1:10" ht="12.95" customHeight="1">
      <c r="A92" s="2"/>
      <c r="B92" s="3" t="s">
        <v>186</v>
      </c>
      <c r="C92" s="2"/>
      <c r="D92" s="2"/>
      <c r="E92" s="2"/>
      <c r="F92" s="2"/>
      <c r="G92" s="2"/>
      <c r="H92" s="2"/>
      <c r="I92" s="2"/>
      <c r="J92" s="2"/>
    </row>
    <row r="93" spans="1:10" ht="23.25" customHeight="1">
      <c r="A93" s="2"/>
      <c r="B93" s="189" t="s">
        <v>4025</v>
      </c>
      <c r="C93" s="189"/>
      <c r="D93" s="189"/>
      <c r="E93" s="189"/>
      <c r="F93" s="189"/>
      <c r="G93" s="189"/>
      <c r="H93" s="189"/>
      <c r="I93" s="189"/>
      <c r="J93" s="2"/>
    </row>
    <row r="94" spans="1:10" ht="12.95" customHeight="1">
      <c r="A94" s="2"/>
      <c r="B94" s="3"/>
      <c r="C94" s="2"/>
      <c r="D94" s="2"/>
      <c r="E94" s="2"/>
      <c r="F94" s="2"/>
      <c r="G94" s="2"/>
      <c r="H94" s="2"/>
      <c r="I94" s="2"/>
      <c r="J94" s="2"/>
    </row>
    <row r="95" spans="1:10">
      <c r="C95" s="111" t="s">
        <v>3955</v>
      </c>
    </row>
    <row r="96" spans="1:10">
      <c r="B96" s="111" t="s">
        <v>3933</v>
      </c>
      <c r="C96" s="111" t="s">
        <v>3934</v>
      </c>
    </row>
  </sheetData>
  <mergeCells count="2">
    <mergeCell ref="B2:I2"/>
    <mergeCell ref="B93:I93"/>
  </mergeCells>
  <hyperlinks>
    <hyperlink ref="A2" location="Index!A1" display="Index"/>
  </hyperlinks>
  <pageMargins left="0" right="0" top="0" bottom="0" header="0" footer="0"/>
  <pageSetup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8"/>
  <sheetViews>
    <sheetView workbookViewId="0"/>
  </sheetViews>
  <sheetFormatPr defaultRowHeight="15"/>
  <cols>
    <col min="1" max="1" width="3.28515625" customWidth="1"/>
    <col min="2" max="2" width="69.140625" customWidth="1"/>
    <col min="3" max="3" width="21.14062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AXISHETF</v>
      </c>
    </row>
    <row r="2" spans="1:13" ht="34.5" customHeight="1" thickBot="1">
      <c r="A2" s="135" t="str">
        <f>M2</f>
        <v>AXISHETF</v>
      </c>
      <c r="B2" s="186" t="s">
        <v>61</v>
      </c>
      <c r="C2" s="187"/>
      <c r="D2" s="187"/>
      <c r="E2" s="187"/>
      <c r="F2" s="187"/>
      <c r="G2" s="187"/>
      <c r="H2" s="187"/>
      <c r="I2" s="188"/>
      <c r="J2" s="2"/>
      <c r="M2" s="108" t="s">
        <v>60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799</v>
      </c>
      <c r="B8" s="17" t="s">
        <v>800</v>
      </c>
      <c r="C8" s="13" t="s">
        <v>801</v>
      </c>
      <c r="D8" s="13" t="s">
        <v>749</v>
      </c>
      <c r="E8" s="18">
        <v>43585</v>
      </c>
      <c r="F8" s="19">
        <v>356.63</v>
      </c>
      <c r="G8" s="20">
        <v>0.17580000000000001</v>
      </c>
      <c r="H8" s="36"/>
      <c r="I8" s="22"/>
      <c r="J8" s="2"/>
    </row>
    <row r="9" spans="1:13" ht="12.95" customHeight="1">
      <c r="A9" s="16" t="s">
        <v>746</v>
      </c>
      <c r="B9" s="17" t="s">
        <v>747</v>
      </c>
      <c r="C9" s="13" t="s">
        <v>748</v>
      </c>
      <c r="D9" s="13" t="s">
        <v>749</v>
      </c>
      <c r="E9" s="18">
        <v>5158</v>
      </c>
      <c r="F9" s="19">
        <v>247.52</v>
      </c>
      <c r="G9" s="20">
        <v>0.122</v>
      </c>
      <c r="H9" s="36"/>
      <c r="I9" s="22"/>
      <c r="J9" s="2"/>
    </row>
    <row r="10" spans="1:13" ht="12.95" customHeight="1">
      <c r="A10" s="16" t="s">
        <v>1557</v>
      </c>
      <c r="B10" s="17" t="s">
        <v>1558</v>
      </c>
      <c r="C10" s="13" t="s">
        <v>1559</v>
      </c>
      <c r="D10" s="13" t="s">
        <v>749</v>
      </c>
      <c r="E10" s="18">
        <v>4910</v>
      </c>
      <c r="F10" s="19">
        <v>239.64</v>
      </c>
      <c r="G10" s="20">
        <v>0.1181</v>
      </c>
      <c r="H10" s="36"/>
      <c r="I10" s="22"/>
      <c r="J10" s="2"/>
    </row>
    <row r="11" spans="1:13" ht="12.95" customHeight="1">
      <c r="A11" s="16" t="s">
        <v>1729</v>
      </c>
      <c r="B11" s="17" t="s">
        <v>1730</v>
      </c>
      <c r="C11" s="13" t="s">
        <v>1731</v>
      </c>
      <c r="D11" s="13" t="s">
        <v>749</v>
      </c>
      <c r="E11" s="18">
        <v>20526</v>
      </c>
      <c r="F11" s="19">
        <v>201.88</v>
      </c>
      <c r="G11" s="20">
        <v>9.9500000000000005E-2</v>
      </c>
      <c r="H11" s="36"/>
      <c r="I11" s="22"/>
      <c r="J11" s="2"/>
    </row>
    <row r="12" spans="1:13" ht="12.95" customHeight="1">
      <c r="A12" s="16" t="s">
        <v>972</v>
      </c>
      <c r="B12" s="17" t="s">
        <v>973</v>
      </c>
      <c r="C12" s="13" t="s">
        <v>974</v>
      </c>
      <c r="D12" s="13" t="s">
        <v>910</v>
      </c>
      <c r="E12" s="18">
        <v>4074</v>
      </c>
      <c r="F12" s="19">
        <v>182.58</v>
      </c>
      <c r="G12" s="20">
        <v>0.09</v>
      </c>
      <c r="H12" s="36"/>
      <c r="I12" s="22"/>
      <c r="J12" s="2"/>
    </row>
    <row r="13" spans="1:13" ht="12.95" customHeight="1">
      <c r="A13" s="16" t="s">
        <v>2516</v>
      </c>
      <c r="B13" s="17" t="s">
        <v>2517</v>
      </c>
      <c r="C13" s="13" t="s">
        <v>2518</v>
      </c>
      <c r="D13" s="13" t="s">
        <v>749</v>
      </c>
      <c r="E13" s="18">
        <v>15838</v>
      </c>
      <c r="F13" s="19">
        <v>97.63</v>
      </c>
      <c r="G13" s="20">
        <v>4.8099999999999997E-2</v>
      </c>
      <c r="H13" s="36"/>
      <c r="I13" s="22"/>
      <c r="J13" s="2"/>
    </row>
    <row r="14" spans="1:13" ht="12.95" customHeight="1">
      <c r="A14" s="16" t="s">
        <v>1855</v>
      </c>
      <c r="B14" s="17" t="s">
        <v>1856</v>
      </c>
      <c r="C14" s="13" t="s">
        <v>1857</v>
      </c>
      <c r="D14" s="13" t="s">
        <v>749</v>
      </c>
      <c r="E14" s="18">
        <v>9726</v>
      </c>
      <c r="F14" s="19">
        <v>92.55</v>
      </c>
      <c r="G14" s="20">
        <v>4.5600000000000002E-2</v>
      </c>
      <c r="H14" s="36"/>
      <c r="I14" s="22"/>
      <c r="J14" s="2"/>
    </row>
    <row r="15" spans="1:13" ht="12.95" customHeight="1">
      <c r="A15" s="16" t="s">
        <v>1750</v>
      </c>
      <c r="B15" s="17" t="s">
        <v>1751</v>
      </c>
      <c r="C15" s="13" t="s">
        <v>1752</v>
      </c>
      <c r="D15" s="13" t="s">
        <v>749</v>
      </c>
      <c r="E15" s="18">
        <v>11383</v>
      </c>
      <c r="F15" s="19">
        <v>82.5</v>
      </c>
      <c r="G15" s="20">
        <v>4.07E-2</v>
      </c>
      <c r="H15" s="36"/>
      <c r="I15" s="22"/>
      <c r="J15" s="2"/>
    </row>
    <row r="16" spans="1:13" ht="12.95" customHeight="1">
      <c r="A16" s="16" t="s">
        <v>1816</v>
      </c>
      <c r="B16" s="17" t="s">
        <v>1817</v>
      </c>
      <c r="C16" s="13" t="s">
        <v>1818</v>
      </c>
      <c r="D16" s="13" t="s">
        <v>749</v>
      </c>
      <c r="E16" s="18">
        <v>1878</v>
      </c>
      <c r="F16" s="19">
        <v>74.760000000000005</v>
      </c>
      <c r="G16" s="20">
        <v>3.6900000000000002E-2</v>
      </c>
      <c r="H16" s="36"/>
      <c r="I16" s="22"/>
      <c r="J16" s="2"/>
    </row>
    <row r="17" spans="1:10" ht="12.95" customHeight="1">
      <c r="A17" s="16" t="s">
        <v>783</v>
      </c>
      <c r="B17" s="17" t="s">
        <v>784</v>
      </c>
      <c r="C17" s="13" t="s">
        <v>785</v>
      </c>
      <c r="D17" s="13" t="s">
        <v>749</v>
      </c>
      <c r="E17" s="18">
        <v>2772</v>
      </c>
      <c r="F17" s="19">
        <v>66.84</v>
      </c>
      <c r="G17" s="20">
        <v>3.3000000000000002E-2</v>
      </c>
      <c r="H17" s="36"/>
      <c r="I17" s="22"/>
      <c r="J17" s="2"/>
    </row>
    <row r="18" spans="1:10" ht="12.95" customHeight="1">
      <c r="A18" s="16" t="s">
        <v>1774</v>
      </c>
      <c r="B18" s="17" t="s">
        <v>1775</v>
      </c>
      <c r="C18" s="13" t="s">
        <v>1776</v>
      </c>
      <c r="D18" s="13" t="s">
        <v>749</v>
      </c>
      <c r="E18" s="18">
        <v>18165</v>
      </c>
      <c r="F18" s="19">
        <v>65.88</v>
      </c>
      <c r="G18" s="20">
        <v>3.2500000000000001E-2</v>
      </c>
      <c r="H18" s="36"/>
      <c r="I18" s="22"/>
      <c r="J18" s="2"/>
    </row>
    <row r="19" spans="1:10" ht="12.95" customHeight="1">
      <c r="A19" s="16" t="s">
        <v>1831</v>
      </c>
      <c r="B19" s="17" t="s">
        <v>1832</v>
      </c>
      <c r="C19" s="13" t="s">
        <v>1833</v>
      </c>
      <c r="D19" s="13" t="s">
        <v>749</v>
      </c>
      <c r="E19" s="18">
        <v>1982</v>
      </c>
      <c r="F19" s="19">
        <v>61.15</v>
      </c>
      <c r="G19" s="20">
        <v>3.0099999999999998E-2</v>
      </c>
      <c r="H19" s="36"/>
      <c r="I19" s="22"/>
      <c r="J19" s="2"/>
    </row>
    <row r="20" spans="1:10" ht="12.95" customHeight="1">
      <c r="A20" s="16" t="s">
        <v>1732</v>
      </c>
      <c r="B20" s="17" t="s">
        <v>1733</v>
      </c>
      <c r="C20" s="13" t="s">
        <v>1734</v>
      </c>
      <c r="D20" s="13" t="s">
        <v>749</v>
      </c>
      <c r="E20" s="18">
        <v>10355</v>
      </c>
      <c r="F20" s="19">
        <v>57.14</v>
      </c>
      <c r="G20" s="20">
        <v>2.8199999999999999E-2</v>
      </c>
      <c r="H20" s="36"/>
      <c r="I20" s="22"/>
      <c r="J20" s="2"/>
    </row>
    <row r="21" spans="1:10" ht="12.95" customHeight="1">
      <c r="A21" s="16" t="s">
        <v>2519</v>
      </c>
      <c r="B21" s="17" t="s">
        <v>2520</v>
      </c>
      <c r="C21" s="13" t="s">
        <v>2521</v>
      </c>
      <c r="D21" s="13" t="s">
        <v>910</v>
      </c>
      <c r="E21" s="18">
        <v>1316</v>
      </c>
      <c r="F21" s="19">
        <v>48.39</v>
      </c>
      <c r="G21" s="20">
        <v>2.3900000000000001E-2</v>
      </c>
      <c r="H21" s="36"/>
      <c r="I21" s="22"/>
      <c r="J21" s="2"/>
    </row>
    <row r="22" spans="1:10" ht="12.95" customHeight="1">
      <c r="A22" s="16" t="s">
        <v>1828</v>
      </c>
      <c r="B22" s="17" t="s">
        <v>1829</v>
      </c>
      <c r="C22" s="13" t="s">
        <v>1830</v>
      </c>
      <c r="D22" s="13" t="s">
        <v>749</v>
      </c>
      <c r="E22" s="18">
        <v>630</v>
      </c>
      <c r="F22" s="19">
        <v>35.159999999999997</v>
      </c>
      <c r="G22" s="20">
        <v>1.7299999999999999E-2</v>
      </c>
      <c r="H22" s="36"/>
      <c r="I22" s="22"/>
      <c r="J22" s="2"/>
    </row>
    <row r="23" spans="1:10" ht="12.95" customHeight="1">
      <c r="A23" s="16" t="s">
        <v>1765</v>
      </c>
      <c r="B23" s="17" t="s">
        <v>1766</v>
      </c>
      <c r="C23" s="13" t="s">
        <v>1767</v>
      </c>
      <c r="D23" s="13" t="s">
        <v>749</v>
      </c>
      <c r="E23" s="18">
        <v>6050</v>
      </c>
      <c r="F23" s="19">
        <v>30.88</v>
      </c>
      <c r="G23" s="20">
        <v>1.52E-2</v>
      </c>
      <c r="H23" s="36"/>
      <c r="I23" s="22"/>
      <c r="J23" s="2"/>
    </row>
    <row r="24" spans="1:10" ht="12.95" customHeight="1">
      <c r="A24" s="16" t="s">
        <v>2522</v>
      </c>
      <c r="B24" s="17" t="s">
        <v>2523</v>
      </c>
      <c r="C24" s="13" t="s">
        <v>2524</v>
      </c>
      <c r="D24" s="13" t="s">
        <v>910</v>
      </c>
      <c r="E24" s="18">
        <v>990</v>
      </c>
      <c r="F24" s="19">
        <v>26.74</v>
      </c>
      <c r="G24" s="20">
        <v>1.32E-2</v>
      </c>
      <c r="H24" s="36"/>
      <c r="I24" s="22"/>
      <c r="J24" s="2"/>
    </row>
    <row r="25" spans="1:10" ht="12.95" customHeight="1">
      <c r="A25" s="16" t="s">
        <v>1849</v>
      </c>
      <c r="B25" s="17" t="s">
        <v>1850</v>
      </c>
      <c r="C25" s="13" t="s">
        <v>1851</v>
      </c>
      <c r="D25" s="13" t="s">
        <v>749</v>
      </c>
      <c r="E25" s="18">
        <v>2341</v>
      </c>
      <c r="F25" s="19">
        <v>18.47</v>
      </c>
      <c r="G25" s="20">
        <v>9.1000000000000004E-3</v>
      </c>
      <c r="H25" s="36"/>
      <c r="I25" s="22"/>
      <c r="J25" s="2"/>
    </row>
    <row r="26" spans="1:10" ht="12.95" customHeight="1">
      <c r="A26" s="16" t="s">
        <v>1807</v>
      </c>
      <c r="B26" s="17" t="s">
        <v>1808</v>
      </c>
      <c r="C26" s="13" t="s">
        <v>1809</v>
      </c>
      <c r="D26" s="13" t="s">
        <v>749</v>
      </c>
      <c r="E26" s="18">
        <v>5422</v>
      </c>
      <c r="F26" s="19">
        <v>17.37</v>
      </c>
      <c r="G26" s="20">
        <v>8.6E-3</v>
      </c>
      <c r="H26" s="36"/>
      <c r="I26" s="22"/>
      <c r="J26" s="2"/>
    </row>
    <row r="27" spans="1:10" ht="12.95" customHeight="1">
      <c r="A27" s="16" t="s">
        <v>1585</v>
      </c>
      <c r="B27" s="17" t="s">
        <v>1586</v>
      </c>
      <c r="C27" s="13" t="s">
        <v>1587</v>
      </c>
      <c r="D27" s="13" t="s">
        <v>749</v>
      </c>
      <c r="E27" s="18">
        <v>2429</v>
      </c>
      <c r="F27" s="19">
        <v>14.32</v>
      </c>
      <c r="G27" s="20">
        <v>7.1000000000000004E-3</v>
      </c>
      <c r="H27" s="36"/>
      <c r="I27" s="22"/>
      <c r="J27" s="2"/>
    </row>
    <row r="28" spans="1:10" ht="12.95" customHeight="1">
      <c r="A28" s="16" t="s">
        <v>2525</v>
      </c>
      <c r="B28" s="17" t="s">
        <v>2526</v>
      </c>
      <c r="C28" s="13" t="s">
        <v>2527</v>
      </c>
      <c r="D28" s="13" t="s">
        <v>910</v>
      </c>
      <c r="E28" s="18">
        <v>451</v>
      </c>
      <c r="F28" s="19">
        <v>1.19</v>
      </c>
      <c r="G28" s="20">
        <v>5.9999999999999995E-4</v>
      </c>
      <c r="H28" s="36"/>
      <c r="I28" s="22"/>
      <c r="J28" s="2"/>
    </row>
    <row r="29" spans="1:10" ht="12.95" customHeight="1">
      <c r="A29" s="16" t="s">
        <v>2528</v>
      </c>
      <c r="B29" s="17" t="s">
        <v>2529</v>
      </c>
      <c r="C29" s="13" t="s">
        <v>2530</v>
      </c>
      <c r="D29" s="13" t="s">
        <v>749</v>
      </c>
      <c r="E29" s="18">
        <v>5</v>
      </c>
      <c r="F29" s="19">
        <v>1.03</v>
      </c>
      <c r="G29" s="20">
        <v>5.0000000000000001E-4</v>
      </c>
      <c r="H29" s="36"/>
      <c r="I29" s="22"/>
      <c r="J29" s="2"/>
    </row>
    <row r="30" spans="1:10" ht="12.95" customHeight="1">
      <c r="A30" s="16" t="s">
        <v>2531</v>
      </c>
      <c r="B30" s="17" t="s">
        <v>2532</v>
      </c>
      <c r="C30" s="13" t="s">
        <v>2533</v>
      </c>
      <c r="D30" s="13" t="s">
        <v>749</v>
      </c>
      <c r="E30" s="18">
        <v>81</v>
      </c>
      <c r="F30" s="19">
        <v>0.72</v>
      </c>
      <c r="G30" s="20">
        <v>4.0000000000000002E-4</v>
      </c>
      <c r="H30" s="36"/>
      <c r="I30" s="22"/>
      <c r="J30" s="2"/>
    </row>
    <row r="31" spans="1:10" ht="12.95" customHeight="1">
      <c r="A31" s="16" t="s">
        <v>2534</v>
      </c>
      <c r="B31" s="17" t="s">
        <v>2535</v>
      </c>
      <c r="C31" s="13" t="s">
        <v>2536</v>
      </c>
      <c r="D31" s="13" t="s">
        <v>749</v>
      </c>
      <c r="E31" s="18">
        <v>8</v>
      </c>
      <c r="F31" s="19">
        <v>0.62</v>
      </c>
      <c r="G31" s="20">
        <v>2.9999999999999997E-4</v>
      </c>
      <c r="H31" s="36"/>
      <c r="I31" s="22"/>
      <c r="J31" s="2"/>
    </row>
    <row r="32" spans="1:10" ht="12.95" customHeight="1">
      <c r="A32" s="2"/>
      <c r="B32" s="12" t="s">
        <v>172</v>
      </c>
      <c r="C32" s="13"/>
      <c r="D32" s="13"/>
      <c r="E32" s="13"/>
      <c r="F32" s="23">
        <v>2021.59</v>
      </c>
      <c r="G32" s="24">
        <v>0.99670000000000003</v>
      </c>
      <c r="H32" s="25"/>
      <c r="I32" s="26"/>
      <c r="J32" s="2"/>
    </row>
    <row r="33" spans="1:10" ht="12.95" customHeight="1">
      <c r="A33" s="2"/>
      <c r="B33" s="27" t="s">
        <v>719</v>
      </c>
      <c r="C33" s="1"/>
      <c r="D33" s="1"/>
      <c r="E33" s="1"/>
      <c r="F33" s="25" t="s">
        <v>204</v>
      </c>
      <c r="G33" s="25" t="s">
        <v>204</v>
      </c>
      <c r="H33" s="25"/>
      <c r="I33" s="26"/>
      <c r="J33" s="2"/>
    </row>
    <row r="34" spans="1:10" ht="12.95" customHeight="1">
      <c r="A34" s="2"/>
      <c r="B34" s="27" t="s">
        <v>172</v>
      </c>
      <c r="C34" s="1"/>
      <c r="D34" s="1"/>
      <c r="E34" s="1"/>
      <c r="F34" s="25" t="s">
        <v>204</v>
      </c>
      <c r="G34" s="25" t="s">
        <v>204</v>
      </c>
      <c r="H34" s="25"/>
      <c r="I34" s="26"/>
      <c r="J34" s="2"/>
    </row>
    <row r="35" spans="1:10" ht="12.95" customHeight="1">
      <c r="A35" s="2"/>
      <c r="B35" s="27" t="s">
        <v>177</v>
      </c>
      <c r="C35" s="28"/>
      <c r="D35" s="1"/>
      <c r="E35" s="28"/>
      <c r="F35" s="23">
        <v>2021.59</v>
      </c>
      <c r="G35" s="24">
        <v>0.99670000000000003</v>
      </c>
      <c r="H35" s="25"/>
      <c r="I35" s="26"/>
      <c r="J35" s="2"/>
    </row>
    <row r="36" spans="1:10" ht="12.95" customHeight="1">
      <c r="A36" s="2"/>
      <c r="B36" s="12" t="s">
        <v>178</v>
      </c>
      <c r="C36" s="13"/>
      <c r="D36" s="13"/>
      <c r="E36" s="13"/>
      <c r="F36" s="13"/>
      <c r="G36" s="13"/>
      <c r="H36" s="14"/>
      <c r="I36" s="15"/>
      <c r="J36" s="2"/>
    </row>
    <row r="37" spans="1:10" ht="12.95" customHeight="1">
      <c r="A37" s="16" t="s">
        <v>179</v>
      </c>
      <c r="B37" s="17" t="s">
        <v>180</v>
      </c>
      <c r="C37" s="13"/>
      <c r="D37" s="13"/>
      <c r="E37" s="18"/>
      <c r="F37" s="19">
        <v>45.93</v>
      </c>
      <c r="G37" s="20">
        <v>2.2599999999999999E-2</v>
      </c>
      <c r="H37" s="21">
        <v>3.3018281612256874E-2</v>
      </c>
      <c r="I37" s="22"/>
      <c r="J37" s="2"/>
    </row>
    <row r="38" spans="1:10" ht="12.95" customHeight="1">
      <c r="A38" s="2"/>
      <c r="B38" s="12" t="s">
        <v>172</v>
      </c>
      <c r="C38" s="13"/>
      <c r="D38" s="13"/>
      <c r="E38" s="13"/>
      <c r="F38" s="23">
        <v>45.93</v>
      </c>
      <c r="G38" s="24">
        <v>2.2599999999999999E-2</v>
      </c>
      <c r="H38" s="25"/>
      <c r="I38" s="26"/>
      <c r="J38" s="2"/>
    </row>
    <row r="39" spans="1:10" ht="12.95" customHeight="1">
      <c r="A39" s="2"/>
      <c r="B39" s="27" t="s">
        <v>177</v>
      </c>
      <c r="C39" s="28"/>
      <c r="D39" s="1"/>
      <c r="E39" s="28"/>
      <c r="F39" s="23">
        <v>45.93</v>
      </c>
      <c r="G39" s="24">
        <v>2.2599999999999999E-2</v>
      </c>
      <c r="H39" s="25"/>
      <c r="I39" s="26"/>
      <c r="J39" s="2"/>
    </row>
    <row r="40" spans="1:10" ht="12.95" customHeight="1">
      <c r="A40" s="2"/>
      <c r="B40" s="27" t="s">
        <v>181</v>
      </c>
      <c r="C40" s="13"/>
      <c r="D40" s="1"/>
      <c r="E40" s="13"/>
      <c r="F40" s="29">
        <v>-39.159999999999997</v>
      </c>
      <c r="G40" s="24">
        <v>-1.9300000000000001E-2</v>
      </c>
      <c r="H40" s="25"/>
      <c r="I40" s="26"/>
      <c r="J40" s="2"/>
    </row>
    <row r="41" spans="1:10" ht="12.95" customHeight="1">
      <c r="A41" s="2"/>
      <c r="B41" s="30" t="s">
        <v>182</v>
      </c>
      <c r="C41" s="31"/>
      <c r="D41" s="31"/>
      <c r="E41" s="31"/>
      <c r="F41" s="32">
        <v>2028.36</v>
      </c>
      <c r="G41" s="33">
        <v>1</v>
      </c>
      <c r="H41" s="34"/>
      <c r="I41" s="35"/>
      <c r="J41" s="2"/>
    </row>
    <row r="42" spans="1:10" ht="12.95" customHeight="1">
      <c r="A42" s="2"/>
      <c r="B42" s="5"/>
      <c r="C42" s="2"/>
      <c r="D42" s="2"/>
      <c r="E42" s="2"/>
      <c r="F42" s="2"/>
      <c r="G42" s="2"/>
      <c r="H42" s="2"/>
      <c r="I42" s="2"/>
      <c r="J42" s="2"/>
    </row>
    <row r="43" spans="1:10" ht="12.95" customHeight="1">
      <c r="A43" s="2"/>
      <c r="B43" s="3" t="s">
        <v>244</v>
      </c>
      <c r="C43" s="2"/>
      <c r="D43" s="2"/>
      <c r="E43" s="2"/>
      <c r="F43" s="2"/>
      <c r="G43" s="2"/>
      <c r="H43" s="2"/>
      <c r="I43" s="2"/>
      <c r="J43" s="2"/>
    </row>
    <row r="44" spans="1:10" ht="12.95" customHeight="1">
      <c r="A44" s="2"/>
      <c r="B44" s="3" t="s">
        <v>186</v>
      </c>
      <c r="C44" s="2"/>
      <c r="D44" s="2"/>
      <c r="E44" s="2"/>
      <c r="F44" s="2"/>
      <c r="G44" s="2"/>
      <c r="H44" s="2"/>
      <c r="I44" s="2"/>
      <c r="J44" s="2"/>
    </row>
    <row r="45" spans="1:10" ht="23.25" customHeight="1">
      <c r="A45" s="2"/>
      <c r="B45" s="189" t="s">
        <v>4025</v>
      </c>
      <c r="C45" s="189"/>
      <c r="D45" s="189"/>
      <c r="E45" s="189"/>
      <c r="F45" s="189"/>
      <c r="G45" s="189"/>
      <c r="H45" s="189"/>
      <c r="I45" s="189"/>
      <c r="J45" s="2"/>
    </row>
    <row r="46" spans="1:10" ht="12.95" customHeight="1">
      <c r="A46" s="2"/>
      <c r="B46" s="3"/>
      <c r="C46" s="2"/>
      <c r="D46" s="2"/>
      <c r="E46" s="2"/>
      <c r="F46" s="2"/>
      <c r="G46" s="2"/>
      <c r="H46" s="2"/>
      <c r="I46" s="2"/>
      <c r="J46" s="2"/>
    </row>
    <row r="47" spans="1:10">
      <c r="C47" s="111" t="s">
        <v>3956</v>
      </c>
    </row>
    <row r="48" spans="1:10">
      <c r="B48" s="111" t="s">
        <v>3933</v>
      </c>
      <c r="C48" s="111" t="s">
        <v>3934</v>
      </c>
    </row>
  </sheetData>
  <mergeCells count="2">
    <mergeCell ref="B2:I2"/>
    <mergeCell ref="B45:I45"/>
  </mergeCells>
  <hyperlinks>
    <hyperlink ref="A2" location="Index!A1" display="Index"/>
  </hyperlinks>
  <pageMargins left="0" right="0" top="0" bottom="0" header="0" footer="0"/>
  <pageSetup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24"/>
  <sheetViews>
    <sheetView workbookViewId="0"/>
  </sheetViews>
  <sheetFormatPr defaultRowHeight="15"/>
  <cols>
    <col min="1" max="1" width="3.28515625" customWidth="1"/>
    <col min="2" max="2" width="70.140625" customWidth="1"/>
    <col min="3" max="3" width="18.7109375" bestFit="1" customWidth="1"/>
    <col min="4" max="4" width="25.5703125" bestFit="1" customWidth="1"/>
    <col min="5" max="5" width="25.7109375" customWidth="1"/>
    <col min="6" max="6" width="15.28515625" bestFit="1" customWidth="1"/>
    <col min="7" max="9" width="10.7109375" customWidth="1"/>
    <col min="10" max="10" width="3.85546875" bestFit="1" customWidth="1"/>
  </cols>
  <sheetData>
    <row r="1" spans="1:13" ht="15.75" thickBot="1">
      <c r="A1" s="108" t="str">
        <f>M2</f>
        <v>AXISIFD</v>
      </c>
    </row>
    <row r="2" spans="1:13" ht="34.5" customHeight="1" thickBot="1">
      <c r="A2" s="135" t="str">
        <f>M2</f>
        <v>AXISIFD</v>
      </c>
      <c r="B2" s="186" t="s">
        <v>63</v>
      </c>
      <c r="C2" s="187"/>
      <c r="D2" s="187"/>
      <c r="E2" s="187"/>
      <c r="F2" s="187"/>
      <c r="G2" s="187"/>
      <c r="H2" s="187"/>
      <c r="I2" s="188"/>
      <c r="J2" s="2"/>
      <c r="M2" s="108" t="s">
        <v>62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860</v>
      </c>
      <c r="C6" s="13"/>
      <c r="D6" s="13"/>
      <c r="E6" s="13"/>
      <c r="F6" s="13"/>
      <c r="G6" s="13"/>
      <c r="H6" s="14"/>
      <c r="I6" s="15"/>
      <c r="J6" s="2"/>
    </row>
    <row r="7" spans="1:13" ht="12.95" customHeight="1">
      <c r="A7" s="2"/>
      <c r="B7" s="104" t="s">
        <v>3920</v>
      </c>
      <c r="C7" s="13"/>
      <c r="D7" s="13"/>
      <c r="E7" s="13"/>
      <c r="F7" s="2"/>
      <c r="G7" s="14"/>
      <c r="H7" s="14"/>
      <c r="I7" s="15"/>
      <c r="J7" s="2"/>
    </row>
    <row r="8" spans="1:13" ht="12.95" customHeight="1">
      <c r="A8" s="16" t="s">
        <v>2537</v>
      </c>
      <c r="B8" s="133" t="s">
        <v>4009</v>
      </c>
      <c r="C8" s="13"/>
      <c r="D8" s="13"/>
      <c r="E8" s="18"/>
      <c r="F8" s="19">
        <f>-7519.66+7500</f>
        <v>-19.659999999999854</v>
      </c>
      <c r="G8" s="20">
        <v>-1E-4</v>
      </c>
      <c r="H8" s="21">
        <v>4.36E-2</v>
      </c>
      <c r="I8" s="22"/>
      <c r="J8" s="2"/>
    </row>
    <row r="9" spans="1:13" ht="12.95" customHeight="1">
      <c r="A9" s="2"/>
      <c r="B9" s="12" t="s">
        <v>172</v>
      </c>
      <c r="C9" s="13"/>
      <c r="D9" s="13"/>
      <c r="E9" s="13"/>
      <c r="F9" s="23">
        <v>-19.66</v>
      </c>
      <c r="G9" s="24">
        <v>-1E-4</v>
      </c>
      <c r="H9" s="25"/>
      <c r="I9" s="26"/>
      <c r="J9" s="2"/>
    </row>
    <row r="10" spans="1:13" ht="12.95" customHeight="1">
      <c r="A10" s="2"/>
      <c r="B10" s="27" t="s">
        <v>177</v>
      </c>
      <c r="C10" s="28"/>
      <c r="D10" s="1"/>
      <c r="E10" s="28"/>
      <c r="F10" s="23">
        <v>-19.66</v>
      </c>
      <c r="G10" s="24">
        <v>-1E-4</v>
      </c>
      <c r="H10" s="25"/>
      <c r="I10" s="26"/>
      <c r="J10" s="2"/>
    </row>
    <row r="11" spans="1:13" ht="12.95" customHeight="1">
      <c r="A11" s="2"/>
      <c r="B11" s="12" t="s">
        <v>127</v>
      </c>
      <c r="C11" s="13"/>
      <c r="D11" s="13"/>
      <c r="E11" s="13"/>
      <c r="F11" s="13"/>
      <c r="G11" s="13"/>
      <c r="H11" s="14"/>
      <c r="I11" s="15"/>
      <c r="J11" s="2"/>
    </row>
    <row r="12" spans="1:13" ht="12.95" customHeight="1">
      <c r="A12" s="2"/>
      <c r="B12" s="12" t="s">
        <v>128</v>
      </c>
      <c r="C12" s="13"/>
      <c r="D12" s="13"/>
      <c r="E12" s="13"/>
      <c r="F12" s="2"/>
      <c r="G12" s="14"/>
      <c r="H12" s="14"/>
      <c r="I12" s="15"/>
      <c r="J12" s="2"/>
    </row>
    <row r="13" spans="1:13" ht="12.95" customHeight="1">
      <c r="A13" s="16" t="s">
        <v>1074</v>
      </c>
      <c r="B13" s="17" t="s">
        <v>1075</v>
      </c>
      <c r="C13" s="13" t="s">
        <v>1076</v>
      </c>
      <c r="D13" s="13" t="s">
        <v>200</v>
      </c>
      <c r="E13" s="18">
        <v>13000000</v>
      </c>
      <c r="F13" s="19">
        <v>12888.29</v>
      </c>
      <c r="G13" s="20">
        <v>7.6499999999999999E-2</v>
      </c>
      <c r="H13" s="21">
        <v>6.2170000000000003E-2</v>
      </c>
      <c r="I13" s="22"/>
      <c r="J13" s="2"/>
    </row>
    <row r="14" spans="1:13" ht="12.95" customHeight="1">
      <c r="A14" s="16" t="s">
        <v>1115</v>
      </c>
      <c r="B14" s="17" t="s">
        <v>1116</v>
      </c>
      <c r="C14" s="13" t="s">
        <v>1117</v>
      </c>
      <c r="D14" s="13" t="s">
        <v>200</v>
      </c>
      <c r="E14" s="18">
        <v>12000000</v>
      </c>
      <c r="F14" s="19">
        <v>11983.8</v>
      </c>
      <c r="G14" s="20">
        <v>7.1099999999999997E-2</v>
      </c>
      <c r="H14" s="21">
        <v>5.6635999999999999E-2</v>
      </c>
      <c r="I14" s="22"/>
      <c r="J14" s="2"/>
    </row>
    <row r="15" spans="1:13" ht="12.95" customHeight="1">
      <c r="A15" s="16" t="s">
        <v>1048</v>
      </c>
      <c r="B15" s="17" t="s">
        <v>1049</v>
      </c>
      <c r="C15" s="13" t="s">
        <v>1050</v>
      </c>
      <c r="D15" s="13" t="s">
        <v>200</v>
      </c>
      <c r="E15" s="18">
        <v>9000000</v>
      </c>
      <c r="F15" s="19">
        <v>9164.31</v>
      </c>
      <c r="G15" s="20">
        <v>5.4399999999999997E-2</v>
      </c>
      <c r="H15" s="21"/>
      <c r="I15" s="22"/>
      <c r="J15" s="2"/>
    </row>
    <row r="16" spans="1:13" ht="12.95" customHeight="1">
      <c r="A16" s="16" t="s">
        <v>332</v>
      </c>
      <c r="B16" s="17" t="s">
        <v>333</v>
      </c>
      <c r="C16" s="13" t="s">
        <v>334</v>
      </c>
      <c r="D16" s="13" t="s">
        <v>171</v>
      </c>
      <c r="E16" s="18">
        <v>650</v>
      </c>
      <c r="F16" s="19">
        <v>6516.09</v>
      </c>
      <c r="G16" s="20">
        <v>3.8699999999999998E-2</v>
      </c>
      <c r="H16" s="21">
        <v>4.2549999999999998E-2</v>
      </c>
      <c r="I16" s="22"/>
      <c r="J16" s="2"/>
    </row>
    <row r="17" spans="1:10" ht="12.95" customHeight="1">
      <c r="A17" s="16" t="s">
        <v>2538</v>
      </c>
      <c r="B17" s="17" t="s">
        <v>2539</v>
      </c>
      <c r="C17" s="13" t="s">
        <v>2540</v>
      </c>
      <c r="D17" s="13" t="s">
        <v>2541</v>
      </c>
      <c r="E17" s="18">
        <v>500</v>
      </c>
      <c r="F17" s="19">
        <v>5143.7700000000004</v>
      </c>
      <c r="G17" s="20">
        <v>3.0499999999999999E-2</v>
      </c>
      <c r="H17" s="21">
        <v>5.7819000000000002E-2</v>
      </c>
      <c r="I17" s="22"/>
      <c r="J17" s="2"/>
    </row>
    <row r="18" spans="1:10" ht="12.95" customHeight="1">
      <c r="A18" s="16" t="s">
        <v>2055</v>
      </c>
      <c r="B18" s="17" t="s">
        <v>2056</v>
      </c>
      <c r="C18" s="13" t="s">
        <v>2057</v>
      </c>
      <c r="D18" s="13" t="s">
        <v>2058</v>
      </c>
      <c r="E18" s="18">
        <v>350</v>
      </c>
      <c r="F18" s="19">
        <v>3498.07</v>
      </c>
      <c r="G18" s="20">
        <v>2.0799999999999999E-2</v>
      </c>
      <c r="H18" s="21">
        <v>8.0250000000000002E-2</v>
      </c>
      <c r="I18" s="22"/>
      <c r="J18" s="2"/>
    </row>
    <row r="19" spans="1:10" ht="12.95" customHeight="1">
      <c r="A19" s="16" t="s">
        <v>2542</v>
      </c>
      <c r="B19" s="17" t="s">
        <v>2543</v>
      </c>
      <c r="C19" s="13" t="s">
        <v>2544</v>
      </c>
      <c r="D19" s="13" t="s">
        <v>2062</v>
      </c>
      <c r="E19" s="18">
        <v>300</v>
      </c>
      <c r="F19" s="19">
        <v>3025.95</v>
      </c>
      <c r="G19" s="20">
        <v>1.7999999999999999E-2</v>
      </c>
      <c r="H19" s="21">
        <v>6.7848000000000006E-2</v>
      </c>
      <c r="I19" s="22"/>
      <c r="J19" s="2"/>
    </row>
    <row r="20" spans="1:10" ht="12.95" customHeight="1">
      <c r="A20" s="16" t="s">
        <v>2545</v>
      </c>
      <c r="B20" s="17" t="s">
        <v>2546</v>
      </c>
      <c r="C20" s="13" t="s">
        <v>2547</v>
      </c>
      <c r="D20" s="13" t="s">
        <v>1073</v>
      </c>
      <c r="E20" s="18">
        <v>300</v>
      </c>
      <c r="F20" s="19">
        <v>3020.54</v>
      </c>
      <c r="G20" s="20">
        <v>1.7899999999999999E-2</v>
      </c>
      <c r="H20" s="21">
        <v>5.6579999999999998E-2</v>
      </c>
      <c r="I20" s="22"/>
      <c r="J20" s="2"/>
    </row>
    <row r="21" spans="1:10" ht="12.95" customHeight="1">
      <c r="A21" s="16" t="s">
        <v>2548</v>
      </c>
      <c r="B21" s="17" t="s">
        <v>2549</v>
      </c>
      <c r="C21" s="13" t="s">
        <v>2550</v>
      </c>
      <c r="D21" s="13" t="s">
        <v>1073</v>
      </c>
      <c r="E21" s="18">
        <v>300</v>
      </c>
      <c r="F21" s="19">
        <v>3011.27</v>
      </c>
      <c r="G21" s="20">
        <v>1.7899999999999999E-2</v>
      </c>
      <c r="H21" s="21">
        <v>5.0999999999999997E-2</v>
      </c>
      <c r="I21" s="22"/>
      <c r="J21" s="2"/>
    </row>
    <row r="22" spans="1:10" ht="12.95" customHeight="1">
      <c r="A22" s="16" t="s">
        <v>2551</v>
      </c>
      <c r="B22" s="17" t="s">
        <v>2552</v>
      </c>
      <c r="C22" s="13" t="s">
        <v>2553</v>
      </c>
      <c r="D22" s="13" t="s">
        <v>1694</v>
      </c>
      <c r="E22" s="18">
        <v>300</v>
      </c>
      <c r="F22" s="19">
        <v>2986.07</v>
      </c>
      <c r="G22" s="20">
        <v>1.77E-2</v>
      </c>
      <c r="H22" s="21">
        <v>7.2940500000000005E-2</v>
      </c>
      <c r="I22" s="22"/>
      <c r="J22" s="2"/>
    </row>
    <row r="23" spans="1:10" ht="12.95" customHeight="1">
      <c r="A23" s="16" t="s">
        <v>1474</v>
      </c>
      <c r="B23" s="17" t="s">
        <v>1475</v>
      </c>
      <c r="C23" s="13" t="s">
        <v>1476</v>
      </c>
      <c r="D23" s="13" t="s">
        <v>132</v>
      </c>
      <c r="E23" s="18">
        <v>250</v>
      </c>
      <c r="F23" s="19">
        <v>2802.65</v>
      </c>
      <c r="G23" s="20">
        <v>1.66E-2</v>
      </c>
      <c r="H23" s="21">
        <v>6.7597000000000004E-2</v>
      </c>
      <c r="I23" s="22"/>
      <c r="J23" s="2"/>
    </row>
    <row r="24" spans="1:10" ht="12.95" customHeight="1">
      <c r="A24" s="16" t="s">
        <v>1238</v>
      </c>
      <c r="B24" s="17" t="s">
        <v>1239</v>
      </c>
      <c r="C24" s="13" t="s">
        <v>1240</v>
      </c>
      <c r="D24" s="13" t="s">
        <v>200</v>
      </c>
      <c r="E24" s="18">
        <v>2500000</v>
      </c>
      <c r="F24" s="19">
        <v>2786.33</v>
      </c>
      <c r="G24" s="20">
        <v>1.6500000000000001E-2</v>
      </c>
      <c r="H24" s="21">
        <v>6.4964999999999995E-2</v>
      </c>
      <c r="I24" s="22"/>
      <c r="J24" s="2"/>
    </row>
    <row r="25" spans="1:10" ht="12.95" customHeight="1">
      <c r="A25" s="16" t="s">
        <v>2554</v>
      </c>
      <c r="B25" s="17" t="s">
        <v>2555</v>
      </c>
      <c r="C25" s="13" t="s">
        <v>2556</v>
      </c>
      <c r="D25" s="13" t="s">
        <v>2541</v>
      </c>
      <c r="E25" s="18">
        <v>265</v>
      </c>
      <c r="F25" s="19">
        <v>2674.4</v>
      </c>
      <c r="G25" s="20">
        <v>1.5900000000000001E-2</v>
      </c>
      <c r="H25" s="21">
        <v>8.5449999999999998E-2</v>
      </c>
      <c r="I25" s="22"/>
      <c r="J25" s="2"/>
    </row>
    <row r="26" spans="1:10" ht="12.95" customHeight="1">
      <c r="A26" s="16" t="s">
        <v>1217</v>
      </c>
      <c r="B26" s="17" t="s">
        <v>1218</v>
      </c>
      <c r="C26" s="13" t="s">
        <v>1219</v>
      </c>
      <c r="D26" s="13" t="s">
        <v>132</v>
      </c>
      <c r="E26" s="18">
        <v>250</v>
      </c>
      <c r="F26" s="19">
        <v>2619.02</v>
      </c>
      <c r="G26" s="20">
        <v>1.55E-2</v>
      </c>
      <c r="H26" s="21">
        <v>5.5898999999999997E-2</v>
      </c>
      <c r="I26" s="22"/>
      <c r="J26" s="2"/>
    </row>
    <row r="27" spans="1:10" ht="12.95" customHeight="1">
      <c r="A27" s="16" t="s">
        <v>2557</v>
      </c>
      <c r="B27" s="17" t="s">
        <v>2558</v>
      </c>
      <c r="C27" s="13" t="s">
        <v>2559</v>
      </c>
      <c r="D27" s="13" t="s">
        <v>2560</v>
      </c>
      <c r="E27" s="18">
        <v>250</v>
      </c>
      <c r="F27" s="19">
        <v>2578.3000000000002</v>
      </c>
      <c r="G27" s="20">
        <v>1.5299999999999999E-2</v>
      </c>
      <c r="H27" s="21">
        <v>6.4250000000000002E-2</v>
      </c>
      <c r="I27" s="22"/>
      <c r="J27" s="2"/>
    </row>
    <row r="28" spans="1:10" ht="12.95" customHeight="1">
      <c r="A28" s="16" t="s">
        <v>2561</v>
      </c>
      <c r="B28" s="17" t="s">
        <v>2562</v>
      </c>
      <c r="C28" s="13" t="s">
        <v>2563</v>
      </c>
      <c r="D28" s="13" t="s">
        <v>171</v>
      </c>
      <c r="E28" s="18">
        <v>250</v>
      </c>
      <c r="F28" s="19">
        <v>2541.6</v>
      </c>
      <c r="G28" s="20">
        <v>1.5100000000000001E-2</v>
      </c>
      <c r="H28" s="21">
        <v>6.7197999999999994E-2</v>
      </c>
      <c r="I28" s="22"/>
      <c r="J28" s="2"/>
    </row>
    <row r="29" spans="1:10" ht="12.95" customHeight="1">
      <c r="A29" s="16" t="s">
        <v>2564</v>
      </c>
      <c r="B29" s="17" t="s">
        <v>2565</v>
      </c>
      <c r="C29" s="13" t="s">
        <v>2566</v>
      </c>
      <c r="D29" s="13" t="s">
        <v>2062</v>
      </c>
      <c r="E29" s="18">
        <v>250</v>
      </c>
      <c r="F29" s="19">
        <v>2537.91</v>
      </c>
      <c r="G29" s="20">
        <v>1.5100000000000001E-2</v>
      </c>
      <c r="H29" s="21">
        <v>6.4097000000000001E-2</v>
      </c>
      <c r="I29" s="22"/>
      <c r="J29" s="2"/>
    </row>
    <row r="30" spans="1:10" ht="12.95" customHeight="1">
      <c r="A30" s="16" t="s">
        <v>1054</v>
      </c>
      <c r="B30" s="17" t="s">
        <v>1055</v>
      </c>
      <c r="C30" s="13" t="s">
        <v>1056</v>
      </c>
      <c r="D30" s="13" t="s">
        <v>161</v>
      </c>
      <c r="E30" s="18">
        <v>250</v>
      </c>
      <c r="F30" s="19">
        <v>2527.2399999999998</v>
      </c>
      <c r="G30" s="20">
        <v>1.4999999999999999E-2</v>
      </c>
      <c r="H30" s="21">
        <v>6.93E-2</v>
      </c>
      <c r="I30" s="22"/>
      <c r="J30" s="2"/>
    </row>
    <row r="31" spans="1:10" ht="12.95" customHeight="1">
      <c r="A31" s="16" t="s">
        <v>2567</v>
      </c>
      <c r="B31" s="17" t="s">
        <v>2568</v>
      </c>
      <c r="C31" s="13" t="s">
        <v>2569</v>
      </c>
      <c r="D31" s="13" t="s">
        <v>2570</v>
      </c>
      <c r="E31" s="18">
        <v>250</v>
      </c>
      <c r="F31" s="19">
        <v>2524.13</v>
      </c>
      <c r="G31" s="20">
        <v>1.4999999999999999E-2</v>
      </c>
      <c r="H31" s="21">
        <v>6.8877999999999995E-2</v>
      </c>
      <c r="I31" s="22"/>
      <c r="J31" s="2"/>
    </row>
    <row r="32" spans="1:10" ht="12.95" customHeight="1">
      <c r="A32" s="16" t="s">
        <v>1151</v>
      </c>
      <c r="B32" s="17" t="s">
        <v>1152</v>
      </c>
      <c r="C32" s="13" t="s">
        <v>1153</v>
      </c>
      <c r="D32" s="13" t="s">
        <v>132</v>
      </c>
      <c r="E32" s="18">
        <v>250</v>
      </c>
      <c r="F32" s="19">
        <v>2523.15</v>
      </c>
      <c r="G32" s="20">
        <v>1.4999999999999999E-2</v>
      </c>
      <c r="H32" s="21">
        <v>6.0600000000000001E-2</v>
      </c>
      <c r="I32" s="22"/>
      <c r="J32" s="2"/>
    </row>
    <row r="33" spans="1:10" ht="12.95" customHeight="1">
      <c r="A33" s="16" t="s">
        <v>2571</v>
      </c>
      <c r="B33" s="17" t="s">
        <v>2572</v>
      </c>
      <c r="C33" s="13" t="s">
        <v>2573</v>
      </c>
      <c r="D33" s="13" t="s">
        <v>1073</v>
      </c>
      <c r="E33" s="18">
        <v>250</v>
      </c>
      <c r="F33" s="19">
        <v>2515.37</v>
      </c>
      <c r="G33" s="20">
        <v>1.49E-2</v>
      </c>
      <c r="H33" s="21">
        <v>6.8747000000000003E-2</v>
      </c>
      <c r="I33" s="22"/>
      <c r="J33" s="2"/>
    </row>
    <row r="34" spans="1:10" ht="12.95" customHeight="1">
      <c r="A34" s="16" t="s">
        <v>2574</v>
      </c>
      <c r="B34" s="17" t="s">
        <v>2575</v>
      </c>
      <c r="C34" s="13" t="s">
        <v>2576</v>
      </c>
      <c r="D34" s="13" t="s">
        <v>1073</v>
      </c>
      <c r="E34" s="18">
        <v>250</v>
      </c>
      <c r="F34" s="19">
        <v>2513.7600000000002</v>
      </c>
      <c r="G34" s="20">
        <v>1.49E-2</v>
      </c>
      <c r="H34" s="21">
        <v>7.1643999999999999E-2</v>
      </c>
      <c r="I34" s="37">
        <v>7.0869947000000003E-2</v>
      </c>
      <c r="J34" s="2"/>
    </row>
    <row r="35" spans="1:10" ht="12.95" customHeight="1">
      <c r="A35" s="16" t="s">
        <v>2577</v>
      </c>
      <c r="B35" s="17" t="s">
        <v>2578</v>
      </c>
      <c r="C35" s="13" t="s">
        <v>2579</v>
      </c>
      <c r="D35" s="13" t="s">
        <v>132</v>
      </c>
      <c r="E35" s="18">
        <v>250</v>
      </c>
      <c r="F35" s="19">
        <v>2510.59</v>
      </c>
      <c r="G35" s="20">
        <v>1.49E-2</v>
      </c>
      <c r="H35" s="21">
        <v>5.7750000000000003E-2</v>
      </c>
      <c r="I35" s="37"/>
      <c r="J35" s="2"/>
    </row>
    <row r="36" spans="1:10" ht="12.95" customHeight="1">
      <c r="A36" s="16" t="s">
        <v>2580</v>
      </c>
      <c r="B36" s="17" t="s">
        <v>2581</v>
      </c>
      <c r="C36" s="13" t="s">
        <v>2582</v>
      </c>
      <c r="D36" s="13" t="s">
        <v>2583</v>
      </c>
      <c r="E36" s="18">
        <v>250</v>
      </c>
      <c r="F36" s="19">
        <v>2508.1999999999998</v>
      </c>
      <c r="G36" s="20">
        <v>1.49E-2</v>
      </c>
      <c r="H36" s="21">
        <v>0.10753799999999999</v>
      </c>
      <c r="I36" s="37"/>
      <c r="J36" s="2"/>
    </row>
    <row r="37" spans="1:10" ht="12.95" customHeight="1">
      <c r="A37" s="16" t="s">
        <v>1187</v>
      </c>
      <c r="B37" s="17" t="s">
        <v>1188</v>
      </c>
      <c r="C37" s="13" t="s">
        <v>1189</v>
      </c>
      <c r="D37" s="13" t="s">
        <v>132</v>
      </c>
      <c r="E37" s="18">
        <v>250</v>
      </c>
      <c r="F37" s="19">
        <v>2504.34</v>
      </c>
      <c r="G37" s="20">
        <v>1.49E-2</v>
      </c>
      <c r="H37" s="21">
        <v>6.8469000000000002E-2</v>
      </c>
      <c r="I37" s="37"/>
      <c r="J37" s="2"/>
    </row>
    <row r="38" spans="1:10" ht="12.95" customHeight="1">
      <c r="A38" s="16" t="s">
        <v>2584</v>
      </c>
      <c r="B38" s="17" t="s">
        <v>2585</v>
      </c>
      <c r="C38" s="13" t="s">
        <v>2586</v>
      </c>
      <c r="D38" s="13" t="s">
        <v>1073</v>
      </c>
      <c r="E38" s="18">
        <v>250</v>
      </c>
      <c r="F38" s="19">
        <v>2500.35</v>
      </c>
      <c r="G38" s="20">
        <v>1.4800000000000001E-2</v>
      </c>
      <c r="H38" s="21">
        <v>6.6133499999999998E-2</v>
      </c>
      <c r="I38" s="37"/>
      <c r="J38" s="2"/>
    </row>
    <row r="39" spans="1:10" ht="12.95" customHeight="1">
      <c r="A39" s="16" t="s">
        <v>1691</v>
      </c>
      <c r="B39" s="17" t="s">
        <v>1692</v>
      </c>
      <c r="C39" s="13" t="s">
        <v>1693</v>
      </c>
      <c r="D39" s="13" t="s">
        <v>1694</v>
      </c>
      <c r="E39" s="18">
        <v>250</v>
      </c>
      <c r="F39" s="19">
        <v>2498.17</v>
      </c>
      <c r="G39" s="20">
        <v>1.4800000000000001E-2</v>
      </c>
      <c r="H39" s="21">
        <v>9.3905000000000002E-2</v>
      </c>
      <c r="I39" s="37"/>
      <c r="J39" s="2"/>
    </row>
    <row r="40" spans="1:10" ht="12.95" customHeight="1">
      <c r="A40" s="16" t="s">
        <v>535</v>
      </c>
      <c r="B40" s="17" t="s">
        <v>536</v>
      </c>
      <c r="C40" s="13" t="s">
        <v>537</v>
      </c>
      <c r="D40" s="13" t="s">
        <v>132</v>
      </c>
      <c r="E40" s="18">
        <v>250</v>
      </c>
      <c r="F40" s="19">
        <v>2498.15</v>
      </c>
      <c r="G40" s="20">
        <v>1.4800000000000001E-2</v>
      </c>
      <c r="H40" s="21">
        <v>6.2503500000000004E-2</v>
      </c>
      <c r="I40" s="37">
        <v>6.2604106000000007E-2</v>
      </c>
      <c r="J40" s="2"/>
    </row>
    <row r="41" spans="1:10" ht="12.95" customHeight="1">
      <c r="A41" s="16" t="s">
        <v>2340</v>
      </c>
      <c r="B41" s="17" t="s">
        <v>2341</v>
      </c>
      <c r="C41" s="13" t="s">
        <v>2342</v>
      </c>
      <c r="D41" s="13" t="s">
        <v>200</v>
      </c>
      <c r="E41" s="18">
        <v>2500000</v>
      </c>
      <c r="F41" s="19">
        <v>2495.5700000000002</v>
      </c>
      <c r="G41" s="20">
        <v>1.4800000000000001E-2</v>
      </c>
      <c r="H41" s="21"/>
      <c r="I41" s="37"/>
      <c r="J41" s="2"/>
    </row>
    <row r="42" spans="1:10" ht="12.95" customHeight="1">
      <c r="A42" s="16" t="s">
        <v>2587</v>
      </c>
      <c r="B42" s="17" t="s">
        <v>2588</v>
      </c>
      <c r="C42" s="13" t="s">
        <v>2589</v>
      </c>
      <c r="D42" s="13" t="s">
        <v>200</v>
      </c>
      <c r="E42" s="18">
        <v>2500000</v>
      </c>
      <c r="F42" s="19">
        <v>2481.27</v>
      </c>
      <c r="G42" s="20">
        <v>1.47E-2</v>
      </c>
      <c r="H42" s="21">
        <v>6.7229999999999998E-2</v>
      </c>
      <c r="I42" s="37"/>
      <c r="J42" s="2"/>
    </row>
    <row r="43" spans="1:10" ht="12.95" customHeight="1">
      <c r="A43" s="16" t="s">
        <v>2059</v>
      </c>
      <c r="B43" s="17" t="s">
        <v>2060</v>
      </c>
      <c r="C43" s="13" t="s">
        <v>2061</v>
      </c>
      <c r="D43" s="13" t="s">
        <v>2062</v>
      </c>
      <c r="E43" s="18">
        <v>225</v>
      </c>
      <c r="F43" s="19">
        <v>2360.46</v>
      </c>
      <c r="G43" s="20">
        <v>1.4E-2</v>
      </c>
      <c r="H43" s="21">
        <v>5.0950000000000002E-2</v>
      </c>
      <c r="I43" s="37"/>
      <c r="J43" s="2"/>
    </row>
    <row r="44" spans="1:10" ht="12.95" customHeight="1">
      <c r="A44" s="16" t="s">
        <v>1066</v>
      </c>
      <c r="B44" s="17" t="s">
        <v>1067</v>
      </c>
      <c r="C44" s="13" t="s">
        <v>1068</v>
      </c>
      <c r="D44" s="13" t="s">
        <v>1069</v>
      </c>
      <c r="E44" s="18">
        <v>230</v>
      </c>
      <c r="F44" s="19">
        <v>2329.77</v>
      </c>
      <c r="G44" s="20">
        <v>1.38E-2</v>
      </c>
      <c r="H44" s="21">
        <v>8.3005999999999996E-2</v>
      </c>
      <c r="I44" s="37">
        <v>2.4670000000000001E-2</v>
      </c>
      <c r="J44" s="2"/>
    </row>
    <row r="45" spans="1:10" ht="12.95" customHeight="1">
      <c r="A45" s="16" t="s">
        <v>2590</v>
      </c>
      <c r="B45" s="17" t="s">
        <v>2591</v>
      </c>
      <c r="C45" s="13" t="s">
        <v>2592</v>
      </c>
      <c r="D45" s="13" t="s">
        <v>132</v>
      </c>
      <c r="E45" s="18">
        <v>2000</v>
      </c>
      <c r="F45" s="19">
        <v>2072.94</v>
      </c>
      <c r="G45" s="20">
        <v>1.23E-2</v>
      </c>
      <c r="H45" s="21">
        <v>6.7894999999999997E-2</v>
      </c>
      <c r="I45" s="37"/>
      <c r="J45" s="2"/>
    </row>
    <row r="46" spans="1:10" ht="12.95" customHeight="1">
      <c r="A46" s="16" t="s">
        <v>2593</v>
      </c>
      <c r="B46" s="17" t="s">
        <v>2594</v>
      </c>
      <c r="C46" s="13" t="s">
        <v>2595</v>
      </c>
      <c r="D46" s="13" t="s">
        <v>132</v>
      </c>
      <c r="E46" s="18">
        <v>210</v>
      </c>
      <c r="F46" s="19">
        <v>2072.54</v>
      </c>
      <c r="G46" s="20">
        <v>1.23E-2</v>
      </c>
      <c r="H46" s="21">
        <v>6.5600000000000006E-2</v>
      </c>
      <c r="I46" s="37"/>
      <c r="J46" s="2"/>
    </row>
    <row r="47" spans="1:10" ht="12.95" customHeight="1">
      <c r="A47" s="16" t="s">
        <v>2596</v>
      </c>
      <c r="B47" s="17" t="s">
        <v>2597</v>
      </c>
      <c r="C47" s="13" t="s">
        <v>2598</v>
      </c>
      <c r="D47" s="13" t="s">
        <v>2062</v>
      </c>
      <c r="E47" s="18">
        <v>200</v>
      </c>
      <c r="F47" s="19">
        <v>2048.62</v>
      </c>
      <c r="G47" s="20">
        <v>1.2200000000000001E-2</v>
      </c>
      <c r="H47" s="21">
        <v>6.1346999999999999E-2</v>
      </c>
      <c r="I47" s="37"/>
      <c r="J47" s="2"/>
    </row>
    <row r="48" spans="1:10" ht="12.95" customHeight="1">
      <c r="A48" s="16" t="s">
        <v>2599</v>
      </c>
      <c r="B48" s="17" t="s">
        <v>2600</v>
      </c>
      <c r="C48" s="13" t="s">
        <v>2601</v>
      </c>
      <c r="D48" s="13" t="s">
        <v>2062</v>
      </c>
      <c r="E48" s="18">
        <v>200</v>
      </c>
      <c r="F48" s="19">
        <v>2004.52</v>
      </c>
      <c r="G48" s="20">
        <v>1.1900000000000001E-2</v>
      </c>
      <c r="H48" s="21">
        <v>8.4014000000000005E-2</v>
      </c>
      <c r="I48" s="37">
        <v>8.3587450999999993E-2</v>
      </c>
      <c r="J48" s="2"/>
    </row>
    <row r="49" spans="1:10" ht="12.95" customHeight="1">
      <c r="A49" s="16" t="s">
        <v>1154</v>
      </c>
      <c r="B49" s="17" t="s">
        <v>1155</v>
      </c>
      <c r="C49" s="13" t="s">
        <v>1156</v>
      </c>
      <c r="D49" s="13" t="s">
        <v>132</v>
      </c>
      <c r="E49" s="18">
        <v>200</v>
      </c>
      <c r="F49" s="19">
        <v>1995.42</v>
      </c>
      <c r="G49" s="20">
        <v>1.18E-2</v>
      </c>
      <c r="H49" s="21">
        <v>6.8150000000000002E-2</v>
      </c>
      <c r="I49" s="37"/>
      <c r="J49" s="2"/>
    </row>
    <row r="50" spans="1:10" ht="12.95" customHeight="1">
      <c r="A50" s="16" t="s">
        <v>2602</v>
      </c>
      <c r="B50" s="17" t="s">
        <v>2603</v>
      </c>
      <c r="C50" s="13" t="s">
        <v>2604</v>
      </c>
      <c r="D50" s="13" t="s">
        <v>2062</v>
      </c>
      <c r="E50" s="18">
        <v>180</v>
      </c>
      <c r="F50" s="19">
        <v>1802.03</v>
      </c>
      <c r="G50" s="20">
        <v>1.0699999999999999E-2</v>
      </c>
      <c r="H50" s="21">
        <v>7.0796999999999999E-2</v>
      </c>
      <c r="I50" s="37"/>
      <c r="J50" s="2"/>
    </row>
    <row r="51" spans="1:10" ht="12.95" customHeight="1">
      <c r="A51" s="16" t="s">
        <v>2045</v>
      </c>
      <c r="B51" s="17" t="s">
        <v>2046</v>
      </c>
      <c r="C51" s="13" t="s">
        <v>2047</v>
      </c>
      <c r="D51" s="13" t="s">
        <v>2048</v>
      </c>
      <c r="E51" s="18">
        <v>140</v>
      </c>
      <c r="F51" s="19">
        <v>1786.59</v>
      </c>
      <c r="G51" s="20">
        <v>1.06E-2</v>
      </c>
      <c r="H51" s="21">
        <v>6.3958000000000001E-2</v>
      </c>
      <c r="I51" s="37"/>
      <c r="J51" s="2"/>
    </row>
    <row r="52" spans="1:10" ht="12.95" customHeight="1">
      <c r="A52" s="16" t="s">
        <v>2605</v>
      </c>
      <c r="B52" s="17" t="s">
        <v>2606</v>
      </c>
      <c r="C52" s="13" t="s">
        <v>2607</v>
      </c>
      <c r="D52" s="13" t="s">
        <v>2608</v>
      </c>
      <c r="E52" s="18">
        <v>170</v>
      </c>
      <c r="F52" s="19">
        <v>1704.41</v>
      </c>
      <c r="G52" s="20">
        <v>1.01E-2</v>
      </c>
      <c r="H52" s="21">
        <v>0.100952</v>
      </c>
      <c r="I52" s="37"/>
      <c r="J52" s="2"/>
    </row>
    <row r="53" spans="1:10" ht="12.95" customHeight="1">
      <c r="A53" s="16" t="s">
        <v>1118</v>
      </c>
      <c r="B53" s="17" t="s">
        <v>1119</v>
      </c>
      <c r="C53" s="13" t="s">
        <v>1120</v>
      </c>
      <c r="D53" s="13" t="s">
        <v>132</v>
      </c>
      <c r="E53" s="18">
        <v>130</v>
      </c>
      <c r="F53" s="19">
        <v>1622.13</v>
      </c>
      <c r="G53" s="20">
        <v>9.5999999999999992E-3</v>
      </c>
      <c r="H53" s="21">
        <v>6.7150000000000001E-2</v>
      </c>
      <c r="I53" s="37"/>
      <c r="J53" s="2"/>
    </row>
    <row r="54" spans="1:10" ht="12.95" customHeight="1">
      <c r="A54" s="16" t="s">
        <v>257</v>
      </c>
      <c r="B54" s="17" t="s">
        <v>258</v>
      </c>
      <c r="C54" s="13" t="s">
        <v>259</v>
      </c>
      <c r="D54" s="13" t="s">
        <v>200</v>
      </c>
      <c r="E54" s="18">
        <v>1500000</v>
      </c>
      <c r="F54" s="19">
        <v>1563.57</v>
      </c>
      <c r="G54" s="20">
        <v>9.2999999999999992E-3</v>
      </c>
      <c r="H54" s="21">
        <v>4.4408999999999997E-2</v>
      </c>
      <c r="I54" s="37"/>
      <c r="J54" s="2"/>
    </row>
    <row r="55" spans="1:10" ht="12.95" customHeight="1">
      <c r="A55" s="16" t="s">
        <v>2609</v>
      </c>
      <c r="B55" s="17" t="s">
        <v>2610</v>
      </c>
      <c r="C55" s="13" t="s">
        <v>2611</v>
      </c>
      <c r="D55" s="13" t="s">
        <v>2612</v>
      </c>
      <c r="E55" s="18">
        <v>150</v>
      </c>
      <c r="F55" s="19">
        <v>1546.9</v>
      </c>
      <c r="G55" s="20">
        <v>9.1999999999999998E-3</v>
      </c>
      <c r="H55" s="21">
        <v>6.4057000000000003E-2</v>
      </c>
      <c r="I55" s="37"/>
      <c r="J55" s="2"/>
    </row>
    <row r="56" spans="1:10" ht="12.95" customHeight="1">
      <c r="A56" s="16" t="s">
        <v>2613</v>
      </c>
      <c r="B56" s="17" t="s">
        <v>2614</v>
      </c>
      <c r="C56" s="13" t="s">
        <v>2615</v>
      </c>
      <c r="D56" s="13" t="s">
        <v>2608</v>
      </c>
      <c r="E56" s="18">
        <v>200</v>
      </c>
      <c r="F56" s="19">
        <v>1543.18</v>
      </c>
      <c r="G56" s="20">
        <v>9.1999999999999998E-3</v>
      </c>
      <c r="H56" s="21">
        <v>0.11169999999999999</v>
      </c>
      <c r="I56" s="37"/>
      <c r="J56" s="2"/>
    </row>
    <row r="57" spans="1:10" ht="12.95" customHeight="1">
      <c r="A57" s="16" t="s">
        <v>2616</v>
      </c>
      <c r="B57" s="17" t="s">
        <v>2617</v>
      </c>
      <c r="C57" s="13" t="s">
        <v>2618</v>
      </c>
      <c r="D57" s="13" t="s">
        <v>2541</v>
      </c>
      <c r="E57" s="18">
        <v>150</v>
      </c>
      <c r="F57" s="19">
        <v>1537.72</v>
      </c>
      <c r="G57" s="20">
        <v>9.1000000000000004E-3</v>
      </c>
      <c r="H57" s="21">
        <v>4.555E-2</v>
      </c>
      <c r="I57" s="37"/>
      <c r="J57" s="2"/>
    </row>
    <row r="58" spans="1:10" ht="12.95" customHeight="1">
      <c r="A58" s="16" t="s">
        <v>2619</v>
      </c>
      <c r="B58" s="17" t="s">
        <v>2620</v>
      </c>
      <c r="C58" s="13" t="s">
        <v>2621</v>
      </c>
      <c r="D58" s="13" t="s">
        <v>2612</v>
      </c>
      <c r="E58" s="18">
        <v>150</v>
      </c>
      <c r="F58" s="19">
        <v>1494.72</v>
      </c>
      <c r="G58" s="20">
        <v>8.8999999999999999E-3</v>
      </c>
      <c r="H58" s="21">
        <v>6.7343E-2</v>
      </c>
      <c r="I58" s="37"/>
      <c r="J58" s="2"/>
    </row>
    <row r="59" spans="1:10" ht="12.95" customHeight="1">
      <c r="A59" s="16" t="s">
        <v>2622</v>
      </c>
      <c r="B59" s="17" t="s">
        <v>2623</v>
      </c>
      <c r="C59" s="13" t="s">
        <v>2624</v>
      </c>
      <c r="D59" s="13" t="s">
        <v>132</v>
      </c>
      <c r="E59" s="18">
        <v>150</v>
      </c>
      <c r="F59" s="19">
        <v>1485.89</v>
      </c>
      <c r="G59" s="20">
        <v>8.8000000000000005E-3</v>
      </c>
      <c r="H59" s="21">
        <v>6.5600000000000006E-2</v>
      </c>
      <c r="I59" s="37"/>
      <c r="J59" s="2"/>
    </row>
    <row r="60" spans="1:10" ht="12.95" customHeight="1">
      <c r="A60" s="16" t="s">
        <v>2625</v>
      </c>
      <c r="B60" s="17" t="s">
        <v>2626</v>
      </c>
      <c r="C60" s="13" t="s">
        <v>2627</v>
      </c>
      <c r="D60" s="13" t="s">
        <v>132</v>
      </c>
      <c r="E60" s="18">
        <v>1000</v>
      </c>
      <c r="F60" s="19">
        <v>1037.1600000000001</v>
      </c>
      <c r="G60" s="20">
        <v>6.1999999999999998E-3</v>
      </c>
      <c r="H60" s="21">
        <v>7.0059999999999997E-2</v>
      </c>
      <c r="I60" s="37"/>
      <c r="J60" s="2"/>
    </row>
    <row r="61" spans="1:10" ht="12.95" customHeight="1">
      <c r="A61" s="16" t="s">
        <v>2052</v>
      </c>
      <c r="B61" s="17" t="s">
        <v>2053</v>
      </c>
      <c r="C61" s="13" t="s">
        <v>2054</v>
      </c>
      <c r="D61" s="13" t="s">
        <v>1073</v>
      </c>
      <c r="E61" s="18">
        <v>100</v>
      </c>
      <c r="F61" s="19">
        <v>1002.45</v>
      </c>
      <c r="G61" s="20">
        <v>5.8999999999999999E-3</v>
      </c>
      <c r="H61" s="21">
        <v>7.2066000000000005E-2</v>
      </c>
      <c r="I61" s="37">
        <v>7.1650030000000003E-2</v>
      </c>
      <c r="J61" s="2"/>
    </row>
    <row r="62" spans="1:10" ht="12.95" customHeight="1">
      <c r="A62" s="16" t="s">
        <v>2628</v>
      </c>
      <c r="B62" s="17" t="s">
        <v>2629</v>
      </c>
      <c r="C62" s="13" t="s">
        <v>2630</v>
      </c>
      <c r="D62" s="13" t="s">
        <v>2612</v>
      </c>
      <c r="E62" s="18">
        <v>100</v>
      </c>
      <c r="F62" s="19">
        <v>1001.08</v>
      </c>
      <c r="G62" s="20">
        <v>5.8999999999999999E-3</v>
      </c>
      <c r="H62" s="21">
        <v>6.3611000000000001E-2</v>
      </c>
      <c r="I62" s="37"/>
      <c r="J62" s="2"/>
    </row>
    <row r="63" spans="1:10" ht="12.95" customHeight="1">
      <c r="A63" s="16" t="s">
        <v>2343</v>
      </c>
      <c r="B63" s="17" t="s">
        <v>2344</v>
      </c>
      <c r="C63" s="13" t="s">
        <v>2345</v>
      </c>
      <c r="D63" s="13" t="s">
        <v>132</v>
      </c>
      <c r="E63" s="18">
        <v>100</v>
      </c>
      <c r="F63" s="19">
        <v>998.57</v>
      </c>
      <c r="G63" s="20">
        <v>5.8999999999999999E-3</v>
      </c>
      <c r="H63" s="21">
        <v>6.3006999999999994E-2</v>
      </c>
      <c r="I63" s="37"/>
      <c r="J63" s="2"/>
    </row>
    <row r="64" spans="1:10" ht="12.95" customHeight="1">
      <c r="A64" s="16" t="s">
        <v>2631</v>
      </c>
      <c r="B64" s="17" t="s">
        <v>2632</v>
      </c>
      <c r="C64" s="13" t="s">
        <v>2633</v>
      </c>
      <c r="D64" s="13" t="s">
        <v>132</v>
      </c>
      <c r="E64" s="18">
        <v>50</v>
      </c>
      <c r="F64" s="19">
        <v>546.42999999999995</v>
      </c>
      <c r="G64" s="20">
        <v>3.2000000000000002E-3</v>
      </c>
      <c r="H64" s="21">
        <v>6.7100000000000007E-2</v>
      </c>
      <c r="I64" s="37"/>
      <c r="J64" s="2"/>
    </row>
    <row r="65" spans="1:10" ht="12.95" customHeight="1">
      <c r="A65" s="16" t="s">
        <v>2634</v>
      </c>
      <c r="B65" s="17" t="s">
        <v>2635</v>
      </c>
      <c r="C65" s="13" t="s">
        <v>2636</v>
      </c>
      <c r="D65" s="13" t="s">
        <v>171</v>
      </c>
      <c r="E65" s="18">
        <v>250</v>
      </c>
      <c r="F65" s="19">
        <v>533.87</v>
      </c>
      <c r="G65" s="20">
        <v>3.2000000000000002E-3</v>
      </c>
      <c r="H65" s="21">
        <v>5.8999000000000003E-2</v>
      </c>
      <c r="I65" s="37"/>
      <c r="J65" s="2"/>
    </row>
    <row r="66" spans="1:10" ht="12.95" customHeight="1">
      <c r="A66" s="16" t="s">
        <v>248</v>
      </c>
      <c r="B66" s="17" t="s">
        <v>249</v>
      </c>
      <c r="C66" s="13" t="s">
        <v>250</v>
      </c>
      <c r="D66" s="13" t="s">
        <v>200</v>
      </c>
      <c r="E66" s="18">
        <v>500000</v>
      </c>
      <c r="F66" s="19">
        <v>516.48</v>
      </c>
      <c r="G66" s="20">
        <v>3.0999999999999999E-3</v>
      </c>
      <c r="H66" s="21">
        <v>4.0305000000000001E-2</v>
      </c>
      <c r="I66" s="37"/>
      <c r="J66" s="2"/>
    </row>
    <row r="67" spans="1:10" ht="12.95" customHeight="1">
      <c r="A67" s="16" t="s">
        <v>1448</v>
      </c>
      <c r="B67" s="17" t="s">
        <v>1449</v>
      </c>
      <c r="C67" s="13" t="s">
        <v>1450</v>
      </c>
      <c r="D67" s="13" t="s">
        <v>171</v>
      </c>
      <c r="E67" s="18">
        <v>50</v>
      </c>
      <c r="F67" s="19">
        <v>511.45</v>
      </c>
      <c r="G67" s="20">
        <v>3.0000000000000001E-3</v>
      </c>
      <c r="H67" s="21">
        <v>6.7499000000000003E-2</v>
      </c>
      <c r="I67" s="37"/>
      <c r="J67" s="2"/>
    </row>
    <row r="68" spans="1:10" ht="12.95" customHeight="1">
      <c r="A68" s="16" t="s">
        <v>2637</v>
      </c>
      <c r="B68" s="17" t="s">
        <v>2638</v>
      </c>
      <c r="C68" s="13" t="s">
        <v>2639</v>
      </c>
      <c r="D68" s="13" t="s">
        <v>2361</v>
      </c>
      <c r="E68" s="18">
        <v>50</v>
      </c>
      <c r="F68" s="19">
        <v>503.27</v>
      </c>
      <c r="G68" s="20">
        <v>3.0000000000000001E-3</v>
      </c>
      <c r="H68" s="21">
        <v>8.8624999999999995E-2</v>
      </c>
      <c r="I68" s="37"/>
      <c r="J68" s="2"/>
    </row>
    <row r="69" spans="1:10" ht="12.95" customHeight="1">
      <c r="A69" s="16" t="s">
        <v>2640</v>
      </c>
      <c r="B69" s="17" t="s">
        <v>2641</v>
      </c>
      <c r="C69" s="13" t="s">
        <v>2642</v>
      </c>
      <c r="D69" s="13" t="s">
        <v>2062</v>
      </c>
      <c r="E69" s="18">
        <v>50</v>
      </c>
      <c r="F69" s="19">
        <v>500.9</v>
      </c>
      <c r="G69" s="20">
        <v>3.0000000000000001E-3</v>
      </c>
      <c r="H69" s="21">
        <v>8.4074999999999997E-2</v>
      </c>
      <c r="I69" s="37">
        <v>8.3698380000000003E-2</v>
      </c>
      <c r="J69" s="2"/>
    </row>
    <row r="70" spans="1:10" ht="12.95" customHeight="1">
      <c r="A70" s="16" t="s">
        <v>2358</v>
      </c>
      <c r="B70" s="17" t="s">
        <v>2359</v>
      </c>
      <c r="C70" s="13" t="s">
        <v>2360</v>
      </c>
      <c r="D70" s="13" t="s">
        <v>2361</v>
      </c>
      <c r="E70" s="18">
        <v>50</v>
      </c>
      <c r="F70" s="19">
        <v>499.48</v>
      </c>
      <c r="G70" s="20">
        <v>3.0000000000000001E-3</v>
      </c>
      <c r="H70" s="21">
        <v>7.8784000000000007E-2</v>
      </c>
      <c r="I70" s="37"/>
      <c r="J70" s="2"/>
    </row>
    <row r="71" spans="1:10" ht="12.95" customHeight="1">
      <c r="A71" s="16" t="s">
        <v>2643</v>
      </c>
      <c r="B71" s="17" t="s">
        <v>2644</v>
      </c>
      <c r="C71" s="13" t="s">
        <v>2645</v>
      </c>
      <c r="D71" s="13" t="s">
        <v>2612</v>
      </c>
      <c r="E71" s="18">
        <v>50</v>
      </c>
      <c r="F71" s="19">
        <v>499.39</v>
      </c>
      <c r="G71" s="20">
        <v>3.0000000000000001E-3</v>
      </c>
      <c r="H71" s="21">
        <v>6.5792000000000003E-2</v>
      </c>
      <c r="I71" s="37"/>
      <c r="J71" s="2"/>
    </row>
    <row r="72" spans="1:10" ht="12.95" customHeight="1">
      <c r="A72" s="16" t="s">
        <v>1418</v>
      </c>
      <c r="B72" s="17" t="s">
        <v>1419</v>
      </c>
      <c r="C72" s="13" t="s">
        <v>1420</v>
      </c>
      <c r="D72" s="13" t="s">
        <v>200</v>
      </c>
      <c r="E72" s="18">
        <v>500000</v>
      </c>
      <c r="F72" s="19">
        <v>491.69</v>
      </c>
      <c r="G72" s="20">
        <v>2.8999999999999998E-3</v>
      </c>
      <c r="H72" s="21">
        <v>6.7746000000000001E-2</v>
      </c>
      <c r="I72" s="37"/>
      <c r="J72" s="2"/>
    </row>
    <row r="73" spans="1:10" ht="12.95" customHeight="1">
      <c r="A73" s="16" t="s">
        <v>2118</v>
      </c>
      <c r="B73" s="17" t="s">
        <v>2119</v>
      </c>
      <c r="C73" s="13" t="s">
        <v>2120</v>
      </c>
      <c r="D73" s="13" t="s">
        <v>200</v>
      </c>
      <c r="E73" s="18">
        <v>448900</v>
      </c>
      <c r="F73" s="19">
        <v>476.36</v>
      </c>
      <c r="G73" s="20">
        <v>2.8E-3</v>
      </c>
      <c r="H73" s="21">
        <v>6.2015000000000001E-2</v>
      </c>
      <c r="I73" s="37"/>
      <c r="J73" s="2"/>
    </row>
    <row r="74" spans="1:10" ht="12.95" customHeight="1">
      <c r="A74" s="16" t="s">
        <v>2646</v>
      </c>
      <c r="B74" s="17" t="s">
        <v>2647</v>
      </c>
      <c r="C74" s="13" t="s">
        <v>2648</v>
      </c>
      <c r="D74" s="13" t="s">
        <v>132</v>
      </c>
      <c r="E74" s="18">
        <v>40</v>
      </c>
      <c r="F74" s="19">
        <v>434.35</v>
      </c>
      <c r="G74" s="20">
        <v>2.5999999999999999E-3</v>
      </c>
      <c r="H74" s="21">
        <v>5.5819000000000001E-2</v>
      </c>
      <c r="I74" s="37"/>
      <c r="J74" s="2"/>
    </row>
    <row r="75" spans="1:10" ht="12.95" customHeight="1">
      <c r="A75" s="16" t="s">
        <v>1086</v>
      </c>
      <c r="B75" s="17" t="s">
        <v>1087</v>
      </c>
      <c r="C75" s="13" t="s">
        <v>1088</v>
      </c>
      <c r="D75" s="13" t="s">
        <v>200</v>
      </c>
      <c r="E75" s="18">
        <v>300000</v>
      </c>
      <c r="F75" s="19">
        <v>323.31</v>
      </c>
      <c r="G75" s="20">
        <v>1.9E-3</v>
      </c>
      <c r="H75" s="21">
        <v>6.6048999999999997E-2</v>
      </c>
      <c r="I75" s="37"/>
      <c r="J75" s="2"/>
    </row>
    <row r="76" spans="1:10" ht="12.95" customHeight="1">
      <c r="A76" s="16" t="s">
        <v>1283</v>
      </c>
      <c r="B76" s="17" t="s">
        <v>1284</v>
      </c>
      <c r="C76" s="13" t="s">
        <v>1285</v>
      </c>
      <c r="D76" s="13" t="s">
        <v>132</v>
      </c>
      <c r="E76" s="18">
        <v>31</v>
      </c>
      <c r="F76" s="19">
        <v>309.72000000000003</v>
      </c>
      <c r="G76" s="20">
        <v>1.8E-3</v>
      </c>
      <c r="H76" s="21">
        <v>5.8644000000000002E-2</v>
      </c>
      <c r="I76" s="37"/>
      <c r="J76" s="2"/>
    </row>
    <row r="77" spans="1:10" ht="12.95" customHeight="1">
      <c r="A77" s="16" t="s">
        <v>1196</v>
      </c>
      <c r="B77" s="17" t="s">
        <v>1197</v>
      </c>
      <c r="C77" s="13" t="s">
        <v>1198</v>
      </c>
      <c r="D77" s="13" t="s">
        <v>132</v>
      </c>
      <c r="E77" s="18">
        <v>30</v>
      </c>
      <c r="F77" s="19">
        <v>309.08</v>
      </c>
      <c r="G77" s="20">
        <v>1.8E-3</v>
      </c>
      <c r="H77" s="21">
        <v>4.5749999999999999E-2</v>
      </c>
      <c r="I77" s="37"/>
      <c r="J77" s="2"/>
    </row>
    <row r="78" spans="1:10" ht="12.95" customHeight="1">
      <c r="A78" s="16" t="s">
        <v>2649</v>
      </c>
      <c r="B78" s="17" t="s">
        <v>2650</v>
      </c>
      <c r="C78" s="13" t="s">
        <v>2651</v>
      </c>
      <c r="D78" s="13" t="s">
        <v>132</v>
      </c>
      <c r="E78" s="18">
        <v>25</v>
      </c>
      <c r="F78" s="19">
        <v>275.92</v>
      </c>
      <c r="G78" s="20">
        <v>1.6000000000000001E-3</v>
      </c>
      <c r="H78" s="21">
        <v>5.4272000000000001E-2</v>
      </c>
      <c r="I78" s="37"/>
      <c r="J78" s="2"/>
    </row>
    <row r="79" spans="1:10" ht="12.95" customHeight="1">
      <c r="A79" s="16" t="s">
        <v>2652</v>
      </c>
      <c r="B79" s="17" t="s">
        <v>2653</v>
      </c>
      <c r="C79" s="13" t="s">
        <v>2654</v>
      </c>
      <c r="D79" s="13" t="s">
        <v>1073</v>
      </c>
      <c r="E79" s="18">
        <v>20</v>
      </c>
      <c r="F79" s="19">
        <v>207.96</v>
      </c>
      <c r="G79" s="20">
        <v>1.1999999999999999E-3</v>
      </c>
      <c r="H79" s="21">
        <v>4.58E-2</v>
      </c>
      <c r="I79" s="37"/>
      <c r="J79" s="2"/>
    </row>
    <row r="80" spans="1:10" ht="12.95" customHeight="1">
      <c r="A80" s="16" t="s">
        <v>2655</v>
      </c>
      <c r="B80" s="17" t="s">
        <v>2656</v>
      </c>
      <c r="C80" s="13" t="s">
        <v>2657</v>
      </c>
      <c r="D80" s="13" t="s">
        <v>1711</v>
      </c>
      <c r="E80" s="18">
        <v>19</v>
      </c>
      <c r="F80" s="19">
        <v>194.47</v>
      </c>
      <c r="G80" s="20">
        <v>1.1999999999999999E-3</v>
      </c>
      <c r="H80" s="21">
        <v>4.5699999999999998E-2</v>
      </c>
      <c r="I80" s="37"/>
      <c r="J80" s="2"/>
    </row>
    <row r="81" spans="1:10" ht="12.95" customHeight="1">
      <c r="A81" s="16" t="s">
        <v>2658</v>
      </c>
      <c r="B81" s="17" t="s">
        <v>2659</v>
      </c>
      <c r="C81" s="13" t="s">
        <v>2660</v>
      </c>
      <c r="D81" s="13" t="s">
        <v>200</v>
      </c>
      <c r="E81" s="18">
        <v>150000</v>
      </c>
      <c r="F81" s="19">
        <v>165.3</v>
      </c>
      <c r="G81" s="20">
        <v>1E-3</v>
      </c>
      <c r="H81" s="21">
        <v>6.3061000000000006E-2</v>
      </c>
      <c r="I81" s="37"/>
      <c r="J81" s="2"/>
    </row>
    <row r="82" spans="1:10" ht="12.95" customHeight="1">
      <c r="A82" s="16" t="s">
        <v>1468</v>
      </c>
      <c r="B82" s="17" t="s">
        <v>1469</v>
      </c>
      <c r="C82" s="13" t="s">
        <v>1470</v>
      </c>
      <c r="D82" s="13" t="s">
        <v>132</v>
      </c>
      <c r="E82" s="18">
        <v>12</v>
      </c>
      <c r="F82" s="19">
        <v>132.01</v>
      </c>
      <c r="G82" s="20">
        <v>8.0000000000000004E-4</v>
      </c>
      <c r="H82" s="21">
        <v>6.7100000000000007E-2</v>
      </c>
      <c r="I82" s="37"/>
      <c r="J82" s="2"/>
    </row>
    <row r="83" spans="1:10" ht="12.95" customHeight="1">
      <c r="A83" s="16" t="s">
        <v>1077</v>
      </c>
      <c r="B83" s="17" t="s">
        <v>1078</v>
      </c>
      <c r="C83" s="13" t="s">
        <v>1079</v>
      </c>
      <c r="D83" s="13" t="s">
        <v>132</v>
      </c>
      <c r="E83" s="18">
        <v>10</v>
      </c>
      <c r="F83" s="19">
        <v>102.77</v>
      </c>
      <c r="G83" s="20">
        <v>5.9999999999999995E-4</v>
      </c>
      <c r="H83" s="21">
        <v>5.7756000000000002E-2</v>
      </c>
      <c r="I83" s="37"/>
      <c r="J83" s="2"/>
    </row>
    <row r="84" spans="1:10" ht="12.95" customHeight="1">
      <c r="A84" s="16" t="s">
        <v>439</v>
      </c>
      <c r="B84" s="17" t="s">
        <v>440</v>
      </c>
      <c r="C84" s="13" t="s">
        <v>441</v>
      </c>
      <c r="D84" s="13" t="s">
        <v>132</v>
      </c>
      <c r="E84" s="18">
        <v>10</v>
      </c>
      <c r="F84" s="19">
        <v>102.44</v>
      </c>
      <c r="G84" s="20">
        <v>5.9999999999999995E-4</v>
      </c>
      <c r="H84" s="21">
        <v>4.2349999999999999E-2</v>
      </c>
      <c r="I84" s="37"/>
      <c r="J84" s="2"/>
    </row>
    <row r="85" spans="1:10" ht="12.95" customHeight="1">
      <c r="A85" s="16" t="s">
        <v>2661</v>
      </c>
      <c r="B85" s="17" t="s">
        <v>2662</v>
      </c>
      <c r="C85" s="13" t="s">
        <v>2663</v>
      </c>
      <c r="D85" s="13" t="s">
        <v>132</v>
      </c>
      <c r="E85" s="18">
        <v>10</v>
      </c>
      <c r="F85" s="19">
        <v>100.53</v>
      </c>
      <c r="G85" s="20">
        <v>5.9999999999999995E-4</v>
      </c>
      <c r="H85" s="21">
        <v>5.6916000000000001E-2</v>
      </c>
      <c r="I85" s="37"/>
      <c r="J85" s="2"/>
    </row>
    <row r="86" spans="1:10" ht="12.95" customHeight="1">
      <c r="A86" s="16" t="s">
        <v>1096</v>
      </c>
      <c r="B86" s="17" t="s">
        <v>1097</v>
      </c>
      <c r="C86" s="13" t="s">
        <v>1098</v>
      </c>
      <c r="D86" s="13" t="s">
        <v>1099</v>
      </c>
      <c r="E86" s="18">
        <v>10</v>
      </c>
      <c r="F86" s="19">
        <v>99.72</v>
      </c>
      <c r="G86" s="20">
        <v>5.9999999999999995E-4</v>
      </c>
      <c r="H86" s="21">
        <v>9.9928500000000003E-2</v>
      </c>
      <c r="I86" s="37">
        <v>0.130434247</v>
      </c>
      <c r="J86" s="2"/>
    </row>
    <row r="87" spans="1:10" ht="12.95" customHeight="1">
      <c r="A87" s="16" t="s">
        <v>647</v>
      </c>
      <c r="B87" s="17" t="s">
        <v>648</v>
      </c>
      <c r="C87" s="13" t="s">
        <v>649</v>
      </c>
      <c r="D87" s="13" t="s">
        <v>200</v>
      </c>
      <c r="E87" s="18">
        <v>50000</v>
      </c>
      <c r="F87" s="19">
        <v>54.28</v>
      </c>
      <c r="G87" s="20">
        <v>2.9999999999999997E-4</v>
      </c>
      <c r="H87" s="21">
        <v>4.5940000000000002E-2</v>
      </c>
      <c r="I87" s="37"/>
      <c r="J87" s="2"/>
    </row>
    <row r="88" spans="1:10" ht="12.95" customHeight="1">
      <c r="A88" s="16" t="s">
        <v>622</v>
      </c>
      <c r="B88" s="17" t="s">
        <v>623</v>
      </c>
      <c r="C88" s="13" t="s">
        <v>624</v>
      </c>
      <c r="D88" s="13" t="s">
        <v>200</v>
      </c>
      <c r="E88" s="18">
        <v>49400</v>
      </c>
      <c r="F88" s="19">
        <v>47.96</v>
      </c>
      <c r="G88" s="20">
        <v>2.9999999999999997E-4</v>
      </c>
      <c r="H88" s="21">
        <v>6.2322000000000002E-2</v>
      </c>
      <c r="I88" s="37"/>
      <c r="J88" s="2"/>
    </row>
    <row r="89" spans="1:10" ht="12.95" customHeight="1">
      <c r="A89" s="16" t="s">
        <v>1531</v>
      </c>
      <c r="B89" s="17" t="s">
        <v>1532</v>
      </c>
      <c r="C89" s="13" t="s">
        <v>1533</v>
      </c>
      <c r="D89" s="13" t="s">
        <v>200</v>
      </c>
      <c r="E89" s="18">
        <v>42000</v>
      </c>
      <c r="F89" s="19">
        <v>47.48</v>
      </c>
      <c r="G89" s="20">
        <v>2.9999999999999997E-4</v>
      </c>
      <c r="H89" s="21">
        <v>6.1800000000000001E-2</v>
      </c>
      <c r="I89" s="37"/>
      <c r="J89" s="2"/>
    </row>
    <row r="90" spans="1:10" ht="12.95" customHeight="1">
      <c r="A90" s="16" t="s">
        <v>2664</v>
      </c>
      <c r="B90" s="17" t="s">
        <v>2665</v>
      </c>
      <c r="C90" s="13" t="s">
        <v>2666</v>
      </c>
      <c r="D90" s="13" t="s">
        <v>200</v>
      </c>
      <c r="E90" s="18">
        <v>9400</v>
      </c>
      <c r="F90" s="19">
        <v>10.34</v>
      </c>
      <c r="G90" s="20">
        <v>1E-4</v>
      </c>
      <c r="H90" s="21">
        <v>5.8705E-2</v>
      </c>
      <c r="I90" s="37"/>
      <c r="J90" s="2"/>
    </row>
    <row r="91" spans="1:10" ht="12.95" customHeight="1">
      <c r="A91" s="16" t="s">
        <v>2667</v>
      </c>
      <c r="B91" s="17" t="s">
        <v>2668</v>
      </c>
      <c r="C91" s="13" t="s">
        <v>2669</v>
      </c>
      <c r="D91" s="13" t="s">
        <v>200</v>
      </c>
      <c r="E91" s="18">
        <v>4000</v>
      </c>
      <c r="F91" s="19">
        <v>4.32</v>
      </c>
      <c r="G91" s="36" t="s">
        <v>643</v>
      </c>
      <c r="H91" s="21">
        <v>6.2361E-2</v>
      </c>
      <c r="I91" s="37"/>
      <c r="J91" s="2"/>
    </row>
    <row r="92" spans="1:10" ht="12.95" customHeight="1">
      <c r="A92" s="2"/>
      <c r="B92" s="12" t="s">
        <v>172</v>
      </c>
      <c r="C92" s="13"/>
      <c r="D92" s="13"/>
      <c r="E92" s="13"/>
      <c r="F92" s="23">
        <v>155390.60999999999</v>
      </c>
      <c r="G92" s="24">
        <v>0.92210000000000003</v>
      </c>
      <c r="H92" s="25"/>
      <c r="I92" s="26"/>
      <c r="J92" s="2"/>
    </row>
    <row r="93" spans="1:10" ht="12.95" customHeight="1">
      <c r="A93" s="2"/>
      <c r="B93" s="12" t="s">
        <v>173</v>
      </c>
      <c r="C93" s="13"/>
      <c r="D93" s="13"/>
      <c r="E93" s="13"/>
      <c r="F93" s="2"/>
      <c r="G93" s="14"/>
      <c r="H93" s="14"/>
      <c r="I93" s="15"/>
      <c r="J93" s="2"/>
    </row>
    <row r="94" spans="1:10" ht="12.95" customHeight="1">
      <c r="A94" s="16" t="s">
        <v>2670</v>
      </c>
      <c r="B94" s="17" t="s">
        <v>2671</v>
      </c>
      <c r="C94" s="13" t="s">
        <v>2672</v>
      </c>
      <c r="D94" s="13" t="s">
        <v>2673</v>
      </c>
      <c r="E94" s="18">
        <v>71</v>
      </c>
      <c r="F94" s="19">
        <v>615.34</v>
      </c>
      <c r="G94" s="20">
        <v>3.7000000000000002E-3</v>
      </c>
      <c r="H94" s="21">
        <v>0.10589999999999999</v>
      </c>
      <c r="I94" s="37"/>
      <c r="J94" s="2"/>
    </row>
    <row r="95" spans="1:10" ht="12.95" customHeight="1">
      <c r="A95" s="2"/>
      <c r="B95" s="12" t="s">
        <v>172</v>
      </c>
      <c r="C95" s="13"/>
      <c r="D95" s="13"/>
      <c r="E95" s="13"/>
      <c r="F95" s="23">
        <v>615.34</v>
      </c>
      <c r="G95" s="24">
        <v>3.7000000000000002E-3</v>
      </c>
      <c r="H95" s="25"/>
      <c r="I95" s="26"/>
      <c r="J95" s="2"/>
    </row>
    <row r="96" spans="1:10" ht="12.95" customHeight="1">
      <c r="A96" s="2"/>
      <c r="B96" s="12" t="s">
        <v>1292</v>
      </c>
      <c r="C96" s="13"/>
      <c r="D96" s="13"/>
      <c r="E96" s="13"/>
      <c r="F96" s="2"/>
      <c r="G96" s="14"/>
      <c r="H96" s="14"/>
      <c r="I96" s="15"/>
      <c r="J96" s="2"/>
    </row>
    <row r="97" spans="1:10" ht="12.95" customHeight="1">
      <c r="A97" s="16" t="s">
        <v>2674</v>
      </c>
      <c r="B97" s="17" t="s">
        <v>2675</v>
      </c>
      <c r="C97" s="13" t="s">
        <v>2676</v>
      </c>
      <c r="D97" s="13" t="s">
        <v>3919</v>
      </c>
      <c r="E97" s="18">
        <v>3000</v>
      </c>
      <c r="F97" s="19">
        <v>2478.0100000000002</v>
      </c>
      <c r="G97" s="20">
        <v>1.47E-2</v>
      </c>
      <c r="H97" s="21">
        <v>7.2700000000000001E-2</v>
      </c>
      <c r="I97" s="37"/>
      <c r="J97" s="2"/>
    </row>
    <row r="98" spans="1:10" ht="12.95" customHeight="1">
      <c r="A98" s="16" t="s">
        <v>1300</v>
      </c>
      <c r="B98" s="17" t="s">
        <v>1301</v>
      </c>
      <c r="C98" s="13" t="s">
        <v>1302</v>
      </c>
      <c r="D98" s="13" t="s">
        <v>1296</v>
      </c>
      <c r="E98" s="18">
        <v>22</v>
      </c>
      <c r="F98" s="19">
        <v>1796.91</v>
      </c>
      <c r="G98" s="20">
        <v>1.0699999999999999E-2</v>
      </c>
      <c r="H98" s="21">
        <v>6.4212000000000005E-2</v>
      </c>
      <c r="I98" s="37"/>
      <c r="J98" s="2"/>
    </row>
    <row r="99" spans="1:10" ht="12.95" customHeight="1">
      <c r="A99" s="16" t="s">
        <v>2677</v>
      </c>
      <c r="B99" s="17" t="s">
        <v>2678</v>
      </c>
      <c r="C99" s="13" t="s">
        <v>2679</v>
      </c>
      <c r="D99" s="13" t="s">
        <v>1296</v>
      </c>
      <c r="E99" s="18">
        <v>6</v>
      </c>
      <c r="F99" s="19">
        <v>502.14</v>
      </c>
      <c r="G99" s="20">
        <v>3.0000000000000001E-3</v>
      </c>
      <c r="H99" s="21">
        <v>6.1149000000000002E-2</v>
      </c>
      <c r="I99" s="37"/>
      <c r="J99" s="2"/>
    </row>
    <row r="100" spans="1:10" ht="12.95" customHeight="1">
      <c r="A100" s="16" t="s">
        <v>2680</v>
      </c>
      <c r="B100" s="17" t="s">
        <v>2681</v>
      </c>
      <c r="C100" s="13" t="s">
        <v>2682</v>
      </c>
      <c r="D100" s="13" t="s">
        <v>2683</v>
      </c>
      <c r="E100" s="18">
        <v>370</v>
      </c>
      <c r="F100" s="19">
        <v>450.29</v>
      </c>
      <c r="G100" s="20">
        <v>2.7000000000000001E-3</v>
      </c>
      <c r="H100" s="21">
        <v>9.0747999999999995E-2</v>
      </c>
      <c r="I100" s="37"/>
      <c r="J100" s="2"/>
    </row>
    <row r="101" spans="1:10" ht="12.95" customHeight="1">
      <c r="A101" s="2"/>
      <c r="B101" s="12" t="s">
        <v>172</v>
      </c>
      <c r="C101" s="13"/>
      <c r="D101" s="13"/>
      <c r="E101" s="13"/>
      <c r="F101" s="23">
        <v>5227.3500000000004</v>
      </c>
      <c r="G101" s="24">
        <v>3.1099999999999999E-2</v>
      </c>
      <c r="H101" s="25"/>
      <c r="I101" s="26"/>
      <c r="J101" s="2"/>
    </row>
    <row r="102" spans="1:10" ht="12.95" customHeight="1">
      <c r="A102" s="2"/>
      <c r="B102" s="27" t="s">
        <v>177</v>
      </c>
      <c r="C102" s="28"/>
      <c r="D102" s="1"/>
      <c r="E102" s="28"/>
      <c r="F102" s="23">
        <v>161233.29999999999</v>
      </c>
      <c r="G102" s="24">
        <v>0.95689999999999997</v>
      </c>
      <c r="H102" s="25"/>
      <c r="I102" s="26"/>
      <c r="J102" s="2"/>
    </row>
    <row r="103" spans="1:10" ht="12.95" customHeight="1">
      <c r="A103" s="2"/>
      <c r="B103" s="12" t="s">
        <v>656</v>
      </c>
      <c r="C103" s="13"/>
      <c r="D103" s="13"/>
      <c r="E103" s="13"/>
      <c r="F103" s="13"/>
      <c r="G103" s="13"/>
      <c r="H103" s="14"/>
      <c r="I103" s="15"/>
      <c r="J103" s="2"/>
    </row>
    <row r="104" spans="1:10" ht="12.95" customHeight="1">
      <c r="A104" s="2"/>
      <c r="B104" s="12" t="s">
        <v>662</v>
      </c>
      <c r="C104" s="13"/>
      <c r="D104" s="13"/>
      <c r="E104" s="13"/>
      <c r="F104" s="2"/>
      <c r="G104" s="14"/>
      <c r="H104" s="14"/>
      <c r="I104" s="15"/>
      <c r="J104" s="2"/>
    </row>
    <row r="105" spans="1:10" ht="12.95" customHeight="1">
      <c r="A105" s="16" t="s">
        <v>2684</v>
      </c>
      <c r="B105" s="17" t="s">
        <v>2685</v>
      </c>
      <c r="C105" s="13" t="s">
        <v>2686</v>
      </c>
      <c r="D105" s="13" t="s">
        <v>661</v>
      </c>
      <c r="E105" s="18">
        <v>700</v>
      </c>
      <c r="F105" s="19">
        <v>3391.47</v>
      </c>
      <c r="G105" s="20">
        <v>2.01E-2</v>
      </c>
      <c r="H105" s="21">
        <v>7.2999999999999995E-2</v>
      </c>
      <c r="I105" s="37"/>
      <c r="J105" s="2"/>
    </row>
    <row r="106" spans="1:10" ht="12.95" customHeight="1">
      <c r="A106" s="2"/>
      <c r="B106" s="12" t="s">
        <v>172</v>
      </c>
      <c r="C106" s="13"/>
      <c r="D106" s="13"/>
      <c r="E106" s="13"/>
      <c r="F106" s="23">
        <v>3391.47</v>
      </c>
      <c r="G106" s="24">
        <v>2.01E-2</v>
      </c>
      <c r="H106" s="25"/>
      <c r="I106" s="26"/>
      <c r="J106" s="2"/>
    </row>
    <row r="107" spans="1:10" ht="12.95" customHeight="1">
      <c r="A107" s="2"/>
      <c r="B107" s="27" t="s">
        <v>177</v>
      </c>
      <c r="C107" s="28"/>
      <c r="D107" s="1"/>
      <c r="E107" s="28"/>
      <c r="F107" s="23">
        <v>3391.47</v>
      </c>
      <c r="G107" s="24">
        <v>2.01E-2</v>
      </c>
      <c r="H107" s="25"/>
      <c r="I107" s="26"/>
      <c r="J107" s="2"/>
    </row>
    <row r="108" spans="1:10" ht="12.95" customHeight="1">
      <c r="A108" s="2"/>
      <c r="B108" s="12" t="s">
        <v>178</v>
      </c>
      <c r="C108" s="13"/>
      <c r="D108" s="13"/>
      <c r="E108" s="13"/>
      <c r="F108" s="13"/>
      <c r="G108" s="13"/>
      <c r="H108" s="14"/>
      <c r="I108" s="15"/>
      <c r="J108" s="2"/>
    </row>
    <row r="109" spans="1:10" ht="12.95" customHeight="1">
      <c r="A109" s="16" t="s">
        <v>179</v>
      </c>
      <c r="B109" s="17" t="s">
        <v>180</v>
      </c>
      <c r="C109" s="13"/>
      <c r="D109" s="13"/>
      <c r="E109" s="18"/>
      <c r="F109" s="19">
        <v>9028.2099999999991</v>
      </c>
      <c r="G109" s="20">
        <v>5.3600000000000002E-2</v>
      </c>
      <c r="H109" s="21">
        <v>3.3046488143377455E-2</v>
      </c>
      <c r="I109" s="37"/>
      <c r="J109" s="2"/>
    </row>
    <row r="110" spans="1:10" ht="12.95" customHeight="1">
      <c r="A110" s="2"/>
      <c r="B110" s="12" t="s">
        <v>172</v>
      </c>
      <c r="C110" s="13"/>
      <c r="D110" s="13"/>
      <c r="E110" s="13"/>
      <c r="F110" s="23">
        <v>9028.2099999999991</v>
      </c>
      <c r="G110" s="24">
        <v>5.3600000000000002E-2</v>
      </c>
      <c r="H110" s="25"/>
      <c r="I110" s="26"/>
      <c r="J110" s="2"/>
    </row>
    <row r="111" spans="1:10" ht="12.95" customHeight="1">
      <c r="A111" s="2"/>
      <c r="B111" s="27" t="s">
        <v>177</v>
      </c>
      <c r="C111" s="28"/>
      <c r="D111" s="1"/>
      <c r="E111" s="28"/>
      <c r="F111" s="23">
        <v>9028.2099999999991</v>
      </c>
      <c r="G111" s="24">
        <v>5.3600000000000002E-2</v>
      </c>
      <c r="H111" s="25"/>
      <c r="I111" s="26"/>
      <c r="J111" s="2"/>
    </row>
    <row r="112" spans="1:10" ht="12.95" customHeight="1">
      <c r="A112" s="2"/>
      <c r="B112" s="27" t="s">
        <v>181</v>
      </c>
      <c r="C112" s="13"/>
      <c r="D112" s="1"/>
      <c r="E112" s="13"/>
      <c r="F112" s="29">
        <v>-5082.87</v>
      </c>
      <c r="G112" s="24">
        <v>-3.0499999999999999E-2</v>
      </c>
      <c r="H112" s="25"/>
      <c r="I112" s="26"/>
      <c r="J112" s="2"/>
    </row>
    <row r="113" spans="1:10" ht="12.95" customHeight="1">
      <c r="A113" s="2"/>
      <c r="B113" s="30" t="s">
        <v>182</v>
      </c>
      <c r="C113" s="31"/>
      <c r="D113" s="31"/>
      <c r="E113" s="31"/>
      <c r="F113" s="32">
        <v>168550.45</v>
      </c>
      <c r="G113" s="33">
        <v>1</v>
      </c>
      <c r="H113" s="34"/>
      <c r="I113" s="35"/>
      <c r="J113" s="2"/>
    </row>
    <row r="114" spans="1:10" ht="12.95" customHeight="1">
      <c r="A114" s="2"/>
      <c r="B114" s="5"/>
      <c r="C114" s="2"/>
      <c r="D114" s="2"/>
      <c r="E114" s="2"/>
      <c r="F114" s="2"/>
      <c r="G114" s="2"/>
      <c r="H114" s="2"/>
      <c r="I114" s="2"/>
      <c r="J114" s="2"/>
    </row>
    <row r="115" spans="1:10" ht="12.95" customHeight="1">
      <c r="A115" s="2"/>
      <c r="B115" s="3" t="s">
        <v>1320</v>
      </c>
      <c r="C115" s="2"/>
      <c r="D115" s="2"/>
      <c r="E115" s="2"/>
      <c r="F115" s="2"/>
      <c r="G115" s="2"/>
      <c r="H115" s="2"/>
      <c r="I115" s="2"/>
      <c r="J115" s="2"/>
    </row>
    <row r="116" spans="1:10" ht="12.95" customHeight="1">
      <c r="A116" s="2"/>
      <c r="B116" s="3" t="s">
        <v>184</v>
      </c>
      <c r="C116" s="2"/>
      <c r="D116" s="2"/>
      <c r="E116" s="2"/>
      <c r="F116" s="2"/>
      <c r="G116" s="2"/>
      <c r="H116" s="2"/>
      <c r="I116" s="2"/>
      <c r="J116" s="2"/>
    </row>
    <row r="117" spans="1:10" ht="12.95" customHeight="1">
      <c r="A117" s="2"/>
      <c r="B117" s="3" t="s">
        <v>185</v>
      </c>
      <c r="C117" s="2"/>
      <c r="D117" s="2"/>
      <c r="E117" s="2"/>
      <c r="F117" s="2"/>
      <c r="G117" s="2"/>
      <c r="H117" s="2"/>
      <c r="I117" s="2"/>
      <c r="J117" s="2"/>
    </row>
    <row r="118" spans="1:10" ht="12.95" customHeight="1">
      <c r="A118" s="2"/>
      <c r="B118" s="3" t="s">
        <v>678</v>
      </c>
      <c r="C118" s="2"/>
      <c r="D118" s="2"/>
      <c r="E118" s="2"/>
      <c r="F118" s="2"/>
      <c r="G118" s="2"/>
      <c r="H118" s="2"/>
      <c r="I118" s="2"/>
      <c r="J118" s="2"/>
    </row>
    <row r="119" spans="1:10" ht="12.95" customHeight="1">
      <c r="A119" s="2"/>
      <c r="B119" s="3" t="s">
        <v>186</v>
      </c>
      <c r="C119" s="2"/>
      <c r="D119" s="2"/>
      <c r="E119" s="2"/>
      <c r="F119" s="2"/>
      <c r="G119" s="2"/>
      <c r="H119" s="2"/>
      <c r="I119" s="2"/>
      <c r="J119" s="2"/>
    </row>
    <row r="120" spans="1:10" ht="23.25" customHeight="1">
      <c r="A120" s="2"/>
      <c r="B120" s="189" t="s">
        <v>4025</v>
      </c>
      <c r="C120" s="189"/>
      <c r="D120" s="189"/>
      <c r="E120" s="189"/>
      <c r="F120" s="189"/>
      <c r="G120" s="189"/>
      <c r="H120" s="189"/>
      <c r="I120" s="189"/>
      <c r="J120" s="2"/>
    </row>
    <row r="121" spans="1:10" s="205" customFormat="1" ht="15" customHeight="1">
      <c r="A121" s="116"/>
      <c r="B121" s="204" t="s">
        <v>4031</v>
      </c>
      <c r="C121" s="116"/>
      <c r="D121" s="116"/>
      <c r="E121" s="116"/>
      <c r="F121" s="116"/>
      <c r="G121" s="116"/>
      <c r="H121" s="116"/>
    </row>
    <row r="122" spans="1:10" s="205" customFormat="1">
      <c r="A122" s="116"/>
      <c r="B122" s="116"/>
      <c r="C122" s="116"/>
      <c r="D122" s="116"/>
      <c r="E122" s="116"/>
      <c r="F122" s="116"/>
      <c r="G122" s="116"/>
      <c r="H122" s="116"/>
    </row>
    <row r="123" spans="1:10">
      <c r="C123" s="111" t="s">
        <v>3957</v>
      </c>
      <c r="F123" s="116"/>
      <c r="G123" s="116"/>
      <c r="H123" s="116"/>
    </row>
    <row r="124" spans="1:10">
      <c r="B124" s="111" t="s">
        <v>3933</v>
      </c>
      <c r="C124" s="111" t="s">
        <v>3934</v>
      </c>
    </row>
  </sheetData>
  <mergeCells count="2">
    <mergeCell ref="B2:I2"/>
    <mergeCell ref="B120:I120"/>
  </mergeCells>
  <hyperlinks>
    <hyperlink ref="A2" location="Index!A1" display="Index"/>
  </hyperlinks>
  <pageMargins left="0" right="0" top="0" bottom="0"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2"/>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15.28515625" bestFit="1" customWidth="1"/>
    <col min="7" max="9" width="10.7109375" customWidth="1"/>
    <col min="10" max="10" width="3.85546875" bestFit="1" customWidth="1"/>
  </cols>
  <sheetData>
    <row r="1" spans="1:13" ht="15.75" thickBot="1">
      <c r="A1" s="108" t="str">
        <f>M2</f>
        <v>AXISIOF</v>
      </c>
    </row>
    <row r="2" spans="1:13" ht="34.5" customHeight="1" thickBot="1">
      <c r="A2" s="135" t="str">
        <f>M2</f>
        <v>AXISIOF</v>
      </c>
      <c r="B2" s="186" t="s">
        <v>65</v>
      </c>
      <c r="C2" s="187"/>
      <c r="D2" s="187"/>
      <c r="E2" s="187"/>
      <c r="F2" s="187"/>
      <c r="G2" s="187"/>
      <c r="H2" s="187"/>
      <c r="I2" s="188"/>
      <c r="J2" s="2"/>
      <c r="M2" s="108" t="s">
        <v>64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2548</v>
      </c>
      <c r="B8" s="17" t="s">
        <v>2549</v>
      </c>
      <c r="C8" s="13" t="s">
        <v>2550</v>
      </c>
      <c r="D8" s="13" t="s">
        <v>1073</v>
      </c>
      <c r="E8" s="18">
        <v>350</v>
      </c>
      <c r="F8" s="19">
        <v>3513.15</v>
      </c>
      <c r="G8" s="20">
        <v>4.7399999999999998E-2</v>
      </c>
      <c r="H8" s="21">
        <v>5.0999999999999997E-2</v>
      </c>
      <c r="I8" s="22"/>
      <c r="J8" s="2"/>
    </row>
    <row r="9" spans="1:13" ht="12.95" customHeight="1">
      <c r="A9" s="16" t="s">
        <v>2687</v>
      </c>
      <c r="B9" s="17" t="s">
        <v>2688</v>
      </c>
      <c r="C9" s="13" t="s">
        <v>2689</v>
      </c>
      <c r="D9" s="13" t="s">
        <v>2062</v>
      </c>
      <c r="E9" s="18">
        <v>250</v>
      </c>
      <c r="F9" s="19">
        <v>3044.2</v>
      </c>
      <c r="G9" s="20">
        <v>4.1099999999999998E-2</v>
      </c>
      <c r="H9" s="21">
        <v>4.6498999999999999E-2</v>
      </c>
      <c r="I9" s="22"/>
      <c r="J9" s="2"/>
    </row>
    <row r="10" spans="1:13" ht="12.95" customHeight="1">
      <c r="A10" s="16" t="s">
        <v>2690</v>
      </c>
      <c r="B10" s="17" t="s">
        <v>2691</v>
      </c>
      <c r="C10" s="13" t="s">
        <v>2692</v>
      </c>
      <c r="D10" s="13" t="s">
        <v>2541</v>
      </c>
      <c r="E10" s="18">
        <v>300</v>
      </c>
      <c r="F10" s="19">
        <v>3005.79</v>
      </c>
      <c r="G10" s="20">
        <v>4.0500000000000001E-2</v>
      </c>
      <c r="H10" s="21">
        <v>6.7750000000000005E-2</v>
      </c>
      <c r="I10" s="22"/>
      <c r="J10" s="2"/>
    </row>
    <row r="11" spans="1:13" ht="12.95" customHeight="1">
      <c r="A11" s="16" t="s">
        <v>1196</v>
      </c>
      <c r="B11" s="17" t="s">
        <v>1197</v>
      </c>
      <c r="C11" s="13" t="s">
        <v>1198</v>
      </c>
      <c r="D11" s="13" t="s">
        <v>132</v>
      </c>
      <c r="E11" s="18">
        <v>250</v>
      </c>
      <c r="F11" s="19">
        <v>2575.71</v>
      </c>
      <c r="G11" s="20">
        <v>3.4700000000000002E-2</v>
      </c>
      <c r="H11" s="21">
        <v>4.5749999999999999E-2</v>
      </c>
      <c r="I11" s="22"/>
      <c r="J11" s="2"/>
    </row>
    <row r="12" spans="1:13" ht="12.95" customHeight="1">
      <c r="A12" s="16" t="s">
        <v>2538</v>
      </c>
      <c r="B12" s="17" t="s">
        <v>2539</v>
      </c>
      <c r="C12" s="13" t="s">
        <v>2540</v>
      </c>
      <c r="D12" s="13" t="s">
        <v>2541</v>
      </c>
      <c r="E12" s="18">
        <v>250</v>
      </c>
      <c r="F12" s="19">
        <v>2571.89</v>
      </c>
      <c r="G12" s="20">
        <v>3.4700000000000002E-2</v>
      </c>
      <c r="H12" s="21">
        <v>5.7819000000000002E-2</v>
      </c>
      <c r="I12" s="22"/>
      <c r="J12" s="2"/>
    </row>
    <row r="13" spans="1:13" ht="12.95" customHeight="1">
      <c r="A13" s="16" t="s">
        <v>2571</v>
      </c>
      <c r="B13" s="17" t="s">
        <v>2572</v>
      </c>
      <c r="C13" s="13" t="s">
        <v>2573</v>
      </c>
      <c r="D13" s="13" t="s">
        <v>1073</v>
      </c>
      <c r="E13" s="18">
        <v>250</v>
      </c>
      <c r="F13" s="19">
        <v>2515.37</v>
      </c>
      <c r="G13" s="20">
        <v>3.39E-2</v>
      </c>
      <c r="H13" s="21">
        <v>6.8747000000000003E-2</v>
      </c>
      <c r="I13" s="22"/>
      <c r="J13" s="2"/>
    </row>
    <row r="14" spans="1:13" ht="12.95" customHeight="1">
      <c r="A14" s="16" t="s">
        <v>1691</v>
      </c>
      <c r="B14" s="17" t="s">
        <v>1692</v>
      </c>
      <c r="C14" s="13" t="s">
        <v>1693</v>
      </c>
      <c r="D14" s="13" t="s">
        <v>1694</v>
      </c>
      <c r="E14" s="18">
        <v>250</v>
      </c>
      <c r="F14" s="19">
        <v>2498.17</v>
      </c>
      <c r="G14" s="20">
        <v>3.3700000000000001E-2</v>
      </c>
      <c r="H14" s="21">
        <v>9.3905000000000002E-2</v>
      </c>
      <c r="I14" s="22"/>
      <c r="J14" s="2"/>
    </row>
    <row r="15" spans="1:13" ht="12.95" customHeight="1">
      <c r="A15" s="16" t="s">
        <v>1115</v>
      </c>
      <c r="B15" s="17" t="s">
        <v>1116</v>
      </c>
      <c r="C15" s="13" t="s">
        <v>1117</v>
      </c>
      <c r="D15" s="13" t="s">
        <v>200</v>
      </c>
      <c r="E15" s="18">
        <v>2500000</v>
      </c>
      <c r="F15" s="19">
        <v>2496.63</v>
      </c>
      <c r="G15" s="20">
        <v>3.3700000000000001E-2</v>
      </c>
      <c r="H15" s="21">
        <v>5.6635999999999999E-2</v>
      </c>
      <c r="I15" s="22"/>
      <c r="J15" s="2"/>
    </row>
    <row r="16" spans="1:13" ht="12.95" customHeight="1">
      <c r="A16" s="16" t="s">
        <v>1118</v>
      </c>
      <c r="B16" s="17" t="s">
        <v>1119</v>
      </c>
      <c r="C16" s="13" t="s">
        <v>1120</v>
      </c>
      <c r="D16" s="13" t="s">
        <v>132</v>
      </c>
      <c r="E16" s="18">
        <v>170</v>
      </c>
      <c r="F16" s="19">
        <v>2121.2399999999998</v>
      </c>
      <c r="G16" s="20">
        <v>2.86E-2</v>
      </c>
      <c r="H16" s="21">
        <v>6.7150000000000001E-2</v>
      </c>
      <c r="I16" s="22"/>
      <c r="J16" s="2"/>
    </row>
    <row r="17" spans="1:10" ht="12.95" customHeight="1">
      <c r="A17" s="16" t="s">
        <v>2693</v>
      </c>
      <c r="B17" s="17" t="s">
        <v>2694</v>
      </c>
      <c r="C17" s="13" t="s">
        <v>2695</v>
      </c>
      <c r="D17" s="13" t="s">
        <v>132</v>
      </c>
      <c r="E17" s="18">
        <v>210</v>
      </c>
      <c r="F17" s="19">
        <v>2075.73</v>
      </c>
      <c r="G17" s="20">
        <v>2.8000000000000001E-2</v>
      </c>
      <c r="H17" s="21">
        <v>6.5600000000000006E-2</v>
      </c>
      <c r="I17" s="22"/>
      <c r="J17" s="2"/>
    </row>
    <row r="18" spans="1:10" ht="12.95" customHeight="1">
      <c r="A18" s="16" t="s">
        <v>2596</v>
      </c>
      <c r="B18" s="17" t="s">
        <v>2597</v>
      </c>
      <c r="C18" s="13" t="s">
        <v>2598</v>
      </c>
      <c r="D18" s="13" t="s">
        <v>2062</v>
      </c>
      <c r="E18" s="18">
        <v>200</v>
      </c>
      <c r="F18" s="19">
        <v>2048.62</v>
      </c>
      <c r="G18" s="20">
        <v>2.76E-2</v>
      </c>
      <c r="H18" s="21">
        <v>6.1346999999999999E-2</v>
      </c>
      <c r="I18" s="22"/>
      <c r="J18" s="2"/>
    </row>
    <row r="19" spans="1:10" ht="12.95" customHeight="1">
      <c r="A19" s="16" t="s">
        <v>1048</v>
      </c>
      <c r="B19" s="17" t="s">
        <v>1049</v>
      </c>
      <c r="C19" s="13" t="s">
        <v>1050</v>
      </c>
      <c r="D19" s="13" t="s">
        <v>200</v>
      </c>
      <c r="E19" s="18">
        <v>2000000</v>
      </c>
      <c r="F19" s="19">
        <v>2036.51</v>
      </c>
      <c r="G19" s="20">
        <v>2.75E-2</v>
      </c>
      <c r="H19" s="21"/>
      <c r="I19" s="22"/>
      <c r="J19" s="2"/>
    </row>
    <row r="20" spans="1:10" ht="12.95" customHeight="1">
      <c r="A20" s="16" t="s">
        <v>2358</v>
      </c>
      <c r="B20" s="17" t="s">
        <v>2359</v>
      </c>
      <c r="C20" s="13" t="s">
        <v>2360</v>
      </c>
      <c r="D20" s="13" t="s">
        <v>2361</v>
      </c>
      <c r="E20" s="18">
        <v>200</v>
      </c>
      <c r="F20" s="19">
        <v>1997.93</v>
      </c>
      <c r="G20" s="20">
        <v>2.7E-2</v>
      </c>
      <c r="H20" s="21">
        <v>7.8784000000000007E-2</v>
      </c>
      <c r="I20" s="22"/>
      <c r="J20" s="2"/>
    </row>
    <row r="21" spans="1:10" ht="12.95" customHeight="1">
      <c r="A21" s="16" t="s">
        <v>2343</v>
      </c>
      <c r="B21" s="17" t="s">
        <v>2344</v>
      </c>
      <c r="C21" s="13" t="s">
        <v>2345</v>
      </c>
      <c r="D21" s="13" t="s">
        <v>132</v>
      </c>
      <c r="E21" s="18">
        <v>200</v>
      </c>
      <c r="F21" s="19">
        <v>1997.13</v>
      </c>
      <c r="G21" s="20">
        <v>2.69E-2</v>
      </c>
      <c r="H21" s="21">
        <v>6.3006999999999994E-2</v>
      </c>
      <c r="I21" s="22"/>
      <c r="J21" s="2"/>
    </row>
    <row r="22" spans="1:10" ht="12.95" customHeight="1">
      <c r="A22" s="16" t="s">
        <v>1077</v>
      </c>
      <c r="B22" s="17" t="s">
        <v>1078</v>
      </c>
      <c r="C22" s="13" t="s">
        <v>1079</v>
      </c>
      <c r="D22" s="13" t="s">
        <v>132</v>
      </c>
      <c r="E22" s="18">
        <v>170</v>
      </c>
      <c r="F22" s="19">
        <v>1747.04</v>
      </c>
      <c r="G22" s="20">
        <v>2.3599999999999999E-2</v>
      </c>
      <c r="H22" s="21">
        <v>5.7756000000000002E-2</v>
      </c>
      <c r="I22" s="22"/>
      <c r="J22" s="2"/>
    </row>
    <row r="23" spans="1:10" ht="12.95" customHeight="1">
      <c r="A23" s="16" t="s">
        <v>2059</v>
      </c>
      <c r="B23" s="17" t="s">
        <v>2060</v>
      </c>
      <c r="C23" s="13" t="s">
        <v>2061</v>
      </c>
      <c r="D23" s="13" t="s">
        <v>2062</v>
      </c>
      <c r="E23" s="18">
        <v>155</v>
      </c>
      <c r="F23" s="19">
        <v>1626.1</v>
      </c>
      <c r="G23" s="20">
        <v>2.1899999999999999E-2</v>
      </c>
      <c r="H23" s="21">
        <v>5.0950000000000002E-2</v>
      </c>
      <c r="I23" s="22"/>
      <c r="J23" s="2"/>
    </row>
    <row r="24" spans="1:10" ht="12.95" customHeight="1">
      <c r="A24" s="16" t="s">
        <v>2564</v>
      </c>
      <c r="B24" s="17" t="s">
        <v>2565</v>
      </c>
      <c r="C24" s="13" t="s">
        <v>2566</v>
      </c>
      <c r="D24" s="13" t="s">
        <v>2062</v>
      </c>
      <c r="E24" s="18">
        <v>150</v>
      </c>
      <c r="F24" s="19">
        <v>1522.74</v>
      </c>
      <c r="G24" s="20">
        <v>2.0500000000000001E-2</v>
      </c>
      <c r="H24" s="21">
        <v>6.4097000000000001E-2</v>
      </c>
      <c r="I24" s="22"/>
      <c r="J24" s="2"/>
    </row>
    <row r="25" spans="1:10" ht="12.95" customHeight="1">
      <c r="A25" s="16" t="s">
        <v>2567</v>
      </c>
      <c r="B25" s="17" t="s">
        <v>2568</v>
      </c>
      <c r="C25" s="13" t="s">
        <v>2569</v>
      </c>
      <c r="D25" s="13" t="s">
        <v>2570</v>
      </c>
      <c r="E25" s="18">
        <v>150</v>
      </c>
      <c r="F25" s="19">
        <v>1514.48</v>
      </c>
      <c r="G25" s="20">
        <v>2.0400000000000001E-2</v>
      </c>
      <c r="H25" s="21">
        <v>6.8877999999999995E-2</v>
      </c>
      <c r="I25" s="22"/>
      <c r="J25" s="2"/>
    </row>
    <row r="26" spans="1:10" ht="12.95" customHeight="1">
      <c r="A26" s="16" t="s">
        <v>2545</v>
      </c>
      <c r="B26" s="17" t="s">
        <v>2546</v>
      </c>
      <c r="C26" s="13" t="s">
        <v>2547</v>
      </c>
      <c r="D26" s="13" t="s">
        <v>1073</v>
      </c>
      <c r="E26" s="18">
        <v>150</v>
      </c>
      <c r="F26" s="19">
        <v>1510.27</v>
      </c>
      <c r="G26" s="20">
        <v>2.0400000000000001E-2</v>
      </c>
      <c r="H26" s="21">
        <v>5.6579999999999998E-2</v>
      </c>
      <c r="I26" s="22"/>
      <c r="J26" s="2"/>
    </row>
    <row r="27" spans="1:10" ht="12.95" customHeight="1">
      <c r="A27" s="16" t="s">
        <v>2696</v>
      </c>
      <c r="B27" s="17" t="s">
        <v>2697</v>
      </c>
      <c r="C27" s="13" t="s">
        <v>2698</v>
      </c>
      <c r="D27" s="13" t="s">
        <v>1694</v>
      </c>
      <c r="E27" s="18">
        <v>150</v>
      </c>
      <c r="F27" s="19">
        <v>1504.92</v>
      </c>
      <c r="G27" s="20">
        <v>2.0299999999999999E-2</v>
      </c>
      <c r="H27" s="21">
        <v>6.9943000000000005E-2</v>
      </c>
      <c r="I27" s="22"/>
      <c r="J27" s="2"/>
    </row>
    <row r="28" spans="1:10" ht="12.95" customHeight="1">
      <c r="A28" s="16" t="s">
        <v>2349</v>
      </c>
      <c r="B28" s="17" t="s">
        <v>2350</v>
      </c>
      <c r="C28" s="13" t="s">
        <v>2351</v>
      </c>
      <c r="D28" s="13" t="s">
        <v>1073</v>
      </c>
      <c r="E28" s="18">
        <v>150</v>
      </c>
      <c r="F28" s="19">
        <v>1504.03</v>
      </c>
      <c r="G28" s="20">
        <v>2.0299999999999999E-2</v>
      </c>
      <c r="H28" s="21">
        <v>5.7930000000000002E-2</v>
      </c>
      <c r="I28" s="22"/>
      <c r="J28" s="2"/>
    </row>
    <row r="29" spans="1:10" ht="12.95" customHeight="1">
      <c r="A29" s="16" t="s">
        <v>2055</v>
      </c>
      <c r="B29" s="17" t="s">
        <v>2056</v>
      </c>
      <c r="C29" s="13" t="s">
        <v>2057</v>
      </c>
      <c r="D29" s="13" t="s">
        <v>2058</v>
      </c>
      <c r="E29" s="18">
        <v>150</v>
      </c>
      <c r="F29" s="19">
        <v>1499.17</v>
      </c>
      <c r="G29" s="20">
        <v>2.0199999999999999E-2</v>
      </c>
      <c r="H29" s="21">
        <v>8.0250000000000002E-2</v>
      </c>
      <c r="I29" s="22"/>
      <c r="J29" s="2"/>
    </row>
    <row r="30" spans="1:10" ht="12.95" customHeight="1">
      <c r="A30" s="16" t="s">
        <v>1074</v>
      </c>
      <c r="B30" s="17" t="s">
        <v>1075</v>
      </c>
      <c r="C30" s="13" t="s">
        <v>1076</v>
      </c>
      <c r="D30" s="13" t="s">
        <v>200</v>
      </c>
      <c r="E30" s="18">
        <v>1500000</v>
      </c>
      <c r="F30" s="19">
        <v>1487.11</v>
      </c>
      <c r="G30" s="20">
        <v>2.01E-2</v>
      </c>
      <c r="H30" s="21">
        <v>6.2170000000000003E-2</v>
      </c>
      <c r="I30" s="22"/>
      <c r="J30" s="2"/>
    </row>
    <row r="31" spans="1:10" ht="12.95" customHeight="1">
      <c r="A31" s="16" t="s">
        <v>2602</v>
      </c>
      <c r="B31" s="17" t="s">
        <v>2603</v>
      </c>
      <c r="C31" s="13" t="s">
        <v>2604</v>
      </c>
      <c r="D31" s="13" t="s">
        <v>2062</v>
      </c>
      <c r="E31" s="18">
        <v>120</v>
      </c>
      <c r="F31" s="19">
        <v>1201.3499999999999</v>
      </c>
      <c r="G31" s="20">
        <v>1.6199999999999999E-2</v>
      </c>
      <c r="H31" s="21">
        <v>7.0796999999999999E-2</v>
      </c>
      <c r="I31" s="22"/>
      <c r="J31" s="2"/>
    </row>
    <row r="32" spans="1:10" ht="12.95" customHeight="1">
      <c r="A32" s="16" t="s">
        <v>2580</v>
      </c>
      <c r="B32" s="17" t="s">
        <v>2581</v>
      </c>
      <c r="C32" s="13" t="s">
        <v>2582</v>
      </c>
      <c r="D32" s="13" t="s">
        <v>2583</v>
      </c>
      <c r="E32" s="18">
        <v>110</v>
      </c>
      <c r="F32" s="19">
        <v>1103.6099999999999</v>
      </c>
      <c r="G32" s="20">
        <v>1.49E-2</v>
      </c>
      <c r="H32" s="21">
        <v>0.10753799999999999</v>
      </c>
      <c r="I32" s="22"/>
      <c r="J32" s="2"/>
    </row>
    <row r="33" spans="1:10" ht="12.95" customHeight="1">
      <c r="A33" s="16" t="s">
        <v>248</v>
      </c>
      <c r="B33" s="17" t="s">
        <v>249</v>
      </c>
      <c r="C33" s="13" t="s">
        <v>250</v>
      </c>
      <c r="D33" s="13" t="s">
        <v>200</v>
      </c>
      <c r="E33" s="18">
        <v>1000000</v>
      </c>
      <c r="F33" s="19">
        <v>1032.95</v>
      </c>
      <c r="G33" s="20">
        <v>1.3899999999999999E-2</v>
      </c>
      <c r="H33" s="21">
        <v>4.0305000000000001E-2</v>
      </c>
      <c r="I33" s="22"/>
      <c r="J33" s="2"/>
    </row>
    <row r="34" spans="1:10" ht="12.95" customHeight="1">
      <c r="A34" s="16" t="s">
        <v>2557</v>
      </c>
      <c r="B34" s="17" t="s">
        <v>2558</v>
      </c>
      <c r="C34" s="13" t="s">
        <v>2559</v>
      </c>
      <c r="D34" s="13" t="s">
        <v>2560</v>
      </c>
      <c r="E34" s="18">
        <v>100</v>
      </c>
      <c r="F34" s="19">
        <v>1031.32</v>
      </c>
      <c r="G34" s="20">
        <v>1.3899999999999999E-2</v>
      </c>
      <c r="H34" s="21">
        <v>6.4250000000000002E-2</v>
      </c>
      <c r="I34" s="22"/>
      <c r="J34" s="2"/>
    </row>
    <row r="35" spans="1:10" ht="12.95" customHeight="1">
      <c r="A35" s="16" t="s">
        <v>2609</v>
      </c>
      <c r="B35" s="17" t="s">
        <v>2610</v>
      </c>
      <c r="C35" s="13" t="s">
        <v>2611</v>
      </c>
      <c r="D35" s="13" t="s">
        <v>2612</v>
      </c>
      <c r="E35" s="18">
        <v>100</v>
      </c>
      <c r="F35" s="19">
        <v>1031.27</v>
      </c>
      <c r="G35" s="20">
        <v>1.3899999999999999E-2</v>
      </c>
      <c r="H35" s="21">
        <v>6.4057000000000003E-2</v>
      </c>
      <c r="I35" s="22"/>
      <c r="J35" s="2"/>
    </row>
    <row r="36" spans="1:10" ht="12.95" customHeight="1">
      <c r="A36" s="16" t="s">
        <v>2699</v>
      </c>
      <c r="B36" s="17" t="s">
        <v>2700</v>
      </c>
      <c r="C36" s="13" t="s">
        <v>2701</v>
      </c>
      <c r="D36" s="13" t="s">
        <v>132</v>
      </c>
      <c r="E36" s="18">
        <v>1000</v>
      </c>
      <c r="F36" s="19">
        <v>1021.52</v>
      </c>
      <c r="G36" s="20">
        <v>1.38E-2</v>
      </c>
      <c r="H36" s="21">
        <v>6.1156000000000002E-2</v>
      </c>
      <c r="I36" s="22"/>
      <c r="J36" s="2"/>
    </row>
    <row r="37" spans="1:10" ht="12.95" customHeight="1">
      <c r="A37" s="16" t="s">
        <v>2554</v>
      </c>
      <c r="B37" s="17" t="s">
        <v>2555</v>
      </c>
      <c r="C37" s="13" t="s">
        <v>2556</v>
      </c>
      <c r="D37" s="13" t="s">
        <v>2541</v>
      </c>
      <c r="E37" s="18">
        <v>85</v>
      </c>
      <c r="F37" s="19">
        <v>857.83</v>
      </c>
      <c r="G37" s="20">
        <v>1.1599999999999999E-2</v>
      </c>
      <c r="H37" s="21">
        <v>8.5449999999999998E-2</v>
      </c>
      <c r="I37" s="22"/>
      <c r="J37" s="2"/>
    </row>
    <row r="38" spans="1:10" ht="12.95" customHeight="1">
      <c r="A38" s="16" t="s">
        <v>2605</v>
      </c>
      <c r="B38" s="17" t="s">
        <v>2606</v>
      </c>
      <c r="C38" s="13" t="s">
        <v>2607</v>
      </c>
      <c r="D38" s="13" t="s">
        <v>2608</v>
      </c>
      <c r="E38" s="18">
        <v>80</v>
      </c>
      <c r="F38" s="19">
        <v>802.07</v>
      </c>
      <c r="G38" s="20">
        <v>1.0800000000000001E-2</v>
      </c>
      <c r="H38" s="21">
        <v>0.100952</v>
      </c>
      <c r="I38" s="22"/>
      <c r="J38" s="2"/>
    </row>
    <row r="39" spans="1:10" ht="12.95" customHeight="1">
      <c r="A39" s="16" t="s">
        <v>2613</v>
      </c>
      <c r="B39" s="17" t="s">
        <v>2614</v>
      </c>
      <c r="C39" s="13" t="s">
        <v>2615</v>
      </c>
      <c r="D39" s="13" t="s">
        <v>2608</v>
      </c>
      <c r="E39" s="18">
        <v>100</v>
      </c>
      <c r="F39" s="19">
        <v>771.59</v>
      </c>
      <c r="G39" s="20">
        <v>1.04E-2</v>
      </c>
      <c r="H39" s="21">
        <v>0.11169999999999999</v>
      </c>
      <c r="I39" s="22"/>
      <c r="J39" s="2"/>
    </row>
    <row r="40" spans="1:10" ht="12.95" customHeight="1">
      <c r="A40" s="16" t="s">
        <v>1223</v>
      </c>
      <c r="B40" s="17" t="s">
        <v>1224</v>
      </c>
      <c r="C40" s="13" t="s">
        <v>1225</v>
      </c>
      <c r="D40" s="13" t="s">
        <v>200</v>
      </c>
      <c r="E40" s="18">
        <v>500000</v>
      </c>
      <c r="F40" s="19">
        <v>520.01</v>
      </c>
      <c r="G40" s="20">
        <v>7.0000000000000001E-3</v>
      </c>
      <c r="H40" s="21">
        <v>5.9402000000000003E-2</v>
      </c>
      <c r="I40" s="22"/>
      <c r="J40" s="2"/>
    </row>
    <row r="41" spans="1:10" ht="12.95" customHeight="1">
      <c r="A41" s="16" t="s">
        <v>2625</v>
      </c>
      <c r="B41" s="17" t="s">
        <v>2626</v>
      </c>
      <c r="C41" s="13" t="s">
        <v>2627</v>
      </c>
      <c r="D41" s="13" t="s">
        <v>132</v>
      </c>
      <c r="E41" s="18">
        <v>500</v>
      </c>
      <c r="F41" s="19">
        <v>518.58000000000004</v>
      </c>
      <c r="G41" s="20">
        <v>7.0000000000000001E-3</v>
      </c>
      <c r="H41" s="21">
        <v>7.0059999999999997E-2</v>
      </c>
      <c r="I41" s="22"/>
      <c r="J41" s="2"/>
    </row>
    <row r="42" spans="1:10" ht="12.95" customHeight="1">
      <c r="A42" s="16" t="s">
        <v>2542</v>
      </c>
      <c r="B42" s="17" t="s">
        <v>2543</v>
      </c>
      <c r="C42" s="13" t="s">
        <v>2544</v>
      </c>
      <c r="D42" s="13" t="s">
        <v>2062</v>
      </c>
      <c r="E42" s="18">
        <v>50</v>
      </c>
      <c r="F42" s="19">
        <v>504.33</v>
      </c>
      <c r="G42" s="20">
        <v>6.7999999999999996E-3</v>
      </c>
      <c r="H42" s="21">
        <v>6.7848000000000006E-2</v>
      </c>
      <c r="I42" s="22"/>
      <c r="J42" s="2"/>
    </row>
    <row r="43" spans="1:10" ht="12.95" customHeight="1">
      <c r="A43" s="16" t="s">
        <v>2702</v>
      </c>
      <c r="B43" s="17" t="s">
        <v>2703</v>
      </c>
      <c r="C43" s="13" t="s">
        <v>2704</v>
      </c>
      <c r="D43" s="13" t="s">
        <v>2612</v>
      </c>
      <c r="E43" s="18">
        <v>50</v>
      </c>
      <c r="F43" s="19">
        <v>503.2</v>
      </c>
      <c r="G43" s="20">
        <v>6.7999999999999996E-3</v>
      </c>
      <c r="H43" s="21">
        <v>5.7306999999999997E-2</v>
      </c>
      <c r="I43" s="22"/>
      <c r="J43" s="2"/>
    </row>
    <row r="44" spans="1:10" ht="12.95" customHeight="1">
      <c r="A44" s="16" t="s">
        <v>2599</v>
      </c>
      <c r="B44" s="17" t="s">
        <v>2600</v>
      </c>
      <c r="C44" s="13" t="s">
        <v>2601</v>
      </c>
      <c r="D44" s="13" t="s">
        <v>2062</v>
      </c>
      <c r="E44" s="18">
        <v>50</v>
      </c>
      <c r="F44" s="19">
        <v>501.13</v>
      </c>
      <c r="G44" s="20">
        <v>6.7999999999999996E-3</v>
      </c>
      <c r="H44" s="21">
        <v>8.4014000000000005E-2</v>
      </c>
      <c r="I44" s="37">
        <v>8.3587450999999993E-2</v>
      </c>
      <c r="J44" s="2"/>
    </row>
    <row r="45" spans="1:10" ht="12.95" customHeight="1">
      <c r="A45" s="16" t="s">
        <v>1286</v>
      </c>
      <c r="B45" s="17" t="s">
        <v>1287</v>
      </c>
      <c r="C45" s="13" t="s">
        <v>1288</v>
      </c>
      <c r="D45" s="13" t="s">
        <v>200</v>
      </c>
      <c r="E45" s="18">
        <v>500000</v>
      </c>
      <c r="F45" s="19">
        <v>498.99</v>
      </c>
      <c r="G45" s="20">
        <v>6.7000000000000002E-3</v>
      </c>
      <c r="H45" s="21">
        <v>6.6932000000000005E-2</v>
      </c>
      <c r="I45" s="37"/>
      <c r="J45" s="2"/>
    </row>
    <row r="46" spans="1:10" ht="12.95" customHeight="1">
      <c r="A46" s="16" t="s">
        <v>1289</v>
      </c>
      <c r="B46" s="17" t="s">
        <v>1290</v>
      </c>
      <c r="C46" s="13" t="s">
        <v>1291</v>
      </c>
      <c r="D46" s="13" t="s">
        <v>200</v>
      </c>
      <c r="E46" s="18">
        <v>500000</v>
      </c>
      <c r="F46" s="19">
        <v>488.9</v>
      </c>
      <c r="G46" s="20">
        <v>6.6E-3</v>
      </c>
      <c r="H46" s="21">
        <v>6.1691999999999997E-2</v>
      </c>
      <c r="I46" s="37"/>
      <c r="J46" s="2"/>
    </row>
    <row r="47" spans="1:10" ht="12.95" customHeight="1">
      <c r="A47" s="16" t="s">
        <v>1280</v>
      </c>
      <c r="B47" s="17" t="s">
        <v>1281</v>
      </c>
      <c r="C47" s="13" t="s">
        <v>1282</v>
      </c>
      <c r="D47" s="13" t="s">
        <v>132</v>
      </c>
      <c r="E47" s="18">
        <v>92</v>
      </c>
      <c r="F47" s="19">
        <v>93.15</v>
      </c>
      <c r="G47" s="20">
        <v>1.2999999999999999E-3</v>
      </c>
      <c r="H47" s="21">
        <v>5.7480000000000003E-2</v>
      </c>
      <c r="I47" s="37"/>
      <c r="J47" s="2"/>
    </row>
    <row r="48" spans="1:10" ht="12.95" customHeight="1">
      <c r="A48" s="16" t="s">
        <v>2667</v>
      </c>
      <c r="B48" s="17" t="s">
        <v>2668</v>
      </c>
      <c r="C48" s="13" t="s">
        <v>2669</v>
      </c>
      <c r="D48" s="13" t="s">
        <v>200</v>
      </c>
      <c r="E48" s="18">
        <v>50000</v>
      </c>
      <c r="F48" s="19">
        <v>53.99</v>
      </c>
      <c r="G48" s="20">
        <v>6.9999999999999999E-4</v>
      </c>
      <c r="H48" s="21">
        <v>6.2361E-2</v>
      </c>
      <c r="I48" s="37"/>
      <c r="J48" s="2"/>
    </row>
    <row r="49" spans="1:10" ht="12.95" customHeight="1">
      <c r="A49" s="16" t="s">
        <v>158</v>
      </c>
      <c r="B49" s="17" t="s">
        <v>159</v>
      </c>
      <c r="C49" s="13" t="s">
        <v>160</v>
      </c>
      <c r="D49" s="13" t="s">
        <v>161</v>
      </c>
      <c r="E49" s="18">
        <v>1</v>
      </c>
      <c r="F49" s="19">
        <v>10.25</v>
      </c>
      <c r="G49" s="20">
        <v>1E-4</v>
      </c>
      <c r="H49" s="21">
        <v>3.7691000000000002E-2</v>
      </c>
      <c r="I49" s="37"/>
      <c r="J49" s="2"/>
    </row>
    <row r="50" spans="1:10" ht="12.95" customHeight="1">
      <c r="A50" s="16" t="s">
        <v>1100</v>
      </c>
      <c r="B50" s="17" t="s">
        <v>1101</v>
      </c>
      <c r="C50" s="13" t="s">
        <v>1102</v>
      </c>
      <c r="D50" s="13" t="s">
        <v>200</v>
      </c>
      <c r="E50" s="18">
        <v>6100</v>
      </c>
      <c r="F50" s="19">
        <v>6.55</v>
      </c>
      <c r="G50" s="20">
        <v>1E-4</v>
      </c>
      <c r="H50" s="21">
        <v>5.6170999999999999E-2</v>
      </c>
      <c r="I50" s="37"/>
      <c r="J50" s="2"/>
    </row>
    <row r="51" spans="1:10" ht="12.95" customHeight="1">
      <c r="A51" s="2"/>
      <c r="B51" s="12" t="s">
        <v>172</v>
      </c>
      <c r="C51" s="13"/>
      <c r="D51" s="13"/>
      <c r="E51" s="13"/>
      <c r="F51" s="23">
        <v>60966.52</v>
      </c>
      <c r="G51" s="24">
        <v>0.82230000000000003</v>
      </c>
      <c r="H51" s="25"/>
      <c r="I51" s="26"/>
      <c r="J51" s="2"/>
    </row>
    <row r="52" spans="1:10" ht="12.95" customHeight="1">
      <c r="A52" s="2"/>
      <c r="B52" s="12" t="s">
        <v>173</v>
      </c>
      <c r="C52" s="13"/>
      <c r="D52" s="13"/>
      <c r="E52" s="13"/>
      <c r="F52" s="2"/>
      <c r="G52" s="14"/>
      <c r="H52" s="14"/>
      <c r="I52" s="15"/>
      <c r="J52" s="2"/>
    </row>
    <row r="53" spans="1:10" ht="12.95" customHeight="1">
      <c r="A53" s="16" t="s">
        <v>2670</v>
      </c>
      <c r="B53" s="17" t="s">
        <v>2671</v>
      </c>
      <c r="C53" s="13" t="s">
        <v>2672</v>
      </c>
      <c r="D53" s="13" t="s">
        <v>2673</v>
      </c>
      <c r="E53" s="18">
        <v>266</v>
      </c>
      <c r="F53" s="19">
        <v>2305.35</v>
      </c>
      <c r="G53" s="20">
        <v>3.1099999999999999E-2</v>
      </c>
      <c r="H53" s="21">
        <v>0.10589999999999999</v>
      </c>
      <c r="I53" s="37"/>
      <c r="J53" s="2"/>
    </row>
    <row r="54" spans="1:10" ht="12.95" customHeight="1">
      <c r="A54" s="2"/>
      <c r="B54" s="12" t="s">
        <v>172</v>
      </c>
      <c r="C54" s="13"/>
      <c r="D54" s="13"/>
      <c r="E54" s="13"/>
      <c r="F54" s="23">
        <v>2305.35</v>
      </c>
      <c r="G54" s="24">
        <v>3.1099999999999999E-2</v>
      </c>
      <c r="H54" s="25"/>
      <c r="I54" s="26"/>
      <c r="J54" s="2"/>
    </row>
    <row r="55" spans="1:10" ht="12.95" customHeight="1">
      <c r="A55" s="2"/>
      <c r="B55" s="12" t="s">
        <v>1292</v>
      </c>
      <c r="C55" s="13"/>
      <c r="D55" s="13"/>
      <c r="E55" s="13"/>
      <c r="F55" s="2"/>
      <c r="G55" s="14"/>
      <c r="H55" s="14"/>
      <c r="I55" s="15"/>
      <c r="J55" s="2"/>
    </row>
    <row r="56" spans="1:10" ht="12.95" customHeight="1">
      <c r="A56" s="16" t="s">
        <v>2674</v>
      </c>
      <c r="B56" s="17" t="s">
        <v>2675</v>
      </c>
      <c r="C56" s="13" t="s">
        <v>2676</v>
      </c>
      <c r="D56" s="13" t="s">
        <v>3919</v>
      </c>
      <c r="E56" s="18">
        <v>2000</v>
      </c>
      <c r="F56" s="19">
        <v>1652</v>
      </c>
      <c r="G56" s="20">
        <v>2.23E-2</v>
      </c>
      <c r="H56" s="21">
        <v>7.2700000000000001E-2</v>
      </c>
      <c r="I56" s="37"/>
      <c r="J56" s="2"/>
    </row>
    <row r="57" spans="1:10" ht="12.95" customHeight="1">
      <c r="A57" s="16" t="s">
        <v>2677</v>
      </c>
      <c r="B57" s="17" t="s">
        <v>2678</v>
      </c>
      <c r="C57" s="13" t="s">
        <v>2679</v>
      </c>
      <c r="D57" s="13" t="s">
        <v>1296</v>
      </c>
      <c r="E57" s="18">
        <v>17</v>
      </c>
      <c r="F57" s="19">
        <v>1422.72</v>
      </c>
      <c r="G57" s="20">
        <v>1.9199999999999998E-2</v>
      </c>
      <c r="H57" s="21">
        <v>6.1149000000000002E-2</v>
      </c>
      <c r="I57" s="37"/>
      <c r="J57" s="2"/>
    </row>
    <row r="58" spans="1:10" ht="12.95" customHeight="1">
      <c r="A58" s="16" t="s">
        <v>2705</v>
      </c>
      <c r="B58" s="17" t="s">
        <v>2706</v>
      </c>
      <c r="C58" s="13" t="s">
        <v>2707</v>
      </c>
      <c r="D58" s="13" t="s">
        <v>1296</v>
      </c>
      <c r="E58" s="18">
        <v>576</v>
      </c>
      <c r="F58" s="19">
        <v>810.98</v>
      </c>
      <c r="G58" s="20">
        <v>1.09E-2</v>
      </c>
      <c r="H58" s="21">
        <v>0.104424</v>
      </c>
      <c r="I58" s="37"/>
      <c r="J58" s="2"/>
    </row>
    <row r="59" spans="1:10" ht="12.95" customHeight="1">
      <c r="A59" s="16" t="s">
        <v>2680</v>
      </c>
      <c r="B59" s="17" t="s">
        <v>2681</v>
      </c>
      <c r="C59" s="13" t="s">
        <v>2682</v>
      </c>
      <c r="D59" s="13" t="s">
        <v>2683</v>
      </c>
      <c r="E59" s="18">
        <v>370</v>
      </c>
      <c r="F59" s="19">
        <v>450.29</v>
      </c>
      <c r="G59" s="20">
        <v>6.1000000000000004E-3</v>
      </c>
      <c r="H59" s="21">
        <v>9.0747999999999995E-2</v>
      </c>
      <c r="I59" s="37"/>
      <c r="J59" s="2"/>
    </row>
    <row r="60" spans="1:10" ht="12.95" customHeight="1">
      <c r="A60" s="2"/>
      <c r="B60" s="12" t="s">
        <v>172</v>
      </c>
      <c r="C60" s="13"/>
      <c r="D60" s="13"/>
      <c r="E60" s="13"/>
      <c r="F60" s="23">
        <v>4335.99</v>
      </c>
      <c r="G60" s="24">
        <v>5.8500000000000003E-2</v>
      </c>
      <c r="H60" s="25"/>
      <c r="I60" s="26"/>
      <c r="J60" s="2"/>
    </row>
    <row r="61" spans="1:10" ht="12.95" customHeight="1">
      <c r="A61" s="2"/>
      <c r="B61" s="27" t="s">
        <v>177</v>
      </c>
      <c r="C61" s="28"/>
      <c r="D61" s="1"/>
      <c r="E61" s="28"/>
      <c r="F61" s="23">
        <v>67607.86</v>
      </c>
      <c r="G61" s="24">
        <v>0.91190000000000004</v>
      </c>
      <c r="H61" s="25"/>
      <c r="I61" s="26"/>
      <c r="J61" s="2"/>
    </row>
    <row r="62" spans="1:10" ht="12.95" customHeight="1">
      <c r="A62" s="2"/>
      <c r="B62" s="12" t="s">
        <v>656</v>
      </c>
      <c r="C62" s="13"/>
      <c r="D62" s="13"/>
      <c r="E62" s="13"/>
      <c r="F62" s="13"/>
      <c r="G62" s="13"/>
      <c r="H62" s="14"/>
      <c r="I62" s="15"/>
      <c r="J62" s="2"/>
    </row>
    <row r="63" spans="1:10" ht="12.95" customHeight="1">
      <c r="A63" s="2"/>
      <c r="B63" s="12" t="s">
        <v>662</v>
      </c>
      <c r="C63" s="13"/>
      <c r="D63" s="13"/>
      <c r="E63" s="13"/>
      <c r="F63" s="2"/>
      <c r="G63" s="14"/>
      <c r="H63" s="14"/>
      <c r="I63" s="15"/>
      <c r="J63" s="2"/>
    </row>
    <row r="64" spans="1:10" ht="12.95" customHeight="1">
      <c r="A64" s="16" t="s">
        <v>2684</v>
      </c>
      <c r="B64" s="17" t="s">
        <v>2685</v>
      </c>
      <c r="C64" s="13" t="s">
        <v>2686</v>
      </c>
      <c r="D64" s="13" t="s">
        <v>661</v>
      </c>
      <c r="E64" s="18">
        <v>400</v>
      </c>
      <c r="F64" s="19">
        <v>1937.98</v>
      </c>
      <c r="G64" s="20">
        <v>2.6100000000000002E-2</v>
      </c>
      <c r="H64" s="21">
        <v>7.2999999999999995E-2</v>
      </c>
      <c r="I64" s="37"/>
      <c r="J64" s="2"/>
    </row>
    <row r="65" spans="1:10" ht="12.95" customHeight="1">
      <c r="A65" s="2"/>
      <c r="B65" s="12" t="s">
        <v>172</v>
      </c>
      <c r="C65" s="13"/>
      <c r="D65" s="13"/>
      <c r="E65" s="13"/>
      <c r="F65" s="23">
        <v>1937.98</v>
      </c>
      <c r="G65" s="24">
        <v>2.6100000000000002E-2</v>
      </c>
      <c r="H65" s="25"/>
      <c r="I65" s="26"/>
      <c r="J65" s="2"/>
    </row>
    <row r="66" spans="1:10" ht="12.95" customHeight="1">
      <c r="A66" s="2"/>
      <c r="B66" s="27" t="s">
        <v>177</v>
      </c>
      <c r="C66" s="28"/>
      <c r="D66" s="1"/>
      <c r="E66" s="28"/>
      <c r="F66" s="23">
        <v>1937.98</v>
      </c>
      <c r="G66" s="24">
        <v>2.6100000000000002E-2</v>
      </c>
      <c r="H66" s="25"/>
      <c r="I66" s="26"/>
      <c r="J66" s="2"/>
    </row>
    <row r="67" spans="1:10" ht="12.95" customHeight="1">
      <c r="A67" s="2"/>
      <c r="B67" s="12" t="s">
        <v>178</v>
      </c>
      <c r="C67" s="13"/>
      <c r="D67" s="13"/>
      <c r="E67" s="13"/>
      <c r="F67" s="13"/>
      <c r="G67" s="13"/>
      <c r="H67" s="14"/>
      <c r="I67" s="15"/>
      <c r="J67" s="2"/>
    </row>
    <row r="68" spans="1:10" ht="12.95" customHeight="1">
      <c r="A68" s="16" t="s">
        <v>179</v>
      </c>
      <c r="B68" s="17" t="s">
        <v>180</v>
      </c>
      <c r="C68" s="13"/>
      <c r="D68" s="13"/>
      <c r="E68" s="18"/>
      <c r="F68" s="19">
        <v>3764.73</v>
      </c>
      <c r="G68" s="20">
        <v>5.0799999999999998E-2</v>
      </c>
      <c r="H68" s="21">
        <v>3.3046188903116044E-2</v>
      </c>
      <c r="I68" s="37"/>
      <c r="J68" s="2"/>
    </row>
    <row r="69" spans="1:10" ht="12.95" customHeight="1">
      <c r="A69" s="2"/>
      <c r="B69" s="12" t="s">
        <v>172</v>
      </c>
      <c r="C69" s="13"/>
      <c r="D69" s="13"/>
      <c r="E69" s="13"/>
      <c r="F69" s="23">
        <v>3764.73</v>
      </c>
      <c r="G69" s="24">
        <v>5.0799999999999998E-2</v>
      </c>
      <c r="H69" s="25"/>
      <c r="I69" s="26"/>
      <c r="J69" s="2"/>
    </row>
    <row r="70" spans="1:10" ht="12.95" customHeight="1">
      <c r="A70" s="2"/>
      <c r="B70" s="27" t="s">
        <v>177</v>
      </c>
      <c r="C70" s="28"/>
      <c r="D70" s="1"/>
      <c r="E70" s="28"/>
      <c r="F70" s="23">
        <v>3764.73</v>
      </c>
      <c r="G70" s="24">
        <v>5.0799999999999998E-2</v>
      </c>
      <c r="H70" s="25"/>
      <c r="I70" s="26"/>
      <c r="J70" s="2"/>
    </row>
    <row r="71" spans="1:10" ht="12.95" customHeight="1">
      <c r="A71" s="2"/>
      <c r="B71" s="27" t="s">
        <v>181</v>
      </c>
      <c r="C71" s="13"/>
      <c r="D71" s="1"/>
      <c r="E71" s="13"/>
      <c r="F71" s="29">
        <v>815.77</v>
      </c>
      <c r="G71" s="24">
        <v>1.12E-2</v>
      </c>
      <c r="H71" s="25"/>
      <c r="I71" s="26"/>
      <c r="J71" s="2"/>
    </row>
    <row r="72" spans="1:10" ht="12.95" customHeight="1">
      <c r="A72" s="2"/>
      <c r="B72" s="30" t="s">
        <v>182</v>
      </c>
      <c r="C72" s="31"/>
      <c r="D72" s="31"/>
      <c r="E72" s="31"/>
      <c r="F72" s="32">
        <v>74126.34</v>
      </c>
      <c r="G72" s="33">
        <v>1</v>
      </c>
      <c r="H72" s="34"/>
      <c r="I72" s="35"/>
      <c r="J72" s="2"/>
    </row>
    <row r="73" spans="1:10" ht="12.95" customHeight="1">
      <c r="A73" s="2"/>
      <c r="B73" s="5"/>
      <c r="C73" s="2"/>
      <c r="D73" s="2"/>
      <c r="E73" s="2"/>
      <c r="F73" s="2"/>
      <c r="G73" s="2"/>
      <c r="H73" s="2"/>
      <c r="I73" s="2"/>
      <c r="J73" s="2"/>
    </row>
    <row r="74" spans="1:10" ht="12.95" customHeight="1">
      <c r="A74" s="2"/>
      <c r="B74" s="3" t="s">
        <v>1320</v>
      </c>
      <c r="C74" s="2"/>
      <c r="D74" s="2"/>
      <c r="E74" s="2"/>
      <c r="F74" s="2"/>
      <c r="G74" s="2"/>
      <c r="H74" s="2"/>
      <c r="I74" s="2"/>
      <c r="J74" s="2"/>
    </row>
    <row r="75" spans="1:10" ht="12.95" customHeight="1">
      <c r="A75" s="2"/>
      <c r="B75" s="3" t="s">
        <v>184</v>
      </c>
      <c r="C75" s="2"/>
      <c r="D75" s="2"/>
      <c r="E75" s="2"/>
      <c r="F75" s="2"/>
      <c r="G75" s="2"/>
      <c r="H75" s="2"/>
      <c r="I75" s="2"/>
      <c r="J75" s="2"/>
    </row>
    <row r="76" spans="1:10" ht="12.95" customHeight="1">
      <c r="A76" s="2"/>
      <c r="B76" s="3" t="s">
        <v>185</v>
      </c>
      <c r="C76" s="2"/>
      <c r="D76" s="2"/>
      <c r="E76" s="2"/>
      <c r="F76" s="2"/>
      <c r="G76" s="2"/>
      <c r="H76" s="2"/>
      <c r="I76" s="2"/>
      <c r="J76" s="2"/>
    </row>
    <row r="77" spans="1:10" ht="12.95" customHeight="1">
      <c r="A77" s="2"/>
      <c r="B77" s="3" t="s">
        <v>186</v>
      </c>
      <c r="C77" s="2"/>
      <c r="D77" s="2"/>
      <c r="E77" s="2"/>
      <c r="F77" s="2"/>
      <c r="G77" s="2"/>
      <c r="H77" s="2"/>
      <c r="I77" s="2"/>
      <c r="J77" s="2"/>
    </row>
    <row r="78" spans="1:10" ht="23.25" customHeight="1">
      <c r="A78" s="2"/>
      <c r="B78" s="189" t="s">
        <v>4025</v>
      </c>
      <c r="C78" s="189"/>
      <c r="D78" s="189"/>
      <c r="E78" s="189"/>
      <c r="F78" s="189"/>
      <c r="G78" s="189"/>
      <c r="H78" s="189"/>
      <c r="I78" s="189"/>
      <c r="J78" s="2"/>
    </row>
    <row r="79" spans="1:10" s="110" customFormat="1">
      <c r="A79" s="208"/>
      <c r="B79" s="204" t="s">
        <v>4032</v>
      </c>
      <c r="C79" s="208"/>
      <c r="D79" s="208"/>
      <c r="E79" s="208"/>
      <c r="F79" s="208"/>
      <c r="G79" s="208"/>
      <c r="H79" s="208"/>
    </row>
    <row r="80" spans="1:10" s="110" customFormat="1">
      <c r="A80" s="207"/>
      <c r="B80" s="209"/>
      <c r="C80" s="207"/>
      <c r="D80" s="207"/>
      <c r="E80" s="207"/>
      <c r="F80" s="207"/>
      <c r="G80" s="207"/>
      <c r="H80" s="207"/>
    </row>
    <row r="81" spans="2:3">
      <c r="C81" s="111" t="s">
        <v>3958</v>
      </c>
    </row>
    <row r="82" spans="2:3">
      <c r="B82" s="111" t="s">
        <v>3933</v>
      </c>
      <c r="C82" s="111" t="s">
        <v>3934</v>
      </c>
    </row>
  </sheetData>
  <mergeCells count="2">
    <mergeCell ref="B2:I2"/>
    <mergeCell ref="B78:I78"/>
  </mergeCells>
  <hyperlinks>
    <hyperlink ref="A2" location="Index!A1" display="Index"/>
  </hyperlinks>
  <pageMargins left="0" right="0" top="0" bottom="0"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9"/>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10.85546875" customWidth="1"/>
  </cols>
  <sheetData>
    <row r="1" spans="1:13" ht="15.75" thickBot="1">
      <c r="A1" s="108" t="str">
        <f>M2</f>
        <v>AXISISF</v>
      </c>
    </row>
    <row r="2" spans="1:13" ht="34.5" customHeight="1" thickBot="1">
      <c r="A2" s="135" t="str">
        <f>M2</f>
        <v>AXISISF</v>
      </c>
      <c r="B2" s="186" t="s">
        <v>67</v>
      </c>
      <c r="C2" s="187"/>
      <c r="D2" s="187"/>
      <c r="E2" s="187"/>
      <c r="F2" s="187"/>
      <c r="G2" s="187"/>
      <c r="H2" s="187"/>
      <c r="I2" s="188"/>
      <c r="J2" s="2"/>
      <c r="M2" s="108" t="s">
        <v>66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740</v>
      </c>
      <c r="B8" s="17" t="s">
        <v>741</v>
      </c>
      <c r="C8" s="13" t="s">
        <v>742</v>
      </c>
      <c r="D8" s="13" t="s">
        <v>731</v>
      </c>
      <c r="E8" s="18">
        <v>36812</v>
      </c>
      <c r="F8" s="19">
        <v>616.66999999999996</v>
      </c>
      <c r="G8" s="20">
        <v>1.8200000000000001E-2</v>
      </c>
      <c r="H8" s="36"/>
      <c r="I8" s="22"/>
      <c r="J8" s="2"/>
    </row>
    <row r="9" spans="1:13" ht="12.95" customHeight="1">
      <c r="A9" s="16" t="s">
        <v>728</v>
      </c>
      <c r="B9" s="17" t="s">
        <v>729</v>
      </c>
      <c r="C9" s="13" t="s">
        <v>730</v>
      </c>
      <c r="D9" s="13" t="s">
        <v>731</v>
      </c>
      <c r="E9" s="18">
        <v>16075</v>
      </c>
      <c r="F9" s="19">
        <v>606.91999999999996</v>
      </c>
      <c r="G9" s="20">
        <v>1.7899999999999999E-2</v>
      </c>
      <c r="H9" s="36"/>
      <c r="I9" s="22"/>
      <c r="J9" s="2"/>
    </row>
    <row r="10" spans="1:13" ht="12.95" customHeight="1">
      <c r="A10" s="16" t="s">
        <v>686</v>
      </c>
      <c r="B10" s="17" t="s">
        <v>687</v>
      </c>
      <c r="C10" s="13" t="s">
        <v>688</v>
      </c>
      <c r="D10" s="13" t="s">
        <v>685</v>
      </c>
      <c r="E10" s="18">
        <v>77932</v>
      </c>
      <c r="F10" s="19">
        <v>546.19000000000005</v>
      </c>
      <c r="G10" s="20">
        <v>1.61E-2</v>
      </c>
      <c r="H10" s="36"/>
      <c r="I10" s="22"/>
      <c r="J10" s="2"/>
    </row>
    <row r="11" spans="1:13" ht="12.95" customHeight="1">
      <c r="A11" s="16" t="s">
        <v>682</v>
      </c>
      <c r="B11" s="17" t="s">
        <v>683</v>
      </c>
      <c r="C11" s="13" t="s">
        <v>684</v>
      </c>
      <c r="D11" s="13" t="s">
        <v>685</v>
      </c>
      <c r="E11" s="18">
        <v>32930</v>
      </c>
      <c r="F11" s="19">
        <v>525.22</v>
      </c>
      <c r="G11" s="20">
        <v>1.55E-2</v>
      </c>
      <c r="H11" s="36"/>
      <c r="I11" s="22"/>
      <c r="J11" s="2"/>
    </row>
    <row r="12" spans="1:13" ht="12.95" customHeight="1">
      <c r="A12" s="16" t="s">
        <v>720</v>
      </c>
      <c r="B12" s="17" t="s">
        <v>721</v>
      </c>
      <c r="C12" s="13" t="s">
        <v>722</v>
      </c>
      <c r="D12" s="13" t="s">
        <v>723</v>
      </c>
      <c r="E12" s="18">
        <v>6647</v>
      </c>
      <c r="F12" s="19">
        <v>509.7</v>
      </c>
      <c r="G12" s="20">
        <v>1.4999999999999999E-2</v>
      </c>
      <c r="H12" s="36"/>
      <c r="I12" s="22"/>
      <c r="J12" s="2"/>
    </row>
    <row r="13" spans="1:13" ht="12.95" customHeight="1">
      <c r="A13" s="16" t="s">
        <v>692</v>
      </c>
      <c r="B13" s="17" t="s">
        <v>693</v>
      </c>
      <c r="C13" s="13" t="s">
        <v>694</v>
      </c>
      <c r="D13" s="13" t="s">
        <v>685</v>
      </c>
      <c r="E13" s="18">
        <v>22909</v>
      </c>
      <c r="F13" s="19">
        <v>459.44</v>
      </c>
      <c r="G13" s="20">
        <v>1.35E-2</v>
      </c>
      <c r="H13" s="36"/>
      <c r="I13" s="22"/>
      <c r="J13" s="2"/>
    </row>
    <row r="14" spans="1:13" ht="12.95" customHeight="1">
      <c r="A14" s="16" t="s">
        <v>736</v>
      </c>
      <c r="B14" s="17" t="s">
        <v>737</v>
      </c>
      <c r="C14" s="13" t="s">
        <v>738</v>
      </c>
      <c r="D14" s="13" t="s">
        <v>739</v>
      </c>
      <c r="E14" s="18">
        <v>9737</v>
      </c>
      <c r="F14" s="19">
        <v>413.84</v>
      </c>
      <c r="G14" s="20">
        <v>1.2200000000000001E-2</v>
      </c>
      <c r="H14" s="36"/>
      <c r="I14" s="22"/>
      <c r="J14" s="2"/>
    </row>
    <row r="15" spans="1:13" ht="12.95" customHeight="1">
      <c r="A15" s="16" t="s">
        <v>732</v>
      </c>
      <c r="B15" s="17" t="s">
        <v>733</v>
      </c>
      <c r="C15" s="13" t="s">
        <v>734</v>
      </c>
      <c r="D15" s="13" t="s">
        <v>735</v>
      </c>
      <c r="E15" s="18">
        <v>16357</v>
      </c>
      <c r="F15" s="19">
        <v>412.07</v>
      </c>
      <c r="G15" s="20">
        <v>1.21E-2</v>
      </c>
      <c r="H15" s="36"/>
      <c r="I15" s="22"/>
      <c r="J15" s="2"/>
    </row>
    <row r="16" spans="1:13" ht="12.95" customHeight="1">
      <c r="A16" s="16" t="s">
        <v>743</v>
      </c>
      <c r="B16" s="17" t="s">
        <v>744</v>
      </c>
      <c r="C16" s="13" t="s">
        <v>745</v>
      </c>
      <c r="D16" s="13" t="s">
        <v>723</v>
      </c>
      <c r="E16" s="18">
        <v>14880</v>
      </c>
      <c r="F16" s="19">
        <v>409.84</v>
      </c>
      <c r="G16" s="20">
        <v>1.21E-2</v>
      </c>
      <c r="H16" s="36"/>
      <c r="I16" s="22"/>
      <c r="J16" s="2"/>
    </row>
    <row r="17" spans="1:10" ht="12.95" customHeight="1">
      <c r="A17" s="16" t="s">
        <v>750</v>
      </c>
      <c r="B17" s="17" t="s">
        <v>751</v>
      </c>
      <c r="C17" s="13" t="s">
        <v>752</v>
      </c>
      <c r="D17" s="13" t="s">
        <v>753</v>
      </c>
      <c r="E17" s="18">
        <v>7224</v>
      </c>
      <c r="F17" s="19">
        <v>229.6</v>
      </c>
      <c r="G17" s="20">
        <v>6.7999999999999996E-3</v>
      </c>
      <c r="H17" s="36"/>
      <c r="I17" s="22"/>
      <c r="J17" s="2"/>
    </row>
    <row r="18" spans="1:10" ht="12.95" customHeight="1">
      <c r="A18" s="16" t="s">
        <v>897</v>
      </c>
      <c r="B18" s="17" t="s">
        <v>898</v>
      </c>
      <c r="C18" s="13" t="s">
        <v>899</v>
      </c>
      <c r="D18" s="13" t="s">
        <v>900</v>
      </c>
      <c r="E18" s="18">
        <v>1024</v>
      </c>
      <c r="F18" s="19">
        <v>182.14</v>
      </c>
      <c r="G18" s="20">
        <v>5.4000000000000003E-3</v>
      </c>
      <c r="H18" s="36"/>
      <c r="I18" s="22"/>
      <c r="J18" s="2"/>
    </row>
    <row r="19" spans="1:10" ht="12.95" customHeight="1">
      <c r="A19" s="16" t="s">
        <v>830</v>
      </c>
      <c r="B19" s="17" t="s">
        <v>831</v>
      </c>
      <c r="C19" s="13" t="s">
        <v>832</v>
      </c>
      <c r="D19" s="13" t="s">
        <v>763</v>
      </c>
      <c r="E19" s="18">
        <v>9288</v>
      </c>
      <c r="F19" s="19">
        <v>173.36</v>
      </c>
      <c r="G19" s="20">
        <v>5.1000000000000004E-3</v>
      </c>
      <c r="H19" s="36"/>
      <c r="I19" s="22"/>
      <c r="J19" s="2"/>
    </row>
    <row r="20" spans="1:10" ht="12.95" customHeight="1">
      <c r="A20" s="16" t="s">
        <v>1022</v>
      </c>
      <c r="B20" s="17" t="s">
        <v>3922</v>
      </c>
      <c r="C20" s="13" t="s">
        <v>1024</v>
      </c>
      <c r="D20" s="13" t="s">
        <v>1025</v>
      </c>
      <c r="E20" s="18">
        <v>12963</v>
      </c>
      <c r="F20" s="19">
        <v>170.53</v>
      </c>
      <c r="G20" s="20">
        <v>5.0000000000000001E-3</v>
      </c>
      <c r="H20" s="36"/>
      <c r="I20" s="22"/>
      <c r="J20" s="2"/>
    </row>
    <row r="21" spans="1:10" ht="12.95" customHeight="1">
      <c r="A21" s="16" t="s">
        <v>939</v>
      </c>
      <c r="B21" s="17" t="s">
        <v>940</v>
      </c>
      <c r="C21" s="13" t="s">
        <v>941</v>
      </c>
      <c r="D21" s="13" t="s">
        <v>782</v>
      </c>
      <c r="E21" s="18">
        <v>586</v>
      </c>
      <c r="F21" s="19">
        <v>169.36</v>
      </c>
      <c r="G21" s="20">
        <v>5.0000000000000001E-3</v>
      </c>
      <c r="H21" s="36"/>
      <c r="I21" s="22"/>
      <c r="J21" s="2"/>
    </row>
    <row r="22" spans="1:10" ht="12.95" customHeight="1">
      <c r="A22" s="16" t="s">
        <v>796</v>
      </c>
      <c r="B22" s="17" t="s">
        <v>797</v>
      </c>
      <c r="C22" s="13" t="s">
        <v>798</v>
      </c>
      <c r="D22" s="13" t="s">
        <v>771</v>
      </c>
      <c r="E22" s="18">
        <v>74240</v>
      </c>
      <c r="F22" s="19">
        <v>167.75</v>
      </c>
      <c r="G22" s="20">
        <v>4.8999999999999998E-3</v>
      </c>
      <c r="H22" s="36"/>
      <c r="I22" s="22"/>
      <c r="J22" s="2"/>
    </row>
    <row r="23" spans="1:10" ht="12.95" customHeight="1">
      <c r="A23" s="16" t="s">
        <v>757</v>
      </c>
      <c r="B23" s="17" t="s">
        <v>758</v>
      </c>
      <c r="C23" s="13" t="s">
        <v>759</v>
      </c>
      <c r="D23" s="13" t="s">
        <v>749</v>
      </c>
      <c r="E23" s="18">
        <v>4000</v>
      </c>
      <c r="F23" s="19">
        <v>148.80000000000001</v>
      </c>
      <c r="G23" s="20">
        <v>4.4000000000000003E-3</v>
      </c>
      <c r="H23" s="36"/>
      <c r="I23" s="22"/>
      <c r="J23" s="2"/>
    </row>
    <row r="24" spans="1:10" ht="12.95" customHeight="1">
      <c r="A24" s="16" t="s">
        <v>746</v>
      </c>
      <c r="B24" s="17" t="s">
        <v>747</v>
      </c>
      <c r="C24" s="13" t="s">
        <v>748</v>
      </c>
      <c r="D24" s="13" t="s">
        <v>749</v>
      </c>
      <c r="E24" s="18">
        <v>3090</v>
      </c>
      <c r="F24" s="19">
        <v>148.28</v>
      </c>
      <c r="G24" s="20">
        <v>4.4000000000000003E-3</v>
      </c>
      <c r="H24" s="36"/>
      <c r="I24" s="22"/>
      <c r="J24" s="2"/>
    </row>
    <row r="25" spans="1:10" ht="12.95" customHeight="1">
      <c r="A25" s="16" t="s">
        <v>775</v>
      </c>
      <c r="B25" s="17" t="s">
        <v>776</v>
      </c>
      <c r="C25" s="13" t="s">
        <v>777</v>
      </c>
      <c r="D25" s="13" t="s">
        <v>778</v>
      </c>
      <c r="E25" s="18">
        <v>1912</v>
      </c>
      <c r="F25" s="19">
        <v>140.30000000000001</v>
      </c>
      <c r="G25" s="20">
        <v>4.1000000000000003E-3</v>
      </c>
      <c r="H25" s="36"/>
      <c r="I25" s="22"/>
      <c r="J25" s="2"/>
    </row>
    <row r="26" spans="1:10" ht="12.95" customHeight="1">
      <c r="A26" s="16" t="s">
        <v>904</v>
      </c>
      <c r="B26" s="17" t="s">
        <v>905</v>
      </c>
      <c r="C26" s="13" t="s">
        <v>906</v>
      </c>
      <c r="D26" s="13" t="s">
        <v>731</v>
      </c>
      <c r="E26" s="18">
        <v>4500</v>
      </c>
      <c r="F26" s="19">
        <v>139.69999999999999</v>
      </c>
      <c r="G26" s="20">
        <v>4.1000000000000003E-3</v>
      </c>
      <c r="H26" s="36"/>
      <c r="I26" s="22"/>
      <c r="J26" s="2"/>
    </row>
    <row r="27" spans="1:10" ht="12.95" customHeight="1">
      <c r="A27" s="16" t="s">
        <v>799</v>
      </c>
      <c r="B27" s="17" t="s">
        <v>800</v>
      </c>
      <c r="C27" s="13" t="s">
        <v>801</v>
      </c>
      <c r="D27" s="13" t="s">
        <v>749</v>
      </c>
      <c r="E27" s="18">
        <v>16541</v>
      </c>
      <c r="F27" s="19">
        <v>135.35</v>
      </c>
      <c r="G27" s="20">
        <v>4.0000000000000001E-3</v>
      </c>
      <c r="H27" s="36"/>
      <c r="I27" s="22"/>
      <c r="J27" s="2"/>
    </row>
    <row r="28" spans="1:10" ht="12.95" customHeight="1">
      <c r="A28" s="16" t="s">
        <v>1026</v>
      </c>
      <c r="B28" s="17" t="s">
        <v>1027</v>
      </c>
      <c r="C28" s="13" t="s">
        <v>1028</v>
      </c>
      <c r="D28" s="13" t="s">
        <v>763</v>
      </c>
      <c r="E28" s="18">
        <v>6302</v>
      </c>
      <c r="F28" s="19">
        <v>129.02000000000001</v>
      </c>
      <c r="G28" s="20">
        <v>3.8E-3</v>
      </c>
      <c r="H28" s="36"/>
      <c r="I28" s="22"/>
      <c r="J28" s="2"/>
    </row>
    <row r="29" spans="1:10" ht="12.95" customHeight="1">
      <c r="A29" s="16" t="s">
        <v>942</v>
      </c>
      <c r="B29" s="17" t="s">
        <v>943</v>
      </c>
      <c r="C29" s="13" t="s">
        <v>944</v>
      </c>
      <c r="D29" s="13" t="s">
        <v>945</v>
      </c>
      <c r="E29" s="18">
        <v>7549</v>
      </c>
      <c r="F29" s="19">
        <v>128.56</v>
      </c>
      <c r="G29" s="20">
        <v>3.8E-3</v>
      </c>
      <c r="H29" s="36"/>
      <c r="I29" s="22"/>
      <c r="J29" s="2"/>
    </row>
    <row r="30" spans="1:10" ht="12.95" customHeight="1">
      <c r="A30" s="16" t="s">
        <v>1029</v>
      </c>
      <c r="B30" s="17" t="s">
        <v>1030</v>
      </c>
      <c r="C30" s="13" t="s">
        <v>1031</v>
      </c>
      <c r="D30" s="13" t="s">
        <v>1032</v>
      </c>
      <c r="E30" s="18">
        <v>29850</v>
      </c>
      <c r="F30" s="19">
        <v>122.39</v>
      </c>
      <c r="G30" s="20">
        <v>3.5999999999999999E-3</v>
      </c>
      <c r="H30" s="36"/>
      <c r="I30" s="22"/>
      <c r="J30" s="2"/>
    </row>
    <row r="31" spans="1:10" ht="12.95" customHeight="1">
      <c r="A31" s="16" t="s">
        <v>930</v>
      </c>
      <c r="B31" s="17" t="s">
        <v>931</v>
      </c>
      <c r="C31" s="13" t="s">
        <v>932</v>
      </c>
      <c r="D31" s="13" t="s">
        <v>723</v>
      </c>
      <c r="E31" s="18">
        <v>20000</v>
      </c>
      <c r="F31" s="19">
        <v>112.85</v>
      </c>
      <c r="G31" s="20">
        <v>3.3E-3</v>
      </c>
      <c r="H31" s="36"/>
      <c r="I31" s="22"/>
      <c r="J31" s="2"/>
    </row>
    <row r="32" spans="1:10" ht="12.95" customHeight="1">
      <c r="A32" s="16" t="s">
        <v>1042</v>
      </c>
      <c r="B32" s="17" t="s">
        <v>1043</v>
      </c>
      <c r="C32" s="13" t="s">
        <v>1044</v>
      </c>
      <c r="D32" s="13" t="s">
        <v>739</v>
      </c>
      <c r="E32" s="18">
        <v>40000</v>
      </c>
      <c r="F32" s="19">
        <v>98.54</v>
      </c>
      <c r="G32" s="20">
        <v>2.8999999999999998E-3</v>
      </c>
      <c r="H32" s="36"/>
      <c r="I32" s="22"/>
      <c r="J32" s="2"/>
    </row>
    <row r="33" spans="1:10" ht="12.95" customHeight="1">
      <c r="A33" s="16" t="s">
        <v>818</v>
      </c>
      <c r="B33" s="17" t="s">
        <v>819</v>
      </c>
      <c r="C33" s="13" t="s">
        <v>820</v>
      </c>
      <c r="D33" s="13" t="s">
        <v>739</v>
      </c>
      <c r="E33" s="18">
        <v>1161</v>
      </c>
      <c r="F33" s="19">
        <v>97.28</v>
      </c>
      <c r="G33" s="20">
        <v>2.8999999999999998E-3</v>
      </c>
      <c r="H33" s="36"/>
      <c r="I33" s="22"/>
      <c r="J33" s="2"/>
    </row>
    <row r="34" spans="1:10" ht="12.95" customHeight="1">
      <c r="A34" s="16" t="s">
        <v>842</v>
      </c>
      <c r="B34" s="17" t="s">
        <v>843</v>
      </c>
      <c r="C34" s="13" t="s">
        <v>844</v>
      </c>
      <c r="D34" s="13" t="s">
        <v>771</v>
      </c>
      <c r="E34" s="18">
        <v>11967</v>
      </c>
      <c r="F34" s="19">
        <v>96.47</v>
      </c>
      <c r="G34" s="20">
        <v>2.8E-3</v>
      </c>
      <c r="H34" s="36"/>
      <c r="I34" s="22"/>
      <c r="J34" s="2"/>
    </row>
    <row r="35" spans="1:10" ht="12.95" customHeight="1">
      <c r="A35" s="16" t="s">
        <v>851</v>
      </c>
      <c r="B35" s="17" t="s">
        <v>852</v>
      </c>
      <c r="C35" s="13" t="s">
        <v>853</v>
      </c>
      <c r="D35" s="13" t="s">
        <v>771</v>
      </c>
      <c r="E35" s="18">
        <v>12966</v>
      </c>
      <c r="F35" s="19">
        <v>95.78</v>
      </c>
      <c r="G35" s="20">
        <v>2.8E-3</v>
      </c>
      <c r="H35" s="36"/>
      <c r="I35" s="22"/>
      <c r="J35" s="2"/>
    </row>
    <row r="36" spans="1:10" ht="12.95" customHeight="1">
      <c r="A36" s="16" t="s">
        <v>768</v>
      </c>
      <c r="B36" s="17" t="s">
        <v>769</v>
      </c>
      <c r="C36" s="13" t="s">
        <v>770</v>
      </c>
      <c r="D36" s="13" t="s">
        <v>771</v>
      </c>
      <c r="E36" s="18">
        <v>5654</v>
      </c>
      <c r="F36" s="19">
        <v>89.58</v>
      </c>
      <c r="G36" s="20">
        <v>2.5999999999999999E-3</v>
      </c>
      <c r="H36" s="36"/>
      <c r="I36" s="22"/>
      <c r="J36" s="2"/>
    </row>
    <row r="37" spans="1:10" ht="12.95" customHeight="1">
      <c r="A37" s="16" t="s">
        <v>821</v>
      </c>
      <c r="B37" s="17" t="s">
        <v>822</v>
      </c>
      <c r="C37" s="13" t="s">
        <v>823</v>
      </c>
      <c r="D37" s="13" t="s">
        <v>753</v>
      </c>
      <c r="E37" s="18">
        <v>20555</v>
      </c>
      <c r="F37" s="19">
        <v>82.66</v>
      </c>
      <c r="G37" s="20">
        <v>2.3999999999999998E-3</v>
      </c>
      <c r="H37" s="36"/>
      <c r="I37" s="22"/>
      <c r="J37" s="2"/>
    </row>
    <row r="38" spans="1:10" ht="12.95" customHeight="1">
      <c r="A38" s="16" t="s">
        <v>891</v>
      </c>
      <c r="B38" s="17" t="s">
        <v>892</v>
      </c>
      <c r="C38" s="13" t="s">
        <v>893</v>
      </c>
      <c r="D38" s="13" t="s">
        <v>782</v>
      </c>
      <c r="E38" s="18">
        <v>1041</v>
      </c>
      <c r="F38" s="19">
        <v>76.989999999999995</v>
      </c>
      <c r="G38" s="20">
        <v>2.3E-3</v>
      </c>
      <c r="H38" s="36"/>
      <c r="I38" s="22"/>
      <c r="J38" s="2"/>
    </row>
    <row r="39" spans="1:10" ht="12.95" customHeight="1">
      <c r="A39" s="16" t="s">
        <v>950</v>
      </c>
      <c r="B39" s="17" t="s">
        <v>951</v>
      </c>
      <c r="C39" s="13" t="s">
        <v>952</v>
      </c>
      <c r="D39" s="13" t="s">
        <v>910</v>
      </c>
      <c r="E39" s="18">
        <v>13120</v>
      </c>
      <c r="F39" s="19">
        <v>74.78</v>
      </c>
      <c r="G39" s="20">
        <v>2.2000000000000001E-3</v>
      </c>
      <c r="H39" s="36"/>
      <c r="I39" s="22"/>
      <c r="J39" s="2"/>
    </row>
    <row r="40" spans="1:10" ht="12.95" customHeight="1">
      <c r="A40" s="16" t="s">
        <v>873</v>
      </c>
      <c r="B40" s="17" t="s">
        <v>874</v>
      </c>
      <c r="C40" s="13" t="s">
        <v>875</v>
      </c>
      <c r="D40" s="13" t="s">
        <v>789</v>
      </c>
      <c r="E40" s="18">
        <v>372</v>
      </c>
      <c r="F40" s="19">
        <v>72.34</v>
      </c>
      <c r="G40" s="20">
        <v>2.0999999999999999E-3</v>
      </c>
      <c r="H40" s="36"/>
      <c r="I40" s="22"/>
      <c r="J40" s="2"/>
    </row>
    <row r="41" spans="1:10" ht="12.95" customHeight="1">
      <c r="A41" s="16" t="s">
        <v>848</v>
      </c>
      <c r="B41" s="17" t="s">
        <v>849</v>
      </c>
      <c r="C41" s="13" t="s">
        <v>850</v>
      </c>
      <c r="D41" s="13" t="s">
        <v>739</v>
      </c>
      <c r="E41" s="18">
        <v>50000</v>
      </c>
      <c r="F41" s="19">
        <v>68.3</v>
      </c>
      <c r="G41" s="20">
        <v>2E-3</v>
      </c>
      <c r="H41" s="36"/>
      <c r="I41" s="22"/>
      <c r="J41" s="2"/>
    </row>
    <row r="42" spans="1:10" ht="12.95" customHeight="1">
      <c r="A42" s="16" t="s">
        <v>907</v>
      </c>
      <c r="B42" s="17" t="s">
        <v>908</v>
      </c>
      <c r="C42" s="13" t="s">
        <v>909</v>
      </c>
      <c r="D42" s="13" t="s">
        <v>910</v>
      </c>
      <c r="E42" s="18">
        <v>5444</v>
      </c>
      <c r="F42" s="19">
        <v>66.489999999999995</v>
      </c>
      <c r="G42" s="20">
        <v>2E-3</v>
      </c>
      <c r="H42" s="36"/>
      <c r="I42" s="22"/>
      <c r="J42" s="2"/>
    </row>
    <row r="43" spans="1:10" ht="12.95" customHeight="1">
      <c r="A43" s="16" t="s">
        <v>1039</v>
      </c>
      <c r="B43" s="17" t="s">
        <v>1040</v>
      </c>
      <c r="C43" s="13" t="s">
        <v>1041</v>
      </c>
      <c r="D43" s="13" t="s">
        <v>900</v>
      </c>
      <c r="E43" s="18">
        <v>5361</v>
      </c>
      <c r="F43" s="19">
        <v>65.14</v>
      </c>
      <c r="G43" s="20">
        <v>1.9E-3</v>
      </c>
      <c r="H43" s="36"/>
      <c r="I43" s="22"/>
      <c r="J43" s="2"/>
    </row>
    <row r="44" spans="1:10" ht="12.95" customHeight="1">
      <c r="A44" s="16" t="s">
        <v>946</v>
      </c>
      <c r="B44" s="17" t="s">
        <v>947</v>
      </c>
      <c r="C44" s="13" t="s">
        <v>948</v>
      </c>
      <c r="D44" s="13" t="s">
        <v>949</v>
      </c>
      <c r="E44" s="18">
        <v>5000</v>
      </c>
      <c r="F44" s="19">
        <v>64.45</v>
      </c>
      <c r="G44" s="20">
        <v>1.9E-3</v>
      </c>
      <c r="H44" s="36"/>
      <c r="I44" s="22"/>
      <c r="J44" s="2"/>
    </row>
    <row r="45" spans="1:10" ht="12.95" customHeight="1">
      <c r="A45" s="16" t="s">
        <v>1735</v>
      </c>
      <c r="B45" s="17" t="s">
        <v>1736</v>
      </c>
      <c r="C45" s="13" t="s">
        <v>1737</v>
      </c>
      <c r="D45" s="13" t="s">
        <v>900</v>
      </c>
      <c r="E45" s="18">
        <v>8579</v>
      </c>
      <c r="F45" s="19">
        <v>61.97</v>
      </c>
      <c r="G45" s="20">
        <v>1.8E-3</v>
      </c>
      <c r="H45" s="36"/>
      <c r="I45" s="22"/>
      <c r="J45" s="2"/>
    </row>
    <row r="46" spans="1:10" ht="12.95" customHeight="1">
      <c r="A46" s="16" t="s">
        <v>845</v>
      </c>
      <c r="B46" s="17" t="s">
        <v>846</v>
      </c>
      <c r="C46" s="13" t="s">
        <v>847</v>
      </c>
      <c r="D46" s="13" t="s">
        <v>739</v>
      </c>
      <c r="E46" s="18">
        <v>4470</v>
      </c>
      <c r="F46" s="19">
        <v>55.25</v>
      </c>
      <c r="G46" s="20">
        <v>1.6000000000000001E-3</v>
      </c>
      <c r="H46" s="36"/>
      <c r="I46" s="22"/>
      <c r="J46" s="2"/>
    </row>
    <row r="47" spans="1:10" ht="12.95" customHeight="1">
      <c r="A47" s="16" t="s">
        <v>927</v>
      </c>
      <c r="B47" s="17" t="s">
        <v>928</v>
      </c>
      <c r="C47" s="13" t="s">
        <v>929</v>
      </c>
      <c r="D47" s="13" t="s">
        <v>685</v>
      </c>
      <c r="E47" s="18">
        <v>31961</v>
      </c>
      <c r="F47" s="19">
        <v>50.39</v>
      </c>
      <c r="G47" s="20">
        <v>1.5E-3</v>
      </c>
      <c r="H47" s="36"/>
      <c r="I47" s="22"/>
      <c r="J47" s="2"/>
    </row>
    <row r="48" spans="1:10" ht="12.95" customHeight="1">
      <c r="A48" s="16" t="s">
        <v>840</v>
      </c>
      <c r="B48" s="17" t="s">
        <v>3924</v>
      </c>
      <c r="C48" s="13" t="s">
        <v>841</v>
      </c>
      <c r="D48" s="13" t="s">
        <v>735</v>
      </c>
      <c r="E48" s="18">
        <v>1281</v>
      </c>
      <c r="F48" s="19">
        <v>23.97</v>
      </c>
      <c r="G48" s="20">
        <v>6.9999999999999999E-4</v>
      </c>
      <c r="H48" s="36"/>
      <c r="I48" s="22"/>
      <c r="J48" s="2"/>
    </row>
    <row r="49" spans="1:10" ht="12.95" customHeight="1">
      <c r="A49" s="16" t="s">
        <v>1045</v>
      </c>
      <c r="B49" s="17" t="s">
        <v>3930</v>
      </c>
      <c r="C49" s="13" t="s">
        <v>1046</v>
      </c>
      <c r="D49" s="13" t="s">
        <v>1047</v>
      </c>
      <c r="E49" s="18">
        <v>14060</v>
      </c>
      <c r="F49" s="19">
        <v>100.11</v>
      </c>
      <c r="G49" s="20">
        <v>2.8999999999999998E-3</v>
      </c>
      <c r="H49" s="36"/>
      <c r="I49" s="22"/>
      <c r="J49" s="2"/>
    </row>
    <row r="50" spans="1:10" ht="12.95" customHeight="1">
      <c r="A50" s="2"/>
      <c r="B50" s="12" t="s">
        <v>172</v>
      </c>
      <c r="C50" s="13"/>
      <c r="D50" s="13"/>
      <c r="E50" s="13"/>
      <c r="F50" s="23">
        <v>100.11</v>
      </c>
      <c r="G50" s="24">
        <v>2.8999999999999998E-3</v>
      </c>
      <c r="H50" s="25"/>
      <c r="I50" s="26"/>
      <c r="J50" s="2"/>
    </row>
    <row r="51" spans="1:10" ht="12.95" customHeight="1">
      <c r="A51" s="2"/>
      <c r="B51" s="27" t="s">
        <v>177</v>
      </c>
      <c r="C51" s="28"/>
      <c r="D51" s="1"/>
      <c r="E51" s="28"/>
      <c r="F51" s="23">
        <v>8138.37</v>
      </c>
      <c r="G51" s="24">
        <v>0.23960000000000001</v>
      </c>
      <c r="H51" s="25"/>
      <c r="I51" s="26"/>
      <c r="J51" s="2"/>
    </row>
    <row r="52" spans="1:10" ht="12.95" customHeight="1">
      <c r="A52" s="2"/>
      <c r="B52" s="12" t="s">
        <v>127</v>
      </c>
      <c r="C52" s="13"/>
      <c r="D52" s="13"/>
      <c r="E52" s="13"/>
      <c r="F52" s="13"/>
      <c r="G52" s="13"/>
      <c r="H52" s="14"/>
      <c r="I52" s="15"/>
      <c r="J52" s="2"/>
    </row>
    <row r="53" spans="1:10" ht="12.95" customHeight="1">
      <c r="A53" s="2"/>
      <c r="B53" s="12" t="s">
        <v>128</v>
      </c>
      <c r="C53" s="13"/>
      <c r="D53" s="13"/>
      <c r="E53" s="13"/>
      <c r="F53" s="2"/>
      <c r="G53" s="14"/>
      <c r="H53" s="14"/>
      <c r="I53" s="15"/>
      <c r="J53" s="2"/>
    </row>
    <row r="54" spans="1:10" ht="12.95" customHeight="1">
      <c r="A54" s="16" t="s">
        <v>2587</v>
      </c>
      <c r="B54" s="17" t="s">
        <v>2588</v>
      </c>
      <c r="C54" s="13" t="s">
        <v>2589</v>
      </c>
      <c r="D54" s="13" t="s">
        <v>200</v>
      </c>
      <c r="E54" s="18">
        <v>2000000</v>
      </c>
      <c r="F54" s="19">
        <v>1985.02</v>
      </c>
      <c r="G54" s="20">
        <v>5.8500000000000003E-2</v>
      </c>
      <c r="H54" s="21">
        <v>6.7229999999999998E-2</v>
      </c>
      <c r="I54" s="22"/>
      <c r="J54" s="2"/>
    </row>
    <row r="55" spans="1:10" ht="12.95" customHeight="1">
      <c r="A55" s="16" t="s">
        <v>1074</v>
      </c>
      <c r="B55" s="17" t="s">
        <v>1075</v>
      </c>
      <c r="C55" s="13" t="s">
        <v>1076</v>
      </c>
      <c r="D55" s="13" t="s">
        <v>200</v>
      </c>
      <c r="E55" s="18">
        <v>1500000</v>
      </c>
      <c r="F55" s="19">
        <v>1487.11</v>
      </c>
      <c r="G55" s="20">
        <v>4.3799999999999999E-2</v>
      </c>
      <c r="H55" s="21">
        <v>6.2170000000000003E-2</v>
      </c>
      <c r="I55" s="22"/>
      <c r="J55" s="2"/>
    </row>
    <row r="56" spans="1:10" ht="12.95" customHeight="1">
      <c r="A56" s="16" t="s">
        <v>647</v>
      </c>
      <c r="B56" s="17" t="s">
        <v>648</v>
      </c>
      <c r="C56" s="13" t="s">
        <v>649</v>
      </c>
      <c r="D56" s="13" t="s">
        <v>200</v>
      </c>
      <c r="E56" s="18">
        <v>1000000</v>
      </c>
      <c r="F56" s="19">
        <v>1085.68</v>
      </c>
      <c r="G56" s="20">
        <v>3.2000000000000001E-2</v>
      </c>
      <c r="H56" s="21">
        <v>4.5940000000000002E-2</v>
      </c>
      <c r="I56" s="22"/>
      <c r="J56" s="2"/>
    </row>
    <row r="57" spans="1:10" ht="12.95" customHeight="1">
      <c r="A57" s="16" t="s">
        <v>392</v>
      </c>
      <c r="B57" s="17" t="s">
        <v>393</v>
      </c>
      <c r="C57" s="13" t="s">
        <v>394</v>
      </c>
      <c r="D57" s="13" t="s">
        <v>132</v>
      </c>
      <c r="E57" s="18">
        <v>100</v>
      </c>
      <c r="F57" s="19">
        <v>1033.68</v>
      </c>
      <c r="G57" s="20">
        <v>3.04E-2</v>
      </c>
      <c r="H57" s="21">
        <v>4.3999999999999997E-2</v>
      </c>
      <c r="I57" s="22"/>
      <c r="J57" s="2"/>
    </row>
    <row r="58" spans="1:10" ht="12.95" customHeight="1">
      <c r="A58" s="16" t="s">
        <v>2708</v>
      </c>
      <c r="B58" s="17" t="s">
        <v>2709</v>
      </c>
      <c r="C58" s="13" t="s">
        <v>2710</v>
      </c>
      <c r="D58" s="13" t="s">
        <v>132</v>
      </c>
      <c r="E58" s="18">
        <v>100</v>
      </c>
      <c r="F58" s="19">
        <v>1013.91</v>
      </c>
      <c r="G58" s="20">
        <v>2.9899999999999999E-2</v>
      </c>
      <c r="H58" s="21">
        <v>4.1799999999999997E-2</v>
      </c>
      <c r="I58" s="22"/>
      <c r="J58" s="2"/>
    </row>
    <row r="59" spans="1:10" ht="12.95" customHeight="1">
      <c r="A59" s="16" t="s">
        <v>1054</v>
      </c>
      <c r="B59" s="17" t="s">
        <v>1055</v>
      </c>
      <c r="C59" s="13" t="s">
        <v>1056</v>
      </c>
      <c r="D59" s="13" t="s">
        <v>161</v>
      </c>
      <c r="E59" s="18">
        <v>100</v>
      </c>
      <c r="F59" s="19">
        <v>1010.89</v>
      </c>
      <c r="G59" s="20">
        <v>2.98E-2</v>
      </c>
      <c r="H59" s="21">
        <v>6.93E-2</v>
      </c>
      <c r="I59" s="22"/>
      <c r="J59" s="2"/>
    </row>
    <row r="60" spans="1:10" ht="12.95" customHeight="1">
      <c r="A60" s="16" t="s">
        <v>433</v>
      </c>
      <c r="B60" s="17" t="s">
        <v>434</v>
      </c>
      <c r="C60" s="13" t="s">
        <v>435</v>
      </c>
      <c r="D60" s="13" t="s">
        <v>171</v>
      </c>
      <c r="E60" s="18">
        <v>100</v>
      </c>
      <c r="F60" s="19">
        <v>1006.52</v>
      </c>
      <c r="G60" s="20">
        <v>2.9600000000000001E-2</v>
      </c>
      <c r="H60" s="21">
        <v>4.5650000000000003E-2</v>
      </c>
      <c r="I60" s="22"/>
      <c r="J60" s="2"/>
    </row>
    <row r="61" spans="1:10" ht="12.95" customHeight="1">
      <c r="A61" s="16" t="s">
        <v>1187</v>
      </c>
      <c r="B61" s="17" t="s">
        <v>1188</v>
      </c>
      <c r="C61" s="13" t="s">
        <v>1189</v>
      </c>
      <c r="D61" s="13" t="s">
        <v>132</v>
      </c>
      <c r="E61" s="18">
        <v>100</v>
      </c>
      <c r="F61" s="19">
        <v>1001.73</v>
      </c>
      <c r="G61" s="20">
        <v>2.9499999999999998E-2</v>
      </c>
      <c r="H61" s="21">
        <v>6.8469000000000002E-2</v>
      </c>
      <c r="I61" s="22"/>
      <c r="J61" s="2"/>
    </row>
    <row r="62" spans="1:10" ht="12.95" customHeight="1">
      <c r="A62" s="16" t="s">
        <v>2711</v>
      </c>
      <c r="B62" s="17" t="s">
        <v>2712</v>
      </c>
      <c r="C62" s="13" t="s">
        <v>2713</v>
      </c>
      <c r="D62" s="13" t="s">
        <v>171</v>
      </c>
      <c r="E62" s="18">
        <v>100</v>
      </c>
      <c r="F62" s="19">
        <v>997.35</v>
      </c>
      <c r="G62" s="20">
        <v>2.9399999999999999E-2</v>
      </c>
      <c r="H62" s="21">
        <v>4.7E-2</v>
      </c>
      <c r="I62" s="22"/>
      <c r="J62" s="2"/>
    </row>
    <row r="63" spans="1:10" ht="12.95" customHeight="1">
      <c r="A63" s="16" t="s">
        <v>2714</v>
      </c>
      <c r="B63" s="17" t="s">
        <v>2715</v>
      </c>
      <c r="C63" s="13" t="s">
        <v>2716</v>
      </c>
      <c r="D63" s="13" t="s">
        <v>200</v>
      </c>
      <c r="E63" s="18">
        <v>1000000</v>
      </c>
      <c r="F63" s="19">
        <v>996.77</v>
      </c>
      <c r="G63" s="20">
        <v>2.9399999999999999E-2</v>
      </c>
      <c r="H63" s="21">
        <v>5.3145999999999999E-2</v>
      </c>
      <c r="I63" s="22"/>
      <c r="J63" s="2"/>
    </row>
    <row r="64" spans="1:10" ht="12.95" customHeight="1">
      <c r="A64" s="16" t="s">
        <v>2717</v>
      </c>
      <c r="B64" s="17" t="s">
        <v>2718</v>
      </c>
      <c r="C64" s="13" t="s">
        <v>2719</v>
      </c>
      <c r="D64" s="13" t="s">
        <v>200</v>
      </c>
      <c r="E64" s="18">
        <v>900000</v>
      </c>
      <c r="F64" s="19">
        <v>981.13</v>
      </c>
      <c r="G64" s="20">
        <v>2.8899999999999999E-2</v>
      </c>
      <c r="H64" s="21">
        <v>5.8749999999999997E-2</v>
      </c>
      <c r="I64" s="22"/>
      <c r="J64" s="2"/>
    </row>
    <row r="65" spans="1:10" ht="12.95" customHeight="1">
      <c r="A65" s="16" t="s">
        <v>2720</v>
      </c>
      <c r="B65" s="17" t="s">
        <v>2721</v>
      </c>
      <c r="C65" s="13" t="s">
        <v>2722</v>
      </c>
      <c r="D65" s="13" t="s">
        <v>200</v>
      </c>
      <c r="E65" s="18">
        <v>500000</v>
      </c>
      <c r="F65" s="19">
        <v>555.02</v>
      </c>
      <c r="G65" s="20">
        <v>1.6299999999999999E-2</v>
      </c>
      <c r="H65" s="21">
        <v>5.8806999999999998E-2</v>
      </c>
      <c r="I65" s="22"/>
      <c r="J65" s="2"/>
    </row>
    <row r="66" spans="1:10" ht="12.95" customHeight="1">
      <c r="A66" s="16" t="s">
        <v>2723</v>
      </c>
      <c r="B66" s="17" t="s">
        <v>2724</v>
      </c>
      <c r="C66" s="13" t="s">
        <v>2725</v>
      </c>
      <c r="D66" s="13" t="s">
        <v>1073</v>
      </c>
      <c r="E66" s="18">
        <v>50</v>
      </c>
      <c r="F66" s="19">
        <v>531.74</v>
      </c>
      <c r="G66" s="20">
        <v>1.5699999999999999E-2</v>
      </c>
      <c r="H66" s="21">
        <v>8.0377000000000004E-2</v>
      </c>
      <c r="I66" s="37">
        <v>6.7116634999999994E-2</v>
      </c>
      <c r="J66" s="2"/>
    </row>
    <row r="67" spans="1:10" ht="12.95" customHeight="1">
      <c r="A67" s="16" t="s">
        <v>2726</v>
      </c>
      <c r="B67" s="17" t="s">
        <v>2727</v>
      </c>
      <c r="C67" s="13" t="s">
        <v>2728</v>
      </c>
      <c r="D67" s="13" t="s">
        <v>132</v>
      </c>
      <c r="E67" s="18">
        <v>50</v>
      </c>
      <c r="F67" s="19">
        <v>524.49</v>
      </c>
      <c r="G67" s="20">
        <v>1.54E-2</v>
      </c>
      <c r="H67" s="21">
        <v>4.4749999999999998E-2</v>
      </c>
      <c r="I67" s="37"/>
      <c r="J67" s="2"/>
    </row>
    <row r="68" spans="1:10" ht="12.95" customHeight="1">
      <c r="A68" s="16" t="s">
        <v>1271</v>
      </c>
      <c r="B68" s="17" t="s">
        <v>1272</v>
      </c>
      <c r="C68" s="13" t="s">
        <v>1273</v>
      </c>
      <c r="D68" s="13" t="s">
        <v>132</v>
      </c>
      <c r="E68" s="18">
        <v>50</v>
      </c>
      <c r="F68" s="19">
        <v>524.03</v>
      </c>
      <c r="G68" s="20">
        <v>1.54E-2</v>
      </c>
      <c r="H68" s="21">
        <v>5.7049000000000002E-2</v>
      </c>
      <c r="I68" s="37"/>
      <c r="J68" s="2"/>
    </row>
    <row r="69" spans="1:10" ht="12.95" customHeight="1">
      <c r="A69" s="16" t="s">
        <v>2729</v>
      </c>
      <c r="B69" s="17" t="s">
        <v>2730</v>
      </c>
      <c r="C69" s="13" t="s">
        <v>2731</v>
      </c>
      <c r="D69" s="13" t="s">
        <v>132</v>
      </c>
      <c r="E69" s="18">
        <v>50</v>
      </c>
      <c r="F69" s="19">
        <v>520.41</v>
      </c>
      <c r="G69" s="20">
        <v>1.5299999999999999E-2</v>
      </c>
      <c r="H69" s="21">
        <v>4.4499999999999998E-2</v>
      </c>
      <c r="I69" s="37"/>
      <c r="J69" s="2"/>
    </row>
    <row r="70" spans="1:10" ht="12.95" customHeight="1">
      <c r="A70" s="16" t="s">
        <v>2732</v>
      </c>
      <c r="B70" s="17" t="s">
        <v>2733</v>
      </c>
      <c r="C70" s="13" t="s">
        <v>2734</v>
      </c>
      <c r="D70" s="13" t="s">
        <v>132</v>
      </c>
      <c r="E70" s="18">
        <v>50</v>
      </c>
      <c r="F70" s="19">
        <v>513.23</v>
      </c>
      <c r="G70" s="20">
        <v>1.5100000000000001E-2</v>
      </c>
      <c r="H70" s="21">
        <v>4.1599999999999998E-2</v>
      </c>
      <c r="I70" s="37"/>
      <c r="J70" s="2"/>
    </row>
    <row r="71" spans="1:10" ht="12.95" customHeight="1">
      <c r="A71" s="16" t="s">
        <v>1169</v>
      </c>
      <c r="B71" s="17" t="s">
        <v>1170</v>
      </c>
      <c r="C71" s="13" t="s">
        <v>1171</v>
      </c>
      <c r="D71" s="13" t="s">
        <v>132</v>
      </c>
      <c r="E71" s="18">
        <v>50</v>
      </c>
      <c r="F71" s="19">
        <v>511</v>
      </c>
      <c r="G71" s="20">
        <v>1.4999999999999999E-2</v>
      </c>
      <c r="H71" s="21">
        <v>4.4600000000000001E-2</v>
      </c>
      <c r="I71" s="37"/>
      <c r="J71" s="2"/>
    </row>
    <row r="72" spans="1:10" ht="12.95" customHeight="1">
      <c r="A72" s="16" t="s">
        <v>1048</v>
      </c>
      <c r="B72" s="17" t="s">
        <v>1049</v>
      </c>
      <c r="C72" s="13" t="s">
        <v>1050</v>
      </c>
      <c r="D72" s="13" t="s">
        <v>200</v>
      </c>
      <c r="E72" s="18">
        <v>500000</v>
      </c>
      <c r="F72" s="19">
        <v>509.13</v>
      </c>
      <c r="G72" s="20">
        <v>1.4999999999999999E-2</v>
      </c>
      <c r="H72" s="21"/>
      <c r="I72" s="37"/>
      <c r="J72" s="2"/>
    </row>
    <row r="73" spans="1:10" ht="12.95" customHeight="1">
      <c r="A73" s="16" t="s">
        <v>2735</v>
      </c>
      <c r="B73" s="17" t="s">
        <v>2736</v>
      </c>
      <c r="C73" s="13" t="s">
        <v>2737</v>
      </c>
      <c r="D73" s="13" t="s">
        <v>1069</v>
      </c>
      <c r="E73" s="18">
        <v>50</v>
      </c>
      <c r="F73" s="19">
        <v>506.05</v>
      </c>
      <c r="G73" s="20">
        <v>1.49E-2</v>
      </c>
      <c r="H73" s="21">
        <v>5.8200000000000002E-2</v>
      </c>
      <c r="I73" s="37"/>
      <c r="J73" s="2"/>
    </row>
    <row r="74" spans="1:10" ht="12.95" customHeight="1">
      <c r="A74" s="16" t="s">
        <v>2542</v>
      </c>
      <c r="B74" s="17" t="s">
        <v>2543</v>
      </c>
      <c r="C74" s="13" t="s">
        <v>2544</v>
      </c>
      <c r="D74" s="13" t="s">
        <v>2062</v>
      </c>
      <c r="E74" s="18">
        <v>50</v>
      </c>
      <c r="F74" s="19">
        <v>504.33</v>
      </c>
      <c r="G74" s="20">
        <v>1.49E-2</v>
      </c>
      <c r="H74" s="21">
        <v>6.7848000000000006E-2</v>
      </c>
      <c r="I74" s="37"/>
      <c r="J74" s="2"/>
    </row>
    <row r="75" spans="1:10" ht="12.95" customHeight="1">
      <c r="A75" s="16" t="s">
        <v>2738</v>
      </c>
      <c r="B75" s="17" t="s">
        <v>2739</v>
      </c>
      <c r="C75" s="13" t="s">
        <v>2740</v>
      </c>
      <c r="D75" s="13" t="s">
        <v>148</v>
      </c>
      <c r="E75" s="18">
        <v>50</v>
      </c>
      <c r="F75" s="19">
        <v>503.56</v>
      </c>
      <c r="G75" s="20">
        <v>1.4800000000000001E-2</v>
      </c>
      <c r="H75" s="21">
        <v>4.9149999999999999E-2</v>
      </c>
      <c r="I75" s="37"/>
      <c r="J75" s="2"/>
    </row>
    <row r="76" spans="1:10" ht="12.95" customHeight="1">
      <c r="A76" s="16" t="s">
        <v>2637</v>
      </c>
      <c r="B76" s="17" t="s">
        <v>2638</v>
      </c>
      <c r="C76" s="13" t="s">
        <v>2639</v>
      </c>
      <c r="D76" s="13" t="s">
        <v>2361</v>
      </c>
      <c r="E76" s="18">
        <v>50</v>
      </c>
      <c r="F76" s="19">
        <v>503.27</v>
      </c>
      <c r="G76" s="20">
        <v>1.4800000000000001E-2</v>
      </c>
      <c r="H76" s="21">
        <v>8.8624999999999995E-2</v>
      </c>
      <c r="I76" s="37"/>
      <c r="J76" s="2"/>
    </row>
    <row r="77" spans="1:10" ht="12.95" customHeight="1">
      <c r="A77" s="16" t="s">
        <v>2741</v>
      </c>
      <c r="B77" s="17" t="s">
        <v>2742</v>
      </c>
      <c r="C77" s="13" t="s">
        <v>2743</v>
      </c>
      <c r="D77" s="13" t="s">
        <v>1704</v>
      </c>
      <c r="E77" s="18">
        <v>50</v>
      </c>
      <c r="F77" s="19">
        <v>502.88</v>
      </c>
      <c r="G77" s="20">
        <v>1.4800000000000001E-2</v>
      </c>
      <c r="H77" s="21">
        <v>5.4545000000000003E-2</v>
      </c>
      <c r="I77" s="37"/>
      <c r="J77" s="2"/>
    </row>
    <row r="78" spans="1:10" ht="12.95" customHeight="1">
      <c r="A78" s="16" t="s">
        <v>2640</v>
      </c>
      <c r="B78" s="17" t="s">
        <v>2641</v>
      </c>
      <c r="C78" s="13" t="s">
        <v>2642</v>
      </c>
      <c r="D78" s="13" t="s">
        <v>2062</v>
      </c>
      <c r="E78" s="18">
        <v>50</v>
      </c>
      <c r="F78" s="19">
        <v>500.9</v>
      </c>
      <c r="G78" s="20">
        <v>1.4800000000000001E-2</v>
      </c>
      <c r="H78" s="21">
        <v>8.4074999999999997E-2</v>
      </c>
      <c r="I78" s="37">
        <v>8.3698380000000003E-2</v>
      </c>
      <c r="J78" s="2"/>
    </row>
    <row r="79" spans="1:10" ht="12.95" customHeight="1">
      <c r="A79" s="16" t="s">
        <v>2744</v>
      </c>
      <c r="B79" s="17" t="s">
        <v>2745</v>
      </c>
      <c r="C79" s="13" t="s">
        <v>2746</v>
      </c>
      <c r="D79" s="13" t="s">
        <v>132</v>
      </c>
      <c r="E79" s="18">
        <v>50</v>
      </c>
      <c r="F79" s="19">
        <v>499.72</v>
      </c>
      <c r="G79" s="20">
        <v>1.47E-2</v>
      </c>
      <c r="H79" s="21">
        <v>5.79E-2</v>
      </c>
      <c r="I79" s="37"/>
      <c r="J79" s="2"/>
    </row>
    <row r="80" spans="1:10" ht="12.95" customHeight="1">
      <c r="A80" s="16" t="s">
        <v>2580</v>
      </c>
      <c r="B80" s="17" t="s">
        <v>2581</v>
      </c>
      <c r="C80" s="13" t="s">
        <v>2582</v>
      </c>
      <c r="D80" s="13" t="s">
        <v>2583</v>
      </c>
      <c r="E80" s="18">
        <v>40</v>
      </c>
      <c r="F80" s="19">
        <v>401.31</v>
      </c>
      <c r="G80" s="20">
        <v>1.18E-2</v>
      </c>
      <c r="H80" s="21">
        <v>0.10753799999999999</v>
      </c>
      <c r="I80" s="37"/>
      <c r="J80" s="2"/>
    </row>
    <row r="81" spans="1:10" ht="12.95" customHeight="1">
      <c r="A81" s="16" t="s">
        <v>2747</v>
      </c>
      <c r="B81" s="17" t="s">
        <v>2748</v>
      </c>
      <c r="C81" s="13" t="s">
        <v>2749</v>
      </c>
      <c r="D81" s="13" t="s">
        <v>1073</v>
      </c>
      <c r="E81" s="18">
        <v>18000</v>
      </c>
      <c r="F81" s="19">
        <v>183.88</v>
      </c>
      <c r="G81" s="20">
        <v>5.4000000000000003E-3</v>
      </c>
      <c r="H81" s="21">
        <v>4.8649999999999999E-2</v>
      </c>
      <c r="I81" s="37"/>
      <c r="J81" s="2"/>
    </row>
    <row r="82" spans="1:10" ht="12.95" customHeight="1">
      <c r="A82" s="16" t="s">
        <v>1083</v>
      </c>
      <c r="B82" s="17" t="s">
        <v>1084</v>
      </c>
      <c r="C82" s="13" t="s">
        <v>1085</v>
      </c>
      <c r="D82" s="13" t="s">
        <v>200</v>
      </c>
      <c r="E82" s="18">
        <v>20000</v>
      </c>
      <c r="F82" s="19">
        <v>19.190000000000001</v>
      </c>
      <c r="G82" s="20">
        <v>5.9999999999999995E-4</v>
      </c>
      <c r="H82" s="21">
        <v>6.6629999999999995E-2</v>
      </c>
      <c r="I82" s="37"/>
      <c r="J82" s="2"/>
    </row>
    <row r="83" spans="1:10" ht="12.95" customHeight="1">
      <c r="A83" s="2"/>
      <c r="B83" s="12" t="s">
        <v>172</v>
      </c>
      <c r="C83" s="13"/>
      <c r="D83" s="13"/>
      <c r="E83" s="13"/>
      <c r="F83" s="23">
        <v>20913.93</v>
      </c>
      <c r="G83" s="24">
        <v>0.6159</v>
      </c>
      <c r="H83" s="25"/>
      <c r="I83" s="26"/>
      <c r="J83" s="2"/>
    </row>
    <row r="84" spans="1:10" ht="12.95" customHeight="1">
      <c r="A84" s="2"/>
      <c r="B84" s="27" t="s">
        <v>173</v>
      </c>
      <c r="C84" s="1"/>
      <c r="D84" s="1"/>
      <c r="E84" s="1"/>
      <c r="F84" s="25" t="s">
        <v>204</v>
      </c>
      <c r="G84" s="25" t="s">
        <v>204</v>
      </c>
      <c r="H84" s="25"/>
      <c r="I84" s="26"/>
      <c r="J84" s="2"/>
    </row>
    <row r="85" spans="1:10" ht="12.95" customHeight="1">
      <c r="A85" s="2"/>
      <c r="B85" s="27" t="s">
        <v>172</v>
      </c>
      <c r="C85" s="1"/>
      <c r="D85" s="1"/>
      <c r="E85" s="1"/>
      <c r="F85" s="25" t="s">
        <v>204</v>
      </c>
      <c r="G85" s="25" t="s">
        <v>204</v>
      </c>
      <c r="H85" s="25"/>
      <c r="I85" s="26"/>
      <c r="J85" s="2"/>
    </row>
    <row r="86" spans="1:10" ht="12.95" customHeight="1">
      <c r="A86" s="2"/>
      <c r="B86" s="27" t="s">
        <v>177</v>
      </c>
      <c r="C86" s="28"/>
      <c r="D86" s="1"/>
      <c r="E86" s="28"/>
      <c r="F86" s="23">
        <v>20913.93</v>
      </c>
      <c r="G86" s="24">
        <v>0.6159</v>
      </c>
      <c r="H86" s="25"/>
      <c r="I86" s="26"/>
      <c r="J86" s="2"/>
    </row>
    <row r="87" spans="1:10" ht="12.95" customHeight="1">
      <c r="A87" s="2"/>
      <c r="B87" s="12" t="s">
        <v>656</v>
      </c>
      <c r="C87" s="13"/>
      <c r="D87" s="13"/>
      <c r="E87" s="13"/>
      <c r="F87" s="13"/>
      <c r="G87" s="13"/>
      <c r="H87" s="14"/>
      <c r="I87" s="15"/>
      <c r="J87" s="2"/>
    </row>
    <row r="88" spans="1:10" ht="12.95" customHeight="1">
      <c r="A88" s="2"/>
      <c r="B88" s="12" t="s">
        <v>657</v>
      </c>
      <c r="C88" s="13"/>
      <c r="D88" s="13"/>
      <c r="E88" s="13"/>
      <c r="F88" s="2"/>
      <c r="G88" s="14"/>
      <c r="H88" s="14"/>
      <c r="I88" s="15"/>
      <c r="J88" s="2"/>
    </row>
    <row r="89" spans="1:10" ht="12.95" customHeight="1">
      <c r="A89" s="16" t="s">
        <v>1306</v>
      </c>
      <c r="B89" s="17" t="s">
        <v>1307</v>
      </c>
      <c r="C89" s="13" t="s">
        <v>1308</v>
      </c>
      <c r="D89" s="13" t="s">
        <v>661</v>
      </c>
      <c r="E89" s="18">
        <v>1500</v>
      </c>
      <c r="F89" s="19">
        <v>1458.41</v>
      </c>
      <c r="G89" s="20">
        <v>4.2900000000000001E-2</v>
      </c>
      <c r="H89" s="21">
        <v>4.1799999999999997E-2</v>
      </c>
      <c r="I89" s="37"/>
      <c r="J89" s="2"/>
    </row>
    <row r="90" spans="1:10" ht="12.95" customHeight="1">
      <c r="A90" s="2"/>
      <c r="B90" s="12" t="s">
        <v>172</v>
      </c>
      <c r="C90" s="13"/>
      <c r="D90" s="13"/>
      <c r="E90" s="13"/>
      <c r="F90" s="23">
        <v>1458.41</v>
      </c>
      <c r="G90" s="24">
        <v>4.2900000000000001E-2</v>
      </c>
      <c r="H90" s="25"/>
      <c r="I90" s="26"/>
      <c r="J90" s="2"/>
    </row>
    <row r="91" spans="1:10" ht="12.95" customHeight="1">
      <c r="A91" s="2"/>
      <c r="B91" s="27" t="s">
        <v>177</v>
      </c>
      <c r="C91" s="28"/>
      <c r="D91" s="1"/>
      <c r="E91" s="28"/>
      <c r="F91" s="23">
        <v>1458.41</v>
      </c>
      <c r="G91" s="24">
        <v>4.2900000000000001E-2</v>
      </c>
      <c r="H91" s="25"/>
      <c r="I91" s="26"/>
      <c r="J91" s="2"/>
    </row>
    <row r="92" spans="1:10" ht="12.95" customHeight="1">
      <c r="A92" s="2"/>
      <c r="B92" s="12" t="s">
        <v>178</v>
      </c>
      <c r="C92" s="13"/>
      <c r="D92" s="13"/>
      <c r="E92" s="13"/>
      <c r="F92" s="13"/>
      <c r="G92" s="13"/>
      <c r="H92" s="14"/>
      <c r="I92" s="15"/>
      <c r="J92" s="2"/>
    </row>
    <row r="93" spans="1:10" ht="12.95" customHeight="1">
      <c r="A93" s="16" t="s">
        <v>179</v>
      </c>
      <c r="B93" s="17" t="s">
        <v>180</v>
      </c>
      <c r="C93" s="13"/>
      <c r="D93" s="13"/>
      <c r="E93" s="18"/>
      <c r="F93" s="19">
        <v>2752.13</v>
      </c>
      <c r="G93" s="20">
        <v>8.1000000000000003E-2</v>
      </c>
      <c r="H93" s="21">
        <v>3.3045774617998035E-2</v>
      </c>
      <c r="I93" s="37"/>
      <c r="J93" s="2"/>
    </row>
    <row r="94" spans="1:10" ht="12.95" customHeight="1">
      <c r="A94" s="2"/>
      <c r="B94" s="12" t="s">
        <v>172</v>
      </c>
      <c r="C94" s="13"/>
      <c r="D94" s="13"/>
      <c r="E94" s="13"/>
      <c r="F94" s="23">
        <v>2752.13</v>
      </c>
      <c r="G94" s="24">
        <v>8.1000000000000003E-2</v>
      </c>
      <c r="H94" s="25"/>
      <c r="I94" s="26"/>
      <c r="J94" s="2"/>
    </row>
    <row r="95" spans="1:10" ht="12.95" customHeight="1">
      <c r="A95" s="2"/>
      <c r="B95" s="27" t="s">
        <v>173</v>
      </c>
      <c r="C95" s="1"/>
      <c r="D95" s="1"/>
      <c r="E95" s="1"/>
      <c r="F95" s="25" t="s">
        <v>204</v>
      </c>
      <c r="G95" s="25" t="s">
        <v>204</v>
      </c>
      <c r="H95" s="25"/>
      <c r="I95" s="26"/>
      <c r="J95" s="2"/>
    </row>
    <row r="96" spans="1:10" ht="12.95" customHeight="1">
      <c r="A96" s="2"/>
      <c r="B96" s="27" t="s">
        <v>172</v>
      </c>
      <c r="C96" s="1"/>
      <c r="D96" s="1"/>
      <c r="E96" s="1"/>
      <c r="F96" s="25" t="s">
        <v>204</v>
      </c>
      <c r="G96" s="25" t="s">
        <v>204</v>
      </c>
      <c r="H96" s="25"/>
      <c r="I96" s="26"/>
      <c r="J96" s="2"/>
    </row>
    <row r="97" spans="1:10" ht="12.95" customHeight="1">
      <c r="A97" s="2"/>
      <c r="B97" s="27" t="s">
        <v>177</v>
      </c>
      <c r="C97" s="28"/>
      <c r="D97" s="1"/>
      <c r="E97" s="28"/>
      <c r="F97" s="23">
        <v>2752.13</v>
      </c>
      <c r="G97" s="24">
        <v>8.1000000000000003E-2</v>
      </c>
      <c r="H97" s="25"/>
      <c r="I97" s="26"/>
      <c r="J97" s="2"/>
    </row>
    <row r="98" spans="1:10" ht="12.95" customHeight="1">
      <c r="A98" s="2"/>
      <c r="B98" s="27" t="s">
        <v>181</v>
      </c>
      <c r="C98" s="13"/>
      <c r="D98" s="1"/>
      <c r="E98" s="13"/>
      <c r="F98" s="29">
        <v>694.76</v>
      </c>
      <c r="G98" s="24">
        <v>2.06E-2</v>
      </c>
      <c r="H98" s="25"/>
      <c r="I98" s="26"/>
      <c r="J98" s="2"/>
    </row>
    <row r="99" spans="1:10" ht="12.95" customHeight="1">
      <c r="A99" s="2"/>
      <c r="B99" s="30" t="s">
        <v>182</v>
      </c>
      <c r="C99" s="31"/>
      <c r="D99" s="31"/>
      <c r="E99" s="31"/>
      <c r="F99" s="32">
        <v>33957.599999999999</v>
      </c>
      <c r="G99" s="33">
        <v>1</v>
      </c>
      <c r="H99" s="34"/>
      <c r="I99" s="35"/>
      <c r="J99" s="2"/>
    </row>
    <row r="100" spans="1:10" ht="12.95" customHeight="1">
      <c r="A100" s="2"/>
      <c r="B100" s="5"/>
      <c r="C100" s="2"/>
      <c r="D100" s="2"/>
      <c r="E100" s="2"/>
      <c r="F100" s="2"/>
      <c r="G100" s="2"/>
      <c r="H100" s="2"/>
      <c r="I100" s="2"/>
      <c r="J100" s="2"/>
    </row>
    <row r="101" spans="1:10" ht="12.95" customHeight="1">
      <c r="A101" s="2"/>
      <c r="B101" s="3" t="s">
        <v>2750</v>
      </c>
      <c r="C101" s="2"/>
      <c r="D101" s="2"/>
      <c r="E101" s="2"/>
      <c r="F101" s="2"/>
      <c r="G101" s="2"/>
      <c r="H101" s="2"/>
      <c r="I101" s="2"/>
      <c r="J101" s="2"/>
    </row>
    <row r="102" spans="1:10" ht="12.95" customHeight="1">
      <c r="A102" s="2"/>
      <c r="B102" s="3" t="s">
        <v>184</v>
      </c>
      <c r="C102" s="2"/>
      <c r="D102" s="2"/>
      <c r="E102" s="2"/>
      <c r="F102" s="2"/>
      <c r="G102" s="2"/>
      <c r="H102" s="2"/>
      <c r="I102" s="2"/>
      <c r="J102" s="2"/>
    </row>
    <row r="103" spans="1:10" ht="12.95" customHeight="1">
      <c r="A103" s="2"/>
      <c r="B103" s="3" t="s">
        <v>185</v>
      </c>
      <c r="C103" s="2"/>
      <c r="D103" s="2"/>
      <c r="E103" s="2"/>
      <c r="F103" s="2"/>
      <c r="G103" s="2"/>
      <c r="H103" s="2"/>
      <c r="I103" s="2"/>
      <c r="J103" s="2"/>
    </row>
    <row r="104" spans="1:10" ht="12.95" customHeight="1">
      <c r="A104" s="2"/>
      <c r="B104" s="3" t="s">
        <v>186</v>
      </c>
      <c r="C104" s="2"/>
      <c r="D104" s="2"/>
      <c r="E104" s="2"/>
      <c r="F104" s="2"/>
      <c r="G104" s="2"/>
      <c r="H104" s="2"/>
      <c r="I104" s="2"/>
      <c r="J104" s="2"/>
    </row>
    <row r="105" spans="1:10" ht="23.25" customHeight="1">
      <c r="A105" s="2"/>
      <c r="B105" s="189" t="s">
        <v>4025</v>
      </c>
      <c r="C105" s="189"/>
      <c r="D105" s="189"/>
      <c r="E105" s="189"/>
      <c r="F105" s="189"/>
      <c r="G105" s="189"/>
      <c r="H105" s="189"/>
      <c r="I105" s="189"/>
      <c r="J105" s="2"/>
    </row>
    <row r="106" spans="1:10" ht="12.95" customHeight="1">
      <c r="A106" s="2"/>
      <c r="B106" s="3"/>
      <c r="C106" s="2"/>
      <c r="D106" s="2"/>
      <c r="E106" s="2"/>
      <c r="F106" s="2"/>
      <c r="G106" s="2"/>
      <c r="H106" s="2"/>
      <c r="I106" s="2"/>
      <c r="J106" s="2"/>
    </row>
    <row r="107" spans="1:10" s="110" customFormat="1"/>
    <row r="108" spans="1:10">
      <c r="C108" s="111" t="s">
        <v>3959</v>
      </c>
    </row>
    <row r="109" spans="1:10">
      <c r="B109" s="111" t="s">
        <v>3933</v>
      </c>
      <c r="C109" s="111" t="s">
        <v>3934</v>
      </c>
    </row>
  </sheetData>
  <mergeCells count="2">
    <mergeCell ref="B105:I105"/>
    <mergeCell ref="B2:I2"/>
  </mergeCells>
  <hyperlinks>
    <hyperlink ref="A2" location="Index!A1" display="Index"/>
  </hyperlinks>
  <pageMargins left="0" right="0" top="0" bottom="0"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9"/>
  <sheetViews>
    <sheetView workbookViewId="0"/>
  </sheetViews>
  <sheetFormatPr defaultRowHeight="15"/>
  <cols>
    <col min="1" max="1" width="3.28515625" customWidth="1"/>
    <col min="2" max="2" width="69.140625" customWidth="1"/>
    <col min="3" max="3" width="29.42578125" bestFit="1" customWidth="1"/>
    <col min="4"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AXISLFA</v>
      </c>
    </row>
    <row r="2" spans="1:13" ht="34.5" customHeight="1" thickBot="1">
      <c r="A2" s="135" t="str">
        <f>M2</f>
        <v>AXISLFA</v>
      </c>
      <c r="B2" s="186" t="s">
        <v>69</v>
      </c>
      <c r="C2" s="187"/>
      <c r="D2" s="187"/>
      <c r="E2" s="187"/>
      <c r="F2" s="187"/>
      <c r="G2" s="187"/>
      <c r="H2" s="187"/>
      <c r="I2" s="188"/>
      <c r="J2" s="2"/>
      <c r="M2" s="108" t="s">
        <v>68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2751</v>
      </c>
      <c r="B8" s="17" t="s">
        <v>2752</v>
      </c>
      <c r="C8" s="13" t="s">
        <v>2753</v>
      </c>
      <c r="D8" s="13" t="s">
        <v>200</v>
      </c>
      <c r="E8" s="18">
        <v>90500000</v>
      </c>
      <c r="F8" s="19">
        <v>90985.35</v>
      </c>
      <c r="G8" s="20">
        <v>3.7400000000000003E-2</v>
      </c>
      <c r="H8" s="21">
        <v>3.3894000000000001E-2</v>
      </c>
      <c r="I8" s="22"/>
      <c r="J8" s="2"/>
    </row>
    <row r="9" spans="1:13" ht="12.95" customHeight="1">
      <c r="A9" s="16" t="s">
        <v>2754</v>
      </c>
      <c r="B9" s="17" t="s">
        <v>2755</v>
      </c>
      <c r="C9" s="13" t="s">
        <v>2756</v>
      </c>
      <c r="D9" s="13" t="s">
        <v>132</v>
      </c>
      <c r="E9" s="18">
        <v>200</v>
      </c>
      <c r="F9" s="19">
        <v>2008.66</v>
      </c>
      <c r="G9" s="20">
        <v>8.0000000000000004E-4</v>
      </c>
      <c r="H9" s="21">
        <v>3.9251000000000001E-2</v>
      </c>
      <c r="I9" s="22"/>
      <c r="J9" s="2"/>
    </row>
    <row r="10" spans="1:13" ht="12.95" customHeight="1">
      <c r="A10" s="2"/>
      <c r="B10" s="12" t="s">
        <v>172</v>
      </c>
      <c r="C10" s="13"/>
      <c r="D10" s="13"/>
      <c r="E10" s="13"/>
      <c r="F10" s="23">
        <v>92994.01</v>
      </c>
      <c r="G10" s="24">
        <v>3.8199999999999998E-2</v>
      </c>
      <c r="H10" s="25"/>
      <c r="I10" s="26"/>
      <c r="J10" s="2"/>
    </row>
    <row r="11" spans="1:13" ht="12.95" customHeight="1">
      <c r="A11" s="2"/>
      <c r="B11" s="27" t="s">
        <v>173</v>
      </c>
      <c r="C11" s="1"/>
      <c r="D11" s="1"/>
      <c r="E11" s="1"/>
      <c r="F11" s="25" t="s">
        <v>204</v>
      </c>
      <c r="G11" s="25" t="s">
        <v>204</v>
      </c>
      <c r="H11" s="25"/>
      <c r="I11" s="26"/>
      <c r="J11" s="2"/>
    </row>
    <row r="12" spans="1:13" ht="12.95" customHeight="1">
      <c r="A12" s="2"/>
      <c r="B12" s="27" t="s">
        <v>172</v>
      </c>
      <c r="C12" s="1"/>
      <c r="D12" s="1"/>
      <c r="E12" s="1"/>
      <c r="F12" s="25" t="s">
        <v>204</v>
      </c>
      <c r="G12" s="25" t="s">
        <v>204</v>
      </c>
      <c r="H12" s="25"/>
      <c r="I12" s="26"/>
      <c r="J12" s="2"/>
    </row>
    <row r="13" spans="1:13" ht="12.95" customHeight="1">
      <c r="A13" s="2"/>
      <c r="B13" s="27" t="s">
        <v>177</v>
      </c>
      <c r="C13" s="28"/>
      <c r="D13" s="1"/>
      <c r="E13" s="28"/>
      <c r="F13" s="23">
        <v>92994.01</v>
      </c>
      <c r="G13" s="24">
        <v>3.8199999999999998E-2</v>
      </c>
      <c r="H13" s="25"/>
      <c r="I13" s="26"/>
      <c r="J13" s="2"/>
    </row>
    <row r="14" spans="1:13" ht="12.95" customHeight="1">
      <c r="A14" s="2"/>
      <c r="B14" s="12" t="s">
        <v>656</v>
      </c>
      <c r="C14" s="13"/>
      <c r="D14" s="13"/>
      <c r="E14" s="13"/>
      <c r="F14" s="13"/>
      <c r="G14" s="13"/>
      <c r="H14" s="14"/>
      <c r="I14" s="15"/>
      <c r="J14" s="2"/>
    </row>
    <row r="15" spans="1:13" ht="12.95" customHeight="1">
      <c r="A15" s="2"/>
      <c r="B15" s="12" t="s">
        <v>2757</v>
      </c>
      <c r="C15" s="13"/>
      <c r="D15" s="13"/>
      <c r="E15" s="13"/>
      <c r="F15" s="2"/>
      <c r="G15" s="14"/>
      <c r="H15" s="14"/>
      <c r="I15" s="15"/>
      <c r="J15" s="2"/>
    </row>
    <row r="16" spans="1:13" ht="12.95" customHeight="1">
      <c r="A16" s="16" t="s">
        <v>2758</v>
      </c>
      <c r="B16" s="17" t="s">
        <v>2759</v>
      </c>
      <c r="C16" s="13" t="s">
        <v>3921</v>
      </c>
      <c r="D16" s="13"/>
      <c r="E16" s="18">
        <v>75000000</v>
      </c>
      <c r="F16" s="19">
        <v>74949</v>
      </c>
      <c r="G16" s="20">
        <v>3.0800000000000001E-2</v>
      </c>
      <c r="H16" s="21">
        <v>3.5506999999999997E-2</v>
      </c>
      <c r="I16" s="22"/>
      <c r="J16" s="2"/>
    </row>
    <row r="17" spans="1:10" ht="12.95" customHeight="1">
      <c r="A17" s="2"/>
      <c r="B17" s="12" t="s">
        <v>172</v>
      </c>
      <c r="C17" s="13"/>
      <c r="D17" s="13"/>
      <c r="E17" s="13"/>
      <c r="F17" s="23">
        <v>74949</v>
      </c>
      <c r="G17" s="24">
        <v>3.0800000000000001E-2</v>
      </c>
      <c r="H17" s="25"/>
      <c r="I17" s="26"/>
      <c r="J17" s="2"/>
    </row>
    <row r="18" spans="1:10" ht="12.95" customHeight="1">
      <c r="A18" s="2"/>
      <c r="B18" s="12" t="s">
        <v>657</v>
      </c>
      <c r="C18" s="13"/>
      <c r="D18" s="13"/>
      <c r="E18" s="13"/>
      <c r="F18" s="2"/>
      <c r="G18" s="14"/>
      <c r="H18" s="14"/>
      <c r="I18" s="15"/>
      <c r="J18" s="2"/>
    </row>
    <row r="19" spans="1:10" ht="12.95" customHeight="1">
      <c r="A19" s="16" t="s">
        <v>2760</v>
      </c>
      <c r="B19" s="17" t="s">
        <v>2761</v>
      </c>
      <c r="C19" s="13" t="s">
        <v>2762</v>
      </c>
      <c r="D19" s="13" t="s">
        <v>1312</v>
      </c>
      <c r="E19" s="18">
        <v>10000</v>
      </c>
      <c r="F19" s="19">
        <v>9936.98</v>
      </c>
      <c r="G19" s="20">
        <v>4.1000000000000003E-3</v>
      </c>
      <c r="H19" s="21">
        <v>3.7950999999999999E-2</v>
      </c>
      <c r="I19" s="22"/>
      <c r="J19" s="2"/>
    </row>
    <row r="20" spans="1:10" ht="12.95" customHeight="1">
      <c r="A20" s="16" t="s">
        <v>2763</v>
      </c>
      <c r="B20" s="17" t="s">
        <v>2764</v>
      </c>
      <c r="C20" s="13" t="s">
        <v>2765</v>
      </c>
      <c r="D20" s="13" t="s">
        <v>661</v>
      </c>
      <c r="E20" s="18">
        <v>5000</v>
      </c>
      <c r="F20" s="19">
        <v>4978.46</v>
      </c>
      <c r="G20" s="20">
        <v>2E-3</v>
      </c>
      <c r="H20" s="21">
        <v>3.5097999999999997E-2</v>
      </c>
      <c r="I20" s="22"/>
      <c r="J20" s="2"/>
    </row>
    <row r="21" spans="1:10" ht="12.95" customHeight="1">
      <c r="A21" s="16" t="s">
        <v>2766</v>
      </c>
      <c r="B21" s="17" t="s">
        <v>2767</v>
      </c>
      <c r="C21" s="13" t="s">
        <v>2768</v>
      </c>
      <c r="D21" s="13" t="s">
        <v>661</v>
      </c>
      <c r="E21" s="18">
        <v>2500</v>
      </c>
      <c r="F21" s="19">
        <v>2497</v>
      </c>
      <c r="G21" s="20">
        <v>1E-3</v>
      </c>
      <c r="H21" s="21">
        <v>3.3799999999999997E-2</v>
      </c>
      <c r="I21" s="22"/>
      <c r="J21" s="2"/>
    </row>
    <row r="22" spans="1:10" ht="12.95" customHeight="1">
      <c r="A22" s="2"/>
      <c r="B22" s="12" t="s">
        <v>172</v>
      </c>
      <c r="C22" s="13"/>
      <c r="D22" s="13"/>
      <c r="E22" s="13"/>
      <c r="F22" s="23">
        <v>17412.439999999999</v>
      </c>
      <c r="G22" s="24">
        <v>7.1000000000000004E-3</v>
      </c>
      <c r="H22" s="25"/>
      <c r="I22" s="26"/>
      <c r="J22" s="2"/>
    </row>
    <row r="23" spans="1:10" ht="12.95" customHeight="1">
      <c r="A23" s="2"/>
      <c r="B23" s="12" t="s">
        <v>662</v>
      </c>
      <c r="C23" s="13"/>
      <c r="D23" s="13"/>
      <c r="E23" s="13"/>
      <c r="F23" s="2"/>
      <c r="G23" s="14"/>
      <c r="H23" s="14"/>
      <c r="I23" s="15"/>
      <c r="J23" s="2"/>
    </row>
    <row r="24" spans="1:10" ht="12.95" customHeight="1">
      <c r="A24" s="16" t="s">
        <v>2769</v>
      </c>
      <c r="B24" s="17" t="s">
        <v>2770</v>
      </c>
      <c r="C24" s="13" t="s">
        <v>2771</v>
      </c>
      <c r="D24" s="13" t="s">
        <v>1312</v>
      </c>
      <c r="E24" s="18">
        <v>38000</v>
      </c>
      <c r="F24" s="19">
        <v>189578.77</v>
      </c>
      <c r="G24" s="20">
        <v>7.8E-2</v>
      </c>
      <c r="H24" s="21">
        <v>3.3799000000000003E-2</v>
      </c>
      <c r="I24" s="22"/>
      <c r="J24" s="2"/>
    </row>
    <row r="25" spans="1:10" ht="12.95" customHeight="1">
      <c r="A25" s="16" t="s">
        <v>2772</v>
      </c>
      <c r="B25" s="17" t="s">
        <v>2773</v>
      </c>
      <c r="C25" s="13" t="s">
        <v>2774</v>
      </c>
      <c r="D25" s="13" t="s">
        <v>1312</v>
      </c>
      <c r="E25" s="18">
        <v>25000</v>
      </c>
      <c r="F25" s="19">
        <v>124800.63</v>
      </c>
      <c r="G25" s="20">
        <v>5.1299999999999998E-2</v>
      </c>
      <c r="H25" s="21">
        <v>3.4306999999999997E-2</v>
      </c>
      <c r="I25" s="22"/>
      <c r="J25" s="2"/>
    </row>
    <row r="26" spans="1:10" ht="12.95" customHeight="1">
      <c r="A26" s="16" t="s">
        <v>2775</v>
      </c>
      <c r="B26" s="17" t="s">
        <v>2776</v>
      </c>
      <c r="C26" s="13" t="s">
        <v>2777</v>
      </c>
      <c r="D26" s="13" t="s">
        <v>661</v>
      </c>
      <c r="E26" s="18">
        <v>11500</v>
      </c>
      <c r="F26" s="19">
        <v>57290.93</v>
      </c>
      <c r="G26" s="20">
        <v>2.3599999999999999E-2</v>
      </c>
      <c r="H26" s="21">
        <v>3.5052E-2</v>
      </c>
      <c r="I26" s="22"/>
      <c r="J26" s="2"/>
    </row>
    <row r="27" spans="1:10" ht="12.95" customHeight="1">
      <c r="A27" s="16" t="s">
        <v>2778</v>
      </c>
      <c r="B27" s="17" t="s">
        <v>2779</v>
      </c>
      <c r="C27" s="13" t="s">
        <v>2780</v>
      </c>
      <c r="D27" s="13" t="s">
        <v>661</v>
      </c>
      <c r="E27" s="18">
        <v>10000</v>
      </c>
      <c r="F27" s="19">
        <v>49850.1</v>
      </c>
      <c r="G27" s="20">
        <v>2.0500000000000001E-2</v>
      </c>
      <c r="H27" s="21">
        <v>3.5402999999999997E-2</v>
      </c>
      <c r="I27" s="22"/>
      <c r="J27" s="2"/>
    </row>
    <row r="28" spans="1:10" ht="12.95" customHeight="1">
      <c r="A28" s="16" t="s">
        <v>2781</v>
      </c>
      <c r="B28" s="17" t="s">
        <v>2782</v>
      </c>
      <c r="C28" s="13" t="s">
        <v>2783</v>
      </c>
      <c r="D28" s="13" t="s">
        <v>1312</v>
      </c>
      <c r="E28" s="18">
        <v>10000</v>
      </c>
      <c r="F28" s="19">
        <v>49840.05</v>
      </c>
      <c r="G28" s="20">
        <v>2.0500000000000001E-2</v>
      </c>
      <c r="H28" s="21">
        <v>3.5496E-2</v>
      </c>
      <c r="I28" s="22"/>
      <c r="J28" s="2"/>
    </row>
    <row r="29" spans="1:10" ht="12.95" customHeight="1">
      <c r="A29" s="16" t="s">
        <v>2784</v>
      </c>
      <c r="B29" s="17" t="s">
        <v>2785</v>
      </c>
      <c r="C29" s="13" t="s">
        <v>2786</v>
      </c>
      <c r="D29" s="13" t="s">
        <v>661</v>
      </c>
      <c r="E29" s="18">
        <v>10000</v>
      </c>
      <c r="F29" s="19">
        <v>49775.65</v>
      </c>
      <c r="G29" s="20">
        <v>2.0500000000000001E-2</v>
      </c>
      <c r="H29" s="21">
        <v>3.5000000000000003E-2</v>
      </c>
      <c r="I29" s="22"/>
      <c r="J29" s="2"/>
    </row>
    <row r="30" spans="1:10" ht="12.95" customHeight="1">
      <c r="A30" s="16" t="s">
        <v>2787</v>
      </c>
      <c r="B30" s="17" t="s">
        <v>2788</v>
      </c>
      <c r="C30" s="13" t="s">
        <v>2789</v>
      </c>
      <c r="D30" s="13" t="s">
        <v>661</v>
      </c>
      <c r="E30" s="18">
        <v>9000</v>
      </c>
      <c r="F30" s="19">
        <v>44927.33</v>
      </c>
      <c r="G30" s="20">
        <v>1.8499999999999999E-2</v>
      </c>
      <c r="H30" s="21">
        <v>3.4742000000000002E-2</v>
      </c>
      <c r="I30" s="22"/>
      <c r="J30" s="2"/>
    </row>
    <row r="31" spans="1:10" ht="12.95" customHeight="1">
      <c r="A31" s="16" t="s">
        <v>2790</v>
      </c>
      <c r="B31" s="17" t="s">
        <v>2791</v>
      </c>
      <c r="C31" s="13" t="s">
        <v>2792</v>
      </c>
      <c r="D31" s="13" t="s">
        <v>661</v>
      </c>
      <c r="E31" s="18">
        <v>9000</v>
      </c>
      <c r="F31" s="19">
        <v>44791.47</v>
      </c>
      <c r="G31" s="20">
        <v>1.84E-2</v>
      </c>
      <c r="H31" s="21">
        <v>3.5402000000000003E-2</v>
      </c>
      <c r="I31" s="22"/>
      <c r="J31" s="2"/>
    </row>
    <row r="32" spans="1:10" ht="12.95" customHeight="1">
      <c r="A32" s="16" t="s">
        <v>2793</v>
      </c>
      <c r="B32" s="17" t="s">
        <v>2794</v>
      </c>
      <c r="C32" s="13" t="s">
        <v>2795</v>
      </c>
      <c r="D32" s="13" t="s">
        <v>661</v>
      </c>
      <c r="E32" s="18">
        <v>8500</v>
      </c>
      <c r="F32" s="19">
        <v>42305.27</v>
      </c>
      <c r="G32" s="20">
        <v>1.7399999999999999E-2</v>
      </c>
      <c r="H32" s="21">
        <v>3.5000000000000003E-2</v>
      </c>
      <c r="I32" s="22"/>
      <c r="J32" s="2"/>
    </row>
    <row r="33" spans="1:10" ht="12.95" customHeight="1">
      <c r="A33" s="16" t="s">
        <v>2796</v>
      </c>
      <c r="B33" s="17" t="s">
        <v>2797</v>
      </c>
      <c r="C33" s="13" t="s">
        <v>2798</v>
      </c>
      <c r="D33" s="13" t="s">
        <v>661</v>
      </c>
      <c r="E33" s="18">
        <v>8000</v>
      </c>
      <c r="F33" s="19">
        <v>39831.96</v>
      </c>
      <c r="G33" s="20">
        <v>1.6400000000000001E-2</v>
      </c>
      <c r="H33" s="21">
        <v>3.85E-2</v>
      </c>
      <c r="I33" s="22"/>
      <c r="J33" s="2"/>
    </row>
    <row r="34" spans="1:10" ht="12.95" customHeight="1">
      <c r="A34" s="16" t="s">
        <v>2799</v>
      </c>
      <c r="B34" s="17" t="s">
        <v>2800</v>
      </c>
      <c r="C34" s="13" t="s">
        <v>2801</v>
      </c>
      <c r="D34" s="13" t="s">
        <v>661</v>
      </c>
      <c r="E34" s="18">
        <v>7000</v>
      </c>
      <c r="F34" s="19">
        <v>34889.61</v>
      </c>
      <c r="G34" s="20">
        <v>1.43E-2</v>
      </c>
      <c r="H34" s="21">
        <v>3.5000000000000003E-2</v>
      </c>
      <c r="I34" s="22"/>
      <c r="J34" s="2"/>
    </row>
    <row r="35" spans="1:10" ht="12.95" customHeight="1">
      <c r="A35" s="16" t="s">
        <v>2802</v>
      </c>
      <c r="B35" s="17" t="s">
        <v>2803</v>
      </c>
      <c r="C35" s="13" t="s">
        <v>2804</v>
      </c>
      <c r="D35" s="13" t="s">
        <v>661</v>
      </c>
      <c r="E35" s="18">
        <v>6000</v>
      </c>
      <c r="F35" s="19">
        <v>29834.04</v>
      </c>
      <c r="G35" s="20">
        <v>1.23E-2</v>
      </c>
      <c r="H35" s="21">
        <v>3.9050000000000001E-2</v>
      </c>
      <c r="I35" s="22"/>
      <c r="J35" s="2"/>
    </row>
    <row r="36" spans="1:10" ht="12.95" customHeight="1">
      <c r="A36" s="16" t="s">
        <v>2805</v>
      </c>
      <c r="B36" s="17" t="s">
        <v>2806</v>
      </c>
      <c r="C36" s="13" t="s">
        <v>2807</v>
      </c>
      <c r="D36" s="13" t="s">
        <v>661</v>
      </c>
      <c r="E36" s="18">
        <v>6000</v>
      </c>
      <c r="F36" s="19">
        <v>29817.3</v>
      </c>
      <c r="G36" s="20">
        <v>1.23E-2</v>
      </c>
      <c r="H36" s="21">
        <v>3.5499999999999997E-2</v>
      </c>
      <c r="I36" s="22"/>
      <c r="J36" s="2"/>
    </row>
    <row r="37" spans="1:10" ht="12.95" customHeight="1">
      <c r="A37" s="16" t="s">
        <v>2808</v>
      </c>
      <c r="B37" s="17" t="s">
        <v>2809</v>
      </c>
      <c r="C37" s="13" t="s">
        <v>2810</v>
      </c>
      <c r="D37" s="13" t="s">
        <v>661</v>
      </c>
      <c r="E37" s="18">
        <v>5500</v>
      </c>
      <c r="F37" s="19">
        <v>27316.799999999999</v>
      </c>
      <c r="G37" s="20">
        <v>1.12E-2</v>
      </c>
      <c r="H37" s="21">
        <v>4.0799000000000002E-2</v>
      </c>
      <c r="I37" s="22"/>
      <c r="J37" s="2"/>
    </row>
    <row r="38" spans="1:10" ht="12.95" customHeight="1">
      <c r="A38" s="16" t="s">
        <v>2811</v>
      </c>
      <c r="B38" s="17" t="s">
        <v>2812</v>
      </c>
      <c r="C38" s="13" t="s">
        <v>2813</v>
      </c>
      <c r="D38" s="13" t="s">
        <v>661</v>
      </c>
      <c r="E38" s="18">
        <v>5400</v>
      </c>
      <c r="F38" s="19">
        <v>26923.08</v>
      </c>
      <c r="G38" s="20">
        <v>1.11E-2</v>
      </c>
      <c r="H38" s="21">
        <v>3.7245E-2</v>
      </c>
      <c r="I38" s="22"/>
      <c r="J38" s="2"/>
    </row>
    <row r="39" spans="1:10" ht="12.95" customHeight="1">
      <c r="A39" s="16" t="s">
        <v>2814</v>
      </c>
      <c r="B39" s="17" t="s">
        <v>2815</v>
      </c>
      <c r="C39" s="13" t="s">
        <v>2816</v>
      </c>
      <c r="D39" s="13" t="s">
        <v>661</v>
      </c>
      <c r="E39" s="18">
        <v>5000</v>
      </c>
      <c r="F39" s="19">
        <v>24970.2</v>
      </c>
      <c r="G39" s="20">
        <v>1.03E-2</v>
      </c>
      <c r="H39" s="21">
        <v>3.3500000000000002E-2</v>
      </c>
      <c r="I39" s="22"/>
      <c r="J39" s="2"/>
    </row>
    <row r="40" spans="1:10" ht="12.95" customHeight="1">
      <c r="A40" s="16" t="s">
        <v>2817</v>
      </c>
      <c r="B40" s="17" t="s">
        <v>2818</v>
      </c>
      <c r="C40" s="13" t="s">
        <v>2819</v>
      </c>
      <c r="D40" s="13" t="s">
        <v>661</v>
      </c>
      <c r="E40" s="18">
        <v>5000</v>
      </c>
      <c r="F40" s="19">
        <v>24967.03</v>
      </c>
      <c r="G40" s="20">
        <v>1.03E-2</v>
      </c>
      <c r="H40" s="21">
        <v>3.7095999999999997E-2</v>
      </c>
      <c r="I40" s="22"/>
      <c r="J40" s="2"/>
    </row>
    <row r="41" spans="1:10" ht="12.95" customHeight="1">
      <c r="A41" s="16" t="s">
        <v>2820</v>
      </c>
      <c r="B41" s="17" t="s">
        <v>2821</v>
      </c>
      <c r="C41" s="13" t="s">
        <v>2822</v>
      </c>
      <c r="D41" s="13" t="s">
        <v>661</v>
      </c>
      <c r="E41" s="18">
        <v>5000</v>
      </c>
      <c r="F41" s="19">
        <v>24960.13</v>
      </c>
      <c r="G41" s="20">
        <v>1.03E-2</v>
      </c>
      <c r="H41" s="21">
        <v>3.4299999999999997E-2</v>
      </c>
      <c r="I41" s="22"/>
      <c r="J41" s="2"/>
    </row>
    <row r="42" spans="1:10" ht="12.95" customHeight="1">
      <c r="A42" s="16" t="s">
        <v>2823</v>
      </c>
      <c r="B42" s="17" t="s">
        <v>2824</v>
      </c>
      <c r="C42" s="13" t="s">
        <v>2825</v>
      </c>
      <c r="D42" s="13" t="s">
        <v>661</v>
      </c>
      <c r="E42" s="18">
        <v>5000</v>
      </c>
      <c r="F42" s="19">
        <v>24959.9</v>
      </c>
      <c r="G42" s="20">
        <v>1.03E-2</v>
      </c>
      <c r="H42" s="21">
        <v>3.4505000000000001E-2</v>
      </c>
      <c r="I42" s="22"/>
      <c r="J42" s="2"/>
    </row>
    <row r="43" spans="1:10" ht="12.95" customHeight="1">
      <c r="A43" s="16" t="s">
        <v>2826</v>
      </c>
      <c r="B43" s="17" t="s">
        <v>2827</v>
      </c>
      <c r="C43" s="13" t="s">
        <v>2828</v>
      </c>
      <c r="D43" s="13" t="s">
        <v>661</v>
      </c>
      <c r="E43" s="18">
        <v>5000</v>
      </c>
      <c r="F43" s="19">
        <v>24904.35</v>
      </c>
      <c r="G43" s="20">
        <v>1.0200000000000001E-2</v>
      </c>
      <c r="H43" s="21">
        <v>3.5050999999999999E-2</v>
      </c>
      <c r="I43" s="22"/>
      <c r="J43" s="2"/>
    </row>
    <row r="44" spans="1:10" ht="12.95" customHeight="1">
      <c r="A44" s="16" t="s">
        <v>2829</v>
      </c>
      <c r="B44" s="17" t="s">
        <v>2830</v>
      </c>
      <c r="C44" s="13" t="s">
        <v>2831</v>
      </c>
      <c r="D44" s="13" t="s">
        <v>661</v>
      </c>
      <c r="E44" s="18">
        <v>5000</v>
      </c>
      <c r="F44" s="19">
        <v>24868.85</v>
      </c>
      <c r="G44" s="20">
        <v>1.0200000000000001E-2</v>
      </c>
      <c r="H44" s="21">
        <v>3.5000000000000003E-2</v>
      </c>
      <c r="I44" s="22"/>
      <c r="J44" s="2"/>
    </row>
    <row r="45" spans="1:10" ht="12.95" customHeight="1">
      <c r="A45" s="16" t="s">
        <v>2832</v>
      </c>
      <c r="B45" s="17" t="s">
        <v>2833</v>
      </c>
      <c r="C45" s="13" t="s">
        <v>2834</v>
      </c>
      <c r="D45" s="13" t="s">
        <v>661</v>
      </c>
      <c r="E45" s="18">
        <v>5000</v>
      </c>
      <c r="F45" s="19">
        <v>24860.6</v>
      </c>
      <c r="G45" s="20">
        <v>1.0200000000000001E-2</v>
      </c>
      <c r="H45" s="21">
        <v>4.3549999999999998E-2</v>
      </c>
      <c r="I45" s="22"/>
      <c r="J45" s="2"/>
    </row>
    <row r="46" spans="1:10" ht="12.95" customHeight="1">
      <c r="A46" s="16" t="s">
        <v>2835</v>
      </c>
      <c r="B46" s="17" t="s">
        <v>2836</v>
      </c>
      <c r="C46" s="13" t="s">
        <v>2837</v>
      </c>
      <c r="D46" s="13" t="s">
        <v>1312</v>
      </c>
      <c r="E46" s="18">
        <v>4000</v>
      </c>
      <c r="F46" s="19">
        <v>19981.419999999998</v>
      </c>
      <c r="G46" s="20">
        <v>8.2000000000000007E-3</v>
      </c>
      <c r="H46" s="21">
        <v>3.3958000000000002E-2</v>
      </c>
      <c r="I46" s="22"/>
      <c r="J46" s="2"/>
    </row>
    <row r="47" spans="1:10" ht="12.95" customHeight="1">
      <c r="A47" s="16" t="s">
        <v>2838</v>
      </c>
      <c r="B47" s="17" t="s">
        <v>2839</v>
      </c>
      <c r="C47" s="13" t="s">
        <v>2840</v>
      </c>
      <c r="D47" s="13" t="s">
        <v>661</v>
      </c>
      <c r="E47" s="18">
        <v>4000</v>
      </c>
      <c r="F47" s="19">
        <v>19936.84</v>
      </c>
      <c r="G47" s="20">
        <v>8.2000000000000007E-3</v>
      </c>
      <c r="H47" s="21">
        <v>3.5046000000000001E-2</v>
      </c>
      <c r="I47" s="22"/>
      <c r="J47" s="2"/>
    </row>
    <row r="48" spans="1:10" ht="12.95" customHeight="1">
      <c r="A48" s="16" t="s">
        <v>2841</v>
      </c>
      <c r="B48" s="17" t="s">
        <v>2842</v>
      </c>
      <c r="C48" s="13" t="s">
        <v>2843</v>
      </c>
      <c r="D48" s="13" t="s">
        <v>661</v>
      </c>
      <c r="E48" s="18">
        <v>4000</v>
      </c>
      <c r="F48" s="19">
        <v>19822.28</v>
      </c>
      <c r="G48" s="20">
        <v>8.2000000000000007E-3</v>
      </c>
      <c r="H48" s="21">
        <v>4.2500000000000003E-2</v>
      </c>
      <c r="I48" s="22"/>
      <c r="J48" s="2"/>
    </row>
    <row r="49" spans="1:10" ht="12.95" customHeight="1">
      <c r="A49" s="16" t="s">
        <v>2844</v>
      </c>
      <c r="B49" s="17" t="s">
        <v>2845</v>
      </c>
      <c r="C49" s="13" t="s">
        <v>2846</v>
      </c>
      <c r="D49" s="13" t="s">
        <v>661</v>
      </c>
      <c r="E49" s="18">
        <v>3000</v>
      </c>
      <c r="F49" s="19">
        <v>14970.42</v>
      </c>
      <c r="G49" s="20">
        <v>6.1999999999999998E-3</v>
      </c>
      <c r="H49" s="21">
        <v>3.4352000000000001E-2</v>
      </c>
      <c r="I49" s="22"/>
      <c r="J49" s="2"/>
    </row>
    <row r="50" spans="1:10" ht="12.95" customHeight="1">
      <c r="A50" s="16" t="s">
        <v>2847</v>
      </c>
      <c r="B50" s="17" t="s">
        <v>2848</v>
      </c>
      <c r="C50" s="13" t="s">
        <v>2849</v>
      </c>
      <c r="D50" s="13" t="s">
        <v>661</v>
      </c>
      <c r="E50" s="18">
        <v>3000</v>
      </c>
      <c r="F50" s="19">
        <v>14934.03</v>
      </c>
      <c r="G50" s="20">
        <v>6.1000000000000004E-3</v>
      </c>
      <c r="H50" s="21">
        <v>3.5050999999999999E-2</v>
      </c>
      <c r="I50" s="22"/>
      <c r="J50" s="2"/>
    </row>
    <row r="51" spans="1:10" ht="12.95" customHeight="1">
      <c r="A51" s="16" t="s">
        <v>2850</v>
      </c>
      <c r="B51" s="17" t="s">
        <v>2851</v>
      </c>
      <c r="C51" s="13" t="s">
        <v>2852</v>
      </c>
      <c r="D51" s="13" t="s">
        <v>1312</v>
      </c>
      <c r="E51" s="18">
        <v>3000</v>
      </c>
      <c r="F51" s="19">
        <v>14926.01</v>
      </c>
      <c r="G51" s="20">
        <v>6.1000000000000004E-3</v>
      </c>
      <c r="H51" s="21">
        <v>3.4799999999999998E-2</v>
      </c>
      <c r="I51" s="22"/>
      <c r="J51" s="2"/>
    </row>
    <row r="52" spans="1:10" ht="12.95" customHeight="1">
      <c r="A52" s="16" t="s">
        <v>2853</v>
      </c>
      <c r="B52" s="17" t="s">
        <v>2854</v>
      </c>
      <c r="C52" s="13" t="s">
        <v>2855</v>
      </c>
      <c r="D52" s="13" t="s">
        <v>661</v>
      </c>
      <c r="E52" s="18">
        <v>3000</v>
      </c>
      <c r="F52" s="19">
        <v>14920.07</v>
      </c>
      <c r="G52" s="20">
        <v>6.1000000000000004E-3</v>
      </c>
      <c r="H52" s="21">
        <v>3.6900000000000002E-2</v>
      </c>
      <c r="I52" s="22"/>
      <c r="J52" s="2"/>
    </row>
    <row r="53" spans="1:10" ht="12.95" customHeight="1">
      <c r="A53" s="16" t="s">
        <v>2856</v>
      </c>
      <c r="B53" s="17" t="s">
        <v>2857</v>
      </c>
      <c r="C53" s="13" t="s">
        <v>2858</v>
      </c>
      <c r="D53" s="13" t="s">
        <v>661</v>
      </c>
      <c r="E53" s="18">
        <v>3000</v>
      </c>
      <c r="F53" s="19">
        <v>14885.61</v>
      </c>
      <c r="G53" s="20">
        <v>6.1000000000000004E-3</v>
      </c>
      <c r="H53" s="21">
        <v>4.2500999999999997E-2</v>
      </c>
      <c r="I53" s="22"/>
      <c r="J53" s="2"/>
    </row>
    <row r="54" spans="1:10" ht="12.95" customHeight="1">
      <c r="A54" s="16" t="s">
        <v>2859</v>
      </c>
      <c r="B54" s="17" t="s">
        <v>2860</v>
      </c>
      <c r="C54" s="13" t="s">
        <v>2861</v>
      </c>
      <c r="D54" s="13" t="s">
        <v>661</v>
      </c>
      <c r="E54" s="18">
        <v>2000</v>
      </c>
      <c r="F54" s="19">
        <v>9973.3700000000008</v>
      </c>
      <c r="G54" s="20">
        <v>4.1000000000000003E-3</v>
      </c>
      <c r="H54" s="21">
        <v>3.61E-2</v>
      </c>
      <c r="I54" s="22"/>
      <c r="J54" s="2"/>
    </row>
    <row r="55" spans="1:10" ht="12.95" customHeight="1">
      <c r="A55" s="16" t="s">
        <v>2862</v>
      </c>
      <c r="B55" s="17" t="s">
        <v>2863</v>
      </c>
      <c r="C55" s="13" t="s">
        <v>2864</v>
      </c>
      <c r="D55" s="13" t="s">
        <v>2865</v>
      </c>
      <c r="E55" s="18">
        <v>2000</v>
      </c>
      <c r="F55" s="19">
        <v>9961.9</v>
      </c>
      <c r="G55" s="20">
        <v>4.1000000000000003E-3</v>
      </c>
      <c r="H55" s="21">
        <v>3.4903999999999998E-2</v>
      </c>
      <c r="I55" s="22"/>
      <c r="J55" s="2"/>
    </row>
    <row r="56" spans="1:10" ht="12.95" customHeight="1">
      <c r="A56" s="16" t="s">
        <v>2866</v>
      </c>
      <c r="B56" s="17" t="s">
        <v>2867</v>
      </c>
      <c r="C56" s="13" t="s">
        <v>2868</v>
      </c>
      <c r="D56" s="13" t="s">
        <v>661</v>
      </c>
      <c r="E56" s="18">
        <v>1800</v>
      </c>
      <c r="F56" s="19">
        <v>8942.09</v>
      </c>
      <c r="G56" s="20">
        <v>3.7000000000000002E-3</v>
      </c>
      <c r="H56" s="21">
        <v>3.9399999999999998E-2</v>
      </c>
      <c r="I56" s="22"/>
      <c r="J56" s="2"/>
    </row>
    <row r="57" spans="1:10" ht="12.95" customHeight="1">
      <c r="A57" s="16" t="s">
        <v>2869</v>
      </c>
      <c r="B57" s="17" t="s">
        <v>2870</v>
      </c>
      <c r="C57" s="13" t="s">
        <v>2871</v>
      </c>
      <c r="D57" s="13" t="s">
        <v>661</v>
      </c>
      <c r="E57" s="18">
        <v>1500</v>
      </c>
      <c r="F57" s="19">
        <v>7495.17</v>
      </c>
      <c r="G57" s="20">
        <v>3.0999999999999999E-3</v>
      </c>
      <c r="H57" s="21">
        <v>3.3602E-2</v>
      </c>
      <c r="I57" s="22"/>
      <c r="J57" s="2"/>
    </row>
    <row r="58" spans="1:10" ht="12.95" customHeight="1">
      <c r="A58" s="16" t="s">
        <v>2872</v>
      </c>
      <c r="B58" s="17" t="s">
        <v>2873</v>
      </c>
      <c r="C58" s="13" t="s">
        <v>2874</v>
      </c>
      <c r="D58" s="13" t="s">
        <v>661</v>
      </c>
      <c r="E58" s="18">
        <v>1500</v>
      </c>
      <c r="F58" s="19">
        <v>7483.08</v>
      </c>
      <c r="G58" s="20">
        <v>3.0999999999999999E-3</v>
      </c>
      <c r="H58" s="21">
        <v>3.4395000000000002E-2</v>
      </c>
      <c r="I58" s="22"/>
      <c r="J58" s="2"/>
    </row>
    <row r="59" spans="1:10" ht="12.95" customHeight="1">
      <c r="A59" s="16" t="s">
        <v>2875</v>
      </c>
      <c r="B59" s="17" t="s">
        <v>2876</v>
      </c>
      <c r="C59" s="13" t="s">
        <v>2877</v>
      </c>
      <c r="D59" s="13" t="s">
        <v>661</v>
      </c>
      <c r="E59" s="18">
        <v>1500</v>
      </c>
      <c r="F59" s="19">
        <v>7436.82</v>
      </c>
      <c r="G59" s="20">
        <v>3.0999999999999999E-3</v>
      </c>
      <c r="H59" s="21">
        <v>4.0800000000000003E-2</v>
      </c>
      <c r="I59" s="22"/>
      <c r="J59" s="2"/>
    </row>
    <row r="60" spans="1:10" ht="12.95" customHeight="1">
      <c r="A60" s="16" t="s">
        <v>2878</v>
      </c>
      <c r="B60" s="17" t="s">
        <v>2879</v>
      </c>
      <c r="C60" s="13" t="s">
        <v>2880</v>
      </c>
      <c r="D60" s="13" t="s">
        <v>661</v>
      </c>
      <c r="E60" s="18">
        <v>1300</v>
      </c>
      <c r="F60" s="19">
        <v>6471.37</v>
      </c>
      <c r="G60" s="20">
        <v>2.7000000000000001E-3</v>
      </c>
      <c r="H60" s="21">
        <v>3.5103000000000002E-2</v>
      </c>
      <c r="I60" s="22"/>
      <c r="J60" s="2"/>
    </row>
    <row r="61" spans="1:10" ht="12.95" customHeight="1">
      <c r="A61" s="16" t="s">
        <v>2881</v>
      </c>
      <c r="B61" s="17" t="s">
        <v>2882</v>
      </c>
      <c r="C61" s="13" t="s">
        <v>2883</v>
      </c>
      <c r="D61" s="13" t="s">
        <v>661</v>
      </c>
      <c r="E61" s="18">
        <v>1000</v>
      </c>
      <c r="F61" s="19">
        <v>4990.33</v>
      </c>
      <c r="G61" s="20">
        <v>2.0999999999999999E-3</v>
      </c>
      <c r="H61" s="21">
        <v>3.3697999999999999E-2</v>
      </c>
      <c r="I61" s="22"/>
      <c r="J61" s="2"/>
    </row>
    <row r="62" spans="1:10" ht="12.95" customHeight="1">
      <c r="A62" s="16" t="s">
        <v>2884</v>
      </c>
      <c r="B62" s="17" t="s">
        <v>2885</v>
      </c>
      <c r="C62" s="13" t="s">
        <v>2886</v>
      </c>
      <c r="D62" s="13" t="s">
        <v>661</v>
      </c>
      <c r="E62" s="18">
        <v>1000</v>
      </c>
      <c r="F62" s="19">
        <v>4986.17</v>
      </c>
      <c r="G62" s="20">
        <v>2.0999999999999999E-3</v>
      </c>
      <c r="H62" s="21">
        <v>3.8952000000000001E-2</v>
      </c>
      <c r="I62" s="22"/>
      <c r="J62" s="2"/>
    </row>
    <row r="63" spans="1:10" ht="12.95" customHeight="1">
      <c r="A63" s="16" t="s">
        <v>2887</v>
      </c>
      <c r="B63" s="17" t="s">
        <v>2888</v>
      </c>
      <c r="C63" s="13" t="s">
        <v>2889</v>
      </c>
      <c r="D63" s="13" t="s">
        <v>2865</v>
      </c>
      <c r="E63" s="18">
        <v>1000</v>
      </c>
      <c r="F63" s="19">
        <v>4979.67</v>
      </c>
      <c r="G63" s="20">
        <v>2E-3</v>
      </c>
      <c r="H63" s="21">
        <v>3.635E-2</v>
      </c>
      <c r="I63" s="22"/>
      <c r="J63" s="2"/>
    </row>
    <row r="64" spans="1:10" ht="12.95" customHeight="1">
      <c r="A64" s="16" t="s">
        <v>2890</v>
      </c>
      <c r="B64" s="17" t="s">
        <v>2891</v>
      </c>
      <c r="C64" s="13" t="s">
        <v>2892</v>
      </c>
      <c r="D64" s="13" t="s">
        <v>1312</v>
      </c>
      <c r="E64" s="18">
        <v>1000</v>
      </c>
      <c r="F64" s="19">
        <v>4975.6099999999997</v>
      </c>
      <c r="G64" s="20">
        <v>2E-3</v>
      </c>
      <c r="H64" s="21">
        <v>3.8899999999999997E-2</v>
      </c>
      <c r="I64" s="22"/>
      <c r="J64" s="2"/>
    </row>
    <row r="65" spans="1:10" ht="12.95" customHeight="1">
      <c r="A65" s="16" t="s">
        <v>2893</v>
      </c>
      <c r="B65" s="17" t="s">
        <v>2894</v>
      </c>
      <c r="C65" s="13" t="s">
        <v>2895</v>
      </c>
      <c r="D65" s="13" t="s">
        <v>661</v>
      </c>
      <c r="E65" s="18">
        <v>1000</v>
      </c>
      <c r="F65" s="19">
        <v>4971.93</v>
      </c>
      <c r="G65" s="20">
        <v>2E-3</v>
      </c>
      <c r="H65" s="21">
        <v>3.6799999999999999E-2</v>
      </c>
      <c r="I65" s="22"/>
      <c r="J65" s="2"/>
    </row>
    <row r="66" spans="1:10" ht="12.95" customHeight="1">
      <c r="A66" s="16" t="s">
        <v>2896</v>
      </c>
      <c r="B66" s="17" t="s">
        <v>2897</v>
      </c>
      <c r="C66" s="13" t="s">
        <v>2898</v>
      </c>
      <c r="D66" s="13" t="s">
        <v>661</v>
      </c>
      <c r="E66" s="18">
        <v>1000</v>
      </c>
      <c r="F66" s="19">
        <v>4970.74</v>
      </c>
      <c r="G66" s="20">
        <v>2E-3</v>
      </c>
      <c r="H66" s="21">
        <v>4.0549000000000002E-2</v>
      </c>
      <c r="I66" s="22"/>
      <c r="J66" s="2"/>
    </row>
    <row r="67" spans="1:10" ht="12.95" customHeight="1">
      <c r="A67" s="16" t="s">
        <v>2899</v>
      </c>
      <c r="B67" s="17" t="s">
        <v>2900</v>
      </c>
      <c r="C67" s="13" t="s">
        <v>2901</v>
      </c>
      <c r="D67" s="13" t="s">
        <v>661</v>
      </c>
      <c r="E67" s="18">
        <v>1000</v>
      </c>
      <c r="F67" s="19">
        <v>4963.38</v>
      </c>
      <c r="G67" s="20">
        <v>2E-3</v>
      </c>
      <c r="H67" s="21">
        <v>4.0800000000000003E-2</v>
      </c>
      <c r="I67" s="22"/>
      <c r="J67" s="2"/>
    </row>
    <row r="68" spans="1:10" ht="12.95" customHeight="1">
      <c r="A68" s="16" t="s">
        <v>2902</v>
      </c>
      <c r="B68" s="17" t="s">
        <v>2903</v>
      </c>
      <c r="C68" s="13" t="s">
        <v>2904</v>
      </c>
      <c r="D68" s="13" t="s">
        <v>661</v>
      </c>
      <c r="E68" s="18">
        <v>500</v>
      </c>
      <c r="F68" s="19">
        <v>2494.3000000000002</v>
      </c>
      <c r="G68" s="20">
        <v>1E-3</v>
      </c>
      <c r="H68" s="21">
        <v>3.4747E-2</v>
      </c>
      <c r="I68" s="22"/>
      <c r="J68" s="2"/>
    </row>
    <row r="69" spans="1:10" ht="12.95" customHeight="1">
      <c r="A69" s="16" t="s">
        <v>2905</v>
      </c>
      <c r="B69" s="17" t="s">
        <v>2906</v>
      </c>
      <c r="C69" s="13" t="s">
        <v>2907</v>
      </c>
      <c r="D69" s="13" t="s">
        <v>2865</v>
      </c>
      <c r="E69" s="18">
        <v>500</v>
      </c>
      <c r="F69" s="19">
        <v>2490.0300000000002</v>
      </c>
      <c r="G69" s="20">
        <v>1E-3</v>
      </c>
      <c r="H69" s="21">
        <v>3.8448999999999997E-2</v>
      </c>
      <c r="I69" s="22"/>
      <c r="J69" s="2"/>
    </row>
    <row r="70" spans="1:10" ht="12.95" customHeight="1">
      <c r="A70" s="2"/>
      <c r="B70" s="12" t="s">
        <v>172</v>
      </c>
      <c r="C70" s="13"/>
      <c r="D70" s="13"/>
      <c r="E70" s="13"/>
      <c r="F70" s="23">
        <v>1248226.69</v>
      </c>
      <c r="G70" s="24">
        <v>0.51339999999999997</v>
      </c>
      <c r="H70" s="25"/>
      <c r="I70" s="26"/>
      <c r="J70" s="2"/>
    </row>
    <row r="71" spans="1:10" ht="12.95" customHeight="1">
      <c r="A71" s="2"/>
      <c r="B71" s="12" t="s">
        <v>1316</v>
      </c>
      <c r="C71" s="13"/>
      <c r="D71" s="13"/>
      <c r="E71" s="13"/>
      <c r="F71" s="2"/>
      <c r="G71" s="14"/>
      <c r="H71" s="14"/>
      <c r="I71" s="15"/>
      <c r="J71" s="2"/>
    </row>
    <row r="72" spans="1:10" ht="12.95" customHeight="1">
      <c r="A72" s="16" t="s">
        <v>2908</v>
      </c>
      <c r="B72" s="17" t="s">
        <v>2909</v>
      </c>
      <c r="C72" s="13" t="s">
        <v>2910</v>
      </c>
      <c r="D72" s="13" t="s">
        <v>200</v>
      </c>
      <c r="E72" s="18">
        <v>100000000</v>
      </c>
      <c r="F72" s="19">
        <v>99291.4</v>
      </c>
      <c r="G72" s="20">
        <v>4.0800000000000003E-2</v>
      </c>
      <c r="H72" s="21">
        <v>3.4277000000000002E-2</v>
      </c>
      <c r="I72" s="22"/>
      <c r="J72" s="2"/>
    </row>
    <row r="73" spans="1:10" ht="12.95" customHeight="1">
      <c r="A73" s="16" t="s">
        <v>2911</v>
      </c>
      <c r="B73" s="17" t="s">
        <v>2912</v>
      </c>
      <c r="C73" s="13" t="s">
        <v>2913</v>
      </c>
      <c r="D73" s="13" t="s">
        <v>200</v>
      </c>
      <c r="E73" s="18">
        <v>95000000</v>
      </c>
      <c r="F73" s="19">
        <v>94709.59</v>
      </c>
      <c r="G73" s="20">
        <v>3.8899999999999997E-2</v>
      </c>
      <c r="H73" s="21">
        <v>3.2924000000000002E-2</v>
      </c>
      <c r="I73" s="22"/>
      <c r="J73" s="2"/>
    </row>
    <row r="74" spans="1:10" ht="12.95" customHeight="1">
      <c r="A74" s="16" t="s">
        <v>2914</v>
      </c>
      <c r="B74" s="17" t="s">
        <v>2915</v>
      </c>
      <c r="C74" s="13" t="s">
        <v>2916</v>
      </c>
      <c r="D74" s="13" t="s">
        <v>200</v>
      </c>
      <c r="E74" s="18">
        <v>75000000</v>
      </c>
      <c r="F74" s="19">
        <v>74817.38</v>
      </c>
      <c r="G74" s="20">
        <v>3.0800000000000001E-2</v>
      </c>
      <c r="H74" s="21">
        <v>3.3000000000000002E-2</v>
      </c>
      <c r="I74" s="22"/>
      <c r="J74" s="2"/>
    </row>
    <row r="75" spans="1:10" ht="12.95" customHeight="1">
      <c r="A75" s="16" t="s">
        <v>2917</v>
      </c>
      <c r="B75" s="17" t="s">
        <v>2918</v>
      </c>
      <c r="C75" s="13" t="s">
        <v>2919</v>
      </c>
      <c r="D75" s="13" t="s">
        <v>200</v>
      </c>
      <c r="E75" s="18">
        <v>70000000</v>
      </c>
      <c r="F75" s="19">
        <v>69411.929999999993</v>
      </c>
      <c r="G75" s="20">
        <v>2.8500000000000001E-2</v>
      </c>
      <c r="H75" s="21">
        <v>3.4359000000000001E-2</v>
      </c>
      <c r="I75" s="22"/>
      <c r="J75" s="2"/>
    </row>
    <row r="76" spans="1:10" ht="12.95" customHeight="1">
      <c r="A76" s="16" t="s">
        <v>1317</v>
      </c>
      <c r="B76" s="17" t="s">
        <v>1318</v>
      </c>
      <c r="C76" s="13" t="s">
        <v>1319</v>
      </c>
      <c r="D76" s="13" t="s">
        <v>200</v>
      </c>
      <c r="E76" s="18">
        <v>50000000</v>
      </c>
      <c r="F76" s="19">
        <v>49612.75</v>
      </c>
      <c r="G76" s="20">
        <v>2.0400000000000001E-2</v>
      </c>
      <c r="H76" s="21">
        <v>3.4325000000000001E-2</v>
      </c>
      <c r="I76" s="22"/>
      <c r="J76" s="2"/>
    </row>
    <row r="77" spans="1:10" ht="12.95" customHeight="1">
      <c r="A77" s="16" t="s">
        <v>2920</v>
      </c>
      <c r="B77" s="17" t="s">
        <v>2921</v>
      </c>
      <c r="C77" s="13" t="s">
        <v>2922</v>
      </c>
      <c r="D77" s="13" t="s">
        <v>200</v>
      </c>
      <c r="E77" s="18">
        <v>30000000</v>
      </c>
      <c r="F77" s="19">
        <v>29867.07</v>
      </c>
      <c r="G77" s="20">
        <v>1.23E-2</v>
      </c>
      <c r="H77" s="21">
        <v>3.3848000000000003E-2</v>
      </c>
      <c r="I77" s="22"/>
      <c r="J77" s="2"/>
    </row>
    <row r="78" spans="1:10" ht="12.95" customHeight="1">
      <c r="A78" s="16" t="s">
        <v>2923</v>
      </c>
      <c r="B78" s="17" t="s">
        <v>2924</v>
      </c>
      <c r="C78" s="13" t="s">
        <v>2925</v>
      </c>
      <c r="D78" s="13" t="s">
        <v>200</v>
      </c>
      <c r="E78" s="18">
        <v>26506600</v>
      </c>
      <c r="F78" s="19">
        <v>26354.400000000001</v>
      </c>
      <c r="G78" s="20">
        <v>1.0800000000000001E-2</v>
      </c>
      <c r="H78" s="21">
        <v>3.4000000000000002E-2</v>
      </c>
      <c r="I78" s="22"/>
      <c r="J78" s="2"/>
    </row>
    <row r="79" spans="1:10" ht="12.95" customHeight="1">
      <c r="A79" s="16" t="s">
        <v>2926</v>
      </c>
      <c r="B79" s="17" t="s">
        <v>2927</v>
      </c>
      <c r="C79" s="13" t="s">
        <v>2928</v>
      </c>
      <c r="D79" s="13" t="s">
        <v>200</v>
      </c>
      <c r="E79" s="18">
        <v>25000000</v>
      </c>
      <c r="F79" s="19">
        <v>24906.28</v>
      </c>
      <c r="G79" s="20">
        <v>1.0200000000000001E-2</v>
      </c>
      <c r="H79" s="21">
        <v>3.3500000000000002E-2</v>
      </c>
      <c r="I79" s="22"/>
      <c r="J79" s="2"/>
    </row>
    <row r="80" spans="1:10" ht="12.95" customHeight="1">
      <c r="A80" s="16" t="s">
        <v>2929</v>
      </c>
      <c r="B80" s="17" t="s">
        <v>2930</v>
      </c>
      <c r="C80" s="13" t="s">
        <v>2931</v>
      </c>
      <c r="D80" s="13" t="s">
        <v>200</v>
      </c>
      <c r="E80" s="18">
        <v>25000000</v>
      </c>
      <c r="F80" s="19">
        <v>24840.35</v>
      </c>
      <c r="G80" s="20">
        <v>1.0200000000000001E-2</v>
      </c>
      <c r="H80" s="21">
        <v>3.4000000000000002E-2</v>
      </c>
      <c r="I80" s="22"/>
      <c r="J80" s="2"/>
    </row>
    <row r="81" spans="1:10" ht="12.95" customHeight="1">
      <c r="A81" s="2"/>
      <c r="B81" s="12" t="s">
        <v>172</v>
      </c>
      <c r="C81" s="13"/>
      <c r="D81" s="13"/>
      <c r="E81" s="13"/>
      <c r="F81" s="23">
        <v>493811.15</v>
      </c>
      <c r="G81" s="24">
        <v>0.2029</v>
      </c>
      <c r="H81" s="25"/>
      <c r="I81" s="26"/>
      <c r="J81" s="2"/>
    </row>
    <row r="82" spans="1:10" ht="12.95" customHeight="1">
      <c r="A82" s="2"/>
      <c r="B82" s="27" t="s">
        <v>177</v>
      </c>
      <c r="C82" s="28"/>
      <c r="D82" s="1"/>
      <c r="E82" s="28"/>
      <c r="F82" s="23">
        <v>1834399.28</v>
      </c>
      <c r="G82" s="24">
        <v>0.75419999999999998</v>
      </c>
      <c r="H82" s="25"/>
      <c r="I82" s="26"/>
      <c r="J82" s="2"/>
    </row>
    <row r="83" spans="1:10" ht="12.95" customHeight="1">
      <c r="A83" s="2"/>
      <c r="B83" s="12" t="s">
        <v>178</v>
      </c>
      <c r="C83" s="13"/>
      <c r="D83" s="13"/>
      <c r="E83" s="13"/>
      <c r="F83" s="13"/>
      <c r="G83" s="13"/>
      <c r="H83" s="14"/>
      <c r="I83" s="15"/>
      <c r="J83" s="2"/>
    </row>
    <row r="84" spans="1:10" ht="12.95" customHeight="1">
      <c r="A84" s="16" t="s">
        <v>2932</v>
      </c>
      <c r="B84" s="17" t="s">
        <v>180</v>
      </c>
      <c r="C84" s="13"/>
      <c r="D84" s="13"/>
      <c r="E84" s="18"/>
      <c r="F84" s="19">
        <v>179295.23</v>
      </c>
      <c r="G84" s="20">
        <v>7.3700000000000002E-2</v>
      </c>
      <c r="H84" s="21">
        <v>3.3500000000000002E-2</v>
      </c>
      <c r="I84" s="22"/>
      <c r="J84" s="2"/>
    </row>
    <row r="85" spans="1:10" ht="12.95" customHeight="1">
      <c r="A85" s="16" t="s">
        <v>179</v>
      </c>
      <c r="B85" s="17" t="s">
        <v>180</v>
      </c>
      <c r="C85" s="13"/>
      <c r="D85" s="13"/>
      <c r="E85" s="18"/>
      <c r="F85" s="19">
        <v>158946.15</v>
      </c>
      <c r="G85" s="20">
        <v>6.54E-2</v>
      </c>
      <c r="H85" s="21">
        <v>3.3046319598102433E-2</v>
      </c>
      <c r="I85" s="22"/>
      <c r="J85" s="2"/>
    </row>
    <row r="86" spans="1:10" ht="12.95" customHeight="1">
      <c r="A86" s="16" t="s">
        <v>2933</v>
      </c>
      <c r="B86" s="17" t="s">
        <v>733</v>
      </c>
      <c r="C86" s="13"/>
      <c r="D86" s="13"/>
      <c r="E86" s="18"/>
      <c r="F86" s="19">
        <v>48540.06</v>
      </c>
      <c r="G86" s="20">
        <v>0.02</v>
      </c>
      <c r="H86" s="21">
        <v>3.4500000000000003E-2</v>
      </c>
      <c r="I86" s="22"/>
      <c r="J86" s="2"/>
    </row>
    <row r="87" spans="1:10" ht="12.95" customHeight="1">
      <c r="A87" s="16" t="s">
        <v>2934</v>
      </c>
      <c r="B87" s="17" t="s">
        <v>733</v>
      </c>
      <c r="C87" s="13"/>
      <c r="D87" s="13"/>
      <c r="E87" s="18"/>
      <c r="F87" s="19">
        <v>10086.89</v>
      </c>
      <c r="G87" s="20">
        <v>4.1000000000000003E-3</v>
      </c>
      <c r="H87" s="21">
        <v>3.5999999999999997E-2</v>
      </c>
      <c r="I87" s="22"/>
      <c r="J87" s="2"/>
    </row>
    <row r="88" spans="1:10" ht="12.95" customHeight="1">
      <c r="A88" s="16" t="s">
        <v>2935</v>
      </c>
      <c r="B88" s="17" t="s">
        <v>733</v>
      </c>
      <c r="C88" s="13"/>
      <c r="D88" s="13"/>
      <c r="E88" s="18"/>
      <c r="F88" s="19">
        <v>9685.0400000000009</v>
      </c>
      <c r="G88" s="20">
        <v>4.0000000000000001E-3</v>
      </c>
      <c r="H88" s="21">
        <v>3.5000000000000003E-2</v>
      </c>
      <c r="I88" s="22"/>
      <c r="J88" s="2"/>
    </row>
    <row r="89" spans="1:10" ht="12.95" customHeight="1">
      <c r="A89" s="16" t="s">
        <v>2936</v>
      </c>
      <c r="B89" s="17" t="s">
        <v>733</v>
      </c>
      <c r="C89" s="13"/>
      <c r="D89" s="13"/>
      <c r="E89" s="18"/>
      <c r="F89" s="19">
        <v>9618.5300000000007</v>
      </c>
      <c r="G89" s="20">
        <v>4.0000000000000001E-3</v>
      </c>
      <c r="H89" s="21">
        <v>3.5000000000000003E-2</v>
      </c>
      <c r="I89" s="22"/>
      <c r="J89" s="2"/>
    </row>
    <row r="90" spans="1:10" ht="12.95" customHeight="1">
      <c r="A90" s="16" t="s">
        <v>2937</v>
      </c>
      <c r="B90" s="17" t="s">
        <v>733</v>
      </c>
      <c r="C90" s="13"/>
      <c r="D90" s="13"/>
      <c r="E90" s="18"/>
      <c r="F90" s="19">
        <v>5151.1400000000003</v>
      </c>
      <c r="G90" s="20">
        <v>2.0999999999999999E-3</v>
      </c>
      <c r="H90" s="21">
        <v>3.4500000000000003E-2</v>
      </c>
      <c r="I90" s="22"/>
      <c r="J90" s="2"/>
    </row>
    <row r="91" spans="1:10" ht="12.95" customHeight="1">
      <c r="A91" s="16" t="s">
        <v>2938</v>
      </c>
      <c r="B91" s="17" t="s">
        <v>733</v>
      </c>
      <c r="C91" s="13"/>
      <c r="D91" s="13"/>
      <c r="E91" s="18"/>
      <c r="F91" s="19">
        <v>5011.3599999999997</v>
      </c>
      <c r="G91" s="20">
        <v>2.0999999999999999E-3</v>
      </c>
      <c r="H91" s="21">
        <v>3.5000000000000003E-2</v>
      </c>
      <c r="I91" s="22"/>
      <c r="J91" s="2"/>
    </row>
    <row r="92" spans="1:10" ht="12.95" customHeight="1">
      <c r="A92" s="16" t="s">
        <v>2939</v>
      </c>
      <c r="B92" s="17" t="s">
        <v>733</v>
      </c>
      <c r="C92" s="13"/>
      <c r="D92" s="13"/>
      <c r="E92" s="18"/>
      <c r="F92" s="19">
        <v>1874.98</v>
      </c>
      <c r="G92" s="20">
        <v>8.0000000000000004E-4</v>
      </c>
      <c r="H92" s="21">
        <v>3.4500000000000003E-2</v>
      </c>
      <c r="I92" s="22"/>
      <c r="J92" s="2"/>
    </row>
    <row r="93" spans="1:10" ht="12.95" customHeight="1">
      <c r="A93" s="16" t="s">
        <v>2940</v>
      </c>
      <c r="B93" s="17" t="s">
        <v>733</v>
      </c>
      <c r="C93" s="13"/>
      <c r="D93" s="13"/>
      <c r="E93" s="18"/>
      <c r="F93" s="19">
        <v>1553.28</v>
      </c>
      <c r="G93" s="20">
        <v>5.9999999999999995E-4</v>
      </c>
      <c r="H93" s="21">
        <v>3.4500000000000003E-2</v>
      </c>
      <c r="I93" s="22"/>
      <c r="J93" s="2"/>
    </row>
    <row r="94" spans="1:10" ht="12.95" customHeight="1">
      <c r="A94" s="2"/>
      <c r="B94" s="12" t="s">
        <v>172</v>
      </c>
      <c r="C94" s="13"/>
      <c r="D94" s="13"/>
      <c r="E94" s="13"/>
      <c r="F94" s="23">
        <v>429762.66</v>
      </c>
      <c r="G94" s="24">
        <v>0.17680000000000001</v>
      </c>
      <c r="H94" s="25"/>
      <c r="I94" s="26"/>
      <c r="J94" s="2"/>
    </row>
    <row r="95" spans="1:10" ht="12.95" customHeight="1">
      <c r="A95" s="2"/>
      <c r="B95" s="27" t="s">
        <v>173</v>
      </c>
      <c r="C95" s="1"/>
      <c r="D95" s="1"/>
      <c r="E95" s="1"/>
      <c r="F95" s="25" t="s">
        <v>204</v>
      </c>
      <c r="G95" s="25" t="s">
        <v>204</v>
      </c>
      <c r="H95" s="25"/>
      <c r="I95" s="26"/>
      <c r="J95" s="2"/>
    </row>
    <row r="96" spans="1:10" ht="12.95" customHeight="1">
      <c r="A96" s="2"/>
      <c r="B96" s="27" t="s">
        <v>172</v>
      </c>
      <c r="C96" s="1"/>
      <c r="D96" s="1"/>
      <c r="E96" s="1"/>
      <c r="F96" s="25" t="s">
        <v>204</v>
      </c>
      <c r="G96" s="25" t="s">
        <v>204</v>
      </c>
      <c r="H96" s="25"/>
      <c r="I96" s="26"/>
      <c r="J96" s="2"/>
    </row>
    <row r="97" spans="1:10" ht="12.95" customHeight="1">
      <c r="A97" s="2"/>
      <c r="B97" s="27" t="s">
        <v>177</v>
      </c>
      <c r="C97" s="28"/>
      <c r="D97" s="1"/>
      <c r="E97" s="28"/>
      <c r="F97" s="23">
        <v>429762.66</v>
      </c>
      <c r="G97" s="24">
        <v>0.17680000000000001</v>
      </c>
      <c r="H97" s="25"/>
      <c r="I97" s="26"/>
      <c r="J97" s="2"/>
    </row>
    <row r="98" spans="1:10" ht="12.95" customHeight="1">
      <c r="A98" s="2"/>
      <c r="B98" s="27" t="s">
        <v>181</v>
      </c>
      <c r="C98" s="13"/>
      <c r="D98" s="1"/>
      <c r="E98" s="13"/>
      <c r="F98" s="29">
        <v>74671.64</v>
      </c>
      <c r="G98" s="24">
        <v>3.0800000000000001E-2</v>
      </c>
      <c r="H98" s="25"/>
      <c r="I98" s="26"/>
      <c r="J98" s="2"/>
    </row>
    <row r="99" spans="1:10" ht="12.95" customHeight="1">
      <c r="A99" s="2"/>
      <c r="B99" s="30" t="s">
        <v>182</v>
      </c>
      <c r="C99" s="31"/>
      <c r="D99" s="31"/>
      <c r="E99" s="31"/>
      <c r="F99" s="32">
        <v>2431827.59</v>
      </c>
      <c r="G99" s="33">
        <v>1</v>
      </c>
      <c r="H99" s="34"/>
      <c r="I99" s="35"/>
      <c r="J99" s="2"/>
    </row>
    <row r="100" spans="1:10" ht="12.95" customHeight="1">
      <c r="A100" s="2"/>
      <c r="B100" s="5"/>
      <c r="C100" s="2"/>
      <c r="D100" s="2"/>
      <c r="E100" s="2"/>
      <c r="F100" s="2"/>
      <c r="G100" s="2"/>
      <c r="H100" s="2"/>
      <c r="I100" s="2"/>
      <c r="J100" s="2"/>
    </row>
    <row r="101" spans="1:10" ht="12.95" customHeight="1">
      <c r="A101" s="2"/>
      <c r="B101" s="3" t="s">
        <v>244</v>
      </c>
      <c r="C101" s="2"/>
      <c r="D101" s="2"/>
      <c r="E101" s="2"/>
      <c r="F101" s="2"/>
      <c r="G101" s="2"/>
      <c r="H101" s="2"/>
      <c r="I101" s="2"/>
      <c r="J101" s="2"/>
    </row>
    <row r="102" spans="1:10" ht="12.95" customHeight="1">
      <c r="A102" s="2"/>
      <c r="B102" s="3" t="s">
        <v>184</v>
      </c>
      <c r="C102" s="2"/>
      <c r="D102" s="2"/>
      <c r="E102" s="2"/>
      <c r="F102" s="2"/>
      <c r="G102" s="2"/>
      <c r="H102" s="2"/>
      <c r="I102" s="2"/>
      <c r="J102" s="2"/>
    </row>
    <row r="103" spans="1:10" ht="12.95" customHeight="1">
      <c r="A103" s="2"/>
      <c r="B103" s="3" t="s">
        <v>185</v>
      </c>
      <c r="C103" s="2"/>
      <c r="D103" s="2"/>
      <c r="E103" s="2"/>
      <c r="F103" s="2"/>
      <c r="G103" s="2"/>
      <c r="H103" s="2"/>
      <c r="I103" s="2"/>
      <c r="J103" s="2"/>
    </row>
    <row r="104" spans="1:10" ht="12.95" customHeight="1">
      <c r="A104" s="2"/>
      <c r="B104" s="3" t="s">
        <v>186</v>
      </c>
      <c r="C104" s="2"/>
      <c r="D104" s="2"/>
      <c r="E104" s="2"/>
      <c r="F104" s="2"/>
      <c r="G104" s="2"/>
      <c r="H104" s="2"/>
      <c r="I104" s="2"/>
      <c r="J104" s="2"/>
    </row>
    <row r="105" spans="1:10" ht="23.25" customHeight="1">
      <c r="A105" s="2"/>
      <c r="B105" s="189" t="s">
        <v>4025</v>
      </c>
      <c r="C105" s="189"/>
      <c r="D105" s="189"/>
      <c r="E105" s="189"/>
      <c r="F105" s="189"/>
      <c r="G105" s="189"/>
      <c r="H105" s="189"/>
      <c r="I105" s="189"/>
      <c r="J105" s="2"/>
    </row>
    <row r="106" spans="1:10" s="110" customFormat="1" ht="27" customHeight="1">
      <c r="B106" s="204" t="s">
        <v>4033</v>
      </c>
    </row>
    <row r="107" spans="1:10" s="110" customFormat="1" ht="10.5" customHeight="1"/>
    <row r="108" spans="1:10">
      <c r="C108" s="111" t="s">
        <v>3960</v>
      </c>
    </row>
    <row r="109" spans="1:10">
      <c r="B109" s="111" t="s">
        <v>3933</v>
      </c>
      <c r="C109" s="111" t="s">
        <v>3934</v>
      </c>
    </row>
  </sheetData>
  <mergeCells count="2">
    <mergeCell ref="B2:I2"/>
    <mergeCell ref="B105:I105"/>
  </mergeCells>
  <hyperlinks>
    <hyperlink ref="A2" location="Index!A1" display="Index"/>
  </hyperlinks>
  <pageMargins left="0" right="0" top="0" bottom="0"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5"/>
  <sheetViews>
    <sheetView workbookViewId="0"/>
  </sheetViews>
  <sheetFormatPr defaultRowHeight="15"/>
  <cols>
    <col min="1" max="1" width="3.28515625" customWidth="1"/>
    <col min="2" max="2" width="69.140625" customWidth="1"/>
    <col min="3" max="3" width="18.7109375" bestFit="1" customWidth="1"/>
    <col min="4"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AXISM10</v>
      </c>
    </row>
    <row r="2" spans="1:13" ht="34.5" customHeight="1" thickBot="1">
      <c r="A2" s="135" t="str">
        <f>M2</f>
        <v>AXISM10</v>
      </c>
      <c r="B2" s="186" t="s">
        <v>71</v>
      </c>
      <c r="C2" s="187"/>
      <c r="D2" s="187"/>
      <c r="E2" s="187"/>
      <c r="F2" s="187"/>
      <c r="G2" s="187"/>
      <c r="H2" s="187"/>
      <c r="I2" s="188"/>
      <c r="J2" s="2"/>
      <c r="M2" s="108" t="s">
        <v>70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1048</v>
      </c>
      <c r="B8" s="17" t="s">
        <v>1049</v>
      </c>
      <c r="C8" s="13" t="s">
        <v>1050</v>
      </c>
      <c r="D8" s="13" t="s">
        <v>200</v>
      </c>
      <c r="E8" s="18">
        <v>4500000</v>
      </c>
      <c r="F8" s="19">
        <v>4582.16</v>
      </c>
      <c r="G8" s="20">
        <v>0.30640000000000001</v>
      </c>
      <c r="H8" s="36"/>
      <c r="I8" s="22"/>
      <c r="J8" s="2"/>
    </row>
    <row r="9" spans="1:13" ht="12.95" customHeight="1">
      <c r="A9" s="16" t="s">
        <v>1238</v>
      </c>
      <c r="B9" s="17" t="s">
        <v>1239</v>
      </c>
      <c r="C9" s="13" t="s">
        <v>1240</v>
      </c>
      <c r="D9" s="13" t="s">
        <v>200</v>
      </c>
      <c r="E9" s="18">
        <v>2500000</v>
      </c>
      <c r="F9" s="19">
        <v>2786.33</v>
      </c>
      <c r="G9" s="20">
        <v>0.18629999999999999</v>
      </c>
      <c r="H9" s="21">
        <v>6.4964999999999995E-2</v>
      </c>
      <c r="I9" s="22"/>
      <c r="J9" s="2"/>
    </row>
    <row r="10" spans="1:13" ht="12.95" customHeight="1">
      <c r="A10" s="16" t="s">
        <v>2587</v>
      </c>
      <c r="B10" s="17" t="s">
        <v>2588</v>
      </c>
      <c r="C10" s="13" t="s">
        <v>2589</v>
      </c>
      <c r="D10" s="13" t="s">
        <v>200</v>
      </c>
      <c r="E10" s="18">
        <v>1500000</v>
      </c>
      <c r="F10" s="19">
        <v>1488.76</v>
      </c>
      <c r="G10" s="20">
        <v>9.9500000000000005E-2</v>
      </c>
      <c r="H10" s="21">
        <v>6.7229999999999998E-2</v>
      </c>
      <c r="I10" s="22"/>
      <c r="J10" s="2"/>
    </row>
    <row r="11" spans="1:13" ht="12.95" customHeight="1">
      <c r="A11" s="16" t="s">
        <v>1057</v>
      </c>
      <c r="B11" s="17" t="s">
        <v>1058</v>
      </c>
      <c r="C11" s="13" t="s">
        <v>1059</v>
      </c>
      <c r="D11" s="13" t="s">
        <v>200</v>
      </c>
      <c r="E11" s="18">
        <v>1500000</v>
      </c>
      <c r="F11" s="19">
        <v>1458.03</v>
      </c>
      <c r="G11" s="20">
        <v>9.7500000000000003E-2</v>
      </c>
      <c r="H11" s="21">
        <v>6.9682999999999995E-2</v>
      </c>
      <c r="I11" s="22"/>
      <c r="J11" s="2"/>
    </row>
    <row r="12" spans="1:13" ht="12.95" customHeight="1">
      <c r="A12" s="16" t="s">
        <v>2118</v>
      </c>
      <c r="B12" s="17" t="s">
        <v>2119</v>
      </c>
      <c r="C12" s="13" t="s">
        <v>2120</v>
      </c>
      <c r="D12" s="13" t="s">
        <v>200</v>
      </c>
      <c r="E12" s="18">
        <v>1000000</v>
      </c>
      <c r="F12" s="19">
        <v>1061.17</v>
      </c>
      <c r="G12" s="20">
        <v>7.0900000000000005E-2</v>
      </c>
      <c r="H12" s="21">
        <v>6.2015000000000001E-2</v>
      </c>
      <c r="I12" s="22"/>
      <c r="J12" s="2"/>
    </row>
    <row r="13" spans="1:13" ht="12.95" customHeight="1">
      <c r="A13" s="16" t="s">
        <v>2941</v>
      </c>
      <c r="B13" s="17" t="s">
        <v>2942</v>
      </c>
      <c r="C13" s="13" t="s">
        <v>2943</v>
      </c>
      <c r="D13" s="13" t="s">
        <v>200</v>
      </c>
      <c r="E13" s="18">
        <v>1000000</v>
      </c>
      <c r="F13" s="19">
        <v>963.19</v>
      </c>
      <c r="G13" s="20">
        <v>6.4399999999999999E-2</v>
      </c>
      <c r="H13" s="21">
        <v>6.9653999999999994E-2</v>
      </c>
      <c r="I13" s="22"/>
      <c r="J13" s="2"/>
    </row>
    <row r="14" spans="1:13" ht="12.95" customHeight="1">
      <c r="A14" s="16" t="s">
        <v>1244</v>
      </c>
      <c r="B14" s="17" t="s">
        <v>1245</v>
      </c>
      <c r="C14" s="13" t="s">
        <v>1246</v>
      </c>
      <c r="D14" s="13" t="s">
        <v>200</v>
      </c>
      <c r="E14" s="18">
        <v>500000</v>
      </c>
      <c r="F14" s="19">
        <v>545.37</v>
      </c>
      <c r="G14" s="20">
        <v>3.6499999999999998E-2</v>
      </c>
      <c r="H14" s="21">
        <v>6.4860000000000001E-2</v>
      </c>
      <c r="I14" s="22"/>
      <c r="J14" s="2"/>
    </row>
    <row r="15" spans="1:13" ht="12.95" customHeight="1">
      <c r="A15" s="16" t="s">
        <v>1074</v>
      </c>
      <c r="B15" s="17" t="s">
        <v>1075</v>
      </c>
      <c r="C15" s="13" t="s">
        <v>1076</v>
      </c>
      <c r="D15" s="13" t="s">
        <v>200</v>
      </c>
      <c r="E15" s="18">
        <v>500000</v>
      </c>
      <c r="F15" s="19">
        <v>495.7</v>
      </c>
      <c r="G15" s="20">
        <v>3.3099999999999997E-2</v>
      </c>
      <c r="H15" s="21">
        <v>6.2170000000000003E-2</v>
      </c>
      <c r="I15" s="22"/>
      <c r="J15" s="2"/>
    </row>
    <row r="16" spans="1:13" ht="12.95" customHeight="1">
      <c r="A16" s="16" t="s">
        <v>1089</v>
      </c>
      <c r="B16" s="17" t="s">
        <v>1090</v>
      </c>
      <c r="C16" s="13" t="s">
        <v>1091</v>
      </c>
      <c r="D16" s="13" t="s">
        <v>200</v>
      </c>
      <c r="E16" s="18">
        <v>250000</v>
      </c>
      <c r="F16" s="19">
        <v>251.08</v>
      </c>
      <c r="G16" s="20">
        <v>1.6799999999999999E-2</v>
      </c>
      <c r="H16" s="21">
        <v>6.7750000000000005E-2</v>
      </c>
      <c r="I16" s="22"/>
      <c r="J16" s="2"/>
    </row>
    <row r="17" spans="1:10" ht="12.95" customHeight="1">
      <c r="A17" s="2"/>
      <c r="B17" s="12" t="s">
        <v>172</v>
      </c>
      <c r="C17" s="13"/>
      <c r="D17" s="13"/>
      <c r="E17" s="13"/>
      <c r="F17" s="23">
        <v>13631.79</v>
      </c>
      <c r="G17" s="24">
        <v>0.91139999999999999</v>
      </c>
      <c r="H17" s="25"/>
      <c r="I17" s="26"/>
      <c r="J17" s="2"/>
    </row>
    <row r="18" spans="1:10" ht="12.95" customHeight="1">
      <c r="A18" s="2"/>
      <c r="B18" s="27" t="s">
        <v>173</v>
      </c>
      <c r="C18" s="1"/>
      <c r="D18" s="1"/>
      <c r="E18" s="1"/>
      <c r="F18" s="25" t="s">
        <v>204</v>
      </c>
      <c r="G18" s="25" t="s">
        <v>204</v>
      </c>
      <c r="H18" s="25"/>
      <c r="I18" s="26"/>
      <c r="J18" s="2"/>
    </row>
    <row r="19" spans="1:10" ht="12.95" customHeight="1">
      <c r="A19" s="2"/>
      <c r="B19" s="27" t="s">
        <v>172</v>
      </c>
      <c r="C19" s="1"/>
      <c r="D19" s="1"/>
      <c r="E19" s="1"/>
      <c r="F19" s="25" t="s">
        <v>204</v>
      </c>
      <c r="G19" s="25" t="s">
        <v>204</v>
      </c>
      <c r="H19" s="25"/>
      <c r="I19" s="26"/>
      <c r="J19" s="2"/>
    </row>
    <row r="20" spans="1:10" ht="12.95" customHeight="1">
      <c r="A20" s="2"/>
      <c r="B20" s="27" t="s">
        <v>177</v>
      </c>
      <c r="C20" s="28"/>
      <c r="D20" s="1"/>
      <c r="E20" s="28"/>
      <c r="F20" s="23">
        <v>13631.79</v>
      </c>
      <c r="G20" s="24">
        <v>0.91139999999999999</v>
      </c>
      <c r="H20" s="25"/>
      <c r="I20" s="26"/>
      <c r="J20" s="2"/>
    </row>
    <row r="21" spans="1:10" ht="12.95" customHeight="1">
      <c r="A21" s="2"/>
      <c r="B21" s="12" t="s">
        <v>178</v>
      </c>
      <c r="C21" s="13"/>
      <c r="D21" s="13"/>
      <c r="E21" s="13"/>
      <c r="F21" s="13"/>
      <c r="G21" s="13"/>
      <c r="H21" s="14"/>
      <c r="I21" s="15"/>
      <c r="J21" s="2"/>
    </row>
    <row r="22" spans="1:10" ht="12.95" customHeight="1">
      <c r="A22" s="16" t="s">
        <v>179</v>
      </c>
      <c r="B22" s="17" t="s">
        <v>180</v>
      </c>
      <c r="C22" s="13"/>
      <c r="D22" s="13"/>
      <c r="E22" s="18"/>
      <c r="F22" s="19">
        <v>1167.44</v>
      </c>
      <c r="G22" s="20">
        <v>7.8100000000000003E-2</v>
      </c>
      <c r="H22" s="21">
        <v>3.3045771501761197E-2</v>
      </c>
      <c r="I22" s="22"/>
      <c r="J22" s="2"/>
    </row>
    <row r="23" spans="1:10" ht="12.95" customHeight="1">
      <c r="A23" s="2"/>
      <c r="B23" s="12" t="s">
        <v>172</v>
      </c>
      <c r="C23" s="13"/>
      <c r="D23" s="13"/>
      <c r="E23" s="13"/>
      <c r="F23" s="23">
        <v>1167.44</v>
      </c>
      <c r="G23" s="24">
        <v>7.8100000000000003E-2</v>
      </c>
      <c r="H23" s="25"/>
      <c r="I23" s="26"/>
      <c r="J23" s="2"/>
    </row>
    <row r="24" spans="1:10" ht="12.95" customHeight="1">
      <c r="A24" s="2"/>
      <c r="B24" s="27" t="s">
        <v>173</v>
      </c>
      <c r="C24" s="1"/>
      <c r="D24" s="1"/>
      <c r="E24" s="1"/>
      <c r="F24" s="25" t="s">
        <v>204</v>
      </c>
      <c r="G24" s="25" t="s">
        <v>204</v>
      </c>
      <c r="H24" s="25"/>
      <c r="I24" s="26"/>
      <c r="J24" s="2"/>
    </row>
    <row r="25" spans="1:10" ht="12.95" customHeight="1">
      <c r="A25" s="2"/>
      <c r="B25" s="27" t="s">
        <v>172</v>
      </c>
      <c r="C25" s="1"/>
      <c r="D25" s="1"/>
      <c r="E25" s="1"/>
      <c r="F25" s="25" t="s">
        <v>204</v>
      </c>
      <c r="G25" s="25" t="s">
        <v>204</v>
      </c>
      <c r="H25" s="25"/>
      <c r="I25" s="26"/>
      <c r="J25" s="2"/>
    </row>
    <row r="26" spans="1:10" ht="12.95" customHeight="1">
      <c r="A26" s="2"/>
      <c r="B26" s="27" t="s">
        <v>177</v>
      </c>
      <c r="C26" s="28"/>
      <c r="D26" s="1"/>
      <c r="E26" s="28"/>
      <c r="F26" s="23">
        <v>1167.44</v>
      </c>
      <c r="G26" s="24">
        <v>7.8100000000000003E-2</v>
      </c>
      <c r="H26" s="25"/>
      <c r="I26" s="26"/>
      <c r="J26" s="2"/>
    </row>
    <row r="27" spans="1:10" ht="12.95" customHeight="1">
      <c r="A27" s="2"/>
      <c r="B27" s="27" t="s">
        <v>181</v>
      </c>
      <c r="C27" s="13"/>
      <c r="D27" s="1"/>
      <c r="E27" s="13"/>
      <c r="F27" s="29">
        <v>157.94</v>
      </c>
      <c r="G27" s="24">
        <v>1.0500000000000001E-2</v>
      </c>
      <c r="H27" s="25"/>
      <c r="I27" s="26"/>
      <c r="J27" s="2"/>
    </row>
    <row r="28" spans="1:10" ht="12.95" customHeight="1">
      <c r="A28" s="2"/>
      <c r="B28" s="30" t="s">
        <v>182</v>
      </c>
      <c r="C28" s="31"/>
      <c r="D28" s="31"/>
      <c r="E28" s="31"/>
      <c r="F28" s="32">
        <v>14957.17</v>
      </c>
      <c r="G28" s="33">
        <v>1</v>
      </c>
      <c r="H28" s="34"/>
      <c r="I28" s="35"/>
      <c r="J28" s="2"/>
    </row>
    <row r="29" spans="1:10" ht="12.95" customHeight="1">
      <c r="A29" s="2"/>
      <c r="B29" s="5"/>
      <c r="C29" s="2"/>
      <c r="D29" s="2"/>
      <c r="E29" s="2"/>
      <c r="F29" s="2"/>
      <c r="G29" s="2"/>
      <c r="H29" s="2"/>
      <c r="I29" s="2"/>
      <c r="J29" s="2"/>
    </row>
    <row r="30" spans="1:10" ht="12.95" customHeight="1">
      <c r="A30" s="2"/>
      <c r="B30" s="3" t="s">
        <v>244</v>
      </c>
      <c r="C30" s="2"/>
      <c r="D30" s="2"/>
      <c r="E30" s="2"/>
      <c r="F30" s="2"/>
      <c r="G30" s="2"/>
      <c r="H30" s="2"/>
      <c r="I30" s="2"/>
      <c r="J30" s="2"/>
    </row>
    <row r="31" spans="1:10" ht="12.95" customHeight="1">
      <c r="A31" s="2"/>
      <c r="B31" s="3" t="s">
        <v>186</v>
      </c>
      <c r="C31" s="2"/>
      <c r="D31" s="2"/>
      <c r="E31" s="2"/>
      <c r="F31" s="2"/>
      <c r="G31" s="2"/>
      <c r="H31" s="2"/>
      <c r="I31" s="2"/>
      <c r="J31" s="2"/>
    </row>
    <row r="32" spans="1:10" ht="23.25" customHeight="1">
      <c r="A32" s="2"/>
      <c r="B32" s="189" t="s">
        <v>4025</v>
      </c>
      <c r="C32" s="189"/>
      <c r="D32" s="189"/>
      <c r="E32" s="189"/>
      <c r="F32" s="189"/>
      <c r="G32" s="189"/>
      <c r="H32" s="189"/>
      <c r="I32" s="189"/>
      <c r="J32" s="2"/>
    </row>
    <row r="33" spans="1:10" ht="12.95" customHeight="1">
      <c r="A33" s="2"/>
      <c r="B33" s="3"/>
      <c r="C33" s="2"/>
      <c r="D33" s="2"/>
      <c r="E33" s="2"/>
      <c r="F33" s="2"/>
      <c r="G33" s="2"/>
      <c r="H33" s="2"/>
      <c r="I33" s="2"/>
      <c r="J33" s="2"/>
    </row>
    <row r="34" spans="1:10">
      <c r="C34" s="111" t="s">
        <v>3961</v>
      </c>
    </row>
    <row r="35" spans="1:10">
      <c r="B35" s="111" t="s">
        <v>3933</v>
      </c>
      <c r="C35" s="111" t="s">
        <v>3934</v>
      </c>
    </row>
  </sheetData>
  <mergeCells count="2">
    <mergeCell ref="B2:I2"/>
    <mergeCell ref="B32:I32"/>
  </mergeCells>
  <hyperlinks>
    <hyperlink ref="A2" location="Index!A1" display="Index"/>
  </hyperlinks>
  <pageMargins left="0" right="0" top="0" bottom="0"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98"/>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0.85546875" bestFit="1" customWidth="1"/>
    <col min="7" max="9" width="10.7109375" customWidth="1"/>
    <col min="10" max="10" width="10.85546875" customWidth="1"/>
  </cols>
  <sheetData>
    <row r="1" spans="1:13" ht="15.75" thickBot="1">
      <c r="A1" s="108" t="str">
        <f>M2</f>
        <v>AXISMCF</v>
      </c>
    </row>
    <row r="2" spans="1:13" ht="34.5" customHeight="1" thickBot="1">
      <c r="A2" s="135" t="str">
        <f>M2</f>
        <v>AXISMCF</v>
      </c>
      <c r="B2" s="186" t="s">
        <v>73</v>
      </c>
      <c r="C2" s="187"/>
      <c r="D2" s="187"/>
      <c r="E2" s="187"/>
      <c r="F2" s="187"/>
      <c r="G2" s="187"/>
      <c r="H2" s="187"/>
      <c r="I2" s="188"/>
      <c r="J2" s="2"/>
      <c r="M2" s="108" t="s">
        <v>72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930</v>
      </c>
      <c r="B8" s="17" t="s">
        <v>931</v>
      </c>
      <c r="C8" s="13" t="s">
        <v>932</v>
      </c>
      <c r="D8" s="13" t="s">
        <v>723</v>
      </c>
      <c r="E8" s="18">
        <v>11323500</v>
      </c>
      <c r="F8" s="19">
        <v>63892.85</v>
      </c>
      <c r="G8" s="20">
        <v>4.1500000000000002E-2</v>
      </c>
      <c r="H8" s="36"/>
      <c r="I8" s="22"/>
      <c r="J8" s="2"/>
    </row>
    <row r="9" spans="1:13" ht="12.95" customHeight="1">
      <c r="A9" s="16" t="s">
        <v>894</v>
      </c>
      <c r="B9" s="17" t="s">
        <v>895</v>
      </c>
      <c r="C9" s="13" t="s">
        <v>896</v>
      </c>
      <c r="D9" s="13" t="s">
        <v>731</v>
      </c>
      <c r="E9" s="18">
        <v>1123713</v>
      </c>
      <c r="F9" s="19">
        <v>58897.17</v>
      </c>
      <c r="G9" s="20">
        <v>3.8300000000000001E-2</v>
      </c>
      <c r="H9" s="36"/>
      <c r="I9" s="22"/>
      <c r="J9" s="2"/>
    </row>
    <row r="10" spans="1:13" ht="12.95" customHeight="1">
      <c r="A10" s="16" t="s">
        <v>914</v>
      </c>
      <c r="B10" s="17" t="s">
        <v>915</v>
      </c>
      <c r="C10" s="13" t="s">
        <v>916</v>
      </c>
      <c r="D10" s="13" t="s">
        <v>731</v>
      </c>
      <c r="E10" s="18">
        <v>1286323</v>
      </c>
      <c r="F10" s="19">
        <v>54026.85</v>
      </c>
      <c r="G10" s="20">
        <v>3.5099999999999999E-2</v>
      </c>
      <c r="H10" s="36"/>
      <c r="I10" s="22"/>
      <c r="J10" s="2"/>
    </row>
    <row r="11" spans="1:13" ht="12.95" customHeight="1">
      <c r="A11" s="16" t="s">
        <v>686</v>
      </c>
      <c r="B11" s="17" t="s">
        <v>687</v>
      </c>
      <c r="C11" s="13" t="s">
        <v>688</v>
      </c>
      <c r="D11" s="13" t="s">
        <v>685</v>
      </c>
      <c r="E11" s="18">
        <v>7695000</v>
      </c>
      <c r="F11" s="19">
        <v>53930.41</v>
      </c>
      <c r="G11" s="20">
        <v>3.5000000000000003E-2</v>
      </c>
      <c r="H11" s="36"/>
      <c r="I11" s="22"/>
      <c r="J11" s="2"/>
    </row>
    <row r="12" spans="1:13" ht="12.95" customHeight="1">
      <c r="A12" s="16" t="s">
        <v>720</v>
      </c>
      <c r="B12" s="17" t="s">
        <v>721</v>
      </c>
      <c r="C12" s="13" t="s">
        <v>722</v>
      </c>
      <c r="D12" s="13" t="s">
        <v>723</v>
      </c>
      <c r="E12" s="18">
        <v>665000</v>
      </c>
      <c r="F12" s="19">
        <v>50992.87</v>
      </c>
      <c r="G12" s="20">
        <v>3.3099999999999997E-2</v>
      </c>
      <c r="H12" s="36"/>
      <c r="I12" s="22"/>
      <c r="J12" s="2"/>
    </row>
    <row r="13" spans="1:13" ht="12.95" customHeight="1">
      <c r="A13" s="16" t="s">
        <v>724</v>
      </c>
      <c r="B13" s="17" t="s">
        <v>725</v>
      </c>
      <c r="C13" s="13" t="s">
        <v>726</v>
      </c>
      <c r="D13" s="13" t="s">
        <v>727</v>
      </c>
      <c r="E13" s="18">
        <v>2344974</v>
      </c>
      <c r="F13" s="19">
        <v>50660.82</v>
      </c>
      <c r="G13" s="20">
        <v>3.2899999999999999E-2</v>
      </c>
      <c r="H13" s="36"/>
      <c r="I13" s="22"/>
      <c r="J13" s="2"/>
    </row>
    <row r="14" spans="1:13" ht="12.95" customHeight="1">
      <c r="A14" s="16" t="s">
        <v>994</v>
      </c>
      <c r="B14" s="17" t="s">
        <v>995</v>
      </c>
      <c r="C14" s="13" t="s">
        <v>996</v>
      </c>
      <c r="D14" s="13" t="s">
        <v>767</v>
      </c>
      <c r="E14" s="18">
        <v>10359953</v>
      </c>
      <c r="F14" s="19">
        <v>49613.81</v>
      </c>
      <c r="G14" s="20">
        <v>3.2199999999999999E-2</v>
      </c>
      <c r="H14" s="36"/>
      <c r="I14" s="22"/>
      <c r="J14" s="2"/>
    </row>
    <row r="15" spans="1:13" ht="12.95" customHeight="1">
      <c r="A15" s="16" t="s">
        <v>682</v>
      </c>
      <c r="B15" s="17" t="s">
        <v>683</v>
      </c>
      <c r="C15" s="13" t="s">
        <v>684</v>
      </c>
      <c r="D15" s="13" t="s">
        <v>685</v>
      </c>
      <c r="E15" s="18">
        <v>3105500</v>
      </c>
      <c r="F15" s="19">
        <v>49531.17</v>
      </c>
      <c r="G15" s="20">
        <v>3.2199999999999999E-2</v>
      </c>
      <c r="H15" s="36"/>
      <c r="I15" s="22"/>
      <c r="J15" s="2"/>
    </row>
    <row r="16" spans="1:13" ht="12.95" customHeight="1">
      <c r="A16" s="16" t="s">
        <v>750</v>
      </c>
      <c r="B16" s="17" t="s">
        <v>751</v>
      </c>
      <c r="C16" s="13" t="s">
        <v>752</v>
      </c>
      <c r="D16" s="13" t="s">
        <v>753</v>
      </c>
      <c r="E16" s="18">
        <v>1557136</v>
      </c>
      <c r="F16" s="19">
        <v>49491.23</v>
      </c>
      <c r="G16" s="20">
        <v>3.2099999999999997E-2</v>
      </c>
      <c r="H16" s="36"/>
      <c r="I16" s="22"/>
      <c r="J16" s="2"/>
    </row>
    <row r="17" spans="1:10" ht="12.95" customHeight="1">
      <c r="A17" s="16" t="s">
        <v>904</v>
      </c>
      <c r="B17" s="17" t="s">
        <v>905</v>
      </c>
      <c r="C17" s="13" t="s">
        <v>906</v>
      </c>
      <c r="D17" s="13" t="s">
        <v>731</v>
      </c>
      <c r="E17" s="18">
        <v>1470000</v>
      </c>
      <c r="F17" s="19">
        <v>45634.68</v>
      </c>
      <c r="G17" s="20">
        <v>2.9600000000000001E-2</v>
      </c>
      <c r="H17" s="36"/>
      <c r="I17" s="22"/>
      <c r="J17" s="2"/>
    </row>
    <row r="18" spans="1:10" ht="12.95" customHeight="1">
      <c r="A18" s="16" t="s">
        <v>736</v>
      </c>
      <c r="B18" s="17" t="s">
        <v>737</v>
      </c>
      <c r="C18" s="13" t="s">
        <v>738</v>
      </c>
      <c r="D18" s="13" t="s">
        <v>739</v>
      </c>
      <c r="E18" s="18">
        <v>1060000</v>
      </c>
      <c r="F18" s="19">
        <v>45052.12</v>
      </c>
      <c r="G18" s="20">
        <v>2.93E-2</v>
      </c>
      <c r="H18" s="36"/>
      <c r="I18" s="22"/>
      <c r="J18" s="2"/>
    </row>
    <row r="19" spans="1:10" ht="12.95" customHeight="1">
      <c r="A19" s="16" t="s">
        <v>991</v>
      </c>
      <c r="B19" s="17" t="s">
        <v>992</v>
      </c>
      <c r="C19" s="13" t="s">
        <v>993</v>
      </c>
      <c r="D19" s="13" t="s">
        <v>767</v>
      </c>
      <c r="E19" s="18">
        <v>3537235</v>
      </c>
      <c r="F19" s="19">
        <v>43085.29</v>
      </c>
      <c r="G19" s="20">
        <v>2.8000000000000001E-2</v>
      </c>
      <c r="H19" s="36"/>
      <c r="I19" s="22"/>
      <c r="J19" s="2"/>
    </row>
    <row r="20" spans="1:10" ht="12.95" customHeight="1">
      <c r="A20" s="16" t="s">
        <v>1834</v>
      </c>
      <c r="B20" s="17" t="s">
        <v>1835</v>
      </c>
      <c r="C20" s="13" t="s">
        <v>1836</v>
      </c>
      <c r="D20" s="13" t="s">
        <v>1569</v>
      </c>
      <c r="E20" s="18">
        <v>5935665</v>
      </c>
      <c r="F20" s="19">
        <v>37836.9</v>
      </c>
      <c r="G20" s="20">
        <v>2.46E-2</v>
      </c>
      <c r="H20" s="36"/>
      <c r="I20" s="22"/>
      <c r="J20" s="2"/>
    </row>
    <row r="21" spans="1:10" ht="12.95" customHeight="1">
      <c r="A21" s="16" t="s">
        <v>754</v>
      </c>
      <c r="B21" s="17" t="s">
        <v>755</v>
      </c>
      <c r="C21" s="13" t="s">
        <v>756</v>
      </c>
      <c r="D21" s="13" t="s">
        <v>727</v>
      </c>
      <c r="E21" s="18">
        <v>1551733</v>
      </c>
      <c r="F21" s="19">
        <v>36225.980000000003</v>
      </c>
      <c r="G21" s="20">
        <v>2.35E-2</v>
      </c>
      <c r="H21" s="36"/>
      <c r="I21" s="22"/>
      <c r="J21" s="2"/>
    </row>
    <row r="22" spans="1:10" ht="12.95" customHeight="1">
      <c r="A22" s="16" t="s">
        <v>783</v>
      </c>
      <c r="B22" s="17" t="s">
        <v>784</v>
      </c>
      <c r="C22" s="13" t="s">
        <v>785</v>
      </c>
      <c r="D22" s="13" t="s">
        <v>749</v>
      </c>
      <c r="E22" s="18">
        <v>1471748</v>
      </c>
      <c r="F22" s="19">
        <v>35489</v>
      </c>
      <c r="G22" s="20">
        <v>2.3099999999999999E-2</v>
      </c>
      <c r="H22" s="36"/>
      <c r="I22" s="22"/>
      <c r="J22" s="2"/>
    </row>
    <row r="23" spans="1:10" ht="12.95" customHeight="1">
      <c r="A23" s="16" t="s">
        <v>966</v>
      </c>
      <c r="B23" s="17" t="s">
        <v>967</v>
      </c>
      <c r="C23" s="13" t="s">
        <v>968</v>
      </c>
      <c r="D23" s="13" t="s">
        <v>789</v>
      </c>
      <c r="E23" s="18">
        <v>4258000</v>
      </c>
      <c r="F23" s="19">
        <v>34643.089999999997</v>
      </c>
      <c r="G23" s="20">
        <v>2.2499999999999999E-2</v>
      </c>
      <c r="H23" s="36"/>
      <c r="I23" s="22"/>
      <c r="J23" s="2"/>
    </row>
    <row r="24" spans="1:10" ht="12.95" customHeight="1">
      <c r="A24" s="16" t="s">
        <v>1783</v>
      </c>
      <c r="B24" s="17" t="s">
        <v>1784</v>
      </c>
      <c r="C24" s="13" t="s">
        <v>1785</v>
      </c>
      <c r="D24" s="13" t="s">
        <v>727</v>
      </c>
      <c r="E24" s="18">
        <v>3414901</v>
      </c>
      <c r="F24" s="19">
        <v>33874.11</v>
      </c>
      <c r="G24" s="20">
        <v>2.1999999999999999E-2</v>
      </c>
      <c r="H24" s="36"/>
      <c r="I24" s="22"/>
      <c r="J24" s="2"/>
    </row>
    <row r="25" spans="1:10" ht="12.95" customHeight="1">
      <c r="A25" s="16" t="s">
        <v>972</v>
      </c>
      <c r="B25" s="17" t="s">
        <v>973</v>
      </c>
      <c r="C25" s="13" t="s">
        <v>974</v>
      </c>
      <c r="D25" s="13" t="s">
        <v>910</v>
      </c>
      <c r="E25" s="18">
        <v>754250</v>
      </c>
      <c r="F25" s="19">
        <v>33802.47</v>
      </c>
      <c r="G25" s="20">
        <v>2.1999999999999999E-2</v>
      </c>
      <c r="H25" s="36"/>
      <c r="I25" s="22"/>
      <c r="J25" s="2"/>
    </row>
    <row r="26" spans="1:10" ht="12.95" customHeight="1">
      <c r="A26" s="16" t="s">
        <v>2425</v>
      </c>
      <c r="B26" s="17" t="s">
        <v>2426</v>
      </c>
      <c r="C26" s="13" t="s">
        <v>2427</v>
      </c>
      <c r="D26" s="13" t="s">
        <v>731</v>
      </c>
      <c r="E26" s="18">
        <v>600000</v>
      </c>
      <c r="F26" s="19">
        <v>33564.300000000003</v>
      </c>
      <c r="G26" s="20">
        <v>2.18E-2</v>
      </c>
      <c r="H26" s="36"/>
      <c r="I26" s="22"/>
      <c r="J26" s="2"/>
    </row>
    <row r="27" spans="1:10" ht="12.95" customHeight="1">
      <c r="A27" s="16" t="s">
        <v>1004</v>
      </c>
      <c r="B27" s="17" t="s">
        <v>1005</v>
      </c>
      <c r="C27" s="13" t="s">
        <v>1006</v>
      </c>
      <c r="D27" s="13" t="s">
        <v>739</v>
      </c>
      <c r="E27" s="18">
        <v>3165968</v>
      </c>
      <c r="F27" s="19">
        <v>32478.080000000002</v>
      </c>
      <c r="G27" s="20">
        <v>2.1100000000000001E-2</v>
      </c>
      <c r="H27" s="36"/>
      <c r="I27" s="22"/>
      <c r="J27" s="2"/>
    </row>
    <row r="28" spans="1:10" ht="12.95" customHeight="1">
      <c r="A28" s="16" t="s">
        <v>2944</v>
      </c>
      <c r="B28" s="17" t="s">
        <v>2945</v>
      </c>
      <c r="C28" s="13" t="s">
        <v>2946</v>
      </c>
      <c r="D28" s="13" t="s">
        <v>782</v>
      </c>
      <c r="E28" s="18">
        <v>972212</v>
      </c>
      <c r="F28" s="19">
        <v>30213.919999999998</v>
      </c>
      <c r="G28" s="20">
        <v>1.9599999999999999E-2</v>
      </c>
      <c r="H28" s="36"/>
      <c r="I28" s="22"/>
      <c r="J28" s="2"/>
    </row>
    <row r="29" spans="1:10" ht="12.95" customHeight="1">
      <c r="A29" s="16" t="s">
        <v>802</v>
      </c>
      <c r="B29" s="17" t="s">
        <v>803</v>
      </c>
      <c r="C29" s="13" t="s">
        <v>804</v>
      </c>
      <c r="D29" s="13" t="s">
        <v>731</v>
      </c>
      <c r="E29" s="18">
        <v>634305</v>
      </c>
      <c r="F29" s="19">
        <v>29796.79</v>
      </c>
      <c r="G29" s="20">
        <v>1.9400000000000001E-2</v>
      </c>
      <c r="H29" s="36"/>
      <c r="I29" s="22"/>
      <c r="J29" s="2"/>
    </row>
    <row r="30" spans="1:10" ht="12.95" customHeight="1">
      <c r="A30" s="16" t="s">
        <v>768</v>
      </c>
      <c r="B30" s="17" t="s">
        <v>769</v>
      </c>
      <c r="C30" s="13" t="s">
        <v>770</v>
      </c>
      <c r="D30" s="13" t="s">
        <v>771</v>
      </c>
      <c r="E30" s="18">
        <v>1871023</v>
      </c>
      <c r="F30" s="19">
        <v>29645.42</v>
      </c>
      <c r="G30" s="20">
        <v>1.9300000000000001E-2</v>
      </c>
      <c r="H30" s="36"/>
      <c r="I30" s="22"/>
      <c r="J30" s="2"/>
    </row>
    <row r="31" spans="1:10" ht="12.95" customHeight="1">
      <c r="A31" s="16" t="s">
        <v>1582</v>
      </c>
      <c r="B31" s="17" t="s">
        <v>1583</v>
      </c>
      <c r="C31" s="13" t="s">
        <v>1584</v>
      </c>
      <c r="D31" s="13" t="s">
        <v>767</v>
      </c>
      <c r="E31" s="18">
        <v>1605600</v>
      </c>
      <c r="F31" s="19">
        <v>28549.98</v>
      </c>
      <c r="G31" s="20">
        <v>1.8499999999999999E-2</v>
      </c>
      <c r="H31" s="36"/>
      <c r="I31" s="22"/>
      <c r="J31" s="2"/>
    </row>
    <row r="32" spans="1:10" ht="12.95" customHeight="1">
      <c r="A32" s="16" t="s">
        <v>1738</v>
      </c>
      <c r="B32" s="17" t="s">
        <v>1739</v>
      </c>
      <c r="C32" s="13" t="s">
        <v>1740</v>
      </c>
      <c r="D32" s="13" t="s">
        <v>782</v>
      </c>
      <c r="E32" s="18">
        <v>1185000</v>
      </c>
      <c r="F32" s="19">
        <v>26715.83</v>
      </c>
      <c r="G32" s="20">
        <v>1.7399999999999999E-2</v>
      </c>
      <c r="H32" s="36"/>
      <c r="I32" s="22"/>
      <c r="J32" s="2"/>
    </row>
    <row r="33" spans="1:10" ht="12.95" customHeight="1">
      <c r="A33" s="16" t="s">
        <v>924</v>
      </c>
      <c r="B33" s="17" t="s">
        <v>925</v>
      </c>
      <c r="C33" s="13" t="s">
        <v>926</v>
      </c>
      <c r="D33" s="13" t="s">
        <v>771</v>
      </c>
      <c r="E33" s="18">
        <v>4651180</v>
      </c>
      <c r="F33" s="19">
        <v>25853.58</v>
      </c>
      <c r="G33" s="20">
        <v>1.6799999999999999E-2</v>
      </c>
      <c r="H33" s="36"/>
      <c r="I33" s="22"/>
      <c r="J33" s="2"/>
    </row>
    <row r="34" spans="1:10" ht="12.95" customHeight="1">
      <c r="A34" s="16" t="s">
        <v>927</v>
      </c>
      <c r="B34" s="17" t="s">
        <v>928</v>
      </c>
      <c r="C34" s="13" t="s">
        <v>929</v>
      </c>
      <c r="D34" s="13" t="s">
        <v>685</v>
      </c>
      <c r="E34" s="18">
        <v>16165271</v>
      </c>
      <c r="F34" s="19">
        <v>25484.55</v>
      </c>
      <c r="G34" s="20">
        <v>1.66E-2</v>
      </c>
      <c r="H34" s="36"/>
      <c r="I34" s="22"/>
      <c r="J34" s="2"/>
    </row>
    <row r="35" spans="1:10" ht="12.95" customHeight="1">
      <c r="A35" s="16" t="s">
        <v>879</v>
      </c>
      <c r="B35" s="17" t="s">
        <v>880</v>
      </c>
      <c r="C35" s="13" t="s">
        <v>881</v>
      </c>
      <c r="D35" s="13" t="s">
        <v>723</v>
      </c>
      <c r="E35" s="18">
        <v>981653</v>
      </c>
      <c r="F35" s="19">
        <v>24051.97</v>
      </c>
      <c r="G35" s="20">
        <v>1.5599999999999999E-2</v>
      </c>
      <c r="H35" s="36"/>
      <c r="I35" s="22"/>
      <c r="J35" s="2"/>
    </row>
    <row r="36" spans="1:10" ht="12.95" customHeight="1">
      <c r="A36" s="16" t="s">
        <v>1816</v>
      </c>
      <c r="B36" s="17" t="s">
        <v>1817</v>
      </c>
      <c r="C36" s="13" t="s">
        <v>1818</v>
      </c>
      <c r="D36" s="13" t="s">
        <v>749</v>
      </c>
      <c r="E36" s="18">
        <v>528347</v>
      </c>
      <c r="F36" s="19">
        <v>21032.17</v>
      </c>
      <c r="G36" s="20">
        <v>1.37E-2</v>
      </c>
      <c r="H36" s="36"/>
      <c r="I36" s="22"/>
      <c r="J36" s="2"/>
    </row>
    <row r="37" spans="1:10" ht="12.95" customHeight="1">
      <c r="A37" s="16" t="s">
        <v>1042</v>
      </c>
      <c r="B37" s="17" t="s">
        <v>1043</v>
      </c>
      <c r="C37" s="13" t="s">
        <v>1044</v>
      </c>
      <c r="D37" s="13" t="s">
        <v>739</v>
      </c>
      <c r="E37" s="18">
        <v>8197736</v>
      </c>
      <c r="F37" s="19">
        <v>20195.12</v>
      </c>
      <c r="G37" s="20">
        <v>1.3100000000000001E-2</v>
      </c>
      <c r="H37" s="36"/>
      <c r="I37" s="22"/>
      <c r="J37" s="2"/>
    </row>
    <row r="38" spans="1:10" ht="12.95" customHeight="1">
      <c r="A38" s="16" t="s">
        <v>2947</v>
      </c>
      <c r="B38" s="17" t="s">
        <v>2948</v>
      </c>
      <c r="C38" s="13" t="s">
        <v>2949</v>
      </c>
      <c r="D38" s="13" t="s">
        <v>2950</v>
      </c>
      <c r="E38" s="18">
        <v>2411621</v>
      </c>
      <c r="F38" s="19">
        <v>19159.12</v>
      </c>
      <c r="G38" s="20">
        <v>1.24E-2</v>
      </c>
      <c r="H38" s="36"/>
      <c r="I38" s="22"/>
      <c r="J38" s="2"/>
    </row>
    <row r="39" spans="1:10" ht="12.95" customHeight="1">
      <c r="A39" s="16" t="s">
        <v>1747</v>
      </c>
      <c r="B39" s="17" t="s">
        <v>1748</v>
      </c>
      <c r="C39" s="13" t="s">
        <v>1749</v>
      </c>
      <c r="D39" s="13" t="s">
        <v>771</v>
      </c>
      <c r="E39" s="18">
        <v>751510</v>
      </c>
      <c r="F39" s="19">
        <v>19040.63</v>
      </c>
      <c r="G39" s="20">
        <v>1.24E-2</v>
      </c>
      <c r="H39" s="36"/>
      <c r="I39" s="22"/>
      <c r="J39" s="2"/>
    </row>
    <row r="40" spans="1:10" ht="12.95" customHeight="1">
      <c r="A40" s="16" t="s">
        <v>917</v>
      </c>
      <c r="B40" s="17" t="s">
        <v>918</v>
      </c>
      <c r="C40" s="13" t="s">
        <v>919</v>
      </c>
      <c r="D40" s="13" t="s">
        <v>731</v>
      </c>
      <c r="E40" s="18">
        <v>483147</v>
      </c>
      <c r="F40" s="19">
        <v>17955.189999999999</v>
      </c>
      <c r="G40" s="20">
        <v>1.17E-2</v>
      </c>
      <c r="H40" s="36"/>
      <c r="I40" s="22"/>
      <c r="J40" s="2"/>
    </row>
    <row r="41" spans="1:10" ht="12.95" customHeight="1">
      <c r="A41" s="16" t="s">
        <v>815</v>
      </c>
      <c r="B41" s="17" t="s">
        <v>816</v>
      </c>
      <c r="C41" s="13" t="s">
        <v>817</v>
      </c>
      <c r="D41" s="13" t="s">
        <v>782</v>
      </c>
      <c r="E41" s="18">
        <v>1669627</v>
      </c>
      <c r="F41" s="19">
        <v>16439.98</v>
      </c>
      <c r="G41" s="20">
        <v>1.0699999999999999E-2</v>
      </c>
      <c r="H41" s="36"/>
      <c r="I41" s="22"/>
      <c r="J41" s="2"/>
    </row>
    <row r="42" spans="1:10" ht="12.95" customHeight="1">
      <c r="A42" s="16" t="s">
        <v>2951</v>
      </c>
      <c r="B42" s="17" t="s">
        <v>2952</v>
      </c>
      <c r="C42" s="13" t="s">
        <v>2953</v>
      </c>
      <c r="D42" s="13" t="s">
        <v>959</v>
      </c>
      <c r="E42" s="18">
        <v>1170904</v>
      </c>
      <c r="F42" s="19">
        <v>16296.06</v>
      </c>
      <c r="G42" s="20">
        <v>1.06E-2</v>
      </c>
      <c r="H42" s="36"/>
      <c r="I42" s="22"/>
      <c r="J42" s="2"/>
    </row>
    <row r="43" spans="1:10" ht="12.95" customHeight="1">
      <c r="A43" s="16" t="s">
        <v>2036</v>
      </c>
      <c r="B43" s="17" t="s">
        <v>2037</v>
      </c>
      <c r="C43" s="13" t="s">
        <v>2038</v>
      </c>
      <c r="D43" s="13" t="s">
        <v>727</v>
      </c>
      <c r="E43" s="18">
        <v>1117643</v>
      </c>
      <c r="F43" s="19">
        <v>15341.33</v>
      </c>
      <c r="G43" s="20">
        <v>0.01</v>
      </c>
      <c r="H43" s="36"/>
      <c r="I43" s="22"/>
      <c r="J43" s="2"/>
    </row>
    <row r="44" spans="1:10" ht="12.95" customHeight="1">
      <c r="A44" s="16" t="s">
        <v>2954</v>
      </c>
      <c r="B44" s="17" t="s">
        <v>2955</v>
      </c>
      <c r="C44" s="13" t="s">
        <v>2956</v>
      </c>
      <c r="D44" s="13" t="s">
        <v>1569</v>
      </c>
      <c r="E44" s="18">
        <v>4528853</v>
      </c>
      <c r="F44" s="19">
        <v>14311.18</v>
      </c>
      <c r="G44" s="20">
        <v>9.2999999999999992E-3</v>
      </c>
      <c r="H44" s="36"/>
      <c r="I44" s="22"/>
      <c r="J44" s="2"/>
    </row>
    <row r="45" spans="1:10" ht="12.95" customHeight="1">
      <c r="A45" s="16" t="s">
        <v>963</v>
      </c>
      <c r="B45" s="17" t="s">
        <v>964</v>
      </c>
      <c r="C45" s="13" t="s">
        <v>965</v>
      </c>
      <c r="D45" s="13" t="s">
        <v>739</v>
      </c>
      <c r="E45" s="18">
        <v>220000</v>
      </c>
      <c r="F45" s="19">
        <v>14149.08</v>
      </c>
      <c r="G45" s="20">
        <v>9.1999999999999998E-3</v>
      </c>
      <c r="H45" s="36"/>
      <c r="I45" s="22"/>
      <c r="J45" s="2"/>
    </row>
    <row r="46" spans="1:10" ht="12.95" customHeight="1">
      <c r="A46" s="16" t="s">
        <v>833</v>
      </c>
      <c r="B46" s="17" t="s">
        <v>834</v>
      </c>
      <c r="C46" s="13" t="s">
        <v>835</v>
      </c>
      <c r="D46" s="13" t="s">
        <v>836</v>
      </c>
      <c r="E46" s="18">
        <v>29657</v>
      </c>
      <c r="F46" s="19">
        <v>13557.55</v>
      </c>
      <c r="G46" s="20">
        <v>8.8000000000000005E-3</v>
      </c>
      <c r="H46" s="36"/>
      <c r="I46" s="22"/>
      <c r="J46" s="2"/>
    </row>
    <row r="47" spans="1:10" ht="12.95" customHeight="1">
      <c r="A47" s="16" t="s">
        <v>746</v>
      </c>
      <c r="B47" s="17" t="s">
        <v>747</v>
      </c>
      <c r="C47" s="13" t="s">
        <v>748</v>
      </c>
      <c r="D47" s="13" t="s">
        <v>749</v>
      </c>
      <c r="E47" s="18">
        <v>270000</v>
      </c>
      <c r="F47" s="19">
        <v>12956.49</v>
      </c>
      <c r="G47" s="20">
        <v>8.3999999999999995E-3</v>
      </c>
      <c r="H47" s="36"/>
      <c r="I47" s="22"/>
      <c r="J47" s="2"/>
    </row>
    <row r="48" spans="1:10" ht="12.95" customHeight="1">
      <c r="A48" s="16" t="s">
        <v>1566</v>
      </c>
      <c r="B48" s="17" t="s">
        <v>1567</v>
      </c>
      <c r="C48" s="13" t="s">
        <v>1568</v>
      </c>
      <c r="D48" s="13" t="s">
        <v>1569</v>
      </c>
      <c r="E48" s="18">
        <v>2337500</v>
      </c>
      <c r="F48" s="19">
        <v>12461.21</v>
      </c>
      <c r="G48" s="20">
        <v>8.0999999999999996E-3</v>
      </c>
      <c r="H48" s="36"/>
      <c r="I48" s="22"/>
      <c r="J48" s="2"/>
    </row>
    <row r="49" spans="1:10" ht="12.95" customHeight="1">
      <c r="A49" s="16" t="s">
        <v>764</v>
      </c>
      <c r="B49" s="17" t="s">
        <v>765</v>
      </c>
      <c r="C49" s="13" t="s">
        <v>766</v>
      </c>
      <c r="D49" s="13" t="s">
        <v>767</v>
      </c>
      <c r="E49" s="18">
        <v>136835</v>
      </c>
      <c r="F49" s="19">
        <v>12155.6</v>
      </c>
      <c r="G49" s="20">
        <v>7.9000000000000008E-3</v>
      </c>
      <c r="H49" s="36"/>
      <c r="I49" s="22"/>
      <c r="J49" s="2"/>
    </row>
    <row r="50" spans="1:10" ht="12.95" customHeight="1">
      <c r="A50" s="16" t="s">
        <v>2957</v>
      </c>
      <c r="B50" s="17" t="s">
        <v>2958</v>
      </c>
      <c r="C50" s="13" t="s">
        <v>2959</v>
      </c>
      <c r="D50" s="13" t="s">
        <v>789</v>
      </c>
      <c r="E50" s="18">
        <v>47148</v>
      </c>
      <c r="F50" s="19">
        <v>11708.03</v>
      </c>
      <c r="G50" s="20">
        <v>7.6E-3</v>
      </c>
      <c r="H50" s="36"/>
      <c r="I50" s="22"/>
      <c r="J50" s="2"/>
    </row>
    <row r="51" spans="1:10" ht="12.95" customHeight="1">
      <c r="A51" s="16" t="s">
        <v>2528</v>
      </c>
      <c r="B51" s="17" t="s">
        <v>2529</v>
      </c>
      <c r="C51" s="13" t="s">
        <v>2530</v>
      </c>
      <c r="D51" s="13" t="s">
        <v>749</v>
      </c>
      <c r="E51" s="18">
        <v>55796</v>
      </c>
      <c r="F51" s="19">
        <v>11448.11</v>
      </c>
      <c r="G51" s="20">
        <v>7.4000000000000003E-3</v>
      </c>
      <c r="H51" s="36"/>
      <c r="I51" s="22"/>
      <c r="J51" s="2"/>
    </row>
    <row r="52" spans="1:10" ht="12.95" customHeight="1">
      <c r="A52" s="16" t="s">
        <v>1033</v>
      </c>
      <c r="B52" s="17" t="s">
        <v>1034</v>
      </c>
      <c r="C52" s="13" t="s">
        <v>1035</v>
      </c>
      <c r="D52" s="13" t="s">
        <v>814</v>
      </c>
      <c r="E52" s="18">
        <v>260000</v>
      </c>
      <c r="F52" s="19">
        <v>9876.1</v>
      </c>
      <c r="G52" s="20">
        <v>6.4000000000000003E-3</v>
      </c>
      <c r="H52" s="36"/>
      <c r="I52" s="22"/>
      <c r="J52" s="2"/>
    </row>
    <row r="53" spans="1:10" ht="12.95" customHeight="1">
      <c r="A53" s="16" t="s">
        <v>821</v>
      </c>
      <c r="B53" s="17" t="s">
        <v>822</v>
      </c>
      <c r="C53" s="13" t="s">
        <v>823</v>
      </c>
      <c r="D53" s="13" t="s">
        <v>753</v>
      </c>
      <c r="E53" s="18">
        <v>2187162</v>
      </c>
      <c r="F53" s="19">
        <v>8795.67</v>
      </c>
      <c r="G53" s="20">
        <v>5.7000000000000002E-3</v>
      </c>
      <c r="H53" s="36"/>
      <c r="I53" s="22"/>
      <c r="J53" s="2"/>
    </row>
    <row r="54" spans="1:10" ht="12.95" customHeight="1">
      <c r="A54" s="16" t="s">
        <v>2428</v>
      </c>
      <c r="B54" s="17" t="s">
        <v>2429</v>
      </c>
      <c r="C54" s="13" t="s">
        <v>2430</v>
      </c>
      <c r="D54" s="13" t="s">
        <v>987</v>
      </c>
      <c r="E54" s="18">
        <v>4807901</v>
      </c>
      <c r="F54" s="19">
        <v>8721.5300000000007</v>
      </c>
      <c r="G54" s="20">
        <v>5.7000000000000002E-3</v>
      </c>
      <c r="H54" s="36"/>
      <c r="I54" s="22"/>
      <c r="J54" s="2"/>
    </row>
    <row r="55" spans="1:10" ht="12.95" customHeight="1">
      <c r="A55" s="16" t="s">
        <v>811</v>
      </c>
      <c r="B55" s="17" t="s">
        <v>812</v>
      </c>
      <c r="C55" s="13" t="s">
        <v>813</v>
      </c>
      <c r="D55" s="13" t="s">
        <v>814</v>
      </c>
      <c r="E55" s="18">
        <v>1172250</v>
      </c>
      <c r="F55" s="19">
        <v>8256.16</v>
      </c>
      <c r="G55" s="20">
        <v>5.4000000000000003E-3</v>
      </c>
      <c r="H55" s="36"/>
      <c r="I55" s="22"/>
      <c r="J55" s="2"/>
    </row>
    <row r="56" spans="1:10" ht="12.95" customHeight="1">
      <c r="A56" s="16" t="s">
        <v>805</v>
      </c>
      <c r="B56" s="17" t="s">
        <v>806</v>
      </c>
      <c r="C56" s="13" t="s">
        <v>807</v>
      </c>
      <c r="D56" s="13" t="s">
        <v>727</v>
      </c>
      <c r="E56" s="18">
        <v>420714</v>
      </c>
      <c r="F56" s="19">
        <v>8226.2199999999993</v>
      </c>
      <c r="G56" s="20">
        <v>5.3E-3</v>
      </c>
      <c r="H56" s="36"/>
      <c r="I56" s="22"/>
      <c r="J56" s="2"/>
    </row>
    <row r="57" spans="1:10" ht="12.95" customHeight="1">
      <c r="A57" s="16" t="s">
        <v>1001</v>
      </c>
      <c r="B57" s="17" t="s">
        <v>1002</v>
      </c>
      <c r="C57" s="13" t="s">
        <v>1003</v>
      </c>
      <c r="D57" s="13" t="s">
        <v>789</v>
      </c>
      <c r="E57" s="18">
        <v>875000</v>
      </c>
      <c r="F57" s="19">
        <v>7464.63</v>
      </c>
      <c r="G57" s="20">
        <v>4.7999999999999996E-3</v>
      </c>
      <c r="H57" s="36"/>
      <c r="I57" s="22"/>
      <c r="J57" s="2"/>
    </row>
    <row r="58" spans="1:10" ht="12.95" customHeight="1">
      <c r="A58" s="16" t="s">
        <v>2960</v>
      </c>
      <c r="B58" s="17" t="s">
        <v>2961</v>
      </c>
      <c r="C58" s="13" t="s">
        <v>2962</v>
      </c>
      <c r="D58" s="13" t="s">
        <v>767</v>
      </c>
      <c r="E58" s="18">
        <v>325218</v>
      </c>
      <c r="F58" s="19">
        <v>7431.07</v>
      </c>
      <c r="G58" s="20">
        <v>4.7999999999999996E-3</v>
      </c>
      <c r="H58" s="36"/>
      <c r="I58" s="22"/>
      <c r="J58" s="2"/>
    </row>
    <row r="59" spans="1:10" ht="12.95" customHeight="1">
      <c r="A59" s="16" t="s">
        <v>1831</v>
      </c>
      <c r="B59" s="17" t="s">
        <v>1832</v>
      </c>
      <c r="C59" s="13" t="s">
        <v>1833</v>
      </c>
      <c r="D59" s="13" t="s">
        <v>749</v>
      </c>
      <c r="E59" s="18">
        <v>230000</v>
      </c>
      <c r="F59" s="19">
        <v>7096.65</v>
      </c>
      <c r="G59" s="20">
        <v>4.5999999999999999E-3</v>
      </c>
      <c r="H59" s="36"/>
      <c r="I59" s="22"/>
      <c r="J59" s="2"/>
    </row>
    <row r="60" spans="1:10" ht="12.95" customHeight="1">
      <c r="A60" s="16" t="s">
        <v>2963</v>
      </c>
      <c r="B60" s="17" t="s">
        <v>2964</v>
      </c>
      <c r="C60" s="13" t="s">
        <v>2965</v>
      </c>
      <c r="D60" s="13" t="s">
        <v>782</v>
      </c>
      <c r="E60" s="18">
        <v>1052012</v>
      </c>
      <c r="F60" s="19">
        <v>5717.69</v>
      </c>
      <c r="G60" s="20">
        <v>3.7000000000000002E-3</v>
      </c>
      <c r="H60" s="36"/>
      <c r="I60" s="22"/>
      <c r="J60" s="2"/>
    </row>
    <row r="61" spans="1:10" ht="12.95" customHeight="1">
      <c r="A61" s="16" t="s">
        <v>818</v>
      </c>
      <c r="B61" s="17" t="s">
        <v>819</v>
      </c>
      <c r="C61" s="13" t="s">
        <v>820</v>
      </c>
      <c r="D61" s="13" t="s">
        <v>739</v>
      </c>
      <c r="E61" s="18">
        <v>49803</v>
      </c>
      <c r="F61" s="19">
        <v>4172.9399999999996</v>
      </c>
      <c r="G61" s="20">
        <v>2.7000000000000001E-3</v>
      </c>
      <c r="H61" s="36"/>
      <c r="I61" s="22"/>
      <c r="J61" s="2"/>
    </row>
    <row r="62" spans="1:10" ht="12.95" customHeight="1">
      <c r="A62" s="16" t="s">
        <v>851</v>
      </c>
      <c r="B62" s="17" t="s">
        <v>852</v>
      </c>
      <c r="C62" s="13" t="s">
        <v>853</v>
      </c>
      <c r="D62" s="13" t="s">
        <v>771</v>
      </c>
      <c r="E62" s="18">
        <v>458333</v>
      </c>
      <c r="F62" s="19">
        <v>3385.71</v>
      </c>
      <c r="G62" s="20">
        <v>2.2000000000000001E-3</v>
      </c>
      <c r="H62" s="36"/>
      <c r="I62" s="22"/>
      <c r="J62" s="2"/>
    </row>
    <row r="63" spans="1:10" ht="12.95" customHeight="1">
      <c r="A63" s="16" t="s">
        <v>1534</v>
      </c>
      <c r="B63" s="17" t="s">
        <v>1535</v>
      </c>
      <c r="C63" s="13" t="s">
        <v>1536</v>
      </c>
      <c r="D63" s="13" t="s">
        <v>789</v>
      </c>
      <c r="E63" s="18">
        <v>67065</v>
      </c>
      <c r="F63" s="19">
        <v>1717.03</v>
      </c>
      <c r="G63" s="20">
        <v>1.1000000000000001E-3</v>
      </c>
      <c r="H63" s="36"/>
      <c r="I63" s="22"/>
      <c r="J63" s="2"/>
    </row>
    <row r="64" spans="1:10" ht="12.95" customHeight="1">
      <c r="A64" s="16" t="s">
        <v>997</v>
      </c>
      <c r="B64" s="17" t="s">
        <v>998</v>
      </c>
      <c r="C64" s="13" t="s">
        <v>999</v>
      </c>
      <c r="D64" s="13" t="s">
        <v>1000</v>
      </c>
      <c r="E64" s="18">
        <v>150000</v>
      </c>
      <c r="F64" s="19">
        <v>454.8</v>
      </c>
      <c r="G64" s="20">
        <v>2.9999999999999997E-4</v>
      </c>
      <c r="H64" s="36"/>
      <c r="I64" s="22"/>
      <c r="J64" s="2"/>
    </row>
    <row r="65" spans="1:10" ht="12.95" customHeight="1">
      <c r="A65" s="16" t="s">
        <v>2966</v>
      </c>
      <c r="B65" s="17" t="s">
        <v>2967</v>
      </c>
      <c r="C65" s="13" t="s">
        <v>2968</v>
      </c>
      <c r="D65" s="13" t="s">
        <v>727</v>
      </c>
      <c r="E65" s="18">
        <v>3453</v>
      </c>
      <c r="F65" s="19">
        <v>261</v>
      </c>
      <c r="G65" s="20">
        <v>2.0000000000000001E-4</v>
      </c>
      <c r="H65" s="36"/>
      <c r="I65" s="22"/>
      <c r="J65" s="2"/>
    </row>
    <row r="66" spans="1:10" ht="12.95" customHeight="1">
      <c r="A66" s="16" t="s">
        <v>1045</v>
      </c>
      <c r="B66" s="17" t="s">
        <v>3930</v>
      </c>
      <c r="C66" s="13" t="s">
        <v>1046</v>
      </c>
      <c r="D66" s="13" t="s">
        <v>1047</v>
      </c>
      <c r="E66" s="18">
        <v>245780</v>
      </c>
      <c r="F66" s="19">
        <v>1749.95</v>
      </c>
      <c r="G66" s="20">
        <v>1.1000000000000001E-3</v>
      </c>
      <c r="H66" s="36"/>
      <c r="I66" s="22"/>
      <c r="J66" s="2"/>
    </row>
    <row r="67" spans="1:10" ht="12.95" customHeight="1">
      <c r="A67" s="2"/>
      <c r="B67" s="27" t="s">
        <v>177</v>
      </c>
      <c r="C67" s="28"/>
      <c r="D67" s="1"/>
      <c r="E67" s="28"/>
      <c r="F67" s="23">
        <v>1444569.24</v>
      </c>
      <c r="G67" s="24">
        <v>0.93840000000000001</v>
      </c>
      <c r="H67" s="25"/>
      <c r="I67" s="26"/>
      <c r="J67" s="2"/>
    </row>
    <row r="68" spans="1:10" ht="12.95" customHeight="1">
      <c r="A68" s="2"/>
      <c r="B68" s="12" t="s">
        <v>860</v>
      </c>
      <c r="C68" s="13"/>
      <c r="D68" s="13"/>
      <c r="E68" s="13"/>
      <c r="F68" s="13"/>
      <c r="G68" s="13"/>
      <c r="H68" s="14"/>
      <c r="I68" s="15"/>
      <c r="J68" s="2"/>
    </row>
    <row r="69" spans="1:10" ht="12.95" customHeight="1">
      <c r="A69" s="2"/>
      <c r="B69" s="12" t="s">
        <v>1601</v>
      </c>
      <c r="C69" s="13"/>
      <c r="D69" s="13"/>
      <c r="E69" s="13"/>
      <c r="F69" s="2"/>
      <c r="G69" s="14"/>
      <c r="H69" s="14"/>
      <c r="I69" s="15"/>
      <c r="J69" s="2"/>
    </row>
    <row r="70" spans="1:10" ht="12.95" customHeight="1">
      <c r="A70" s="16" t="s">
        <v>1997</v>
      </c>
      <c r="B70" s="17" t="s">
        <v>1998</v>
      </c>
      <c r="C70" s="13"/>
      <c r="D70" s="13"/>
      <c r="E70" s="18">
        <v>1187500</v>
      </c>
      <c r="F70" s="19">
        <v>10172.719999999999</v>
      </c>
      <c r="G70" s="20">
        <v>6.6E-3</v>
      </c>
      <c r="H70" s="36"/>
      <c r="I70" s="22"/>
      <c r="J70" s="2"/>
    </row>
    <row r="71" spans="1:10" ht="12.95" customHeight="1">
      <c r="A71" s="16" t="s">
        <v>1674</v>
      </c>
      <c r="B71" s="17" t="s">
        <v>1675</v>
      </c>
      <c r="C71" s="13"/>
      <c r="D71" s="13"/>
      <c r="E71" s="18">
        <v>893750</v>
      </c>
      <c r="F71" s="19">
        <v>6293.79</v>
      </c>
      <c r="G71" s="20">
        <v>4.1000000000000003E-3</v>
      </c>
      <c r="H71" s="36"/>
      <c r="I71" s="22"/>
      <c r="J71" s="2"/>
    </row>
    <row r="72" spans="1:10" ht="12.95" customHeight="1">
      <c r="A72" s="16" t="s">
        <v>1648</v>
      </c>
      <c r="B72" s="17" t="s">
        <v>1649</v>
      </c>
      <c r="C72" s="13"/>
      <c r="D72" s="13"/>
      <c r="E72" s="18">
        <v>3375000</v>
      </c>
      <c r="F72" s="19">
        <v>5388.19</v>
      </c>
      <c r="G72" s="20">
        <v>3.5000000000000001E-3</v>
      </c>
      <c r="H72" s="36"/>
      <c r="I72" s="22"/>
      <c r="J72" s="2"/>
    </row>
    <row r="73" spans="1:10" ht="12.95" customHeight="1">
      <c r="A73" s="2"/>
      <c r="B73" s="12" t="s">
        <v>172</v>
      </c>
      <c r="C73" s="13"/>
      <c r="D73" s="13"/>
      <c r="E73" s="13"/>
      <c r="F73" s="23">
        <v>21854.7</v>
      </c>
      <c r="G73" s="24">
        <v>1.4200000000000001E-2</v>
      </c>
      <c r="H73" s="25"/>
      <c r="I73" s="26"/>
      <c r="J73" s="2"/>
    </row>
    <row r="74" spans="1:10" ht="12.95" customHeight="1">
      <c r="A74" s="2"/>
      <c r="B74" s="27" t="s">
        <v>177</v>
      </c>
      <c r="C74" s="28"/>
      <c r="D74" s="1"/>
      <c r="E74" s="28"/>
      <c r="F74" s="23">
        <v>21854.7</v>
      </c>
      <c r="G74" s="24">
        <v>1.4200000000000001E-2</v>
      </c>
      <c r="H74" s="25"/>
      <c r="I74" s="26"/>
      <c r="J74" s="2"/>
    </row>
    <row r="75" spans="1:10" ht="12.95" customHeight="1">
      <c r="A75" s="2"/>
      <c r="B75" s="12" t="s">
        <v>219</v>
      </c>
      <c r="C75" s="13"/>
      <c r="D75" s="13"/>
      <c r="E75" s="13"/>
      <c r="F75" s="13"/>
      <c r="G75" s="13"/>
      <c r="H75" s="14"/>
      <c r="I75" s="15"/>
      <c r="J75" s="2"/>
    </row>
    <row r="76" spans="1:10" ht="12.95" customHeight="1">
      <c r="A76" s="2"/>
      <c r="B76" s="12" t="s">
        <v>1106</v>
      </c>
      <c r="C76" s="13"/>
      <c r="D76" s="38" t="s">
        <v>1107</v>
      </c>
      <c r="E76" s="13"/>
      <c r="F76" s="2"/>
      <c r="G76" s="14"/>
      <c r="H76" s="14"/>
      <c r="I76" s="15"/>
      <c r="J76" s="2"/>
    </row>
    <row r="77" spans="1:10" ht="12.95" customHeight="1">
      <c r="A77" s="16" t="s">
        <v>2969</v>
      </c>
      <c r="B77" s="17" t="s">
        <v>2970</v>
      </c>
      <c r="C77" s="13"/>
      <c r="D77" s="39" t="s">
        <v>2139</v>
      </c>
      <c r="E77" s="40"/>
      <c r="F77" s="19">
        <v>4950</v>
      </c>
      <c r="G77" s="20">
        <v>3.2000000000000002E-3</v>
      </c>
      <c r="H77" s="21">
        <v>2.9978600540000001E-2</v>
      </c>
      <c r="I77" s="22"/>
      <c r="J77" s="2"/>
    </row>
    <row r="78" spans="1:10" ht="12.95" customHeight="1">
      <c r="A78" s="16" t="s">
        <v>2971</v>
      </c>
      <c r="B78" s="17" t="s">
        <v>2972</v>
      </c>
      <c r="C78" s="13"/>
      <c r="D78" s="39" t="s">
        <v>1714</v>
      </c>
      <c r="E78" s="40"/>
      <c r="F78" s="19">
        <v>4950</v>
      </c>
      <c r="G78" s="20">
        <v>3.2000000000000002E-3</v>
      </c>
      <c r="H78" s="21">
        <v>2.9755434779999999E-2</v>
      </c>
      <c r="I78" s="22"/>
      <c r="J78" s="2"/>
    </row>
    <row r="79" spans="1:10" ht="12.95" customHeight="1">
      <c r="A79" s="16" t="s">
        <v>1718</v>
      </c>
      <c r="B79" s="17" t="s">
        <v>1719</v>
      </c>
      <c r="C79" s="13"/>
      <c r="D79" s="39" t="s">
        <v>1714</v>
      </c>
      <c r="E79" s="40"/>
      <c r="F79" s="19">
        <v>3948</v>
      </c>
      <c r="G79" s="20">
        <v>2.5999999999999999E-3</v>
      </c>
      <c r="H79" s="21">
        <v>2.9755434779999999E-2</v>
      </c>
      <c r="I79" s="22"/>
      <c r="J79" s="2"/>
    </row>
    <row r="80" spans="1:10" ht="12.95" customHeight="1">
      <c r="A80" s="16" t="s">
        <v>2973</v>
      </c>
      <c r="B80" s="17" t="s">
        <v>2974</v>
      </c>
      <c r="C80" s="13"/>
      <c r="D80" s="39" t="s">
        <v>1714</v>
      </c>
      <c r="E80" s="40"/>
      <c r="F80" s="19">
        <v>2966</v>
      </c>
      <c r="G80" s="20">
        <v>1.9E-3</v>
      </c>
      <c r="H80" s="21">
        <v>3.030803571E-2</v>
      </c>
      <c r="I80" s="22"/>
      <c r="J80" s="2"/>
    </row>
    <row r="81" spans="1:10" ht="12.95" customHeight="1">
      <c r="A81" s="16" t="s">
        <v>2975</v>
      </c>
      <c r="B81" s="17" t="s">
        <v>2976</v>
      </c>
      <c r="C81" s="13"/>
      <c r="D81" s="39" t="s">
        <v>1722</v>
      </c>
      <c r="E81" s="40"/>
      <c r="F81" s="19">
        <v>1964</v>
      </c>
      <c r="G81" s="20">
        <v>1.2999999999999999E-3</v>
      </c>
      <c r="H81" s="21">
        <v>2.9755434779999999E-2</v>
      </c>
      <c r="I81" s="22"/>
      <c r="J81" s="2"/>
    </row>
    <row r="82" spans="1:10" ht="12.95" customHeight="1">
      <c r="A82" s="16" t="s">
        <v>2977</v>
      </c>
      <c r="B82" s="17" t="s">
        <v>2978</v>
      </c>
      <c r="C82" s="13"/>
      <c r="D82" s="39" t="s">
        <v>1714</v>
      </c>
      <c r="E82" s="40"/>
      <c r="F82" s="19">
        <v>1964</v>
      </c>
      <c r="G82" s="20">
        <v>1.2999999999999999E-3</v>
      </c>
      <c r="H82" s="21">
        <v>2.9755434779999999E-2</v>
      </c>
      <c r="I82" s="22"/>
      <c r="J82" s="2"/>
    </row>
    <row r="83" spans="1:10" ht="12.95" customHeight="1">
      <c r="A83" s="2"/>
      <c r="B83" s="12" t="s">
        <v>172</v>
      </c>
      <c r="C83" s="13"/>
      <c r="D83" s="13"/>
      <c r="E83" s="13"/>
      <c r="F83" s="23">
        <v>20742</v>
      </c>
      <c r="G83" s="24">
        <v>1.35E-2</v>
      </c>
      <c r="H83" s="25"/>
      <c r="I83" s="26"/>
      <c r="J83" s="2"/>
    </row>
    <row r="84" spans="1:10" ht="12.95" customHeight="1">
      <c r="A84" s="2"/>
      <c r="B84" s="27" t="s">
        <v>177</v>
      </c>
      <c r="C84" s="28"/>
      <c r="D84" s="1"/>
      <c r="E84" s="28"/>
      <c r="F84" s="23">
        <v>20742</v>
      </c>
      <c r="G84" s="24">
        <v>1.35E-2</v>
      </c>
      <c r="H84" s="25"/>
      <c r="I84" s="26"/>
      <c r="J84" s="2"/>
    </row>
    <row r="85" spans="1:10" ht="12.95" customHeight="1">
      <c r="A85" s="2"/>
      <c r="B85" s="12" t="s">
        <v>178</v>
      </c>
      <c r="C85" s="13"/>
      <c r="D85" s="13"/>
      <c r="E85" s="13"/>
      <c r="F85" s="13"/>
      <c r="G85" s="13"/>
      <c r="H85" s="14"/>
      <c r="I85" s="15"/>
      <c r="J85" s="2"/>
    </row>
    <row r="86" spans="1:10" ht="12.95" customHeight="1">
      <c r="A86" s="16" t="s">
        <v>179</v>
      </c>
      <c r="B86" s="17" t="s">
        <v>180</v>
      </c>
      <c r="C86" s="13"/>
      <c r="D86" s="13"/>
      <c r="E86" s="18"/>
      <c r="F86" s="19">
        <v>100384.74</v>
      </c>
      <c r="G86" s="20">
        <v>6.5199999999999994E-2</v>
      </c>
      <c r="H86" s="21">
        <v>3.3046324185582891E-2</v>
      </c>
      <c r="I86" s="22"/>
      <c r="J86" s="2"/>
    </row>
    <row r="87" spans="1:10" ht="12.95" customHeight="1">
      <c r="A87" s="2"/>
      <c r="B87" s="12" t="s">
        <v>172</v>
      </c>
      <c r="C87" s="13"/>
      <c r="D87" s="13"/>
      <c r="E87" s="13"/>
      <c r="F87" s="23">
        <v>100384.74</v>
      </c>
      <c r="G87" s="24">
        <v>6.5199999999999994E-2</v>
      </c>
      <c r="H87" s="25"/>
      <c r="I87" s="26"/>
      <c r="J87" s="2"/>
    </row>
    <row r="88" spans="1:10" ht="12.95" customHeight="1">
      <c r="A88" s="2"/>
      <c r="B88" s="27" t="s">
        <v>177</v>
      </c>
      <c r="C88" s="28"/>
      <c r="D88" s="1"/>
      <c r="E88" s="28"/>
      <c r="F88" s="23">
        <v>100384.74</v>
      </c>
      <c r="G88" s="24">
        <v>6.5199999999999994E-2</v>
      </c>
      <c r="H88" s="25"/>
      <c r="I88" s="26"/>
      <c r="J88" s="2"/>
    </row>
    <row r="89" spans="1:10" ht="12.95" customHeight="1">
      <c r="A89" s="2"/>
      <c r="B89" s="27" t="s">
        <v>181</v>
      </c>
      <c r="C89" s="13"/>
      <c r="D89" s="1"/>
      <c r="E89" s="13"/>
      <c r="F89" s="29">
        <v>-48064.480000000003</v>
      </c>
      <c r="G89" s="24">
        <v>-3.1300000000000001E-2</v>
      </c>
      <c r="H89" s="25"/>
      <c r="I89" s="26"/>
      <c r="J89" s="2"/>
    </row>
    <row r="90" spans="1:10" ht="12.95" customHeight="1">
      <c r="A90" s="2"/>
      <c r="B90" s="30" t="s">
        <v>182</v>
      </c>
      <c r="C90" s="31"/>
      <c r="D90" s="31"/>
      <c r="E90" s="31"/>
      <c r="F90" s="32">
        <v>1539486.2</v>
      </c>
      <c r="G90" s="33">
        <v>1</v>
      </c>
      <c r="H90" s="34"/>
      <c r="I90" s="35"/>
      <c r="J90" s="2"/>
    </row>
    <row r="91" spans="1:10" ht="12.95" customHeight="1">
      <c r="A91" s="2"/>
      <c r="B91" s="5"/>
      <c r="C91" s="2"/>
      <c r="D91" s="2"/>
      <c r="E91" s="2"/>
      <c r="F91" s="2"/>
      <c r="G91" s="2"/>
      <c r="H91" s="2"/>
      <c r="I91" s="2"/>
      <c r="J91" s="2"/>
    </row>
    <row r="92" spans="1:10" ht="12.95" customHeight="1">
      <c r="A92" s="2"/>
      <c r="B92" s="3" t="s">
        <v>244</v>
      </c>
      <c r="C92" s="2"/>
      <c r="D92" s="2"/>
      <c r="E92" s="2"/>
      <c r="F92" s="2"/>
      <c r="G92" s="2"/>
      <c r="H92" s="2"/>
      <c r="I92" s="2"/>
      <c r="J92" s="2"/>
    </row>
    <row r="93" spans="1:10" ht="12.95" customHeight="1">
      <c r="A93" s="2"/>
      <c r="B93" s="3"/>
      <c r="C93" s="2"/>
      <c r="D93" s="2"/>
      <c r="E93" s="2"/>
      <c r="F93" s="2"/>
      <c r="G93" s="2"/>
      <c r="H93" s="2"/>
      <c r="I93" s="2"/>
      <c r="J93" s="2"/>
    </row>
    <row r="94" spans="1:10" ht="12.95" customHeight="1">
      <c r="A94" s="2"/>
      <c r="B94" s="3" t="s">
        <v>186</v>
      </c>
      <c r="C94" s="2"/>
      <c r="D94" s="2"/>
      <c r="E94" s="2"/>
      <c r="F94" s="2"/>
      <c r="G94" s="2"/>
      <c r="H94" s="2"/>
      <c r="I94" s="2"/>
      <c r="J94" s="2"/>
    </row>
    <row r="95" spans="1:10" ht="23.25" customHeight="1">
      <c r="A95" s="2"/>
      <c r="B95" s="189" t="s">
        <v>4025</v>
      </c>
      <c r="C95" s="189"/>
      <c r="D95" s="189"/>
      <c r="E95" s="189"/>
      <c r="F95" s="189"/>
      <c r="G95" s="189"/>
      <c r="H95" s="189"/>
      <c r="I95" s="189"/>
      <c r="J95" s="2"/>
    </row>
    <row r="96" spans="1:10" ht="12.95" customHeight="1">
      <c r="A96" s="2"/>
      <c r="B96" s="3"/>
      <c r="C96" s="2"/>
      <c r="D96" s="2"/>
      <c r="E96" s="2"/>
      <c r="F96" s="2"/>
      <c r="G96" s="2"/>
      <c r="H96" s="2"/>
      <c r="I96" s="2"/>
      <c r="J96" s="2"/>
    </row>
    <row r="97" spans="2:3">
      <c r="C97" s="111" t="s">
        <v>3962</v>
      </c>
    </row>
    <row r="98" spans="2:3">
      <c r="B98" s="111" t="s">
        <v>3933</v>
      </c>
      <c r="C98" s="111" t="s">
        <v>3934</v>
      </c>
    </row>
  </sheetData>
  <mergeCells count="2">
    <mergeCell ref="B2:I2"/>
    <mergeCell ref="B95:I95"/>
  </mergeCells>
  <hyperlinks>
    <hyperlink ref="A2" location="Index!A1" display="Index"/>
  </hyperlinks>
  <pageMargins left="0" right="0" top="0" bottom="0" header="0" footer="0"/>
  <pageSetup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5"/>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5" customWidth="1"/>
    <col min="7" max="9" width="10.7109375" customWidth="1"/>
    <col min="10" max="10" width="3.85546875" bestFit="1" customWidth="1"/>
  </cols>
  <sheetData>
    <row r="1" spans="1:13" ht="15.75" thickBot="1">
      <c r="A1" s="108" t="str">
        <f>M2</f>
        <v>AXISMLF</v>
      </c>
    </row>
    <row r="2" spans="1:13" ht="34.5" customHeight="1" thickBot="1">
      <c r="A2" s="135" t="str">
        <f>M2</f>
        <v>AXISMLF</v>
      </c>
      <c r="B2" s="186" t="s">
        <v>75</v>
      </c>
      <c r="C2" s="187"/>
      <c r="D2" s="187"/>
      <c r="E2" s="187"/>
      <c r="F2" s="187"/>
      <c r="G2" s="187"/>
      <c r="H2" s="187"/>
      <c r="I2" s="188"/>
      <c r="J2" s="2"/>
      <c r="M2" s="108" t="s">
        <v>74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1247500</v>
      </c>
      <c r="F8" s="19">
        <v>95659.55</v>
      </c>
      <c r="G8" s="20">
        <v>9.5899999999999999E-2</v>
      </c>
      <c r="H8" s="36"/>
      <c r="I8" s="22"/>
      <c r="J8" s="2"/>
    </row>
    <row r="9" spans="1:13" ht="12.95" customHeight="1">
      <c r="A9" s="16" t="s">
        <v>682</v>
      </c>
      <c r="B9" s="17" t="s">
        <v>683</v>
      </c>
      <c r="C9" s="13" t="s">
        <v>684</v>
      </c>
      <c r="D9" s="13" t="s">
        <v>685</v>
      </c>
      <c r="E9" s="18">
        <v>4714107</v>
      </c>
      <c r="F9" s="19">
        <v>75187.649999999994</v>
      </c>
      <c r="G9" s="20">
        <v>7.5399999999999995E-2</v>
      </c>
      <c r="H9" s="36"/>
      <c r="I9" s="22"/>
      <c r="J9" s="2"/>
    </row>
    <row r="10" spans="1:13" ht="12.95" customHeight="1">
      <c r="A10" s="16" t="s">
        <v>740</v>
      </c>
      <c r="B10" s="17" t="s">
        <v>741</v>
      </c>
      <c r="C10" s="13" t="s">
        <v>742</v>
      </c>
      <c r="D10" s="13" t="s">
        <v>731</v>
      </c>
      <c r="E10" s="18">
        <v>4400000</v>
      </c>
      <c r="F10" s="19">
        <v>73708.800000000003</v>
      </c>
      <c r="G10" s="20">
        <v>7.3899999999999993E-2</v>
      </c>
      <c r="H10" s="36"/>
      <c r="I10" s="22"/>
      <c r="J10" s="2"/>
    </row>
    <row r="11" spans="1:13" ht="12.95" customHeight="1">
      <c r="A11" s="16" t="s">
        <v>736</v>
      </c>
      <c r="B11" s="17" t="s">
        <v>737</v>
      </c>
      <c r="C11" s="13" t="s">
        <v>738</v>
      </c>
      <c r="D11" s="13" t="s">
        <v>739</v>
      </c>
      <c r="E11" s="18">
        <v>1581008</v>
      </c>
      <c r="F11" s="19">
        <v>67196</v>
      </c>
      <c r="G11" s="20">
        <v>6.7400000000000002E-2</v>
      </c>
      <c r="H11" s="36"/>
      <c r="I11" s="22"/>
      <c r="J11" s="2"/>
    </row>
    <row r="12" spans="1:13" ht="12.95" customHeight="1">
      <c r="A12" s="16" t="s">
        <v>728</v>
      </c>
      <c r="B12" s="17" t="s">
        <v>729</v>
      </c>
      <c r="C12" s="13" t="s">
        <v>730</v>
      </c>
      <c r="D12" s="13" t="s">
        <v>731</v>
      </c>
      <c r="E12" s="18">
        <v>1747000</v>
      </c>
      <c r="F12" s="19">
        <v>65958.86</v>
      </c>
      <c r="G12" s="20">
        <v>6.6199999999999995E-2</v>
      </c>
      <c r="H12" s="36"/>
      <c r="I12" s="22"/>
      <c r="J12" s="2"/>
    </row>
    <row r="13" spans="1:13" ht="12.95" customHeight="1">
      <c r="A13" s="16" t="s">
        <v>686</v>
      </c>
      <c r="B13" s="17" t="s">
        <v>687</v>
      </c>
      <c r="C13" s="13" t="s">
        <v>688</v>
      </c>
      <c r="D13" s="13" t="s">
        <v>685</v>
      </c>
      <c r="E13" s="18">
        <v>9085000</v>
      </c>
      <c r="F13" s="19">
        <v>63672.22</v>
      </c>
      <c r="G13" s="20">
        <v>6.3899999999999998E-2</v>
      </c>
      <c r="H13" s="36"/>
      <c r="I13" s="22"/>
      <c r="J13" s="2"/>
    </row>
    <row r="14" spans="1:13" ht="12.95" customHeight="1">
      <c r="A14" s="16" t="s">
        <v>743</v>
      </c>
      <c r="B14" s="17" t="s">
        <v>744</v>
      </c>
      <c r="C14" s="13" t="s">
        <v>745</v>
      </c>
      <c r="D14" s="13" t="s">
        <v>723</v>
      </c>
      <c r="E14" s="18">
        <v>1030000</v>
      </c>
      <c r="F14" s="19">
        <v>28369.29</v>
      </c>
      <c r="G14" s="20">
        <v>2.8500000000000001E-2</v>
      </c>
      <c r="H14" s="36"/>
      <c r="I14" s="22"/>
      <c r="J14" s="2"/>
    </row>
    <row r="15" spans="1:13" ht="12.95" customHeight="1">
      <c r="A15" s="16" t="s">
        <v>891</v>
      </c>
      <c r="B15" s="17" t="s">
        <v>892</v>
      </c>
      <c r="C15" s="13" t="s">
        <v>893</v>
      </c>
      <c r="D15" s="13" t="s">
        <v>782</v>
      </c>
      <c r="E15" s="18">
        <v>381000</v>
      </c>
      <c r="F15" s="19">
        <v>28179.14</v>
      </c>
      <c r="G15" s="20">
        <v>2.8299999999999999E-2</v>
      </c>
      <c r="H15" s="36"/>
      <c r="I15" s="22"/>
      <c r="J15" s="2"/>
    </row>
    <row r="16" spans="1:13" ht="12.95" customHeight="1">
      <c r="A16" s="16" t="s">
        <v>746</v>
      </c>
      <c r="B16" s="17" t="s">
        <v>747</v>
      </c>
      <c r="C16" s="13" t="s">
        <v>748</v>
      </c>
      <c r="D16" s="13" t="s">
        <v>749</v>
      </c>
      <c r="E16" s="18">
        <v>583044</v>
      </c>
      <c r="F16" s="19">
        <v>27978.53</v>
      </c>
      <c r="G16" s="20">
        <v>2.81E-2</v>
      </c>
      <c r="H16" s="36"/>
      <c r="I16" s="22"/>
      <c r="J16" s="2"/>
    </row>
    <row r="17" spans="1:10" ht="12.95" customHeight="1">
      <c r="A17" s="16" t="s">
        <v>796</v>
      </c>
      <c r="B17" s="17" t="s">
        <v>797</v>
      </c>
      <c r="C17" s="13" t="s">
        <v>798</v>
      </c>
      <c r="D17" s="13" t="s">
        <v>771</v>
      </c>
      <c r="E17" s="18">
        <v>11580000</v>
      </c>
      <c r="F17" s="19">
        <v>26165.01</v>
      </c>
      <c r="G17" s="20">
        <v>2.6200000000000001E-2</v>
      </c>
      <c r="H17" s="36"/>
      <c r="I17" s="22"/>
      <c r="J17" s="2"/>
    </row>
    <row r="18" spans="1:10" ht="12.95" customHeight="1">
      <c r="A18" s="16" t="s">
        <v>692</v>
      </c>
      <c r="B18" s="17" t="s">
        <v>693</v>
      </c>
      <c r="C18" s="13" t="s">
        <v>694</v>
      </c>
      <c r="D18" s="13" t="s">
        <v>685</v>
      </c>
      <c r="E18" s="18">
        <v>1300000</v>
      </c>
      <c r="F18" s="19">
        <v>26071.5</v>
      </c>
      <c r="G18" s="20">
        <v>2.6100000000000002E-2</v>
      </c>
      <c r="H18" s="36"/>
      <c r="I18" s="22"/>
      <c r="J18" s="2"/>
    </row>
    <row r="19" spans="1:10" ht="12.95" customHeight="1">
      <c r="A19" s="16" t="s">
        <v>963</v>
      </c>
      <c r="B19" s="17" t="s">
        <v>964</v>
      </c>
      <c r="C19" s="13" t="s">
        <v>965</v>
      </c>
      <c r="D19" s="13" t="s">
        <v>739</v>
      </c>
      <c r="E19" s="18">
        <v>295715</v>
      </c>
      <c r="F19" s="19">
        <v>19018.61</v>
      </c>
      <c r="G19" s="20">
        <v>1.9099999999999999E-2</v>
      </c>
      <c r="H19" s="36"/>
      <c r="I19" s="22"/>
      <c r="J19" s="2"/>
    </row>
    <row r="20" spans="1:10" ht="12.95" customHeight="1">
      <c r="A20" s="16" t="s">
        <v>779</v>
      </c>
      <c r="B20" s="17" t="s">
        <v>780</v>
      </c>
      <c r="C20" s="13" t="s">
        <v>781</v>
      </c>
      <c r="D20" s="13" t="s">
        <v>782</v>
      </c>
      <c r="E20" s="18">
        <v>4535000</v>
      </c>
      <c r="F20" s="19">
        <v>18149.07</v>
      </c>
      <c r="G20" s="20">
        <v>1.8200000000000001E-2</v>
      </c>
      <c r="H20" s="36"/>
      <c r="I20" s="22"/>
      <c r="J20" s="2"/>
    </row>
    <row r="21" spans="1:10" ht="12.95" customHeight="1">
      <c r="A21" s="16" t="s">
        <v>1726</v>
      </c>
      <c r="B21" s="17" t="s">
        <v>1727</v>
      </c>
      <c r="C21" s="13" t="s">
        <v>1728</v>
      </c>
      <c r="D21" s="13" t="s">
        <v>763</v>
      </c>
      <c r="E21" s="18">
        <v>760000</v>
      </c>
      <c r="F21" s="19">
        <v>18102.82</v>
      </c>
      <c r="G21" s="20">
        <v>1.8200000000000001E-2</v>
      </c>
      <c r="H21" s="36"/>
      <c r="I21" s="22"/>
      <c r="J21" s="2"/>
    </row>
    <row r="22" spans="1:10" ht="12.95" customHeight="1">
      <c r="A22" s="16" t="s">
        <v>732</v>
      </c>
      <c r="B22" s="17" t="s">
        <v>733</v>
      </c>
      <c r="C22" s="13" t="s">
        <v>734</v>
      </c>
      <c r="D22" s="13" t="s">
        <v>735</v>
      </c>
      <c r="E22" s="18">
        <v>679000</v>
      </c>
      <c r="F22" s="19">
        <v>17105.71</v>
      </c>
      <c r="G22" s="20">
        <v>1.72E-2</v>
      </c>
      <c r="H22" s="36"/>
      <c r="I22" s="22"/>
      <c r="J22" s="2"/>
    </row>
    <row r="23" spans="1:10" ht="12.95" customHeight="1">
      <c r="A23" s="16" t="s">
        <v>924</v>
      </c>
      <c r="B23" s="17" t="s">
        <v>925</v>
      </c>
      <c r="C23" s="13" t="s">
        <v>926</v>
      </c>
      <c r="D23" s="13" t="s">
        <v>771</v>
      </c>
      <c r="E23" s="18">
        <v>3032868</v>
      </c>
      <c r="F23" s="19">
        <v>16858.2</v>
      </c>
      <c r="G23" s="20">
        <v>1.6899999999999998E-2</v>
      </c>
      <c r="H23" s="36"/>
      <c r="I23" s="22"/>
      <c r="J23" s="2"/>
    </row>
    <row r="24" spans="1:10" ht="12.95" customHeight="1">
      <c r="A24" s="16" t="s">
        <v>914</v>
      </c>
      <c r="B24" s="17" t="s">
        <v>915</v>
      </c>
      <c r="C24" s="13" t="s">
        <v>916</v>
      </c>
      <c r="D24" s="13" t="s">
        <v>731</v>
      </c>
      <c r="E24" s="18">
        <v>369280</v>
      </c>
      <c r="F24" s="19">
        <v>15510.13</v>
      </c>
      <c r="G24" s="20">
        <v>1.5599999999999999E-2</v>
      </c>
      <c r="H24" s="36"/>
      <c r="I24" s="22"/>
      <c r="J24" s="2"/>
    </row>
    <row r="25" spans="1:10" ht="12.95" customHeight="1">
      <c r="A25" s="16" t="s">
        <v>724</v>
      </c>
      <c r="B25" s="17" t="s">
        <v>725</v>
      </c>
      <c r="C25" s="13" t="s">
        <v>726</v>
      </c>
      <c r="D25" s="13" t="s">
        <v>727</v>
      </c>
      <c r="E25" s="18">
        <v>677316</v>
      </c>
      <c r="F25" s="19">
        <v>14632.73</v>
      </c>
      <c r="G25" s="20">
        <v>1.47E-2</v>
      </c>
      <c r="H25" s="36"/>
      <c r="I25" s="22"/>
      <c r="J25" s="2"/>
    </row>
    <row r="26" spans="1:10" ht="12.95" customHeight="1">
      <c r="A26" s="16" t="s">
        <v>888</v>
      </c>
      <c r="B26" s="17" t="s">
        <v>889</v>
      </c>
      <c r="C26" s="13" t="s">
        <v>890</v>
      </c>
      <c r="D26" s="13" t="s">
        <v>789</v>
      </c>
      <c r="E26" s="18">
        <v>410000</v>
      </c>
      <c r="F26" s="19">
        <v>13303.07</v>
      </c>
      <c r="G26" s="20">
        <v>1.3299999999999999E-2</v>
      </c>
      <c r="H26" s="36"/>
      <c r="I26" s="22"/>
      <c r="J26" s="2"/>
    </row>
    <row r="27" spans="1:10" ht="12.95" customHeight="1">
      <c r="A27" s="16" t="s">
        <v>894</v>
      </c>
      <c r="B27" s="17" t="s">
        <v>895</v>
      </c>
      <c r="C27" s="13" t="s">
        <v>896</v>
      </c>
      <c r="D27" s="13" t="s">
        <v>731</v>
      </c>
      <c r="E27" s="18">
        <v>251875</v>
      </c>
      <c r="F27" s="19">
        <v>13201.52</v>
      </c>
      <c r="G27" s="20">
        <v>1.32E-2</v>
      </c>
      <c r="H27" s="36"/>
      <c r="I27" s="22"/>
      <c r="J27" s="2"/>
    </row>
    <row r="28" spans="1:10" ht="12.95" customHeight="1">
      <c r="A28" s="16" t="s">
        <v>750</v>
      </c>
      <c r="B28" s="17" t="s">
        <v>751</v>
      </c>
      <c r="C28" s="13" t="s">
        <v>752</v>
      </c>
      <c r="D28" s="13" t="s">
        <v>753</v>
      </c>
      <c r="E28" s="18">
        <v>414760</v>
      </c>
      <c r="F28" s="19">
        <v>13182.52</v>
      </c>
      <c r="G28" s="20">
        <v>1.32E-2</v>
      </c>
      <c r="H28" s="36"/>
      <c r="I28" s="22"/>
      <c r="J28" s="2"/>
    </row>
    <row r="29" spans="1:10" ht="12.95" customHeight="1">
      <c r="A29" s="16" t="s">
        <v>956</v>
      </c>
      <c r="B29" s="17" t="s">
        <v>957</v>
      </c>
      <c r="C29" s="13" t="s">
        <v>958</v>
      </c>
      <c r="D29" s="13" t="s">
        <v>959</v>
      </c>
      <c r="E29" s="18">
        <v>1843000</v>
      </c>
      <c r="F29" s="19">
        <v>12685.37</v>
      </c>
      <c r="G29" s="20">
        <v>1.2699999999999999E-2</v>
      </c>
      <c r="H29" s="36"/>
      <c r="I29" s="22"/>
      <c r="J29" s="2"/>
    </row>
    <row r="30" spans="1:10" ht="12.95" customHeight="1">
      <c r="A30" s="16" t="s">
        <v>1029</v>
      </c>
      <c r="B30" s="17" t="s">
        <v>1030</v>
      </c>
      <c r="C30" s="13" t="s">
        <v>1031</v>
      </c>
      <c r="D30" s="13" t="s">
        <v>1032</v>
      </c>
      <c r="E30" s="18">
        <v>2968109</v>
      </c>
      <c r="F30" s="19">
        <v>12169.25</v>
      </c>
      <c r="G30" s="20">
        <v>1.2200000000000001E-2</v>
      </c>
      <c r="H30" s="36"/>
      <c r="I30" s="22"/>
      <c r="J30" s="2"/>
    </row>
    <row r="31" spans="1:10" ht="12.95" customHeight="1">
      <c r="A31" s="16" t="s">
        <v>885</v>
      </c>
      <c r="B31" s="17" t="s">
        <v>886</v>
      </c>
      <c r="C31" s="13" t="s">
        <v>887</v>
      </c>
      <c r="D31" s="13" t="s">
        <v>782</v>
      </c>
      <c r="E31" s="18">
        <v>1942333</v>
      </c>
      <c r="F31" s="19">
        <v>12001.68</v>
      </c>
      <c r="G31" s="20">
        <v>1.2E-2</v>
      </c>
      <c r="H31" s="36"/>
      <c r="I31" s="22"/>
      <c r="J31" s="2"/>
    </row>
    <row r="32" spans="1:10" ht="12.95" customHeight="1">
      <c r="A32" s="16" t="s">
        <v>2078</v>
      </c>
      <c r="B32" s="17" t="s">
        <v>2079</v>
      </c>
      <c r="C32" s="13" t="s">
        <v>2080</v>
      </c>
      <c r="D32" s="13" t="s">
        <v>731</v>
      </c>
      <c r="E32" s="18">
        <v>1820000</v>
      </c>
      <c r="F32" s="19">
        <v>11540.62</v>
      </c>
      <c r="G32" s="20">
        <v>1.1599999999999999E-2</v>
      </c>
      <c r="H32" s="36"/>
      <c r="I32" s="22"/>
      <c r="J32" s="2"/>
    </row>
    <row r="33" spans="1:10" ht="12.95" customHeight="1">
      <c r="A33" s="16" t="s">
        <v>786</v>
      </c>
      <c r="B33" s="17" t="s">
        <v>787</v>
      </c>
      <c r="C33" s="13" t="s">
        <v>788</v>
      </c>
      <c r="D33" s="13" t="s">
        <v>789</v>
      </c>
      <c r="E33" s="18">
        <v>416472</v>
      </c>
      <c r="F33" s="19">
        <v>11252.24</v>
      </c>
      <c r="G33" s="20">
        <v>1.1299999999999999E-2</v>
      </c>
      <c r="H33" s="36"/>
      <c r="I33" s="22"/>
      <c r="J33" s="2"/>
    </row>
    <row r="34" spans="1:10" ht="12.95" customHeight="1">
      <c r="A34" s="16" t="s">
        <v>757</v>
      </c>
      <c r="B34" s="17" t="s">
        <v>758</v>
      </c>
      <c r="C34" s="13" t="s">
        <v>759</v>
      </c>
      <c r="D34" s="13" t="s">
        <v>749</v>
      </c>
      <c r="E34" s="18">
        <v>300000</v>
      </c>
      <c r="F34" s="19">
        <v>11159.7</v>
      </c>
      <c r="G34" s="20">
        <v>1.12E-2</v>
      </c>
      <c r="H34" s="36"/>
      <c r="I34" s="22"/>
      <c r="J34" s="2"/>
    </row>
    <row r="35" spans="1:10" ht="12.95" customHeight="1">
      <c r="A35" s="16" t="s">
        <v>930</v>
      </c>
      <c r="B35" s="17" t="s">
        <v>931</v>
      </c>
      <c r="C35" s="13" t="s">
        <v>932</v>
      </c>
      <c r="D35" s="13" t="s">
        <v>723</v>
      </c>
      <c r="E35" s="18">
        <v>1950000</v>
      </c>
      <c r="F35" s="19">
        <v>11002.88</v>
      </c>
      <c r="G35" s="20">
        <v>1.0999999999999999E-2</v>
      </c>
      <c r="H35" s="36"/>
      <c r="I35" s="22"/>
      <c r="J35" s="2"/>
    </row>
    <row r="36" spans="1:10" ht="12.95" customHeight="1">
      <c r="A36" s="16" t="s">
        <v>772</v>
      </c>
      <c r="B36" s="17" t="s">
        <v>773</v>
      </c>
      <c r="C36" s="13" t="s">
        <v>774</v>
      </c>
      <c r="D36" s="13" t="s">
        <v>731</v>
      </c>
      <c r="E36" s="18">
        <v>778000</v>
      </c>
      <c r="F36" s="19">
        <v>10741.07</v>
      </c>
      <c r="G36" s="20">
        <v>1.0800000000000001E-2</v>
      </c>
      <c r="H36" s="36"/>
      <c r="I36" s="22"/>
      <c r="J36" s="2"/>
    </row>
    <row r="37" spans="1:10" ht="12.95" customHeight="1">
      <c r="A37" s="16" t="s">
        <v>1026</v>
      </c>
      <c r="B37" s="17" t="s">
        <v>1027</v>
      </c>
      <c r="C37" s="13" t="s">
        <v>1028</v>
      </c>
      <c r="D37" s="13" t="s">
        <v>763</v>
      </c>
      <c r="E37" s="18">
        <v>521797</v>
      </c>
      <c r="F37" s="19">
        <v>10682.49</v>
      </c>
      <c r="G37" s="20">
        <v>1.0699999999999999E-2</v>
      </c>
      <c r="H37" s="36"/>
      <c r="I37" s="22"/>
      <c r="J37" s="2"/>
    </row>
    <row r="38" spans="1:10" ht="12.95" customHeight="1">
      <c r="A38" s="16" t="s">
        <v>901</v>
      </c>
      <c r="B38" s="17" t="s">
        <v>902</v>
      </c>
      <c r="C38" s="13" t="s">
        <v>903</v>
      </c>
      <c r="D38" s="13" t="s">
        <v>767</v>
      </c>
      <c r="E38" s="18">
        <v>490000</v>
      </c>
      <c r="F38" s="19">
        <v>10593.07</v>
      </c>
      <c r="G38" s="20">
        <v>1.06E-2</v>
      </c>
      <c r="H38" s="36"/>
      <c r="I38" s="22"/>
      <c r="J38" s="2"/>
    </row>
    <row r="39" spans="1:10" ht="12.95" customHeight="1">
      <c r="A39" s="16" t="s">
        <v>873</v>
      </c>
      <c r="B39" s="17" t="s">
        <v>874</v>
      </c>
      <c r="C39" s="13" t="s">
        <v>875</v>
      </c>
      <c r="D39" s="13" t="s">
        <v>789</v>
      </c>
      <c r="E39" s="18">
        <v>53000</v>
      </c>
      <c r="F39" s="19">
        <v>10306.14</v>
      </c>
      <c r="G39" s="20">
        <v>1.03E-2</v>
      </c>
      <c r="H39" s="36"/>
      <c r="I39" s="22"/>
      <c r="J39" s="2"/>
    </row>
    <row r="40" spans="1:10" ht="12.95" customHeight="1">
      <c r="A40" s="16" t="s">
        <v>754</v>
      </c>
      <c r="B40" s="17" t="s">
        <v>755</v>
      </c>
      <c r="C40" s="13" t="s">
        <v>756</v>
      </c>
      <c r="D40" s="13" t="s">
        <v>727</v>
      </c>
      <c r="E40" s="18">
        <v>417192</v>
      </c>
      <c r="F40" s="19">
        <v>9739.56</v>
      </c>
      <c r="G40" s="20">
        <v>9.7999999999999997E-3</v>
      </c>
      <c r="H40" s="36"/>
      <c r="I40" s="22"/>
      <c r="J40" s="2"/>
    </row>
    <row r="41" spans="1:10" ht="12.95" customHeight="1">
      <c r="A41" s="16" t="s">
        <v>848</v>
      </c>
      <c r="B41" s="17" t="s">
        <v>849</v>
      </c>
      <c r="C41" s="13" t="s">
        <v>850</v>
      </c>
      <c r="D41" s="13" t="s">
        <v>739</v>
      </c>
      <c r="E41" s="18">
        <v>7073926</v>
      </c>
      <c r="F41" s="19">
        <v>9662.98</v>
      </c>
      <c r="G41" s="20">
        <v>9.7000000000000003E-3</v>
      </c>
      <c r="H41" s="36"/>
      <c r="I41" s="22"/>
      <c r="J41" s="2"/>
    </row>
    <row r="42" spans="1:10" ht="12.95" customHeight="1">
      <c r="A42" s="16" t="s">
        <v>966</v>
      </c>
      <c r="B42" s="17" t="s">
        <v>967</v>
      </c>
      <c r="C42" s="13" t="s">
        <v>968</v>
      </c>
      <c r="D42" s="13" t="s">
        <v>789</v>
      </c>
      <c r="E42" s="18">
        <v>1170000</v>
      </c>
      <c r="F42" s="19">
        <v>9519.1200000000008</v>
      </c>
      <c r="G42" s="20">
        <v>9.4999999999999998E-3</v>
      </c>
      <c r="H42" s="36"/>
      <c r="I42" s="22"/>
      <c r="J42" s="2"/>
    </row>
    <row r="43" spans="1:10" ht="12.95" customHeight="1">
      <c r="A43" s="16" t="s">
        <v>689</v>
      </c>
      <c r="B43" s="17" t="s">
        <v>690</v>
      </c>
      <c r="C43" s="13" t="s">
        <v>691</v>
      </c>
      <c r="D43" s="13" t="s">
        <v>685</v>
      </c>
      <c r="E43" s="18">
        <v>2020000</v>
      </c>
      <c r="F43" s="19">
        <v>9150.6</v>
      </c>
      <c r="G43" s="20">
        <v>9.1999999999999998E-3</v>
      </c>
      <c r="H43" s="36"/>
      <c r="I43" s="22"/>
      <c r="J43" s="2"/>
    </row>
    <row r="44" spans="1:10" ht="12.95" customHeight="1">
      <c r="A44" s="16" t="s">
        <v>1729</v>
      </c>
      <c r="B44" s="17" t="s">
        <v>1730</v>
      </c>
      <c r="C44" s="13" t="s">
        <v>1731</v>
      </c>
      <c r="D44" s="13" t="s">
        <v>749</v>
      </c>
      <c r="E44" s="18">
        <v>900000</v>
      </c>
      <c r="F44" s="19">
        <v>8851.9500000000007</v>
      </c>
      <c r="G44" s="20">
        <v>8.8999999999999999E-3</v>
      </c>
      <c r="H44" s="36"/>
      <c r="I44" s="22"/>
      <c r="J44" s="2"/>
    </row>
    <row r="45" spans="1:10" ht="12.95" customHeight="1">
      <c r="A45" s="16" t="s">
        <v>2979</v>
      </c>
      <c r="B45" s="17" t="s">
        <v>2980</v>
      </c>
      <c r="C45" s="13" t="s">
        <v>2981</v>
      </c>
      <c r="D45" s="13" t="s">
        <v>910</v>
      </c>
      <c r="E45" s="18">
        <v>1752339</v>
      </c>
      <c r="F45" s="19">
        <v>8802</v>
      </c>
      <c r="G45" s="20">
        <v>8.8000000000000005E-3</v>
      </c>
      <c r="H45" s="36"/>
      <c r="I45" s="22"/>
      <c r="J45" s="2"/>
    </row>
    <row r="46" spans="1:10" ht="12.95" customHeight="1">
      <c r="A46" s="16" t="s">
        <v>2438</v>
      </c>
      <c r="B46" s="17" t="s">
        <v>2439</v>
      </c>
      <c r="C46" s="13" t="s">
        <v>2440</v>
      </c>
      <c r="D46" s="13" t="s">
        <v>2441</v>
      </c>
      <c r="E46" s="18">
        <v>468316</v>
      </c>
      <c r="F46" s="19">
        <v>8675.09</v>
      </c>
      <c r="G46" s="20">
        <v>8.6999999999999994E-3</v>
      </c>
      <c r="H46" s="36"/>
      <c r="I46" s="22"/>
      <c r="J46" s="2"/>
    </row>
    <row r="47" spans="1:10" ht="12.95" customHeight="1">
      <c r="A47" s="16" t="s">
        <v>764</v>
      </c>
      <c r="B47" s="17" t="s">
        <v>765</v>
      </c>
      <c r="C47" s="13" t="s">
        <v>766</v>
      </c>
      <c r="D47" s="13" t="s">
        <v>767</v>
      </c>
      <c r="E47" s="18">
        <v>95000</v>
      </c>
      <c r="F47" s="19">
        <v>8439.23</v>
      </c>
      <c r="G47" s="20">
        <v>8.5000000000000006E-3</v>
      </c>
      <c r="H47" s="36"/>
      <c r="I47" s="22"/>
      <c r="J47" s="2"/>
    </row>
    <row r="48" spans="1:10" ht="12.95" customHeight="1">
      <c r="A48" s="16" t="s">
        <v>799</v>
      </c>
      <c r="B48" s="17" t="s">
        <v>800</v>
      </c>
      <c r="C48" s="13" t="s">
        <v>801</v>
      </c>
      <c r="D48" s="13" t="s">
        <v>749</v>
      </c>
      <c r="E48" s="18">
        <v>920000</v>
      </c>
      <c r="F48" s="19">
        <v>7527.9</v>
      </c>
      <c r="G48" s="20">
        <v>7.6E-3</v>
      </c>
      <c r="H48" s="36"/>
      <c r="I48" s="22"/>
      <c r="J48" s="2"/>
    </row>
    <row r="49" spans="1:10" ht="12.95" customHeight="1">
      <c r="A49" s="16" t="s">
        <v>2982</v>
      </c>
      <c r="B49" s="17" t="s">
        <v>2983</v>
      </c>
      <c r="C49" s="13" t="s">
        <v>2984</v>
      </c>
      <c r="D49" s="13" t="s">
        <v>763</v>
      </c>
      <c r="E49" s="18">
        <v>297440</v>
      </c>
      <c r="F49" s="19">
        <v>6518.99</v>
      </c>
      <c r="G49" s="20">
        <v>6.4999999999999997E-3</v>
      </c>
      <c r="H49" s="36"/>
      <c r="I49" s="22"/>
      <c r="J49" s="2"/>
    </row>
    <row r="50" spans="1:10" ht="12.95" customHeight="1">
      <c r="A50" s="16" t="s">
        <v>857</v>
      </c>
      <c r="B50" s="17" t="s">
        <v>858</v>
      </c>
      <c r="C50" s="13" t="s">
        <v>859</v>
      </c>
      <c r="D50" s="13" t="s">
        <v>763</v>
      </c>
      <c r="E50" s="18">
        <v>861543</v>
      </c>
      <c r="F50" s="19">
        <v>5276.52</v>
      </c>
      <c r="G50" s="20">
        <v>5.3E-3</v>
      </c>
      <c r="H50" s="36"/>
      <c r="I50" s="22"/>
      <c r="J50" s="2"/>
    </row>
    <row r="51" spans="1:10" ht="12.95" customHeight="1">
      <c r="A51" s="16" t="s">
        <v>1735</v>
      </c>
      <c r="B51" s="17" t="s">
        <v>1736</v>
      </c>
      <c r="C51" s="13" t="s">
        <v>1737</v>
      </c>
      <c r="D51" s="13" t="s">
        <v>900</v>
      </c>
      <c r="E51" s="18">
        <v>665000</v>
      </c>
      <c r="F51" s="19">
        <v>4803.96</v>
      </c>
      <c r="G51" s="20">
        <v>4.7999999999999996E-3</v>
      </c>
      <c r="H51" s="36"/>
      <c r="I51" s="22"/>
      <c r="J51" s="2"/>
    </row>
    <row r="52" spans="1:10" ht="12.95" customHeight="1">
      <c r="A52" s="16" t="s">
        <v>984</v>
      </c>
      <c r="B52" s="17" t="s">
        <v>985</v>
      </c>
      <c r="C52" s="13" t="s">
        <v>986</v>
      </c>
      <c r="D52" s="13" t="s">
        <v>987</v>
      </c>
      <c r="E52" s="18">
        <v>113750</v>
      </c>
      <c r="F52" s="19">
        <v>4596.5200000000004</v>
      </c>
      <c r="G52" s="20">
        <v>4.5999999999999999E-3</v>
      </c>
      <c r="H52" s="36"/>
      <c r="I52" s="22"/>
      <c r="J52" s="2"/>
    </row>
    <row r="53" spans="1:10" ht="12.95" customHeight="1">
      <c r="A53" s="16" t="s">
        <v>950</v>
      </c>
      <c r="B53" s="17" t="s">
        <v>951</v>
      </c>
      <c r="C53" s="13" t="s">
        <v>952</v>
      </c>
      <c r="D53" s="13" t="s">
        <v>910</v>
      </c>
      <c r="E53" s="18">
        <v>772909</v>
      </c>
      <c r="F53" s="19">
        <v>4405.1899999999996</v>
      </c>
      <c r="G53" s="20">
        <v>4.4000000000000003E-3</v>
      </c>
      <c r="H53" s="36"/>
      <c r="I53" s="22"/>
      <c r="J53" s="2"/>
    </row>
    <row r="54" spans="1:10" ht="12.95" customHeight="1">
      <c r="A54" s="16" t="s">
        <v>2525</v>
      </c>
      <c r="B54" s="17" t="s">
        <v>2526</v>
      </c>
      <c r="C54" s="13" t="s">
        <v>2527</v>
      </c>
      <c r="D54" s="13" t="s">
        <v>910</v>
      </c>
      <c r="E54" s="18">
        <v>1560508</v>
      </c>
      <c r="F54" s="19">
        <v>4111.9399999999996</v>
      </c>
      <c r="G54" s="20">
        <v>4.1000000000000003E-3</v>
      </c>
      <c r="H54" s="36"/>
      <c r="I54" s="22"/>
      <c r="J54" s="2"/>
    </row>
    <row r="55" spans="1:10" ht="12.95" customHeight="1">
      <c r="A55" s="16" t="s">
        <v>2039</v>
      </c>
      <c r="B55" s="17" t="s">
        <v>3923</v>
      </c>
      <c r="C55" s="13" t="s">
        <v>2041</v>
      </c>
      <c r="D55" s="13" t="s">
        <v>685</v>
      </c>
      <c r="E55" s="18">
        <v>1713795</v>
      </c>
      <c r="F55" s="19">
        <v>2767.09</v>
      </c>
      <c r="G55" s="20">
        <v>2.8E-3</v>
      </c>
      <c r="H55" s="36"/>
      <c r="I55" s="22"/>
      <c r="J55" s="2"/>
    </row>
    <row r="56" spans="1:10" ht="12.95" customHeight="1">
      <c r="A56" s="16" t="s">
        <v>842</v>
      </c>
      <c r="B56" s="17" t="s">
        <v>843</v>
      </c>
      <c r="C56" s="13" t="s">
        <v>844</v>
      </c>
      <c r="D56" s="13" t="s">
        <v>771</v>
      </c>
      <c r="E56" s="18">
        <v>107520</v>
      </c>
      <c r="F56" s="19">
        <v>866.72</v>
      </c>
      <c r="G56" s="20">
        <v>8.9999999999999998E-4</v>
      </c>
      <c r="H56" s="36"/>
      <c r="I56" s="22"/>
      <c r="J56" s="2"/>
    </row>
    <row r="57" spans="1:10" ht="12.95" customHeight="1">
      <c r="A57" s="16" t="s">
        <v>2081</v>
      </c>
      <c r="B57" s="17" t="s">
        <v>3929</v>
      </c>
      <c r="C57" s="13" t="s">
        <v>2082</v>
      </c>
      <c r="D57" s="13" t="s">
        <v>959</v>
      </c>
      <c r="E57" s="18">
        <v>64285</v>
      </c>
      <c r="F57" s="19">
        <v>98.55</v>
      </c>
      <c r="G57" s="20">
        <v>1E-4</v>
      </c>
      <c r="H57" s="36"/>
      <c r="I57" s="22"/>
      <c r="J57" s="2"/>
    </row>
    <row r="58" spans="1:10" ht="12.95" customHeight="1">
      <c r="A58" s="2"/>
      <c r="B58" s="27" t="s">
        <v>177</v>
      </c>
      <c r="C58" s="28"/>
      <c r="D58" s="1"/>
      <c r="E58" s="28"/>
      <c r="F58" s="23">
        <v>975159.35</v>
      </c>
      <c r="G58" s="24">
        <v>0.97809999999999997</v>
      </c>
      <c r="H58" s="25"/>
      <c r="I58" s="26"/>
      <c r="J58" s="2"/>
    </row>
    <row r="59" spans="1:10" ht="12.95" customHeight="1">
      <c r="A59" s="2"/>
      <c r="B59" s="12" t="s">
        <v>860</v>
      </c>
      <c r="C59" s="13"/>
      <c r="D59" s="13"/>
      <c r="E59" s="13"/>
      <c r="F59" s="13"/>
      <c r="G59" s="13"/>
      <c r="H59" s="14"/>
      <c r="I59" s="15"/>
      <c r="J59" s="2"/>
    </row>
    <row r="60" spans="1:10" ht="12.95" customHeight="1">
      <c r="A60" s="2"/>
      <c r="B60" s="12" t="s">
        <v>1601</v>
      </c>
      <c r="C60" s="13"/>
      <c r="D60" s="13"/>
      <c r="E60" s="13"/>
      <c r="F60" s="2"/>
      <c r="G60" s="14"/>
      <c r="H60" s="14"/>
      <c r="I60" s="15"/>
      <c r="J60" s="2"/>
    </row>
    <row r="61" spans="1:10" ht="12.95" customHeight="1">
      <c r="A61" s="16" t="s">
        <v>2007</v>
      </c>
      <c r="B61" s="17" t="s">
        <v>2008</v>
      </c>
      <c r="C61" s="13"/>
      <c r="D61" s="13"/>
      <c r="E61" s="18">
        <v>750000</v>
      </c>
      <c r="F61" s="19">
        <v>3405.75</v>
      </c>
      <c r="G61" s="20">
        <v>3.3999999999999998E-3</v>
      </c>
      <c r="H61" s="36"/>
      <c r="I61" s="22"/>
      <c r="J61" s="2"/>
    </row>
    <row r="62" spans="1:10" ht="12.95" customHeight="1">
      <c r="A62" s="16" t="s">
        <v>1979</v>
      </c>
      <c r="B62" s="17" t="s">
        <v>1980</v>
      </c>
      <c r="C62" s="13"/>
      <c r="D62" s="13"/>
      <c r="E62" s="18">
        <v>224000</v>
      </c>
      <c r="F62" s="19">
        <v>1842.06</v>
      </c>
      <c r="G62" s="20">
        <v>1.8E-3</v>
      </c>
      <c r="H62" s="36"/>
      <c r="I62" s="22"/>
      <c r="J62" s="2"/>
    </row>
    <row r="63" spans="1:10" ht="12.95" customHeight="1">
      <c r="A63" s="2"/>
      <c r="B63" s="12" t="s">
        <v>172</v>
      </c>
      <c r="C63" s="13"/>
      <c r="D63" s="13"/>
      <c r="E63" s="13"/>
      <c r="F63" s="23">
        <v>5247.81</v>
      </c>
      <c r="G63" s="24">
        <v>5.1999999999999998E-3</v>
      </c>
      <c r="H63" s="25"/>
      <c r="I63" s="26"/>
      <c r="J63" s="2"/>
    </row>
    <row r="64" spans="1:10" ht="12.95" customHeight="1">
      <c r="A64" s="2"/>
      <c r="B64" s="27" t="s">
        <v>177</v>
      </c>
      <c r="C64" s="28"/>
      <c r="D64" s="1"/>
      <c r="E64" s="28"/>
      <c r="F64" s="23">
        <v>5247.81</v>
      </c>
      <c r="G64" s="24">
        <v>5.1999999999999998E-3</v>
      </c>
      <c r="H64" s="25"/>
      <c r="I64" s="26"/>
      <c r="J64" s="2"/>
    </row>
    <row r="65" spans="1:10" ht="12.95" customHeight="1">
      <c r="A65" s="2"/>
      <c r="B65" s="12" t="s">
        <v>219</v>
      </c>
      <c r="C65" s="13"/>
      <c r="D65" s="13"/>
      <c r="E65" s="13"/>
      <c r="F65" s="13"/>
      <c r="G65" s="13"/>
      <c r="H65" s="14"/>
      <c r="I65" s="15"/>
      <c r="J65" s="2"/>
    </row>
    <row r="66" spans="1:10" ht="12.95" customHeight="1">
      <c r="A66" s="2"/>
      <c r="B66" s="12" t="s">
        <v>1106</v>
      </c>
      <c r="C66" s="13"/>
      <c r="D66" s="38" t="s">
        <v>1107</v>
      </c>
      <c r="E66" s="13"/>
      <c r="F66" s="2"/>
      <c r="G66" s="14"/>
      <c r="H66" s="14"/>
      <c r="I66" s="15"/>
      <c r="J66" s="2"/>
    </row>
    <row r="67" spans="1:10" ht="12.95" customHeight="1">
      <c r="A67" s="16" t="s">
        <v>2985</v>
      </c>
      <c r="B67" s="17" t="s">
        <v>2986</v>
      </c>
      <c r="C67" s="13"/>
      <c r="D67" s="39" t="s">
        <v>1714</v>
      </c>
      <c r="E67" s="40"/>
      <c r="F67" s="19">
        <v>5932</v>
      </c>
      <c r="G67" s="20">
        <v>5.8999999999999999E-3</v>
      </c>
      <c r="H67" s="21">
        <v>2.9755434779999999E-2</v>
      </c>
      <c r="I67" s="22"/>
      <c r="J67" s="2"/>
    </row>
    <row r="68" spans="1:10" ht="12.95" customHeight="1">
      <c r="A68" s="16" t="s">
        <v>2987</v>
      </c>
      <c r="B68" s="17" t="s">
        <v>2988</v>
      </c>
      <c r="C68" s="13"/>
      <c r="D68" s="39" t="s">
        <v>2077</v>
      </c>
      <c r="E68" s="40"/>
      <c r="F68" s="19">
        <v>982</v>
      </c>
      <c r="G68" s="20">
        <v>1E-3</v>
      </c>
      <c r="H68" s="21">
        <v>2.9755434779999999E-2</v>
      </c>
      <c r="I68" s="22"/>
      <c r="J68" s="2"/>
    </row>
    <row r="69" spans="1:10" ht="12.95" customHeight="1">
      <c r="A69" s="2"/>
      <c r="B69" s="12" t="s">
        <v>172</v>
      </c>
      <c r="C69" s="13"/>
      <c r="D69" s="13"/>
      <c r="E69" s="13"/>
      <c r="F69" s="23">
        <v>6914</v>
      </c>
      <c r="G69" s="24">
        <v>6.8999999999999999E-3</v>
      </c>
      <c r="H69" s="25"/>
      <c r="I69" s="26"/>
      <c r="J69" s="2"/>
    </row>
    <row r="70" spans="1:10" ht="12.95" customHeight="1">
      <c r="A70" s="2"/>
      <c r="B70" s="27" t="s">
        <v>177</v>
      </c>
      <c r="C70" s="28"/>
      <c r="D70" s="1"/>
      <c r="E70" s="28"/>
      <c r="F70" s="23">
        <v>6914</v>
      </c>
      <c r="G70" s="24">
        <v>6.8999999999999999E-3</v>
      </c>
      <c r="H70" s="25"/>
      <c r="I70" s="26"/>
      <c r="J70" s="2"/>
    </row>
    <row r="71" spans="1:10" ht="12.95" customHeight="1">
      <c r="A71" s="2"/>
      <c r="B71" s="12" t="s">
        <v>178</v>
      </c>
      <c r="C71" s="13"/>
      <c r="D71" s="13"/>
      <c r="E71" s="13"/>
      <c r="F71" s="13"/>
      <c r="G71" s="13"/>
      <c r="H71" s="14"/>
      <c r="I71" s="15"/>
      <c r="J71" s="2"/>
    </row>
    <row r="72" spans="1:10" ht="12.95" customHeight="1">
      <c r="A72" s="16" t="s">
        <v>179</v>
      </c>
      <c r="B72" s="17" t="s">
        <v>180</v>
      </c>
      <c r="C72" s="13"/>
      <c r="D72" s="13"/>
      <c r="E72" s="18"/>
      <c r="F72" s="19">
        <v>33061.74</v>
      </c>
      <c r="G72" s="20">
        <v>3.32E-2</v>
      </c>
      <c r="H72" s="21">
        <v>3.3046361947191849E-2</v>
      </c>
      <c r="I72" s="22"/>
      <c r="J72" s="2"/>
    </row>
    <row r="73" spans="1:10" ht="12.95" customHeight="1">
      <c r="A73" s="2"/>
      <c r="B73" s="12" t="s">
        <v>172</v>
      </c>
      <c r="C73" s="13"/>
      <c r="D73" s="13"/>
      <c r="E73" s="13"/>
      <c r="F73" s="23">
        <v>33061.74</v>
      </c>
      <c r="G73" s="24">
        <v>3.32E-2</v>
      </c>
      <c r="H73" s="25"/>
      <c r="I73" s="26"/>
      <c r="J73" s="2"/>
    </row>
    <row r="74" spans="1:10" ht="12.95" customHeight="1">
      <c r="A74" s="2"/>
      <c r="B74" s="27" t="s">
        <v>177</v>
      </c>
      <c r="C74" s="28"/>
      <c r="D74" s="1"/>
      <c r="E74" s="28"/>
      <c r="F74" s="23">
        <v>33061.74</v>
      </c>
      <c r="G74" s="24">
        <v>3.32E-2</v>
      </c>
      <c r="H74" s="25"/>
      <c r="I74" s="26"/>
      <c r="J74" s="2"/>
    </row>
    <row r="75" spans="1:10" ht="12.95" customHeight="1">
      <c r="A75" s="2"/>
      <c r="B75" s="27" t="s">
        <v>181</v>
      </c>
      <c r="C75" s="13"/>
      <c r="D75" s="1"/>
      <c r="E75" s="13"/>
      <c r="F75" s="29">
        <v>-23354.04</v>
      </c>
      <c r="G75" s="24">
        <v>-2.3400000000000001E-2</v>
      </c>
      <c r="H75" s="25"/>
      <c r="I75" s="26"/>
      <c r="J75" s="2"/>
    </row>
    <row r="76" spans="1:10" ht="12.95" customHeight="1">
      <c r="A76" s="2"/>
      <c r="B76" s="30" t="s">
        <v>182</v>
      </c>
      <c r="C76" s="31"/>
      <c r="D76" s="31"/>
      <c r="E76" s="31"/>
      <c r="F76" s="32">
        <v>997028.86</v>
      </c>
      <c r="G76" s="33">
        <v>1</v>
      </c>
      <c r="H76" s="34"/>
      <c r="I76" s="35"/>
      <c r="J76" s="2"/>
    </row>
    <row r="77" spans="1:10" ht="12.95" customHeight="1">
      <c r="A77" s="2"/>
      <c r="B77" s="5"/>
      <c r="C77" s="2"/>
      <c r="D77" s="2"/>
      <c r="E77" s="2"/>
      <c r="F77" s="2"/>
      <c r="G77" s="2"/>
      <c r="H77" s="2"/>
      <c r="I77" s="2"/>
      <c r="J77" s="2"/>
    </row>
    <row r="78" spans="1:10" ht="12.95" customHeight="1">
      <c r="A78" s="2"/>
      <c r="B78" s="3" t="s">
        <v>244</v>
      </c>
      <c r="C78" s="2"/>
      <c r="D78" s="2"/>
      <c r="E78" s="2"/>
      <c r="F78" s="2"/>
      <c r="G78" s="2"/>
      <c r="H78" s="2"/>
      <c r="I78" s="2"/>
      <c r="J78" s="2"/>
    </row>
    <row r="79" spans="1:10" ht="12.95" customHeight="1">
      <c r="A79" s="2"/>
      <c r="B79" s="3" t="s">
        <v>184</v>
      </c>
      <c r="C79" s="2"/>
      <c r="D79" s="2"/>
      <c r="E79" s="2"/>
      <c r="F79" s="2"/>
      <c r="G79" s="2"/>
      <c r="H79" s="2"/>
      <c r="I79" s="2"/>
      <c r="J79" s="2"/>
    </row>
    <row r="80" spans="1:10" ht="12.95" customHeight="1">
      <c r="A80" s="2"/>
      <c r="B80" s="3"/>
      <c r="C80" s="2"/>
      <c r="D80" s="2"/>
      <c r="E80" s="2"/>
      <c r="F80" s="2"/>
      <c r="G80" s="2"/>
      <c r="H80" s="2"/>
      <c r="I80" s="2"/>
      <c r="J80" s="2"/>
    </row>
    <row r="81" spans="1:10" ht="12.95" customHeight="1">
      <c r="A81" s="2"/>
      <c r="B81" s="3" t="s">
        <v>186</v>
      </c>
      <c r="C81" s="2"/>
      <c r="D81" s="2"/>
      <c r="E81" s="2"/>
      <c r="F81" s="2"/>
      <c r="G81" s="2"/>
      <c r="H81" s="2"/>
      <c r="I81" s="2"/>
      <c r="J81" s="2"/>
    </row>
    <row r="82" spans="1:10" ht="23.25" customHeight="1">
      <c r="A82" s="2"/>
      <c r="B82" s="189" t="s">
        <v>4025</v>
      </c>
      <c r="C82" s="189"/>
      <c r="D82" s="189"/>
      <c r="E82" s="189"/>
      <c r="F82" s="189"/>
      <c r="G82" s="189"/>
      <c r="H82" s="189"/>
      <c r="I82" s="189"/>
      <c r="J82" s="2"/>
    </row>
    <row r="83" spans="1:10" ht="12.95" customHeight="1">
      <c r="A83" s="2"/>
      <c r="B83" s="3"/>
      <c r="C83" s="2"/>
      <c r="D83" s="2"/>
      <c r="E83" s="2"/>
      <c r="F83" s="2"/>
      <c r="G83" s="2"/>
      <c r="H83" s="2"/>
      <c r="I83" s="2"/>
      <c r="J83" s="2"/>
    </row>
    <row r="84" spans="1:10">
      <c r="C84" s="111" t="s">
        <v>3963</v>
      </c>
    </row>
    <row r="85" spans="1:10">
      <c r="B85" s="111" t="s">
        <v>3933</v>
      </c>
      <c r="C85" s="111" t="s">
        <v>3934</v>
      </c>
    </row>
  </sheetData>
  <mergeCells count="2">
    <mergeCell ref="B2:I2"/>
    <mergeCell ref="B82:I82"/>
  </mergeCells>
  <hyperlinks>
    <hyperlink ref="A2" location="Index!A1" display="Index"/>
  </hyperlinks>
  <pageMargins left="0" right="0" top="0" bottom="0" header="0" footer="0"/>
  <pageSetup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4"/>
  <sheetViews>
    <sheetView workbookViewId="0"/>
  </sheetViews>
  <sheetFormatPr defaultRowHeight="15"/>
  <cols>
    <col min="1" max="1" width="3.28515625" customWidth="1"/>
    <col min="2" max="2" width="69.140625" customWidth="1"/>
    <col min="3" max="3" width="29.42578125" bestFit="1" customWidth="1"/>
    <col min="4" max="4" width="33.28515625" customWidth="1"/>
    <col min="5" max="5" width="25.7109375" customWidth="1"/>
    <col min="6" max="6" width="15.28515625" bestFit="1" customWidth="1"/>
    <col min="7" max="9" width="10.7109375" customWidth="1"/>
    <col min="10" max="10" width="3.85546875" bestFit="1" customWidth="1"/>
  </cols>
  <sheetData>
    <row r="1" spans="1:13" ht="15.75" thickBot="1">
      <c r="A1" s="108" t="str">
        <f>M2</f>
        <v>AXISMMF</v>
      </c>
    </row>
    <row r="2" spans="1:13" ht="34.5" customHeight="1" thickBot="1">
      <c r="A2" s="135" t="str">
        <f>M2</f>
        <v>AXISMMF</v>
      </c>
      <c r="B2" s="186" t="s">
        <v>77</v>
      </c>
      <c r="C2" s="187"/>
      <c r="D2" s="187"/>
      <c r="E2" s="187"/>
      <c r="F2" s="187"/>
      <c r="G2" s="187"/>
      <c r="H2" s="187"/>
      <c r="I2" s="188"/>
      <c r="J2" s="2"/>
      <c r="M2" s="108" t="s">
        <v>76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2751</v>
      </c>
      <c r="B8" s="17" t="s">
        <v>2752</v>
      </c>
      <c r="C8" s="13" t="s">
        <v>2753</v>
      </c>
      <c r="D8" s="13" t="s">
        <v>200</v>
      </c>
      <c r="E8" s="18">
        <v>14000000</v>
      </c>
      <c r="F8" s="19">
        <v>14075.08</v>
      </c>
      <c r="G8" s="20">
        <v>4.1700000000000001E-2</v>
      </c>
      <c r="H8" s="21">
        <v>3.3894000000000001E-2</v>
      </c>
      <c r="I8" s="22"/>
      <c r="J8" s="2"/>
    </row>
    <row r="9" spans="1:13" ht="12.95" customHeight="1">
      <c r="A9" s="16" t="s">
        <v>2989</v>
      </c>
      <c r="B9" s="17" t="s">
        <v>2990</v>
      </c>
      <c r="C9" s="13" t="s">
        <v>2991</v>
      </c>
      <c r="D9" s="13" t="s">
        <v>200</v>
      </c>
      <c r="E9" s="18">
        <v>4000000</v>
      </c>
      <c r="F9" s="19">
        <v>4066.4</v>
      </c>
      <c r="G9" s="20">
        <v>1.21E-2</v>
      </c>
      <c r="H9" s="21">
        <v>3.6114E-2</v>
      </c>
      <c r="I9" s="22"/>
      <c r="J9" s="2"/>
    </row>
    <row r="10" spans="1:13" ht="12.95" customHeight="1">
      <c r="A10" s="16" t="s">
        <v>2992</v>
      </c>
      <c r="B10" s="17" t="s">
        <v>2993</v>
      </c>
      <c r="C10" s="13" t="s">
        <v>2994</v>
      </c>
      <c r="D10" s="13" t="s">
        <v>200</v>
      </c>
      <c r="E10" s="18">
        <v>1000000</v>
      </c>
      <c r="F10" s="19">
        <v>1000.6</v>
      </c>
      <c r="G10" s="20">
        <v>3.0000000000000001E-3</v>
      </c>
      <c r="H10" s="21">
        <v>3.4328999999999998E-2</v>
      </c>
      <c r="I10" s="22"/>
      <c r="J10" s="2"/>
    </row>
    <row r="11" spans="1:13" ht="12.95" customHeight="1">
      <c r="A11" s="16" t="s">
        <v>2995</v>
      </c>
      <c r="B11" s="17" t="s">
        <v>2996</v>
      </c>
      <c r="C11" s="13" t="s">
        <v>2997</v>
      </c>
      <c r="D11" s="13" t="s">
        <v>200</v>
      </c>
      <c r="E11" s="18">
        <v>500000</v>
      </c>
      <c r="F11" s="19">
        <v>500.3</v>
      </c>
      <c r="G11" s="20">
        <v>1.5E-3</v>
      </c>
      <c r="H11" s="21">
        <v>3.4320000000000003E-2</v>
      </c>
      <c r="I11" s="22"/>
      <c r="J11" s="2"/>
    </row>
    <row r="12" spans="1:13" ht="12.95" customHeight="1">
      <c r="A12" s="2"/>
      <c r="B12" s="12" t="s">
        <v>172</v>
      </c>
      <c r="C12" s="13"/>
      <c r="D12" s="13"/>
      <c r="E12" s="13"/>
      <c r="F12" s="23">
        <v>19642.38</v>
      </c>
      <c r="G12" s="24">
        <v>5.8299999999999998E-2</v>
      </c>
      <c r="H12" s="25"/>
      <c r="I12" s="26"/>
      <c r="J12" s="2"/>
    </row>
    <row r="13" spans="1:13" ht="12.95" customHeight="1">
      <c r="A13" s="2"/>
      <c r="B13" s="27" t="s">
        <v>173</v>
      </c>
      <c r="C13" s="1"/>
      <c r="D13" s="1"/>
      <c r="E13" s="1"/>
      <c r="F13" s="25" t="s">
        <v>204</v>
      </c>
      <c r="G13" s="25" t="s">
        <v>204</v>
      </c>
      <c r="H13" s="25"/>
      <c r="I13" s="26"/>
      <c r="J13" s="2"/>
    </row>
    <row r="14" spans="1:13" ht="12.95" customHeight="1">
      <c r="A14" s="2"/>
      <c r="B14" s="27" t="s">
        <v>172</v>
      </c>
      <c r="C14" s="1"/>
      <c r="D14" s="1"/>
      <c r="E14" s="1"/>
      <c r="F14" s="25" t="s">
        <v>204</v>
      </c>
      <c r="G14" s="25" t="s">
        <v>204</v>
      </c>
      <c r="H14" s="25"/>
      <c r="I14" s="26"/>
      <c r="J14" s="2"/>
    </row>
    <row r="15" spans="1:13" ht="12.95" customHeight="1">
      <c r="A15" s="2"/>
      <c r="B15" s="27" t="s">
        <v>177</v>
      </c>
      <c r="C15" s="28"/>
      <c r="D15" s="1"/>
      <c r="E15" s="28"/>
      <c r="F15" s="23">
        <v>19642.38</v>
      </c>
      <c r="G15" s="24">
        <v>5.8299999999999998E-2</v>
      </c>
      <c r="H15" s="25"/>
      <c r="I15" s="26"/>
      <c r="J15" s="2"/>
    </row>
    <row r="16" spans="1:13" ht="12.95" customHeight="1">
      <c r="A16" s="2"/>
      <c r="B16" s="12" t="s">
        <v>656</v>
      </c>
      <c r="C16" s="13"/>
      <c r="D16" s="13"/>
      <c r="E16" s="13"/>
      <c r="F16" s="13"/>
      <c r="G16" s="13"/>
      <c r="H16" s="14"/>
      <c r="I16" s="15"/>
      <c r="J16" s="2"/>
    </row>
    <row r="17" spans="1:10" ht="12.95" customHeight="1">
      <c r="A17" s="2"/>
      <c r="B17" s="12" t="s">
        <v>657</v>
      </c>
      <c r="C17" s="13"/>
      <c r="D17" s="13"/>
      <c r="E17" s="13"/>
      <c r="F17" s="2"/>
      <c r="G17" s="14"/>
      <c r="H17" s="14"/>
      <c r="I17" s="15"/>
      <c r="J17" s="2"/>
    </row>
    <row r="18" spans="1:10" ht="12.95" customHeight="1">
      <c r="A18" s="16" t="s">
        <v>2998</v>
      </c>
      <c r="B18" s="17" t="s">
        <v>2999</v>
      </c>
      <c r="C18" s="13" t="s">
        <v>3000</v>
      </c>
      <c r="D18" s="13" t="s">
        <v>661</v>
      </c>
      <c r="E18" s="18">
        <v>10000</v>
      </c>
      <c r="F18" s="19">
        <v>9930.24</v>
      </c>
      <c r="G18" s="20">
        <v>2.9399999999999999E-2</v>
      </c>
      <c r="H18" s="21">
        <v>3.465E-2</v>
      </c>
      <c r="I18" s="22"/>
      <c r="J18" s="2"/>
    </row>
    <row r="19" spans="1:10" ht="12.95" customHeight="1">
      <c r="A19" s="16" t="s">
        <v>3001</v>
      </c>
      <c r="B19" s="17" t="s">
        <v>3002</v>
      </c>
      <c r="C19" s="13" t="s">
        <v>3003</v>
      </c>
      <c r="D19" s="13" t="s">
        <v>661</v>
      </c>
      <c r="E19" s="18">
        <v>10000</v>
      </c>
      <c r="F19" s="19">
        <v>9834.51</v>
      </c>
      <c r="G19" s="20">
        <v>2.92E-2</v>
      </c>
      <c r="H19" s="21">
        <v>3.8150000000000003E-2</v>
      </c>
      <c r="I19" s="22"/>
      <c r="J19" s="2"/>
    </row>
    <row r="20" spans="1:10" ht="12.95" customHeight="1">
      <c r="A20" s="16" t="s">
        <v>3004</v>
      </c>
      <c r="B20" s="17" t="s">
        <v>3005</v>
      </c>
      <c r="C20" s="13" t="s">
        <v>3006</v>
      </c>
      <c r="D20" s="13" t="s">
        <v>661</v>
      </c>
      <c r="E20" s="18">
        <v>5000</v>
      </c>
      <c r="F20" s="19">
        <v>4918.16</v>
      </c>
      <c r="G20" s="20">
        <v>1.46E-2</v>
      </c>
      <c r="H20" s="21">
        <v>3.8199999999999998E-2</v>
      </c>
      <c r="I20" s="22"/>
      <c r="J20" s="2"/>
    </row>
    <row r="21" spans="1:10" ht="12.95" customHeight="1">
      <c r="A21" s="16" t="s">
        <v>1306</v>
      </c>
      <c r="B21" s="17" t="s">
        <v>1307</v>
      </c>
      <c r="C21" s="13" t="s">
        <v>1308</v>
      </c>
      <c r="D21" s="13" t="s">
        <v>661</v>
      </c>
      <c r="E21" s="18">
        <v>3500</v>
      </c>
      <c r="F21" s="19">
        <v>3402.96</v>
      </c>
      <c r="G21" s="20">
        <v>1.01E-2</v>
      </c>
      <c r="H21" s="21">
        <v>4.1799999999999997E-2</v>
      </c>
      <c r="I21" s="22"/>
      <c r="J21" s="2"/>
    </row>
    <row r="22" spans="1:10" ht="12.95" customHeight="1">
      <c r="A22" s="16" t="s">
        <v>3007</v>
      </c>
      <c r="B22" s="17" t="s">
        <v>3008</v>
      </c>
      <c r="C22" s="13" t="s">
        <v>3009</v>
      </c>
      <c r="D22" s="13" t="s">
        <v>661</v>
      </c>
      <c r="E22" s="18">
        <v>2500</v>
      </c>
      <c r="F22" s="19">
        <v>2470.9499999999998</v>
      </c>
      <c r="G22" s="20">
        <v>7.3000000000000001E-3</v>
      </c>
      <c r="H22" s="21">
        <v>3.6998999999999997E-2</v>
      </c>
      <c r="I22" s="22"/>
      <c r="J22" s="2"/>
    </row>
    <row r="23" spans="1:10" ht="12.95" customHeight="1">
      <c r="A23" s="16" t="s">
        <v>3010</v>
      </c>
      <c r="B23" s="17" t="s">
        <v>3011</v>
      </c>
      <c r="C23" s="13" t="s">
        <v>3012</v>
      </c>
      <c r="D23" s="13" t="s">
        <v>2865</v>
      </c>
      <c r="E23" s="18">
        <v>2500</v>
      </c>
      <c r="F23" s="19">
        <v>2455.96</v>
      </c>
      <c r="G23" s="20">
        <v>7.3000000000000001E-3</v>
      </c>
      <c r="H23" s="21">
        <v>3.7400999999999997E-2</v>
      </c>
      <c r="I23" s="22"/>
      <c r="J23" s="2"/>
    </row>
    <row r="24" spans="1:10" ht="12.95" customHeight="1">
      <c r="A24" s="2"/>
      <c r="B24" s="12" t="s">
        <v>172</v>
      </c>
      <c r="C24" s="13"/>
      <c r="D24" s="13"/>
      <c r="E24" s="13"/>
      <c r="F24" s="23">
        <v>33012.78</v>
      </c>
      <c r="G24" s="24">
        <v>9.7900000000000001E-2</v>
      </c>
      <c r="H24" s="25"/>
      <c r="I24" s="26"/>
      <c r="J24" s="2"/>
    </row>
    <row r="25" spans="1:10" ht="12.95" customHeight="1">
      <c r="A25" s="2"/>
      <c r="B25" s="12" t="s">
        <v>662</v>
      </c>
      <c r="C25" s="13"/>
      <c r="D25" s="13"/>
      <c r="E25" s="13"/>
      <c r="F25" s="2"/>
      <c r="G25" s="14"/>
      <c r="H25" s="14"/>
      <c r="I25" s="15"/>
      <c r="J25" s="2"/>
    </row>
    <row r="26" spans="1:10" ht="12.95" customHeight="1">
      <c r="A26" s="16" t="s">
        <v>3013</v>
      </c>
      <c r="B26" s="17" t="s">
        <v>3014</v>
      </c>
      <c r="C26" s="13" t="s">
        <v>3015</v>
      </c>
      <c r="D26" s="13" t="s">
        <v>661</v>
      </c>
      <c r="E26" s="18">
        <v>3000</v>
      </c>
      <c r="F26" s="19">
        <v>14873.43</v>
      </c>
      <c r="G26" s="20">
        <v>4.41E-2</v>
      </c>
      <c r="H26" s="21">
        <v>3.49E-2</v>
      </c>
      <c r="I26" s="22"/>
      <c r="J26" s="2"/>
    </row>
    <row r="27" spans="1:10" ht="12.95" customHeight="1">
      <c r="A27" s="16" t="s">
        <v>3016</v>
      </c>
      <c r="B27" s="17" t="s">
        <v>3017</v>
      </c>
      <c r="C27" s="13" t="s">
        <v>3018</v>
      </c>
      <c r="D27" s="13" t="s">
        <v>661</v>
      </c>
      <c r="E27" s="18">
        <v>3000</v>
      </c>
      <c r="F27" s="19">
        <v>14867.84</v>
      </c>
      <c r="G27" s="20">
        <v>4.41E-2</v>
      </c>
      <c r="H27" s="21">
        <v>3.6051E-2</v>
      </c>
      <c r="I27" s="22"/>
      <c r="J27" s="2"/>
    </row>
    <row r="28" spans="1:10" ht="12.95" customHeight="1">
      <c r="A28" s="16" t="s">
        <v>669</v>
      </c>
      <c r="B28" s="17" t="s">
        <v>670</v>
      </c>
      <c r="C28" s="13" t="s">
        <v>671</v>
      </c>
      <c r="D28" s="13" t="s">
        <v>661</v>
      </c>
      <c r="E28" s="18">
        <v>3000</v>
      </c>
      <c r="F28" s="19">
        <v>14730.86</v>
      </c>
      <c r="G28" s="20">
        <v>4.3700000000000003E-2</v>
      </c>
      <c r="H28" s="21">
        <v>3.7048999999999999E-2</v>
      </c>
      <c r="I28" s="22"/>
      <c r="J28" s="2"/>
    </row>
    <row r="29" spans="1:10" ht="12.95" customHeight="1">
      <c r="A29" s="16" t="s">
        <v>3019</v>
      </c>
      <c r="B29" s="17" t="s">
        <v>3020</v>
      </c>
      <c r="C29" s="13" t="s">
        <v>3021</v>
      </c>
      <c r="D29" s="13" t="s">
        <v>661</v>
      </c>
      <c r="E29" s="18">
        <v>3000</v>
      </c>
      <c r="F29" s="19">
        <v>14655.5</v>
      </c>
      <c r="G29" s="20">
        <v>4.3499999999999997E-2</v>
      </c>
      <c r="H29" s="21">
        <v>4.2900000000000001E-2</v>
      </c>
      <c r="I29" s="22"/>
      <c r="J29" s="2"/>
    </row>
    <row r="30" spans="1:10" ht="12.95" customHeight="1">
      <c r="A30" s="16" t="s">
        <v>2805</v>
      </c>
      <c r="B30" s="17" t="s">
        <v>2806</v>
      </c>
      <c r="C30" s="13" t="s">
        <v>2807</v>
      </c>
      <c r="D30" s="13" t="s">
        <v>661</v>
      </c>
      <c r="E30" s="18">
        <v>2000</v>
      </c>
      <c r="F30" s="19">
        <v>9939.1</v>
      </c>
      <c r="G30" s="20">
        <v>2.9499999999999998E-2</v>
      </c>
      <c r="H30" s="21">
        <v>3.5499999999999997E-2</v>
      </c>
      <c r="I30" s="22"/>
      <c r="J30" s="2"/>
    </row>
    <row r="31" spans="1:10" ht="12.95" customHeight="1">
      <c r="A31" s="16" t="s">
        <v>3022</v>
      </c>
      <c r="B31" s="17" t="s">
        <v>3023</v>
      </c>
      <c r="C31" s="13" t="s">
        <v>3024</v>
      </c>
      <c r="D31" s="13" t="s">
        <v>1312</v>
      </c>
      <c r="E31" s="18">
        <v>2000</v>
      </c>
      <c r="F31" s="19">
        <v>9880.94</v>
      </c>
      <c r="G31" s="20">
        <v>2.93E-2</v>
      </c>
      <c r="H31" s="21">
        <v>3.6049999999999999E-2</v>
      </c>
      <c r="I31" s="22"/>
      <c r="J31" s="2"/>
    </row>
    <row r="32" spans="1:10" ht="12.95" customHeight="1">
      <c r="A32" s="16" t="s">
        <v>2386</v>
      </c>
      <c r="B32" s="17" t="s">
        <v>2387</v>
      </c>
      <c r="C32" s="13" t="s">
        <v>2388</v>
      </c>
      <c r="D32" s="13" t="s">
        <v>661</v>
      </c>
      <c r="E32" s="18">
        <v>2000</v>
      </c>
      <c r="F32" s="19">
        <v>9851.1</v>
      </c>
      <c r="G32" s="20">
        <v>2.92E-2</v>
      </c>
      <c r="H32" s="21">
        <v>3.805E-2</v>
      </c>
      <c r="I32" s="22"/>
      <c r="J32" s="2"/>
    </row>
    <row r="33" spans="1:10" ht="12.95" customHeight="1">
      <c r="A33" s="16" t="s">
        <v>3025</v>
      </c>
      <c r="B33" s="17" t="s">
        <v>3026</v>
      </c>
      <c r="C33" s="13" t="s">
        <v>3027</v>
      </c>
      <c r="D33" s="13" t="s">
        <v>661</v>
      </c>
      <c r="E33" s="18">
        <v>2000</v>
      </c>
      <c r="F33" s="19">
        <v>9770.35</v>
      </c>
      <c r="G33" s="20">
        <v>2.9000000000000001E-2</v>
      </c>
      <c r="H33" s="21">
        <v>4.1050000000000003E-2</v>
      </c>
      <c r="I33" s="22"/>
      <c r="J33" s="2"/>
    </row>
    <row r="34" spans="1:10" ht="12.95" customHeight="1">
      <c r="A34" s="16" t="s">
        <v>3028</v>
      </c>
      <c r="B34" s="17" t="s">
        <v>3029</v>
      </c>
      <c r="C34" s="13" t="s">
        <v>3030</v>
      </c>
      <c r="D34" s="13" t="s">
        <v>661</v>
      </c>
      <c r="E34" s="18">
        <v>2000</v>
      </c>
      <c r="F34" s="19">
        <v>9729.19</v>
      </c>
      <c r="G34" s="20">
        <v>2.8899999999999999E-2</v>
      </c>
      <c r="H34" s="21">
        <v>4.3049999999999998E-2</v>
      </c>
      <c r="I34" s="22"/>
      <c r="J34" s="2"/>
    </row>
    <row r="35" spans="1:10" ht="12.95" customHeight="1">
      <c r="A35" s="16" t="s">
        <v>3031</v>
      </c>
      <c r="B35" s="17" t="s">
        <v>3032</v>
      </c>
      <c r="C35" s="13" t="s">
        <v>3033</v>
      </c>
      <c r="D35" s="13" t="s">
        <v>661</v>
      </c>
      <c r="E35" s="18">
        <v>2000</v>
      </c>
      <c r="F35" s="19">
        <v>9725.6299999999992</v>
      </c>
      <c r="G35" s="20">
        <v>2.8799999999999999E-2</v>
      </c>
      <c r="H35" s="21">
        <v>4.2549999999999998E-2</v>
      </c>
      <c r="I35" s="22"/>
      <c r="J35" s="2"/>
    </row>
    <row r="36" spans="1:10" ht="12.95" customHeight="1">
      <c r="A36" s="16" t="s">
        <v>3034</v>
      </c>
      <c r="B36" s="17" t="s">
        <v>3035</v>
      </c>
      <c r="C36" s="13" t="s">
        <v>3036</v>
      </c>
      <c r="D36" s="13" t="s">
        <v>661</v>
      </c>
      <c r="E36" s="18">
        <v>1700</v>
      </c>
      <c r="F36" s="19">
        <v>8316.2199999999993</v>
      </c>
      <c r="G36" s="20">
        <v>2.47E-2</v>
      </c>
      <c r="H36" s="21">
        <v>5.0099999999999999E-2</v>
      </c>
      <c r="I36" s="22"/>
      <c r="J36" s="2"/>
    </row>
    <row r="37" spans="1:10" ht="12.95" customHeight="1">
      <c r="A37" s="16" t="s">
        <v>3037</v>
      </c>
      <c r="B37" s="17" t="s">
        <v>3038</v>
      </c>
      <c r="C37" s="13" t="s">
        <v>3039</v>
      </c>
      <c r="D37" s="13" t="s">
        <v>661</v>
      </c>
      <c r="E37" s="18">
        <v>1500</v>
      </c>
      <c r="F37" s="19">
        <v>7457.09</v>
      </c>
      <c r="G37" s="20">
        <v>2.2100000000000002E-2</v>
      </c>
      <c r="H37" s="21">
        <v>3.5000000000000003E-2</v>
      </c>
      <c r="I37" s="22"/>
      <c r="J37" s="2"/>
    </row>
    <row r="38" spans="1:10" ht="12.95" customHeight="1">
      <c r="A38" s="16" t="s">
        <v>3040</v>
      </c>
      <c r="B38" s="17" t="s">
        <v>3041</v>
      </c>
      <c r="C38" s="13" t="s">
        <v>3042</v>
      </c>
      <c r="D38" s="13" t="s">
        <v>1312</v>
      </c>
      <c r="E38" s="18">
        <v>1500</v>
      </c>
      <c r="F38" s="19">
        <v>7426.48</v>
      </c>
      <c r="G38" s="20">
        <v>2.1999999999999999E-2</v>
      </c>
      <c r="H38" s="21">
        <v>4.0149999999999998E-2</v>
      </c>
      <c r="I38" s="22"/>
      <c r="J38" s="2"/>
    </row>
    <row r="39" spans="1:10" ht="12.95" customHeight="1">
      <c r="A39" s="16" t="s">
        <v>3043</v>
      </c>
      <c r="B39" s="17" t="s">
        <v>3044</v>
      </c>
      <c r="C39" s="13" t="s">
        <v>3045</v>
      </c>
      <c r="D39" s="13" t="s">
        <v>661</v>
      </c>
      <c r="E39" s="18">
        <v>1500</v>
      </c>
      <c r="F39" s="19">
        <v>7400.48</v>
      </c>
      <c r="G39" s="20">
        <v>2.1899999999999999E-2</v>
      </c>
      <c r="H39" s="21">
        <v>4.1249000000000001E-2</v>
      </c>
      <c r="I39" s="22"/>
      <c r="J39" s="2"/>
    </row>
    <row r="40" spans="1:10" ht="12.95" customHeight="1">
      <c r="A40" s="16" t="s">
        <v>3046</v>
      </c>
      <c r="B40" s="17" t="s">
        <v>3047</v>
      </c>
      <c r="C40" s="13" t="s">
        <v>3048</v>
      </c>
      <c r="D40" s="13" t="s">
        <v>661</v>
      </c>
      <c r="E40" s="18">
        <v>1500</v>
      </c>
      <c r="F40" s="19">
        <v>7375.18</v>
      </c>
      <c r="G40" s="20">
        <v>2.1899999999999999E-2</v>
      </c>
      <c r="H40" s="21">
        <v>4.3199000000000001E-2</v>
      </c>
      <c r="I40" s="22"/>
      <c r="J40" s="2"/>
    </row>
    <row r="41" spans="1:10" ht="12.95" customHeight="1">
      <c r="A41" s="16" t="s">
        <v>2398</v>
      </c>
      <c r="B41" s="17" t="s">
        <v>2399</v>
      </c>
      <c r="C41" s="13" t="s">
        <v>2400</v>
      </c>
      <c r="D41" s="13" t="s">
        <v>661</v>
      </c>
      <c r="E41" s="18">
        <v>1300</v>
      </c>
      <c r="F41" s="19">
        <v>6399.27</v>
      </c>
      <c r="G41" s="20">
        <v>1.9E-2</v>
      </c>
      <c r="H41" s="21">
        <v>4.3200000000000002E-2</v>
      </c>
      <c r="I41" s="22"/>
      <c r="J41" s="2"/>
    </row>
    <row r="42" spans="1:10" ht="12.95" customHeight="1">
      <c r="A42" s="16" t="s">
        <v>3049</v>
      </c>
      <c r="B42" s="17" t="s">
        <v>3050</v>
      </c>
      <c r="C42" s="13" t="s">
        <v>3051</v>
      </c>
      <c r="D42" s="13" t="s">
        <v>661</v>
      </c>
      <c r="E42" s="18">
        <v>1000</v>
      </c>
      <c r="F42" s="19">
        <v>4976.93</v>
      </c>
      <c r="G42" s="20">
        <v>1.4800000000000001E-2</v>
      </c>
      <c r="H42" s="21">
        <v>3.5998000000000002E-2</v>
      </c>
      <c r="I42" s="22"/>
      <c r="J42" s="2"/>
    </row>
    <row r="43" spans="1:10" ht="12.95" customHeight="1">
      <c r="A43" s="16" t="s">
        <v>2015</v>
      </c>
      <c r="B43" s="17" t="s">
        <v>2016</v>
      </c>
      <c r="C43" s="13" t="s">
        <v>2017</v>
      </c>
      <c r="D43" s="13" t="s">
        <v>1312</v>
      </c>
      <c r="E43" s="18">
        <v>1000</v>
      </c>
      <c r="F43" s="19">
        <v>4956.74</v>
      </c>
      <c r="G43" s="20">
        <v>1.47E-2</v>
      </c>
      <c r="H43" s="21">
        <v>3.8850000000000003E-2</v>
      </c>
      <c r="I43" s="22"/>
      <c r="J43" s="2"/>
    </row>
    <row r="44" spans="1:10" ht="12.95" customHeight="1">
      <c r="A44" s="16" t="s">
        <v>3052</v>
      </c>
      <c r="B44" s="17" t="s">
        <v>3053</v>
      </c>
      <c r="C44" s="13" t="s">
        <v>3054</v>
      </c>
      <c r="D44" s="13" t="s">
        <v>661</v>
      </c>
      <c r="E44" s="18">
        <v>1000</v>
      </c>
      <c r="F44" s="19">
        <v>4935.3100000000004</v>
      </c>
      <c r="G44" s="20">
        <v>1.46E-2</v>
      </c>
      <c r="H44" s="21">
        <v>6.8348999999999993E-2</v>
      </c>
      <c r="I44" s="22"/>
      <c r="J44" s="2"/>
    </row>
    <row r="45" spans="1:10" ht="12.95" customHeight="1">
      <c r="A45" s="16" t="s">
        <v>3055</v>
      </c>
      <c r="B45" s="17" t="s">
        <v>3056</v>
      </c>
      <c r="C45" s="13" t="s">
        <v>3057</v>
      </c>
      <c r="D45" s="13" t="s">
        <v>1312</v>
      </c>
      <c r="E45" s="18">
        <v>1000</v>
      </c>
      <c r="F45" s="19">
        <v>4920.7299999999996</v>
      </c>
      <c r="G45" s="20">
        <v>1.46E-2</v>
      </c>
      <c r="H45" s="21">
        <v>4.2000000000000003E-2</v>
      </c>
      <c r="I45" s="22"/>
      <c r="J45" s="2"/>
    </row>
    <row r="46" spans="1:10" ht="12.95" customHeight="1">
      <c r="A46" s="16" t="s">
        <v>3058</v>
      </c>
      <c r="B46" s="17" t="s">
        <v>3059</v>
      </c>
      <c r="C46" s="13" t="s">
        <v>3060</v>
      </c>
      <c r="D46" s="13" t="s">
        <v>661</v>
      </c>
      <c r="E46" s="18">
        <v>1000</v>
      </c>
      <c r="F46" s="19">
        <v>4908.1400000000003</v>
      </c>
      <c r="G46" s="20">
        <v>1.46E-2</v>
      </c>
      <c r="H46" s="21">
        <v>3.9948999999999998E-2</v>
      </c>
      <c r="I46" s="22"/>
      <c r="J46" s="2"/>
    </row>
    <row r="47" spans="1:10" ht="12.95" customHeight="1">
      <c r="A47" s="16" t="s">
        <v>3061</v>
      </c>
      <c r="B47" s="17" t="s">
        <v>3062</v>
      </c>
      <c r="C47" s="13" t="s">
        <v>3063</v>
      </c>
      <c r="D47" s="13" t="s">
        <v>661</v>
      </c>
      <c r="E47" s="18">
        <v>1000</v>
      </c>
      <c r="F47" s="19">
        <v>4877.43</v>
      </c>
      <c r="G47" s="20">
        <v>1.4500000000000001E-2</v>
      </c>
      <c r="H47" s="21">
        <v>4.41E-2</v>
      </c>
      <c r="I47" s="22"/>
      <c r="J47" s="2"/>
    </row>
    <row r="48" spans="1:10" ht="12.95" customHeight="1">
      <c r="A48" s="16" t="s">
        <v>3064</v>
      </c>
      <c r="B48" s="17" t="s">
        <v>3065</v>
      </c>
      <c r="C48" s="13" t="s">
        <v>3066</v>
      </c>
      <c r="D48" s="13" t="s">
        <v>661</v>
      </c>
      <c r="E48" s="18">
        <v>500</v>
      </c>
      <c r="F48" s="19">
        <v>2493.4</v>
      </c>
      <c r="G48" s="20">
        <v>7.4000000000000003E-3</v>
      </c>
      <c r="H48" s="21">
        <v>3.4501999999999998E-2</v>
      </c>
      <c r="I48" s="22"/>
      <c r="J48" s="2"/>
    </row>
    <row r="49" spans="1:10" ht="12.95" customHeight="1">
      <c r="A49" s="16" t="s">
        <v>3067</v>
      </c>
      <c r="B49" s="17" t="s">
        <v>3068</v>
      </c>
      <c r="C49" s="13" t="s">
        <v>3069</v>
      </c>
      <c r="D49" s="13" t="s">
        <v>661</v>
      </c>
      <c r="E49" s="18">
        <v>500</v>
      </c>
      <c r="F49" s="19">
        <v>2490.5</v>
      </c>
      <c r="G49" s="20">
        <v>7.4000000000000003E-3</v>
      </c>
      <c r="H49" s="21">
        <v>3.5700000000000003E-2</v>
      </c>
      <c r="I49" s="22"/>
      <c r="J49" s="2"/>
    </row>
    <row r="50" spans="1:10" ht="12.95" customHeight="1">
      <c r="A50" s="16" t="s">
        <v>1309</v>
      </c>
      <c r="B50" s="17" t="s">
        <v>1310</v>
      </c>
      <c r="C50" s="13" t="s">
        <v>1311</v>
      </c>
      <c r="D50" s="13" t="s">
        <v>1312</v>
      </c>
      <c r="E50" s="18">
        <v>500</v>
      </c>
      <c r="F50" s="19">
        <v>2459.94</v>
      </c>
      <c r="G50" s="20">
        <v>7.3000000000000001E-3</v>
      </c>
      <c r="H50" s="21">
        <v>4.1000000000000002E-2</v>
      </c>
      <c r="I50" s="22"/>
      <c r="J50" s="2"/>
    </row>
    <row r="51" spans="1:10" ht="12.95" customHeight="1">
      <c r="A51" s="16" t="s">
        <v>3070</v>
      </c>
      <c r="B51" s="17" t="s">
        <v>3071</v>
      </c>
      <c r="C51" s="13" t="s">
        <v>3072</v>
      </c>
      <c r="D51" s="13" t="s">
        <v>661</v>
      </c>
      <c r="E51" s="18">
        <v>500</v>
      </c>
      <c r="F51" s="19">
        <v>2453.2800000000002</v>
      </c>
      <c r="G51" s="20">
        <v>7.3000000000000001E-3</v>
      </c>
      <c r="H51" s="21">
        <v>4.3450000000000003E-2</v>
      </c>
      <c r="I51" s="22"/>
      <c r="J51" s="2"/>
    </row>
    <row r="52" spans="1:10" ht="12.95" customHeight="1">
      <c r="A52" s="16" t="s">
        <v>3073</v>
      </c>
      <c r="B52" s="17" t="s">
        <v>3074</v>
      </c>
      <c r="C52" s="13" t="s">
        <v>3075</v>
      </c>
      <c r="D52" s="13" t="s">
        <v>661</v>
      </c>
      <c r="E52" s="18">
        <v>500</v>
      </c>
      <c r="F52" s="19">
        <v>2431.73</v>
      </c>
      <c r="G52" s="20">
        <v>7.1999999999999998E-3</v>
      </c>
      <c r="H52" s="21">
        <v>4.5749999999999999E-2</v>
      </c>
      <c r="I52" s="22"/>
      <c r="J52" s="2"/>
    </row>
    <row r="53" spans="1:10" ht="12.95" customHeight="1">
      <c r="A53" s="16" t="s">
        <v>2383</v>
      </c>
      <c r="B53" s="17" t="s">
        <v>2384</v>
      </c>
      <c r="C53" s="13" t="s">
        <v>2385</v>
      </c>
      <c r="D53" s="13" t="s">
        <v>661</v>
      </c>
      <c r="E53" s="18">
        <v>500</v>
      </c>
      <c r="F53" s="19">
        <v>2419.67</v>
      </c>
      <c r="G53" s="20">
        <v>7.1999999999999998E-3</v>
      </c>
      <c r="H53" s="21">
        <v>7.2999999999999995E-2</v>
      </c>
      <c r="I53" s="22"/>
      <c r="J53" s="2"/>
    </row>
    <row r="54" spans="1:10" ht="12.95" customHeight="1">
      <c r="A54" s="16" t="s">
        <v>3076</v>
      </c>
      <c r="B54" s="17" t="s">
        <v>3077</v>
      </c>
      <c r="C54" s="13" t="s">
        <v>3078</v>
      </c>
      <c r="D54" s="13" t="s">
        <v>661</v>
      </c>
      <c r="E54" s="18">
        <v>500</v>
      </c>
      <c r="F54" s="19">
        <v>2418.67</v>
      </c>
      <c r="G54" s="20">
        <v>7.1999999999999998E-3</v>
      </c>
      <c r="H54" s="21">
        <v>5.3600000000000002E-2</v>
      </c>
      <c r="I54" s="22"/>
      <c r="J54" s="2"/>
    </row>
    <row r="55" spans="1:10" ht="12.95" customHeight="1">
      <c r="A55" s="2"/>
      <c r="B55" s="12" t="s">
        <v>172</v>
      </c>
      <c r="C55" s="13"/>
      <c r="D55" s="13"/>
      <c r="E55" s="13"/>
      <c r="F55" s="23">
        <v>209141.13</v>
      </c>
      <c r="G55" s="24">
        <v>0.62050000000000005</v>
      </c>
      <c r="H55" s="25"/>
      <c r="I55" s="26"/>
      <c r="J55" s="2"/>
    </row>
    <row r="56" spans="1:10" ht="12.95" customHeight="1">
      <c r="A56" s="2"/>
      <c r="B56" s="12" t="s">
        <v>1316</v>
      </c>
      <c r="C56" s="13"/>
      <c r="D56" s="13"/>
      <c r="E56" s="13"/>
      <c r="F56" s="2"/>
      <c r="G56" s="14"/>
      <c r="H56" s="14"/>
      <c r="I56" s="15"/>
      <c r="J56" s="2"/>
    </row>
    <row r="57" spans="1:10" ht="12.95" customHeight="1">
      <c r="A57" s="16" t="s">
        <v>3079</v>
      </c>
      <c r="B57" s="17" t="s">
        <v>3080</v>
      </c>
      <c r="C57" s="13" t="s">
        <v>3081</v>
      </c>
      <c r="D57" s="13" t="s">
        <v>200</v>
      </c>
      <c r="E57" s="18">
        <v>17500000</v>
      </c>
      <c r="F57" s="19">
        <v>17388.25</v>
      </c>
      <c r="G57" s="20">
        <v>5.16E-2</v>
      </c>
      <c r="H57" s="21">
        <v>3.4000000000000002E-2</v>
      </c>
      <c r="I57" s="22"/>
      <c r="J57" s="2"/>
    </row>
    <row r="58" spans="1:10" ht="12.95" customHeight="1">
      <c r="A58" s="16" t="s">
        <v>2027</v>
      </c>
      <c r="B58" s="17" t="s">
        <v>2028</v>
      </c>
      <c r="C58" s="13" t="s">
        <v>2029</v>
      </c>
      <c r="D58" s="13" t="s">
        <v>200</v>
      </c>
      <c r="E58" s="18">
        <v>15000000</v>
      </c>
      <c r="F58" s="19">
        <v>14913.87</v>
      </c>
      <c r="G58" s="20">
        <v>4.4200000000000003E-2</v>
      </c>
      <c r="H58" s="21">
        <v>3.4000000000000002E-2</v>
      </c>
      <c r="I58" s="22"/>
      <c r="J58" s="2"/>
    </row>
    <row r="59" spans="1:10" ht="12.95" customHeight="1">
      <c r="A59" s="16" t="s">
        <v>3082</v>
      </c>
      <c r="B59" s="17" t="s">
        <v>3083</v>
      </c>
      <c r="C59" s="13" t="s">
        <v>3084</v>
      </c>
      <c r="D59" s="13" t="s">
        <v>200</v>
      </c>
      <c r="E59" s="18">
        <v>10500000</v>
      </c>
      <c r="F59" s="19">
        <v>10467.9</v>
      </c>
      <c r="G59" s="20">
        <v>3.1E-2</v>
      </c>
      <c r="H59" s="21">
        <v>3.2924000000000002E-2</v>
      </c>
      <c r="I59" s="22"/>
      <c r="J59" s="2"/>
    </row>
    <row r="60" spans="1:10" ht="12.95" customHeight="1">
      <c r="A60" s="16" t="s">
        <v>2917</v>
      </c>
      <c r="B60" s="17" t="s">
        <v>2918</v>
      </c>
      <c r="C60" s="13" t="s">
        <v>2919</v>
      </c>
      <c r="D60" s="13" t="s">
        <v>200</v>
      </c>
      <c r="E60" s="18">
        <v>10000000</v>
      </c>
      <c r="F60" s="19">
        <v>9915.99</v>
      </c>
      <c r="G60" s="20">
        <v>2.9399999999999999E-2</v>
      </c>
      <c r="H60" s="21">
        <v>3.4359000000000001E-2</v>
      </c>
      <c r="I60" s="22"/>
      <c r="J60" s="2"/>
    </row>
    <row r="61" spans="1:10" ht="12.95" customHeight="1">
      <c r="A61" s="16" t="s">
        <v>3085</v>
      </c>
      <c r="B61" s="17" t="s">
        <v>3086</v>
      </c>
      <c r="C61" s="13" t="s">
        <v>3087</v>
      </c>
      <c r="D61" s="13" t="s">
        <v>200</v>
      </c>
      <c r="E61" s="18">
        <v>7000000</v>
      </c>
      <c r="F61" s="19">
        <v>6945.79</v>
      </c>
      <c r="G61" s="20">
        <v>2.06E-2</v>
      </c>
      <c r="H61" s="21">
        <v>3.4325000000000001E-2</v>
      </c>
      <c r="I61" s="22"/>
      <c r="J61" s="2"/>
    </row>
    <row r="62" spans="1:10" ht="12.95" customHeight="1">
      <c r="A62" s="16" t="s">
        <v>2404</v>
      </c>
      <c r="B62" s="17" t="s">
        <v>2405</v>
      </c>
      <c r="C62" s="13" t="s">
        <v>2406</v>
      </c>
      <c r="D62" s="13" t="s">
        <v>200</v>
      </c>
      <c r="E62" s="18">
        <v>5000000</v>
      </c>
      <c r="F62" s="19">
        <v>4964.57</v>
      </c>
      <c r="G62" s="20">
        <v>1.47E-2</v>
      </c>
      <c r="H62" s="21">
        <v>3.4277000000000002E-2</v>
      </c>
      <c r="I62" s="22"/>
      <c r="J62" s="2"/>
    </row>
    <row r="63" spans="1:10" ht="12.95" customHeight="1">
      <c r="A63" s="16" t="s">
        <v>3088</v>
      </c>
      <c r="B63" s="17" t="s">
        <v>3089</v>
      </c>
      <c r="C63" s="13" t="s">
        <v>3090</v>
      </c>
      <c r="D63" s="13" t="s">
        <v>200</v>
      </c>
      <c r="E63" s="18">
        <v>500000</v>
      </c>
      <c r="F63" s="19">
        <v>499.42</v>
      </c>
      <c r="G63" s="20">
        <v>1.5E-3</v>
      </c>
      <c r="H63" s="21">
        <v>3.2347500000000001E-2</v>
      </c>
      <c r="I63" s="22"/>
      <c r="J63" s="2"/>
    </row>
    <row r="64" spans="1:10" ht="12.95" customHeight="1">
      <c r="A64" s="2"/>
      <c r="B64" s="12" t="s">
        <v>172</v>
      </c>
      <c r="C64" s="13"/>
      <c r="D64" s="13"/>
      <c r="E64" s="13"/>
      <c r="F64" s="23">
        <v>65095.79</v>
      </c>
      <c r="G64" s="24">
        <v>0.193</v>
      </c>
      <c r="H64" s="25"/>
      <c r="I64" s="26"/>
      <c r="J64" s="2"/>
    </row>
    <row r="65" spans="1:10" ht="12.95" customHeight="1">
      <c r="A65" s="2"/>
      <c r="B65" s="27" t="s">
        <v>177</v>
      </c>
      <c r="C65" s="28"/>
      <c r="D65" s="1"/>
      <c r="E65" s="28"/>
      <c r="F65" s="23">
        <v>307249.7</v>
      </c>
      <c r="G65" s="24">
        <v>0.91139999999999999</v>
      </c>
      <c r="H65" s="25"/>
      <c r="I65" s="26"/>
      <c r="J65" s="2"/>
    </row>
    <row r="66" spans="1:10" ht="12.95" customHeight="1">
      <c r="A66" s="2"/>
      <c r="B66" s="12" t="s">
        <v>178</v>
      </c>
      <c r="C66" s="13"/>
      <c r="D66" s="13"/>
      <c r="E66" s="13"/>
      <c r="F66" s="13"/>
      <c r="G66" s="13"/>
      <c r="H66" s="14"/>
      <c r="I66" s="15"/>
      <c r="J66" s="2"/>
    </row>
    <row r="67" spans="1:10" ht="12.95" customHeight="1">
      <c r="A67" s="16" t="s">
        <v>3091</v>
      </c>
      <c r="B67" s="17" t="s">
        <v>733</v>
      </c>
      <c r="C67" s="13"/>
      <c r="D67" s="13"/>
      <c r="E67" s="18"/>
      <c r="F67" s="19">
        <v>7960.86</v>
      </c>
      <c r="G67" s="20">
        <v>2.3599999999999999E-2</v>
      </c>
      <c r="H67" s="21">
        <v>3.4500000000000003E-2</v>
      </c>
      <c r="I67" s="22"/>
      <c r="J67" s="2"/>
    </row>
    <row r="68" spans="1:10" ht="12.95" customHeight="1">
      <c r="A68" s="16" t="s">
        <v>179</v>
      </c>
      <c r="B68" s="17" t="s">
        <v>180</v>
      </c>
      <c r="C68" s="13"/>
      <c r="D68" s="13"/>
      <c r="E68" s="18"/>
      <c r="F68" s="19">
        <v>5141.5</v>
      </c>
      <c r="G68" s="20">
        <v>1.52E-2</v>
      </c>
      <c r="H68" s="21">
        <v>3.3046449149766781E-2</v>
      </c>
      <c r="I68" s="22"/>
      <c r="J68" s="2"/>
    </row>
    <row r="69" spans="1:10" ht="12.95" customHeight="1">
      <c r="A69" s="16" t="s">
        <v>3092</v>
      </c>
      <c r="B69" s="17" t="s">
        <v>733</v>
      </c>
      <c r="C69" s="13"/>
      <c r="D69" s="13"/>
      <c r="E69" s="18"/>
      <c r="F69" s="19">
        <v>1406.24</v>
      </c>
      <c r="G69" s="20">
        <v>4.1999999999999997E-3</v>
      </c>
      <c r="H69" s="21">
        <v>3.4500000000000003E-2</v>
      </c>
      <c r="I69" s="22"/>
      <c r="J69" s="2"/>
    </row>
    <row r="70" spans="1:10" ht="12.95" customHeight="1">
      <c r="A70" s="2"/>
      <c r="B70" s="12" t="s">
        <v>172</v>
      </c>
      <c r="C70" s="13"/>
      <c r="D70" s="13"/>
      <c r="E70" s="13"/>
      <c r="F70" s="23">
        <v>14508.6</v>
      </c>
      <c r="G70" s="24">
        <v>4.2999999999999997E-2</v>
      </c>
      <c r="H70" s="25"/>
      <c r="I70" s="26"/>
      <c r="J70" s="2"/>
    </row>
    <row r="71" spans="1:10" ht="12.95" customHeight="1">
      <c r="A71" s="2"/>
      <c r="B71" s="27" t="s">
        <v>173</v>
      </c>
      <c r="C71" s="1"/>
      <c r="D71" s="1"/>
      <c r="E71" s="1"/>
      <c r="F71" s="25" t="s">
        <v>204</v>
      </c>
      <c r="G71" s="25" t="s">
        <v>204</v>
      </c>
      <c r="H71" s="25"/>
      <c r="I71" s="26"/>
      <c r="J71" s="2"/>
    </row>
    <row r="72" spans="1:10" ht="12.95" customHeight="1">
      <c r="A72" s="2"/>
      <c r="B72" s="27" t="s">
        <v>172</v>
      </c>
      <c r="C72" s="1"/>
      <c r="D72" s="1"/>
      <c r="E72" s="1"/>
      <c r="F72" s="25" t="s">
        <v>204</v>
      </c>
      <c r="G72" s="25" t="s">
        <v>204</v>
      </c>
      <c r="H72" s="25"/>
      <c r="I72" s="26"/>
      <c r="J72" s="2"/>
    </row>
    <row r="73" spans="1:10" ht="12.95" customHeight="1">
      <c r="A73" s="2"/>
      <c r="B73" s="27" t="s">
        <v>177</v>
      </c>
      <c r="C73" s="28"/>
      <c r="D73" s="1"/>
      <c r="E73" s="28"/>
      <c r="F73" s="23">
        <v>14508.6</v>
      </c>
      <c r="G73" s="24">
        <v>4.2999999999999997E-2</v>
      </c>
      <c r="H73" s="25"/>
      <c r="I73" s="26"/>
      <c r="J73" s="2"/>
    </row>
    <row r="74" spans="1:10" ht="12.95" customHeight="1">
      <c r="A74" s="2"/>
      <c r="B74" s="27" t="s">
        <v>181</v>
      </c>
      <c r="C74" s="13"/>
      <c r="D74" s="1"/>
      <c r="E74" s="13"/>
      <c r="F74" s="29">
        <v>-4178.68</v>
      </c>
      <c r="G74" s="24">
        <v>-1.2699999999999999E-2</v>
      </c>
      <c r="H74" s="25"/>
      <c r="I74" s="26"/>
      <c r="J74" s="2"/>
    </row>
    <row r="75" spans="1:10" ht="12.95" customHeight="1">
      <c r="A75" s="2"/>
      <c r="B75" s="30" t="s">
        <v>182</v>
      </c>
      <c r="C75" s="31"/>
      <c r="D75" s="31"/>
      <c r="E75" s="31"/>
      <c r="F75" s="32">
        <v>337222</v>
      </c>
      <c r="G75" s="33">
        <v>1</v>
      </c>
      <c r="H75" s="34"/>
      <c r="I75" s="35"/>
      <c r="J75" s="2"/>
    </row>
    <row r="76" spans="1:10" ht="12.95" customHeight="1">
      <c r="A76" s="2"/>
      <c r="B76" s="5"/>
      <c r="C76" s="2"/>
      <c r="D76" s="2"/>
      <c r="E76" s="2"/>
      <c r="F76" s="2"/>
      <c r="G76" s="2"/>
      <c r="H76" s="2"/>
      <c r="I76" s="2"/>
      <c r="J76" s="2"/>
    </row>
    <row r="77" spans="1:10" ht="12.95" customHeight="1">
      <c r="A77" s="2"/>
      <c r="B77" s="3" t="s">
        <v>244</v>
      </c>
      <c r="C77" s="2"/>
      <c r="D77" s="2"/>
      <c r="E77" s="2"/>
      <c r="F77" s="2"/>
      <c r="G77" s="2"/>
      <c r="H77" s="2"/>
      <c r="I77" s="2"/>
      <c r="J77" s="2"/>
    </row>
    <row r="78" spans="1:10" ht="12.95" customHeight="1">
      <c r="A78" s="2"/>
      <c r="B78" s="3" t="s">
        <v>184</v>
      </c>
      <c r="C78" s="2"/>
      <c r="D78" s="2"/>
      <c r="E78" s="2"/>
      <c r="F78" s="2"/>
      <c r="G78" s="2"/>
      <c r="H78" s="2"/>
      <c r="I78" s="2"/>
      <c r="J78" s="2"/>
    </row>
    <row r="79" spans="1:10" ht="12.95" customHeight="1">
      <c r="A79" s="2"/>
      <c r="B79" s="3" t="s">
        <v>185</v>
      </c>
      <c r="C79" s="2"/>
      <c r="D79" s="2"/>
      <c r="E79" s="2"/>
      <c r="F79" s="2"/>
      <c r="G79" s="2"/>
      <c r="H79" s="2"/>
      <c r="I79" s="2"/>
      <c r="J79" s="2"/>
    </row>
    <row r="80" spans="1:10" ht="12.95" customHeight="1">
      <c r="A80" s="2"/>
      <c r="B80" s="3" t="s">
        <v>186</v>
      </c>
      <c r="C80" s="2"/>
      <c r="D80" s="2"/>
      <c r="E80" s="2"/>
      <c r="F80" s="2"/>
      <c r="G80" s="2"/>
      <c r="H80" s="2"/>
      <c r="I80" s="2"/>
      <c r="J80" s="2"/>
    </row>
    <row r="81" spans="1:10" ht="23.25" customHeight="1">
      <c r="A81" s="2"/>
      <c r="B81" s="189" t="s">
        <v>4025</v>
      </c>
      <c r="C81" s="189"/>
      <c r="D81" s="189"/>
      <c r="E81" s="189"/>
      <c r="F81" s="189"/>
      <c r="G81" s="189"/>
      <c r="H81" s="189"/>
      <c r="I81" s="189"/>
      <c r="J81" s="2"/>
    </row>
    <row r="82" spans="1:10" ht="12.95" customHeight="1">
      <c r="A82" s="2"/>
      <c r="B82" s="3"/>
      <c r="C82" s="2"/>
      <c r="D82" s="2"/>
      <c r="E82" s="2"/>
      <c r="F82" s="2"/>
      <c r="G82" s="2"/>
      <c r="H82" s="2"/>
      <c r="I82" s="2"/>
      <c r="J82" s="2"/>
    </row>
    <row r="83" spans="1:10">
      <c r="C83" s="111" t="s">
        <v>3964</v>
      </c>
    </row>
    <row r="84" spans="1:10">
      <c r="B84" s="111" t="s">
        <v>3933</v>
      </c>
      <c r="C84" s="111" t="s">
        <v>3934</v>
      </c>
    </row>
  </sheetData>
  <mergeCells count="2">
    <mergeCell ref="B2:I2"/>
    <mergeCell ref="B81:I81"/>
  </mergeCells>
  <hyperlinks>
    <hyperlink ref="A2" location="Index!A1" display="Index"/>
  </hyperlinks>
  <pageMargins left="0" right="0" top="0" bottom="0" header="0" footer="0"/>
  <pageSetup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5"/>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0.85546875" bestFit="1" customWidth="1"/>
    <col min="7" max="9" width="10.7109375" customWidth="1"/>
    <col min="10" max="10" width="4.85546875" bestFit="1" customWidth="1"/>
  </cols>
  <sheetData>
    <row r="1" spans="1:13" ht="15.75" thickBot="1">
      <c r="A1" s="108" t="str">
        <f>M2</f>
        <v>AXISNETF</v>
      </c>
    </row>
    <row r="2" spans="1:13" ht="34.5" customHeight="1" thickBot="1">
      <c r="A2" s="135" t="str">
        <f>M2</f>
        <v>AXISNETF</v>
      </c>
      <c r="B2" s="186" t="s">
        <v>79</v>
      </c>
      <c r="C2" s="187"/>
      <c r="D2" s="187"/>
      <c r="E2" s="187"/>
      <c r="F2" s="187"/>
      <c r="G2" s="187"/>
      <c r="H2" s="187"/>
      <c r="I2" s="188"/>
      <c r="J2" s="2"/>
      <c r="M2" s="108" t="s">
        <v>78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3976</v>
      </c>
      <c r="E5" s="9" t="s">
        <v>122</v>
      </c>
      <c r="F5" s="9" t="s">
        <v>123</v>
      </c>
      <c r="G5" s="9" t="s">
        <v>124</v>
      </c>
      <c r="H5" s="9" t="s">
        <v>125</v>
      </c>
      <c r="I5" s="10" t="s">
        <v>126</v>
      </c>
      <c r="J5" s="11" t="s">
        <v>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732</v>
      </c>
      <c r="B8" s="17" t="s">
        <v>733</v>
      </c>
      <c r="C8" s="13" t="s">
        <v>734</v>
      </c>
      <c r="D8" s="13" t="s">
        <v>735</v>
      </c>
      <c r="E8" s="18">
        <v>23558</v>
      </c>
      <c r="F8" s="19">
        <v>593.48</v>
      </c>
      <c r="G8" s="20">
        <v>0.1065</v>
      </c>
      <c r="H8" s="36"/>
      <c r="I8" s="22"/>
      <c r="J8" s="2"/>
    </row>
    <row r="9" spans="1:13" ht="12.95" customHeight="1">
      <c r="A9" s="16" t="s">
        <v>682</v>
      </c>
      <c r="B9" s="17" t="s">
        <v>683</v>
      </c>
      <c r="C9" s="13" t="s">
        <v>684</v>
      </c>
      <c r="D9" s="13" t="s">
        <v>685</v>
      </c>
      <c r="E9" s="18">
        <v>31901</v>
      </c>
      <c r="F9" s="19">
        <v>508.8</v>
      </c>
      <c r="G9" s="20">
        <v>9.1300000000000006E-2</v>
      </c>
      <c r="H9" s="36"/>
      <c r="I9" s="22"/>
      <c r="J9" s="2"/>
    </row>
    <row r="10" spans="1:13" ht="12.95" customHeight="1">
      <c r="A10" s="16" t="s">
        <v>740</v>
      </c>
      <c r="B10" s="17" t="s">
        <v>741</v>
      </c>
      <c r="C10" s="13" t="s">
        <v>742</v>
      </c>
      <c r="D10" s="13" t="s">
        <v>731</v>
      </c>
      <c r="E10" s="18">
        <v>27013</v>
      </c>
      <c r="F10" s="19">
        <v>452.52</v>
      </c>
      <c r="G10" s="20">
        <v>8.1199999999999994E-2</v>
      </c>
      <c r="H10" s="36"/>
      <c r="I10" s="22"/>
      <c r="J10" s="2"/>
    </row>
    <row r="11" spans="1:13" ht="12.95" customHeight="1">
      <c r="A11" s="16" t="s">
        <v>743</v>
      </c>
      <c r="B11" s="17" t="s">
        <v>744</v>
      </c>
      <c r="C11" s="13" t="s">
        <v>745</v>
      </c>
      <c r="D11" s="13" t="s">
        <v>723</v>
      </c>
      <c r="E11" s="18">
        <v>13143</v>
      </c>
      <c r="F11" s="19">
        <v>362</v>
      </c>
      <c r="G11" s="20">
        <v>6.4899999999999999E-2</v>
      </c>
      <c r="H11" s="36"/>
      <c r="I11" s="22"/>
      <c r="J11" s="2"/>
    </row>
    <row r="12" spans="1:13" ht="12.95" customHeight="1">
      <c r="A12" s="16" t="s">
        <v>686</v>
      </c>
      <c r="B12" s="17" t="s">
        <v>687</v>
      </c>
      <c r="C12" s="13" t="s">
        <v>688</v>
      </c>
      <c r="D12" s="13" t="s">
        <v>685</v>
      </c>
      <c r="E12" s="18">
        <v>50512</v>
      </c>
      <c r="F12" s="19">
        <v>354.01</v>
      </c>
      <c r="G12" s="20">
        <v>6.3500000000000001E-2</v>
      </c>
      <c r="H12" s="36"/>
      <c r="I12" s="22"/>
      <c r="J12" s="2"/>
    </row>
    <row r="13" spans="1:13" ht="12.95" customHeight="1">
      <c r="A13" s="16" t="s">
        <v>728</v>
      </c>
      <c r="B13" s="17" t="s">
        <v>729</v>
      </c>
      <c r="C13" s="13" t="s">
        <v>730</v>
      </c>
      <c r="D13" s="13" t="s">
        <v>731</v>
      </c>
      <c r="E13" s="18">
        <v>7552</v>
      </c>
      <c r="F13" s="19">
        <v>285.13</v>
      </c>
      <c r="G13" s="20">
        <v>5.1200000000000002E-2</v>
      </c>
      <c r="H13" s="36"/>
      <c r="I13" s="22"/>
      <c r="J13" s="2"/>
    </row>
    <row r="14" spans="1:13" ht="12.95" customHeight="1">
      <c r="A14" s="16" t="s">
        <v>692</v>
      </c>
      <c r="B14" s="17" t="s">
        <v>693</v>
      </c>
      <c r="C14" s="13" t="s">
        <v>694</v>
      </c>
      <c r="D14" s="13" t="s">
        <v>685</v>
      </c>
      <c r="E14" s="18">
        <v>10694</v>
      </c>
      <c r="F14" s="19">
        <v>214.47</v>
      </c>
      <c r="G14" s="20">
        <v>3.85E-2</v>
      </c>
      <c r="H14" s="36"/>
      <c r="I14" s="22"/>
      <c r="J14" s="2"/>
    </row>
    <row r="15" spans="1:13" ht="12.95" customHeight="1">
      <c r="A15" s="16" t="s">
        <v>786</v>
      </c>
      <c r="B15" s="17" t="s">
        <v>787</v>
      </c>
      <c r="C15" s="13" t="s">
        <v>788</v>
      </c>
      <c r="D15" s="13" t="s">
        <v>789</v>
      </c>
      <c r="E15" s="18">
        <v>6509</v>
      </c>
      <c r="F15" s="19">
        <v>175.86</v>
      </c>
      <c r="G15" s="20">
        <v>3.1600000000000003E-2</v>
      </c>
      <c r="H15" s="36"/>
      <c r="I15" s="22"/>
      <c r="J15" s="2"/>
    </row>
    <row r="16" spans="1:13" ht="12.95" customHeight="1">
      <c r="A16" s="16" t="s">
        <v>953</v>
      </c>
      <c r="B16" s="17" t="s">
        <v>954</v>
      </c>
      <c r="C16" s="13" t="s">
        <v>955</v>
      </c>
      <c r="D16" s="13" t="s">
        <v>789</v>
      </c>
      <c r="E16" s="18">
        <v>63660</v>
      </c>
      <c r="F16" s="19">
        <v>150.33000000000001</v>
      </c>
      <c r="G16" s="20">
        <v>2.7E-2</v>
      </c>
      <c r="H16" s="36"/>
      <c r="I16" s="22"/>
      <c r="J16" s="2"/>
    </row>
    <row r="17" spans="1:10" ht="12.95" customHeight="1">
      <c r="A17" s="16" t="s">
        <v>942</v>
      </c>
      <c r="B17" s="17" t="s">
        <v>943</v>
      </c>
      <c r="C17" s="13" t="s">
        <v>944</v>
      </c>
      <c r="D17" s="13" t="s">
        <v>945</v>
      </c>
      <c r="E17" s="18">
        <v>8804</v>
      </c>
      <c r="F17" s="19">
        <v>149.93</v>
      </c>
      <c r="G17" s="20">
        <v>2.69E-2</v>
      </c>
      <c r="H17" s="36"/>
      <c r="I17" s="22"/>
      <c r="J17" s="2"/>
    </row>
    <row r="18" spans="1:10" ht="12.95" customHeight="1">
      <c r="A18" s="16" t="s">
        <v>720</v>
      </c>
      <c r="B18" s="17" t="s">
        <v>721</v>
      </c>
      <c r="C18" s="13" t="s">
        <v>722</v>
      </c>
      <c r="D18" s="13" t="s">
        <v>723</v>
      </c>
      <c r="E18" s="18">
        <v>1936</v>
      </c>
      <c r="F18" s="19">
        <v>148.44999999999999</v>
      </c>
      <c r="G18" s="20">
        <v>2.6599999999999999E-2</v>
      </c>
      <c r="H18" s="36"/>
      <c r="I18" s="22"/>
      <c r="J18" s="2"/>
    </row>
    <row r="19" spans="1:10" ht="12.95" customHeight="1">
      <c r="A19" s="16" t="s">
        <v>695</v>
      </c>
      <c r="B19" s="17" t="s">
        <v>696</v>
      </c>
      <c r="C19" s="13" t="s">
        <v>697</v>
      </c>
      <c r="D19" s="13" t="s">
        <v>685</v>
      </c>
      <c r="E19" s="18">
        <v>18761</v>
      </c>
      <c r="F19" s="19">
        <v>143.81</v>
      </c>
      <c r="G19" s="20">
        <v>2.58E-2</v>
      </c>
      <c r="H19" s="36"/>
      <c r="I19" s="22"/>
      <c r="J19" s="2"/>
    </row>
    <row r="20" spans="1:10" ht="12.95" customHeight="1">
      <c r="A20" s="16" t="s">
        <v>689</v>
      </c>
      <c r="B20" s="17" t="s">
        <v>690</v>
      </c>
      <c r="C20" s="13" t="s">
        <v>691</v>
      </c>
      <c r="D20" s="13" t="s">
        <v>685</v>
      </c>
      <c r="E20" s="18">
        <v>27979</v>
      </c>
      <c r="F20" s="19">
        <v>126.74</v>
      </c>
      <c r="G20" s="20">
        <v>2.2700000000000001E-2</v>
      </c>
      <c r="H20" s="36"/>
      <c r="I20" s="22"/>
      <c r="J20" s="2"/>
    </row>
    <row r="21" spans="1:10" ht="12.95" customHeight="1">
      <c r="A21" s="16" t="s">
        <v>956</v>
      </c>
      <c r="B21" s="17" t="s">
        <v>957</v>
      </c>
      <c r="C21" s="13" t="s">
        <v>958</v>
      </c>
      <c r="D21" s="13" t="s">
        <v>959</v>
      </c>
      <c r="E21" s="18">
        <v>17203</v>
      </c>
      <c r="F21" s="19">
        <v>118.41</v>
      </c>
      <c r="G21" s="20">
        <v>2.12E-2</v>
      </c>
      <c r="H21" s="36"/>
      <c r="I21" s="22"/>
      <c r="J21" s="2"/>
    </row>
    <row r="22" spans="1:10" ht="12.95" customHeight="1">
      <c r="A22" s="16" t="s">
        <v>888</v>
      </c>
      <c r="B22" s="17" t="s">
        <v>889</v>
      </c>
      <c r="C22" s="13" t="s">
        <v>890</v>
      </c>
      <c r="D22" s="13" t="s">
        <v>789</v>
      </c>
      <c r="E22" s="18">
        <v>3282</v>
      </c>
      <c r="F22" s="19">
        <v>106.49</v>
      </c>
      <c r="G22" s="20">
        <v>1.9099999999999999E-2</v>
      </c>
      <c r="H22" s="36"/>
      <c r="I22" s="22"/>
      <c r="J22" s="2"/>
    </row>
    <row r="23" spans="1:10" ht="12.95" customHeight="1">
      <c r="A23" s="16" t="s">
        <v>1768</v>
      </c>
      <c r="B23" s="17" t="s">
        <v>1769</v>
      </c>
      <c r="C23" s="13" t="s">
        <v>1770</v>
      </c>
      <c r="D23" s="13" t="s">
        <v>731</v>
      </c>
      <c r="E23" s="18">
        <v>7905</v>
      </c>
      <c r="F23" s="19">
        <v>101.15</v>
      </c>
      <c r="G23" s="20">
        <v>1.8100000000000002E-2</v>
      </c>
      <c r="H23" s="36"/>
      <c r="I23" s="22"/>
      <c r="J23" s="2"/>
    </row>
    <row r="24" spans="1:10" ht="12.95" customHeight="1">
      <c r="A24" s="16" t="s">
        <v>897</v>
      </c>
      <c r="B24" s="17" t="s">
        <v>898</v>
      </c>
      <c r="C24" s="13" t="s">
        <v>899</v>
      </c>
      <c r="D24" s="13" t="s">
        <v>900</v>
      </c>
      <c r="E24" s="18">
        <v>439</v>
      </c>
      <c r="F24" s="19">
        <v>78.08</v>
      </c>
      <c r="G24" s="20">
        <v>1.4E-2</v>
      </c>
      <c r="H24" s="36"/>
      <c r="I24" s="22"/>
      <c r="J24" s="2"/>
    </row>
    <row r="25" spans="1:10" ht="12.95" customHeight="1">
      <c r="A25" s="16" t="s">
        <v>946</v>
      </c>
      <c r="B25" s="17" t="s">
        <v>947</v>
      </c>
      <c r="C25" s="13" t="s">
        <v>948</v>
      </c>
      <c r="D25" s="13" t="s">
        <v>949</v>
      </c>
      <c r="E25" s="18">
        <v>5688</v>
      </c>
      <c r="F25" s="19">
        <v>73.31</v>
      </c>
      <c r="G25" s="20">
        <v>1.32E-2</v>
      </c>
      <c r="H25" s="36"/>
      <c r="I25" s="22"/>
      <c r="J25" s="2"/>
    </row>
    <row r="26" spans="1:10" ht="12.95" customHeight="1">
      <c r="A26" s="16" t="s">
        <v>775</v>
      </c>
      <c r="B26" s="17" t="s">
        <v>776</v>
      </c>
      <c r="C26" s="13" t="s">
        <v>777</v>
      </c>
      <c r="D26" s="13" t="s">
        <v>778</v>
      </c>
      <c r="E26" s="18">
        <v>968</v>
      </c>
      <c r="F26" s="19">
        <v>71.03</v>
      </c>
      <c r="G26" s="20">
        <v>1.2699999999999999E-2</v>
      </c>
      <c r="H26" s="36"/>
      <c r="I26" s="22"/>
      <c r="J26" s="2"/>
    </row>
    <row r="27" spans="1:10" ht="12.95" customHeight="1">
      <c r="A27" s="16" t="s">
        <v>2078</v>
      </c>
      <c r="B27" s="17" t="s">
        <v>2079</v>
      </c>
      <c r="C27" s="13" t="s">
        <v>2080</v>
      </c>
      <c r="D27" s="13" t="s">
        <v>731</v>
      </c>
      <c r="E27" s="18">
        <v>10760</v>
      </c>
      <c r="F27" s="19">
        <v>68.23</v>
      </c>
      <c r="G27" s="20">
        <v>1.2200000000000001E-2</v>
      </c>
      <c r="H27" s="36"/>
      <c r="I27" s="22"/>
      <c r="J27" s="2"/>
    </row>
    <row r="28" spans="1:10" ht="12.95" customHeight="1">
      <c r="A28" s="16" t="s">
        <v>901</v>
      </c>
      <c r="B28" s="17" t="s">
        <v>902</v>
      </c>
      <c r="C28" s="13" t="s">
        <v>903</v>
      </c>
      <c r="D28" s="13" t="s">
        <v>767</v>
      </c>
      <c r="E28" s="18">
        <v>3033</v>
      </c>
      <c r="F28" s="19">
        <v>65.569999999999993</v>
      </c>
      <c r="G28" s="20">
        <v>1.18E-2</v>
      </c>
      <c r="H28" s="36"/>
      <c r="I28" s="22"/>
      <c r="J28" s="2"/>
    </row>
    <row r="29" spans="1:10" ht="12.95" customHeight="1">
      <c r="A29" s="16" t="s">
        <v>799</v>
      </c>
      <c r="B29" s="17" t="s">
        <v>800</v>
      </c>
      <c r="C29" s="13" t="s">
        <v>801</v>
      </c>
      <c r="D29" s="13" t="s">
        <v>749</v>
      </c>
      <c r="E29" s="18">
        <v>7856</v>
      </c>
      <c r="F29" s="19">
        <v>64.28</v>
      </c>
      <c r="G29" s="20">
        <v>1.15E-2</v>
      </c>
      <c r="H29" s="36"/>
      <c r="I29" s="22"/>
      <c r="J29" s="2"/>
    </row>
    <row r="30" spans="1:10" ht="12.95" customHeight="1">
      <c r="A30" s="16" t="s">
        <v>772</v>
      </c>
      <c r="B30" s="17" t="s">
        <v>773</v>
      </c>
      <c r="C30" s="13" t="s">
        <v>774</v>
      </c>
      <c r="D30" s="13" t="s">
        <v>731</v>
      </c>
      <c r="E30" s="18">
        <v>4518</v>
      </c>
      <c r="F30" s="19">
        <v>62.38</v>
      </c>
      <c r="G30" s="20">
        <v>1.12E-2</v>
      </c>
      <c r="H30" s="36"/>
      <c r="I30" s="22"/>
      <c r="J30" s="2"/>
    </row>
    <row r="31" spans="1:10" ht="12.95" customHeight="1">
      <c r="A31" s="16" t="s">
        <v>891</v>
      </c>
      <c r="B31" s="17" t="s">
        <v>892</v>
      </c>
      <c r="C31" s="13" t="s">
        <v>893</v>
      </c>
      <c r="D31" s="13" t="s">
        <v>782</v>
      </c>
      <c r="E31" s="18">
        <v>842</v>
      </c>
      <c r="F31" s="19">
        <v>62.28</v>
      </c>
      <c r="G31" s="20">
        <v>1.12E-2</v>
      </c>
      <c r="H31" s="36"/>
      <c r="I31" s="22"/>
      <c r="J31" s="2"/>
    </row>
    <row r="32" spans="1:10" ht="12.95" customHeight="1">
      <c r="A32" s="16" t="s">
        <v>808</v>
      </c>
      <c r="B32" s="17" t="s">
        <v>809</v>
      </c>
      <c r="C32" s="13" t="s">
        <v>810</v>
      </c>
      <c r="D32" s="13" t="s">
        <v>778</v>
      </c>
      <c r="E32" s="18">
        <v>6962</v>
      </c>
      <c r="F32" s="19">
        <v>55.91</v>
      </c>
      <c r="G32" s="20">
        <v>0.01</v>
      </c>
      <c r="H32" s="36"/>
      <c r="I32" s="22"/>
      <c r="J32" s="2"/>
    </row>
    <row r="33" spans="1:10" ht="12.95" customHeight="1">
      <c r="A33" s="16" t="s">
        <v>1756</v>
      </c>
      <c r="B33" s="17" t="s">
        <v>1757</v>
      </c>
      <c r="C33" s="13" t="s">
        <v>1758</v>
      </c>
      <c r="D33" s="13" t="s">
        <v>1600</v>
      </c>
      <c r="E33" s="18">
        <v>10625</v>
      </c>
      <c r="F33" s="19">
        <v>51.84</v>
      </c>
      <c r="G33" s="20">
        <v>9.2999999999999992E-3</v>
      </c>
      <c r="H33" s="36"/>
      <c r="I33" s="22"/>
      <c r="J33" s="2"/>
    </row>
    <row r="34" spans="1:10" ht="12.95" customHeight="1">
      <c r="A34" s="16" t="s">
        <v>873</v>
      </c>
      <c r="B34" s="17" t="s">
        <v>874</v>
      </c>
      <c r="C34" s="13" t="s">
        <v>875</v>
      </c>
      <c r="D34" s="13" t="s">
        <v>789</v>
      </c>
      <c r="E34" s="18">
        <v>258</v>
      </c>
      <c r="F34" s="19">
        <v>50.17</v>
      </c>
      <c r="G34" s="20">
        <v>8.9999999999999993E-3</v>
      </c>
      <c r="H34" s="36"/>
      <c r="I34" s="22"/>
      <c r="J34" s="2"/>
    </row>
    <row r="35" spans="1:10" ht="12.95" customHeight="1">
      <c r="A35" s="16" t="s">
        <v>3093</v>
      </c>
      <c r="B35" s="17" t="s">
        <v>3094</v>
      </c>
      <c r="C35" s="13" t="s">
        <v>3095</v>
      </c>
      <c r="D35" s="13" t="s">
        <v>1556</v>
      </c>
      <c r="E35" s="18">
        <v>34548</v>
      </c>
      <c r="F35" s="19">
        <v>49.01</v>
      </c>
      <c r="G35" s="20">
        <v>8.8000000000000005E-3</v>
      </c>
      <c r="H35" s="36"/>
      <c r="I35" s="22"/>
      <c r="J35" s="2"/>
    </row>
    <row r="36" spans="1:10" ht="12.95" customHeight="1">
      <c r="A36" s="16" t="s">
        <v>698</v>
      </c>
      <c r="B36" s="17" t="s">
        <v>699</v>
      </c>
      <c r="C36" s="13" t="s">
        <v>700</v>
      </c>
      <c r="D36" s="13" t="s">
        <v>685</v>
      </c>
      <c r="E36" s="18">
        <v>4401</v>
      </c>
      <c r="F36" s="19">
        <v>48.93</v>
      </c>
      <c r="G36" s="20">
        <v>8.8000000000000005E-3</v>
      </c>
      <c r="H36" s="36"/>
      <c r="I36" s="22"/>
      <c r="J36" s="2"/>
    </row>
    <row r="37" spans="1:10" ht="12.95" customHeight="1">
      <c r="A37" s="16" t="s">
        <v>1735</v>
      </c>
      <c r="B37" s="17" t="s">
        <v>1736</v>
      </c>
      <c r="C37" s="13" t="s">
        <v>1737</v>
      </c>
      <c r="D37" s="13" t="s">
        <v>900</v>
      </c>
      <c r="E37" s="18">
        <v>6748</v>
      </c>
      <c r="F37" s="19">
        <v>48.75</v>
      </c>
      <c r="G37" s="20">
        <v>8.6999999999999994E-3</v>
      </c>
      <c r="H37" s="36"/>
      <c r="I37" s="22"/>
      <c r="J37" s="2"/>
    </row>
    <row r="38" spans="1:10" ht="12.95" customHeight="1">
      <c r="A38" s="16" t="s">
        <v>1753</v>
      </c>
      <c r="B38" s="17" t="s">
        <v>1754</v>
      </c>
      <c r="C38" s="13" t="s">
        <v>1755</v>
      </c>
      <c r="D38" s="13" t="s">
        <v>949</v>
      </c>
      <c r="E38" s="18">
        <v>7216</v>
      </c>
      <c r="F38" s="19">
        <v>48.22</v>
      </c>
      <c r="G38" s="20">
        <v>8.6999999999999994E-3</v>
      </c>
      <c r="H38" s="36"/>
      <c r="I38" s="22"/>
      <c r="J38" s="2"/>
    </row>
    <row r="39" spans="1:10" ht="12.95" customHeight="1">
      <c r="A39" s="16" t="s">
        <v>3096</v>
      </c>
      <c r="B39" s="17" t="s">
        <v>3097</v>
      </c>
      <c r="C39" s="13" t="s">
        <v>3098</v>
      </c>
      <c r="D39" s="13" t="s">
        <v>1556</v>
      </c>
      <c r="E39" s="18">
        <v>24835</v>
      </c>
      <c r="F39" s="19">
        <v>47.16</v>
      </c>
      <c r="G39" s="20">
        <v>8.5000000000000006E-3</v>
      </c>
      <c r="H39" s="36"/>
      <c r="I39" s="22"/>
      <c r="J39" s="2"/>
    </row>
    <row r="40" spans="1:10" ht="12.95" customHeight="1">
      <c r="A40" s="16" t="s">
        <v>1771</v>
      </c>
      <c r="B40" s="17" t="s">
        <v>1772</v>
      </c>
      <c r="C40" s="13" t="s">
        <v>1773</v>
      </c>
      <c r="D40" s="13" t="s">
        <v>782</v>
      </c>
      <c r="E40" s="18">
        <v>2776</v>
      </c>
      <c r="F40" s="19">
        <v>46.34</v>
      </c>
      <c r="G40" s="20">
        <v>8.3000000000000001E-3</v>
      </c>
      <c r="H40" s="36"/>
      <c r="I40" s="22"/>
      <c r="J40" s="2"/>
    </row>
    <row r="41" spans="1:10" ht="12.95" customHeight="1">
      <c r="A41" s="16" t="s">
        <v>746</v>
      </c>
      <c r="B41" s="17" t="s">
        <v>747</v>
      </c>
      <c r="C41" s="13" t="s">
        <v>748</v>
      </c>
      <c r="D41" s="13" t="s">
        <v>749</v>
      </c>
      <c r="E41" s="18">
        <v>925</v>
      </c>
      <c r="F41" s="19">
        <v>44.39</v>
      </c>
      <c r="G41" s="20">
        <v>8.0000000000000002E-3</v>
      </c>
      <c r="H41" s="36"/>
      <c r="I41" s="22"/>
      <c r="J41" s="2"/>
    </row>
    <row r="42" spans="1:10" ht="12.95" customHeight="1">
      <c r="A42" s="16" t="s">
        <v>1547</v>
      </c>
      <c r="B42" s="17" t="s">
        <v>1548</v>
      </c>
      <c r="C42" s="13" t="s">
        <v>1549</v>
      </c>
      <c r="D42" s="13" t="s">
        <v>778</v>
      </c>
      <c r="E42" s="18">
        <v>13021</v>
      </c>
      <c r="F42" s="19">
        <v>43.41</v>
      </c>
      <c r="G42" s="20">
        <v>7.7999999999999996E-3</v>
      </c>
      <c r="H42" s="36"/>
      <c r="I42" s="22"/>
      <c r="J42" s="2"/>
    </row>
    <row r="43" spans="1:10" ht="12.95" customHeight="1">
      <c r="A43" s="16" t="s">
        <v>1557</v>
      </c>
      <c r="B43" s="17" t="s">
        <v>1558</v>
      </c>
      <c r="C43" s="13" t="s">
        <v>1559</v>
      </c>
      <c r="D43" s="13" t="s">
        <v>749</v>
      </c>
      <c r="E43" s="18">
        <v>888</v>
      </c>
      <c r="F43" s="19">
        <v>43.34</v>
      </c>
      <c r="G43" s="20">
        <v>7.7999999999999996E-3</v>
      </c>
      <c r="H43" s="36"/>
      <c r="I43" s="22"/>
      <c r="J43" s="2"/>
    </row>
    <row r="44" spans="1:10" ht="12.95" customHeight="1">
      <c r="A44" s="16" t="s">
        <v>1541</v>
      </c>
      <c r="B44" s="17" t="s">
        <v>1542</v>
      </c>
      <c r="C44" s="13" t="s">
        <v>1543</v>
      </c>
      <c r="D44" s="13" t="s">
        <v>814</v>
      </c>
      <c r="E44" s="18">
        <v>5337</v>
      </c>
      <c r="F44" s="19">
        <v>39.380000000000003</v>
      </c>
      <c r="G44" s="20">
        <v>7.1000000000000004E-3</v>
      </c>
      <c r="H44" s="36"/>
      <c r="I44" s="22"/>
      <c r="J44" s="2"/>
    </row>
    <row r="45" spans="1:10" ht="12.95" customHeight="1">
      <c r="A45" s="16" t="s">
        <v>1039</v>
      </c>
      <c r="B45" s="17" t="s">
        <v>1040</v>
      </c>
      <c r="C45" s="13" t="s">
        <v>1041</v>
      </c>
      <c r="D45" s="13" t="s">
        <v>900</v>
      </c>
      <c r="E45" s="18">
        <v>3195</v>
      </c>
      <c r="F45" s="19">
        <v>38.82</v>
      </c>
      <c r="G45" s="20">
        <v>7.0000000000000001E-3</v>
      </c>
      <c r="H45" s="36"/>
      <c r="I45" s="22"/>
      <c r="J45" s="2"/>
    </row>
    <row r="46" spans="1:10" ht="12.95" customHeight="1">
      <c r="A46" s="16" t="s">
        <v>3099</v>
      </c>
      <c r="B46" s="17" t="s">
        <v>3100</v>
      </c>
      <c r="C46" s="13" t="s">
        <v>3101</v>
      </c>
      <c r="D46" s="13" t="s">
        <v>3102</v>
      </c>
      <c r="E46" s="18">
        <v>26528</v>
      </c>
      <c r="F46" s="19">
        <v>38.33</v>
      </c>
      <c r="G46" s="20">
        <v>6.8999999999999999E-3</v>
      </c>
      <c r="H46" s="36"/>
      <c r="I46" s="22"/>
      <c r="J46" s="2"/>
    </row>
    <row r="47" spans="1:10" ht="12.95" customHeight="1">
      <c r="A47" s="16" t="s">
        <v>960</v>
      </c>
      <c r="B47" s="17" t="s">
        <v>961</v>
      </c>
      <c r="C47" s="13" t="s">
        <v>962</v>
      </c>
      <c r="D47" s="13" t="s">
        <v>778</v>
      </c>
      <c r="E47" s="18">
        <v>955</v>
      </c>
      <c r="F47" s="19">
        <v>36.6</v>
      </c>
      <c r="G47" s="20">
        <v>6.6E-3</v>
      </c>
      <c r="H47" s="36"/>
      <c r="I47" s="22"/>
      <c r="J47" s="2"/>
    </row>
    <row r="48" spans="1:10" ht="12.95" customHeight="1">
      <c r="A48" s="16" t="s">
        <v>1729</v>
      </c>
      <c r="B48" s="17" t="s">
        <v>1730</v>
      </c>
      <c r="C48" s="13" t="s">
        <v>1731</v>
      </c>
      <c r="D48" s="13" t="s">
        <v>749</v>
      </c>
      <c r="E48" s="18">
        <v>3690</v>
      </c>
      <c r="F48" s="19">
        <v>36.29</v>
      </c>
      <c r="G48" s="20">
        <v>6.4999999999999997E-3</v>
      </c>
      <c r="H48" s="36"/>
      <c r="I48" s="22"/>
      <c r="J48" s="2"/>
    </row>
    <row r="49" spans="1:10" ht="12.95" customHeight="1">
      <c r="A49" s="16" t="s">
        <v>966</v>
      </c>
      <c r="B49" s="17" t="s">
        <v>967</v>
      </c>
      <c r="C49" s="13" t="s">
        <v>968</v>
      </c>
      <c r="D49" s="13" t="s">
        <v>789</v>
      </c>
      <c r="E49" s="18">
        <v>4348</v>
      </c>
      <c r="F49" s="19">
        <v>35.380000000000003</v>
      </c>
      <c r="G49" s="20">
        <v>6.3E-3</v>
      </c>
      <c r="H49" s="36"/>
      <c r="I49" s="22"/>
      <c r="J49" s="2"/>
    </row>
    <row r="50" spans="1:10" ht="12.95" customHeight="1">
      <c r="A50" s="16" t="s">
        <v>969</v>
      </c>
      <c r="B50" s="17" t="s">
        <v>970</v>
      </c>
      <c r="C50" s="13" t="s">
        <v>971</v>
      </c>
      <c r="D50" s="13" t="s">
        <v>789</v>
      </c>
      <c r="E50" s="18">
        <v>856</v>
      </c>
      <c r="F50" s="19">
        <v>33.799999999999997</v>
      </c>
      <c r="G50" s="20">
        <v>6.1000000000000004E-3</v>
      </c>
      <c r="H50" s="36"/>
      <c r="I50" s="22"/>
      <c r="J50" s="2"/>
    </row>
    <row r="51" spans="1:10" ht="12.95" customHeight="1">
      <c r="A51" s="16" t="s">
        <v>1563</v>
      </c>
      <c r="B51" s="17" t="s">
        <v>1564</v>
      </c>
      <c r="C51" s="13" t="s">
        <v>1565</v>
      </c>
      <c r="D51" s="13" t="s">
        <v>735</v>
      </c>
      <c r="E51" s="18">
        <v>6948</v>
      </c>
      <c r="F51" s="19">
        <v>30.03</v>
      </c>
      <c r="G51" s="20">
        <v>5.4000000000000003E-3</v>
      </c>
      <c r="H51" s="36"/>
      <c r="I51" s="22"/>
      <c r="J51" s="2"/>
    </row>
    <row r="52" spans="1:10" ht="12.95" customHeight="1">
      <c r="A52" s="16" t="s">
        <v>854</v>
      </c>
      <c r="B52" s="17" t="s">
        <v>855</v>
      </c>
      <c r="C52" s="13" t="s">
        <v>856</v>
      </c>
      <c r="D52" s="13" t="s">
        <v>778</v>
      </c>
      <c r="E52" s="18">
        <v>1019</v>
      </c>
      <c r="F52" s="19">
        <v>28.43</v>
      </c>
      <c r="G52" s="20">
        <v>5.1000000000000004E-3</v>
      </c>
      <c r="H52" s="36"/>
      <c r="I52" s="22"/>
      <c r="J52" s="2"/>
    </row>
    <row r="53" spans="1:10" ht="12.95" customHeight="1">
      <c r="A53" s="16" t="s">
        <v>1759</v>
      </c>
      <c r="B53" s="17" t="s">
        <v>1760</v>
      </c>
      <c r="C53" s="13" t="s">
        <v>1761</v>
      </c>
      <c r="D53" s="13" t="s">
        <v>753</v>
      </c>
      <c r="E53" s="18">
        <v>3996</v>
      </c>
      <c r="F53" s="19">
        <v>28.28</v>
      </c>
      <c r="G53" s="20">
        <v>5.1000000000000004E-3</v>
      </c>
      <c r="H53" s="36"/>
      <c r="I53" s="22"/>
      <c r="J53" s="2"/>
    </row>
    <row r="54" spans="1:10" ht="12.95" customHeight="1">
      <c r="A54" s="16" t="s">
        <v>1537</v>
      </c>
      <c r="B54" s="17" t="s">
        <v>1538</v>
      </c>
      <c r="C54" s="13" t="s">
        <v>1539</v>
      </c>
      <c r="D54" s="13" t="s">
        <v>1540</v>
      </c>
      <c r="E54" s="18">
        <v>15230</v>
      </c>
      <c r="F54" s="19">
        <v>28.19</v>
      </c>
      <c r="G54" s="20">
        <v>5.1000000000000004E-3</v>
      </c>
      <c r="H54" s="36"/>
      <c r="I54" s="22"/>
      <c r="J54" s="2"/>
    </row>
    <row r="55" spans="1:10" ht="12.95" customHeight="1">
      <c r="A55" s="16" t="s">
        <v>939</v>
      </c>
      <c r="B55" s="17" t="s">
        <v>940</v>
      </c>
      <c r="C55" s="13" t="s">
        <v>941</v>
      </c>
      <c r="D55" s="13" t="s">
        <v>782</v>
      </c>
      <c r="E55" s="18">
        <v>97</v>
      </c>
      <c r="F55" s="19">
        <v>28.03</v>
      </c>
      <c r="G55" s="20">
        <v>5.0000000000000001E-3</v>
      </c>
      <c r="H55" s="36"/>
      <c r="I55" s="22"/>
      <c r="J55" s="2"/>
    </row>
    <row r="56" spans="1:10" ht="12.95" customHeight="1">
      <c r="A56" s="16" t="s">
        <v>975</v>
      </c>
      <c r="B56" s="17" t="s">
        <v>976</v>
      </c>
      <c r="C56" s="13" t="s">
        <v>977</v>
      </c>
      <c r="D56" s="13" t="s">
        <v>778</v>
      </c>
      <c r="E56" s="18">
        <v>951</v>
      </c>
      <c r="F56" s="19">
        <v>26.94</v>
      </c>
      <c r="G56" s="20">
        <v>4.7999999999999996E-3</v>
      </c>
      <c r="H56" s="36"/>
      <c r="I56" s="22"/>
      <c r="J56" s="2"/>
    </row>
    <row r="57" spans="1:10" ht="12.95" customHeight="1">
      <c r="A57" s="16" t="s">
        <v>3103</v>
      </c>
      <c r="B57" s="17" t="s">
        <v>3104</v>
      </c>
      <c r="C57" s="13" t="s">
        <v>3105</v>
      </c>
      <c r="D57" s="13" t="s">
        <v>735</v>
      </c>
      <c r="E57" s="18">
        <v>18433</v>
      </c>
      <c r="F57" s="19">
        <v>23.1</v>
      </c>
      <c r="G57" s="20">
        <v>4.1000000000000003E-3</v>
      </c>
      <c r="H57" s="36"/>
      <c r="I57" s="22"/>
      <c r="J57" s="2"/>
    </row>
    <row r="58" spans="1:10" ht="12.95" customHeight="1">
      <c r="A58" s="16" t="s">
        <v>3106</v>
      </c>
      <c r="B58" s="103" t="s">
        <v>3925</v>
      </c>
      <c r="C58" s="13"/>
      <c r="D58" s="13" t="s">
        <v>685</v>
      </c>
      <c r="E58" s="18">
        <v>2576</v>
      </c>
      <c r="F58" s="36" t="s">
        <v>3988</v>
      </c>
      <c r="G58" s="36" t="s">
        <v>643</v>
      </c>
      <c r="H58" s="36"/>
      <c r="I58" s="22"/>
      <c r="J58" s="2"/>
    </row>
    <row r="59" spans="1:10" ht="12.95" customHeight="1">
      <c r="A59" s="2"/>
      <c r="B59" s="27" t="s">
        <v>177</v>
      </c>
      <c r="C59" s="28"/>
      <c r="D59" s="1"/>
      <c r="E59" s="28"/>
      <c r="F59" s="23">
        <v>5565.81</v>
      </c>
      <c r="G59" s="24">
        <v>0.99870000000000003</v>
      </c>
      <c r="H59" s="25"/>
      <c r="I59" s="26"/>
      <c r="J59" s="2"/>
    </row>
    <row r="60" spans="1:10" ht="12.95" customHeight="1">
      <c r="A60" s="2"/>
      <c r="B60" s="12" t="s">
        <v>127</v>
      </c>
      <c r="C60" s="13"/>
      <c r="D60" s="13"/>
      <c r="E60" s="13"/>
      <c r="F60" s="13"/>
      <c r="G60" s="13"/>
      <c r="H60" s="14"/>
      <c r="I60" s="15"/>
      <c r="J60" s="2"/>
    </row>
    <row r="61" spans="1:10" ht="12.95" customHeight="1">
      <c r="A61" s="2"/>
      <c r="B61" s="12" t="s">
        <v>128</v>
      </c>
      <c r="C61" s="13"/>
      <c r="D61" s="13"/>
      <c r="E61" s="13"/>
      <c r="F61" s="2"/>
      <c r="G61" s="14"/>
      <c r="H61" s="14"/>
      <c r="I61" s="15"/>
      <c r="J61" s="2"/>
    </row>
    <row r="62" spans="1:10" ht="12.95" customHeight="1">
      <c r="A62" s="16" t="s">
        <v>3107</v>
      </c>
      <c r="B62" s="17" t="s">
        <v>3108</v>
      </c>
      <c r="C62" s="13" t="s">
        <v>3109</v>
      </c>
      <c r="D62" s="13" t="s">
        <v>132</v>
      </c>
      <c r="E62" s="18">
        <v>2317.2413793103447</v>
      </c>
      <c r="F62" s="19">
        <v>0.2</v>
      </c>
      <c r="G62" s="36" t="s">
        <v>643</v>
      </c>
      <c r="H62" s="21">
        <v>5.3449999999999998E-2</v>
      </c>
      <c r="I62" s="22"/>
      <c r="J62" s="2"/>
    </row>
    <row r="63" spans="1:10" ht="12.95" customHeight="1">
      <c r="A63" s="2"/>
      <c r="B63" s="12" t="s">
        <v>172</v>
      </c>
      <c r="C63" s="13"/>
      <c r="D63" s="13"/>
      <c r="E63" s="13"/>
      <c r="F63" s="23">
        <v>0.2</v>
      </c>
      <c r="G63" s="24">
        <v>0</v>
      </c>
      <c r="H63" s="25"/>
      <c r="I63" s="26"/>
      <c r="J63" s="2"/>
    </row>
    <row r="64" spans="1:10" ht="12.95" customHeight="1">
      <c r="A64" s="2"/>
      <c r="B64" s="27" t="s">
        <v>173</v>
      </c>
      <c r="C64" s="1"/>
      <c r="D64" s="1"/>
      <c r="E64" s="1"/>
      <c r="F64" s="25" t="s">
        <v>204</v>
      </c>
      <c r="G64" s="25" t="s">
        <v>204</v>
      </c>
      <c r="H64" s="25"/>
      <c r="I64" s="26"/>
      <c r="J64" s="2"/>
    </row>
    <row r="65" spans="1:10" ht="12.95" customHeight="1">
      <c r="A65" s="2"/>
      <c r="B65" s="27" t="s">
        <v>172</v>
      </c>
      <c r="C65" s="1"/>
      <c r="D65" s="1"/>
      <c r="E65" s="1"/>
      <c r="F65" s="25" t="s">
        <v>204</v>
      </c>
      <c r="G65" s="25" t="s">
        <v>204</v>
      </c>
      <c r="H65" s="25"/>
      <c r="I65" s="26"/>
      <c r="J65" s="2"/>
    </row>
    <row r="66" spans="1:10" ht="12.95" customHeight="1">
      <c r="A66" s="2"/>
      <c r="B66" s="27" t="s">
        <v>177</v>
      </c>
      <c r="C66" s="28"/>
      <c r="D66" s="1"/>
      <c r="E66" s="28"/>
      <c r="F66" s="23">
        <v>0.2</v>
      </c>
      <c r="G66" s="24">
        <v>0</v>
      </c>
      <c r="H66" s="25"/>
      <c r="I66" s="26"/>
      <c r="J66" s="2"/>
    </row>
    <row r="67" spans="1:10" ht="12.95" customHeight="1">
      <c r="A67" s="2"/>
      <c r="B67" s="12" t="s">
        <v>178</v>
      </c>
      <c r="C67" s="13"/>
      <c r="D67" s="13"/>
      <c r="E67" s="13"/>
      <c r="F67" s="13"/>
      <c r="G67" s="13"/>
      <c r="H67" s="14"/>
      <c r="I67" s="15"/>
      <c r="J67" s="2"/>
    </row>
    <row r="68" spans="1:10" ht="12.95" customHeight="1">
      <c r="A68" s="16" t="s">
        <v>179</v>
      </c>
      <c r="B68" s="17" t="s">
        <v>180</v>
      </c>
      <c r="C68" s="13"/>
      <c r="D68" s="13"/>
      <c r="E68" s="18"/>
      <c r="F68" s="19">
        <v>0.93</v>
      </c>
      <c r="G68" s="20">
        <v>2.0000000000000001E-4</v>
      </c>
      <c r="H68" s="21">
        <v>3.3166992054654426E-2</v>
      </c>
      <c r="I68" s="22"/>
      <c r="J68" s="2"/>
    </row>
    <row r="69" spans="1:10" ht="12.95" customHeight="1">
      <c r="A69" s="2"/>
      <c r="B69" s="12" t="s">
        <v>172</v>
      </c>
      <c r="C69" s="13"/>
      <c r="D69" s="13"/>
      <c r="E69" s="13"/>
      <c r="F69" s="23">
        <v>0.93</v>
      </c>
      <c r="G69" s="24">
        <v>2.0000000000000001E-4</v>
      </c>
      <c r="H69" s="25"/>
      <c r="I69" s="26"/>
      <c r="J69" s="2"/>
    </row>
    <row r="70" spans="1:10" ht="12.95" customHeight="1">
      <c r="A70" s="2"/>
      <c r="B70" s="27" t="s">
        <v>173</v>
      </c>
      <c r="C70" s="1"/>
      <c r="D70" s="1"/>
      <c r="E70" s="1"/>
      <c r="F70" s="25" t="s">
        <v>204</v>
      </c>
      <c r="G70" s="25" t="s">
        <v>204</v>
      </c>
      <c r="H70" s="25"/>
      <c r="I70" s="26"/>
      <c r="J70" s="2"/>
    </row>
    <row r="71" spans="1:10" ht="12.95" customHeight="1">
      <c r="A71" s="2"/>
      <c r="B71" s="27" t="s">
        <v>172</v>
      </c>
      <c r="C71" s="1"/>
      <c r="D71" s="1"/>
      <c r="E71" s="1"/>
      <c r="F71" s="25" t="s">
        <v>204</v>
      </c>
      <c r="G71" s="25" t="s">
        <v>204</v>
      </c>
      <c r="H71" s="25"/>
      <c r="I71" s="26"/>
      <c r="J71" s="2"/>
    </row>
    <row r="72" spans="1:10" ht="12.95" customHeight="1">
      <c r="A72" s="2"/>
      <c r="B72" s="27" t="s">
        <v>177</v>
      </c>
      <c r="C72" s="28"/>
      <c r="D72" s="1"/>
      <c r="E72" s="28"/>
      <c r="F72" s="23">
        <v>0.93</v>
      </c>
      <c r="G72" s="24">
        <v>2.0000000000000001E-4</v>
      </c>
      <c r="H72" s="25"/>
      <c r="I72" s="26"/>
      <c r="J72" s="2"/>
    </row>
    <row r="73" spans="1:10" ht="12.95" customHeight="1">
      <c r="A73" s="2"/>
      <c r="B73" s="27" t="s">
        <v>181</v>
      </c>
      <c r="C73" s="13"/>
      <c r="D73" s="1"/>
      <c r="E73" s="13"/>
      <c r="F73" s="29">
        <v>6.67</v>
      </c>
      <c r="G73" s="24">
        <v>1.1000000000000001E-3</v>
      </c>
      <c r="H73" s="25"/>
      <c r="I73" s="26"/>
      <c r="J73" s="2"/>
    </row>
    <row r="74" spans="1:10" ht="12.95" customHeight="1">
      <c r="A74" s="2"/>
      <c r="B74" s="30" t="s">
        <v>182</v>
      </c>
      <c r="C74" s="31"/>
      <c r="D74" s="31"/>
      <c r="E74" s="31"/>
      <c r="F74" s="32">
        <v>5573.61</v>
      </c>
      <c r="G74" s="33">
        <v>1</v>
      </c>
      <c r="H74" s="34"/>
      <c r="I74" s="35"/>
      <c r="J74" s="2"/>
    </row>
    <row r="75" spans="1:10" ht="12.95" customHeight="1">
      <c r="A75" s="2"/>
      <c r="B75" s="5"/>
      <c r="C75" s="2"/>
      <c r="D75" s="2"/>
      <c r="E75" s="2"/>
      <c r="F75" s="2"/>
      <c r="G75" s="2"/>
      <c r="H75" s="2"/>
      <c r="I75" s="2"/>
      <c r="J75" s="2"/>
    </row>
    <row r="76" spans="1:10" ht="12.95" customHeight="1">
      <c r="A76" s="2"/>
      <c r="B76" s="3" t="s">
        <v>244</v>
      </c>
      <c r="C76" s="2"/>
      <c r="D76" s="2"/>
      <c r="E76" s="2"/>
      <c r="F76" s="2"/>
      <c r="G76" s="2"/>
      <c r="H76" s="2"/>
      <c r="I76" s="2"/>
      <c r="J76" s="2"/>
    </row>
    <row r="77" spans="1:10" ht="12.95" customHeight="1">
      <c r="A77" s="2"/>
      <c r="B77" s="3" t="s">
        <v>184</v>
      </c>
      <c r="C77" s="2"/>
      <c r="D77" s="2"/>
      <c r="E77" s="2"/>
      <c r="F77" s="2"/>
      <c r="G77" s="2"/>
      <c r="H77" s="2"/>
      <c r="I77" s="2"/>
      <c r="J77" s="2"/>
    </row>
    <row r="78" spans="1:10" ht="12.95" customHeight="1">
      <c r="A78" s="2"/>
      <c r="B78" s="193" t="s">
        <v>3926</v>
      </c>
      <c r="C78" s="193"/>
      <c r="D78" s="193"/>
      <c r="E78" s="193"/>
      <c r="F78" s="193"/>
      <c r="G78" s="193"/>
      <c r="H78" s="2"/>
      <c r="I78" s="2"/>
      <c r="J78" s="2"/>
    </row>
    <row r="79" spans="1:10" ht="12.95" customHeight="1">
      <c r="A79" s="116"/>
      <c r="B79" s="113" t="s">
        <v>3990</v>
      </c>
      <c r="C79" s="114"/>
      <c r="D79" s="114"/>
      <c r="E79" s="114"/>
      <c r="F79" s="114"/>
      <c r="G79" s="114"/>
      <c r="H79" s="116"/>
      <c r="I79" s="116"/>
      <c r="J79" s="116"/>
    </row>
    <row r="80" spans="1:10" ht="12.95" customHeight="1">
      <c r="A80" s="2"/>
      <c r="B80" s="3" t="s">
        <v>678</v>
      </c>
      <c r="C80" s="2"/>
      <c r="D80" s="2"/>
      <c r="E80" s="2"/>
      <c r="F80" s="2"/>
      <c r="G80" s="2"/>
      <c r="H80" s="2"/>
      <c r="I80" s="2"/>
      <c r="J80" s="2"/>
    </row>
    <row r="81" spans="1:10" ht="12.95" customHeight="1">
      <c r="A81" s="2"/>
      <c r="B81" s="3" t="s">
        <v>186</v>
      </c>
      <c r="C81" s="2"/>
      <c r="D81" s="2"/>
      <c r="E81" s="2"/>
      <c r="F81" s="2"/>
      <c r="G81" s="2"/>
      <c r="H81" s="2"/>
      <c r="I81" s="2"/>
      <c r="J81" s="2"/>
    </row>
    <row r="82" spans="1:10" ht="23.25" customHeight="1">
      <c r="A82" s="2"/>
      <c r="B82" s="189" t="s">
        <v>4025</v>
      </c>
      <c r="C82" s="189"/>
      <c r="D82" s="189"/>
      <c r="E82" s="189"/>
      <c r="F82" s="189"/>
      <c r="G82" s="189"/>
      <c r="H82" s="189"/>
      <c r="I82" s="189"/>
      <c r="J82" s="2"/>
    </row>
    <row r="83" spans="1:10" ht="12.95" customHeight="1">
      <c r="A83" s="2"/>
      <c r="B83" s="3"/>
      <c r="C83" s="2"/>
      <c r="D83" s="2"/>
      <c r="E83" s="2"/>
      <c r="F83" s="2"/>
      <c r="G83" s="2"/>
      <c r="H83" s="2"/>
      <c r="I83" s="2"/>
      <c r="J83" s="2"/>
    </row>
    <row r="84" spans="1:10">
      <c r="C84" s="111" t="s">
        <v>3947</v>
      </c>
    </row>
    <row r="85" spans="1:10">
      <c r="B85" s="111" t="s">
        <v>3933</v>
      </c>
      <c r="C85" s="111" t="s">
        <v>3934</v>
      </c>
    </row>
  </sheetData>
  <mergeCells count="3">
    <mergeCell ref="B2:I2"/>
    <mergeCell ref="B78:G78"/>
    <mergeCell ref="B82:I82"/>
  </mergeCells>
  <hyperlinks>
    <hyperlink ref="A2" location="Index!A1" display="Index"/>
  </hyperlinks>
  <pageMargins left="0" right="0" top="0" bottom="0" header="0" footer="0"/>
  <pageSetup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35"/>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10.85546875" customWidth="1"/>
  </cols>
  <sheetData>
    <row r="1" spans="1:13" ht="15.75" thickBot="1">
      <c r="A1" s="108" t="str">
        <f>M2</f>
        <v>AXISNIF</v>
      </c>
    </row>
    <row r="2" spans="1:13" ht="34.5" customHeight="1" thickBot="1">
      <c r="A2" s="135" t="str">
        <f>M2</f>
        <v>AXISNIF</v>
      </c>
      <c r="B2" s="186" t="s">
        <v>81</v>
      </c>
      <c r="C2" s="187"/>
      <c r="D2" s="187"/>
      <c r="E2" s="187"/>
      <c r="F2" s="187"/>
      <c r="G2" s="187"/>
      <c r="H2" s="187"/>
      <c r="I2" s="188"/>
      <c r="J2" s="2"/>
      <c r="M2" s="108" t="s">
        <v>80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3976</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732</v>
      </c>
      <c r="B8" s="17" t="s">
        <v>733</v>
      </c>
      <c r="C8" s="13" t="s">
        <v>734</v>
      </c>
      <c r="D8" s="13" t="s">
        <v>735</v>
      </c>
      <c r="E8" s="18">
        <v>208699</v>
      </c>
      <c r="F8" s="19">
        <v>5257.65</v>
      </c>
      <c r="G8" s="20">
        <v>9.0999999999999998E-2</v>
      </c>
      <c r="H8" s="36"/>
      <c r="I8" s="22"/>
      <c r="J8" s="2"/>
    </row>
    <row r="9" spans="1:13" ht="12.95" customHeight="1">
      <c r="A9" s="16" t="s">
        <v>682</v>
      </c>
      <c r="B9" s="17" t="s">
        <v>683</v>
      </c>
      <c r="C9" s="13" t="s">
        <v>684</v>
      </c>
      <c r="D9" s="13" t="s">
        <v>685</v>
      </c>
      <c r="E9" s="18">
        <v>282369</v>
      </c>
      <c r="F9" s="19">
        <v>4503.6400000000003</v>
      </c>
      <c r="G9" s="20">
        <v>7.8E-2</v>
      </c>
      <c r="H9" s="36"/>
      <c r="I9" s="22"/>
      <c r="J9" s="2"/>
    </row>
    <row r="10" spans="1:13" ht="12.95" customHeight="1">
      <c r="A10" s="16" t="s">
        <v>740</v>
      </c>
      <c r="B10" s="17" t="s">
        <v>741</v>
      </c>
      <c r="C10" s="13" t="s">
        <v>742</v>
      </c>
      <c r="D10" s="13" t="s">
        <v>731</v>
      </c>
      <c r="E10" s="18">
        <v>239307</v>
      </c>
      <c r="F10" s="19">
        <v>4008.87</v>
      </c>
      <c r="G10" s="20">
        <v>6.9400000000000003E-2</v>
      </c>
      <c r="H10" s="36"/>
      <c r="I10" s="22"/>
      <c r="J10" s="2"/>
    </row>
    <row r="11" spans="1:13" ht="12.95" customHeight="1">
      <c r="A11" s="16" t="s">
        <v>743</v>
      </c>
      <c r="B11" s="17" t="s">
        <v>744</v>
      </c>
      <c r="C11" s="13" t="s">
        <v>745</v>
      </c>
      <c r="D11" s="13" t="s">
        <v>723</v>
      </c>
      <c r="E11" s="18">
        <v>116644</v>
      </c>
      <c r="F11" s="19">
        <v>3212.73</v>
      </c>
      <c r="G11" s="20">
        <v>5.5599999999999997E-2</v>
      </c>
      <c r="H11" s="36"/>
      <c r="I11" s="22"/>
      <c r="J11" s="2"/>
    </row>
    <row r="12" spans="1:13" ht="12.95" customHeight="1">
      <c r="A12" s="16" t="s">
        <v>686</v>
      </c>
      <c r="B12" s="17" t="s">
        <v>687</v>
      </c>
      <c r="C12" s="13" t="s">
        <v>688</v>
      </c>
      <c r="D12" s="13" t="s">
        <v>685</v>
      </c>
      <c r="E12" s="18">
        <v>448026</v>
      </c>
      <c r="F12" s="19">
        <v>3139.99</v>
      </c>
      <c r="G12" s="20">
        <v>5.4399999999999997E-2</v>
      </c>
      <c r="H12" s="36"/>
      <c r="I12" s="22"/>
      <c r="J12" s="2"/>
    </row>
    <row r="13" spans="1:13" ht="12.95" customHeight="1">
      <c r="A13" s="16" t="s">
        <v>728</v>
      </c>
      <c r="B13" s="17" t="s">
        <v>729</v>
      </c>
      <c r="C13" s="13" t="s">
        <v>730</v>
      </c>
      <c r="D13" s="13" t="s">
        <v>731</v>
      </c>
      <c r="E13" s="18">
        <v>67003</v>
      </c>
      <c r="F13" s="19">
        <v>2529.73</v>
      </c>
      <c r="G13" s="20">
        <v>4.3799999999999999E-2</v>
      </c>
      <c r="H13" s="36"/>
      <c r="I13" s="22"/>
      <c r="J13" s="2"/>
    </row>
    <row r="14" spans="1:13" ht="12.95" customHeight="1">
      <c r="A14" s="16" t="s">
        <v>692</v>
      </c>
      <c r="B14" s="17" t="s">
        <v>693</v>
      </c>
      <c r="C14" s="13" t="s">
        <v>694</v>
      </c>
      <c r="D14" s="13" t="s">
        <v>685</v>
      </c>
      <c r="E14" s="18">
        <v>94903</v>
      </c>
      <c r="F14" s="19">
        <v>1903.28</v>
      </c>
      <c r="G14" s="20">
        <v>3.3000000000000002E-2</v>
      </c>
      <c r="H14" s="36"/>
      <c r="I14" s="22"/>
      <c r="J14" s="2"/>
    </row>
    <row r="15" spans="1:13" ht="12.95" customHeight="1">
      <c r="A15" s="16" t="s">
        <v>786</v>
      </c>
      <c r="B15" s="17" t="s">
        <v>787</v>
      </c>
      <c r="C15" s="13" t="s">
        <v>788</v>
      </c>
      <c r="D15" s="13" t="s">
        <v>789</v>
      </c>
      <c r="E15" s="18">
        <v>57757</v>
      </c>
      <c r="F15" s="19">
        <v>1560.48</v>
      </c>
      <c r="G15" s="20">
        <v>2.7E-2</v>
      </c>
      <c r="H15" s="36"/>
      <c r="I15" s="22"/>
      <c r="J15" s="2"/>
    </row>
    <row r="16" spans="1:13" ht="12.95" customHeight="1">
      <c r="A16" s="16" t="s">
        <v>953</v>
      </c>
      <c r="B16" s="17" t="s">
        <v>954</v>
      </c>
      <c r="C16" s="13" t="s">
        <v>955</v>
      </c>
      <c r="D16" s="13" t="s">
        <v>789</v>
      </c>
      <c r="E16" s="18">
        <v>565400</v>
      </c>
      <c r="F16" s="19">
        <v>1335.19</v>
      </c>
      <c r="G16" s="20">
        <v>2.3099999999999999E-2</v>
      </c>
      <c r="H16" s="36"/>
      <c r="I16" s="22"/>
      <c r="J16" s="2"/>
    </row>
    <row r="17" spans="1:10" ht="12.95" customHeight="1">
      <c r="A17" s="16" t="s">
        <v>942</v>
      </c>
      <c r="B17" s="17" t="s">
        <v>943</v>
      </c>
      <c r="C17" s="13" t="s">
        <v>944</v>
      </c>
      <c r="D17" s="13" t="s">
        <v>945</v>
      </c>
      <c r="E17" s="18">
        <v>77976</v>
      </c>
      <c r="F17" s="19">
        <v>1327.89</v>
      </c>
      <c r="G17" s="20">
        <v>2.3E-2</v>
      </c>
      <c r="H17" s="36"/>
      <c r="I17" s="22"/>
      <c r="J17" s="2"/>
    </row>
    <row r="18" spans="1:10" ht="12.95" customHeight="1">
      <c r="A18" s="16" t="s">
        <v>720</v>
      </c>
      <c r="B18" s="17" t="s">
        <v>721</v>
      </c>
      <c r="C18" s="13" t="s">
        <v>722</v>
      </c>
      <c r="D18" s="13" t="s">
        <v>723</v>
      </c>
      <c r="E18" s="18">
        <v>17176</v>
      </c>
      <c r="F18" s="19">
        <v>1317.07</v>
      </c>
      <c r="G18" s="20">
        <v>2.2800000000000001E-2</v>
      </c>
      <c r="H18" s="36"/>
      <c r="I18" s="22"/>
      <c r="J18" s="2"/>
    </row>
    <row r="19" spans="1:10" ht="12.95" customHeight="1">
      <c r="A19" s="16" t="s">
        <v>695</v>
      </c>
      <c r="B19" s="17" t="s">
        <v>696</v>
      </c>
      <c r="C19" s="13" t="s">
        <v>697</v>
      </c>
      <c r="D19" s="13" t="s">
        <v>685</v>
      </c>
      <c r="E19" s="18">
        <v>166578</v>
      </c>
      <c r="F19" s="19">
        <v>1276.9000000000001</v>
      </c>
      <c r="G19" s="20">
        <v>2.2100000000000002E-2</v>
      </c>
      <c r="H19" s="36"/>
      <c r="I19" s="22"/>
      <c r="J19" s="2"/>
    </row>
    <row r="20" spans="1:10" ht="12.95" customHeight="1">
      <c r="A20" s="16" t="s">
        <v>689</v>
      </c>
      <c r="B20" s="17" t="s">
        <v>690</v>
      </c>
      <c r="C20" s="13" t="s">
        <v>691</v>
      </c>
      <c r="D20" s="13" t="s">
        <v>685</v>
      </c>
      <c r="E20" s="18">
        <v>248314</v>
      </c>
      <c r="F20" s="19">
        <v>1124.8599999999999</v>
      </c>
      <c r="G20" s="20">
        <v>1.95E-2</v>
      </c>
      <c r="H20" s="36"/>
      <c r="I20" s="22"/>
      <c r="J20" s="2"/>
    </row>
    <row r="21" spans="1:10" ht="12.95" customHeight="1">
      <c r="A21" s="16" t="s">
        <v>956</v>
      </c>
      <c r="B21" s="17" t="s">
        <v>957</v>
      </c>
      <c r="C21" s="13" t="s">
        <v>958</v>
      </c>
      <c r="D21" s="13" t="s">
        <v>959</v>
      </c>
      <c r="E21" s="18">
        <v>152440</v>
      </c>
      <c r="F21" s="19">
        <v>1049.24</v>
      </c>
      <c r="G21" s="20">
        <v>1.8200000000000001E-2</v>
      </c>
      <c r="H21" s="36"/>
      <c r="I21" s="22"/>
      <c r="J21" s="2"/>
    </row>
    <row r="22" spans="1:10" ht="12.95" customHeight="1">
      <c r="A22" s="16" t="s">
        <v>888</v>
      </c>
      <c r="B22" s="17" t="s">
        <v>889</v>
      </c>
      <c r="C22" s="13" t="s">
        <v>890</v>
      </c>
      <c r="D22" s="13" t="s">
        <v>789</v>
      </c>
      <c r="E22" s="18">
        <v>29161</v>
      </c>
      <c r="F22" s="19">
        <v>946.17</v>
      </c>
      <c r="G22" s="20">
        <v>1.6400000000000001E-2</v>
      </c>
      <c r="H22" s="36"/>
      <c r="I22" s="22"/>
      <c r="J22" s="2"/>
    </row>
    <row r="23" spans="1:10" ht="12.95" customHeight="1">
      <c r="A23" s="16" t="s">
        <v>1768</v>
      </c>
      <c r="B23" s="17" t="s">
        <v>1769</v>
      </c>
      <c r="C23" s="13" t="s">
        <v>1770</v>
      </c>
      <c r="D23" s="13" t="s">
        <v>731</v>
      </c>
      <c r="E23" s="18">
        <v>70214</v>
      </c>
      <c r="F23" s="19">
        <v>898.42</v>
      </c>
      <c r="G23" s="20">
        <v>1.5599999999999999E-2</v>
      </c>
      <c r="H23" s="36"/>
      <c r="I23" s="22"/>
      <c r="J23" s="2"/>
    </row>
    <row r="24" spans="1:10" ht="12.95" customHeight="1">
      <c r="A24" s="16" t="s">
        <v>897</v>
      </c>
      <c r="B24" s="17" t="s">
        <v>898</v>
      </c>
      <c r="C24" s="13" t="s">
        <v>899</v>
      </c>
      <c r="D24" s="13" t="s">
        <v>900</v>
      </c>
      <c r="E24" s="18">
        <v>3900</v>
      </c>
      <c r="F24" s="19">
        <v>693.68</v>
      </c>
      <c r="G24" s="20">
        <v>1.2E-2</v>
      </c>
      <c r="H24" s="36"/>
      <c r="I24" s="22"/>
      <c r="J24" s="2"/>
    </row>
    <row r="25" spans="1:10" ht="12.95" customHeight="1">
      <c r="A25" s="16" t="s">
        <v>946</v>
      </c>
      <c r="B25" s="17" t="s">
        <v>947</v>
      </c>
      <c r="C25" s="13" t="s">
        <v>948</v>
      </c>
      <c r="D25" s="13" t="s">
        <v>949</v>
      </c>
      <c r="E25" s="18">
        <v>50898</v>
      </c>
      <c r="F25" s="19">
        <v>656.02</v>
      </c>
      <c r="G25" s="20">
        <v>1.14E-2</v>
      </c>
      <c r="H25" s="36"/>
      <c r="I25" s="22"/>
      <c r="J25" s="2"/>
    </row>
    <row r="26" spans="1:10" ht="12.95" customHeight="1">
      <c r="A26" s="16" t="s">
        <v>775</v>
      </c>
      <c r="B26" s="17" t="s">
        <v>776</v>
      </c>
      <c r="C26" s="13" t="s">
        <v>777</v>
      </c>
      <c r="D26" s="13" t="s">
        <v>778</v>
      </c>
      <c r="E26" s="18">
        <v>8584</v>
      </c>
      <c r="F26" s="19">
        <v>629.9</v>
      </c>
      <c r="G26" s="20">
        <v>1.09E-2</v>
      </c>
      <c r="H26" s="36"/>
      <c r="I26" s="22"/>
      <c r="J26" s="2"/>
    </row>
    <row r="27" spans="1:10" ht="12.95" customHeight="1">
      <c r="A27" s="16" t="s">
        <v>2078</v>
      </c>
      <c r="B27" s="17" t="s">
        <v>2079</v>
      </c>
      <c r="C27" s="13" t="s">
        <v>2080</v>
      </c>
      <c r="D27" s="13" t="s">
        <v>731</v>
      </c>
      <c r="E27" s="18">
        <v>95702</v>
      </c>
      <c r="F27" s="19">
        <v>606.85</v>
      </c>
      <c r="G27" s="20">
        <v>1.0500000000000001E-2</v>
      </c>
      <c r="H27" s="36"/>
      <c r="I27" s="22"/>
      <c r="J27" s="2"/>
    </row>
    <row r="28" spans="1:10" ht="12.95" customHeight="1">
      <c r="A28" s="16" t="s">
        <v>901</v>
      </c>
      <c r="B28" s="17" t="s">
        <v>902</v>
      </c>
      <c r="C28" s="13" t="s">
        <v>903</v>
      </c>
      <c r="D28" s="13" t="s">
        <v>767</v>
      </c>
      <c r="E28" s="18">
        <v>26990</v>
      </c>
      <c r="F28" s="19">
        <v>583.48</v>
      </c>
      <c r="G28" s="20">
        <v>1.01E-2</v>
      </c>
      <c r="H28" s="36"/>
      <c r="I28" s="22"/>
      <c r="J28" s="2"/>
    </row>
    <row r="29" spans="1:10" ht="12.95" customHeight="1">
      <c r="A29" s="16" t="s">
        <v>799</v>
      </c>
      <c r="B29" s="17" t="s">
        <v>800</v>
      </c>
      <c r="C29" s="13" t="s">
        <v>801</v>
      </c>
      <c r="D29" s="13" t="s">
        <v>749</v>
      </c>
      <c r="E29" s="18">
        <v>69781</v>
      </c>
      <c r="F29" s="19">
        <v>570.98</v>
      </c>
      <c r="G29" s="20">
        <v>9.9000000000000008E-3</v>
      </c>
      <c r="H29" s="36"/>
      <c r="I29" s="22"/>
      <c r="J29" s="2"/>
    </row>
    <row r="30" spans="1:10" ht="12.95" customHeight="1">
      <c r="A30" s="16" t="s">
        <v>772</v>
      </c>
      <c r="B30" s="17" t="s">
        <v>773</v>
      </c>
      <c r="C30" s="13" t="s">
        <v>774</v>
      </c>
      <c r="D30" s="13" t="s">
        <v>731</v>
      </c>
      <c r="E30" s="18">
        <v>40065</v>
      </c>
      <c r="F30" s="19">
        <v>553.14</v>
      </c>
      <c r="G30" s="20">
        <v>9.5999999999999992E-3</v>
      </c>
      <c r="H30" s="36"/>
      <c r="I30" s="22"/>
      <c r="J30" s="2"/>
    </row>
    <row r="31" spans="1:10" ht="12.95" customHeight="1">
      <c r="A31" s="16" t="s">
        <v>891</v>
      </c>
      <c r="B31" s="17" t="s">
        <v>892</v>
      </c>
      <c r="C31" s="13" t="s">
        <v>893</v>
      </c>
      <c r="D31" s="13" t="s">
        <v>782</v>
      </c>
      <c r="E31" s="18">
        <v>7454</v>
      </c>
      <c r="F31" s="19">
        <v>551.30999999999995</v>
      </c>
      <c r="G31" s="20">
        <v>9.4999999999999998E-3</v>
      </c>
      <c r="H31" s="36"/>
      <c r="I31" s="22"/>
      <c r="J31" s="2"/>
    </row>
    <row r="32" spans="1:10" ht="12.95" customHeight="1">
      <c r="A32" s="16" t="s">
        <v>808</v>
      </c>
      <c r="B32" s="17" t="s">
        <v>809</v>
      </c>
      <c r="C32" s="13" t="s">
        <v>810</v>
      </c>
      <c r="D32" s="13" t="s">
        <v>778</v>
      </c>
      <c r="E32" s="18">
        <v>61885</v>
      </c>
      <c r="F32" s="19">
        <v>496.97</v>
      </c>
      <c r="G32" s="20">
        <v>8.6E-3</v>
      </c>
      <c r="H32" s="36"/>
      <c r="I32" s="22"/>
      <c r="J32" s="2"/>
    </row>
    <row r="33" spans="1:10" ht="12.95" customHeight="1">
      <c r="A33" s="16" t="s">
        <v>1756</v>
      </c>
      <c r="B33" s="17" t="s">
        <v>1757</v>
      </c>
      <c r="C33" s="13" t="s">
        <v>1758</v>
      </c>
      <c r="D33" s="13" t="s">
        <v>1600</v>
      </c>
      <c r="E33" s="18">
        <v>95124</v>
      </c>
      <c r="F33" s="19">
        <v>464.16</v>
      </c>
      <c r="G33" s="20">
        <v>8.0000000000000002E-3</v>
      </c>
      <c r="H33" s="36"/>
      <c r="I33" s="22"/>
      <c r="J33" s="2"/>
    </row>
    <row r="34" spans="1:10" ht="12.95" customHeight="1">
      <c r="A34" s="16" t="s">
        <v>873</v>
      </c>
      <c r="B34" s="17" t="s">
        <v>874</v>
      </c>
      <c r="C34" s="13" t="s">
        <v>875</v>
      </c>
      <c r="D34" s="13" t="s">
        <v>789</v>
      </c>
      <c r="E34" s="18">
        <v>2303</v>
      </c>
      <c r="F34" s="19">
        <v>447.83</v>
      </c>
      <c r="G34" s="20">
        <v>7.7999999999999996E-3</v>
      </c>
      <c r="H34" s="36"/>
      <c r="I34" s="22"/>
      <c r="J34" s="2"/>
    </row>
    <row r="35" spans="1:10" ht="12.95" customHeight="1">
      <c r="A35" s="16" t="s">
        <v>3093</v>
      </c>
      <c r="B35" s="17" t="s">
        <v>3094</v>
      </c>
      <c r="C35" s="13" t="s">
        <v>3095</v>
      </c>
      <c r="D35" s="13" t="s">
        <v>1556</v>
      </c>
      <c r="E35" s="18">
        <v>307437</v>
      </c>
      <c r="F35" s="19">
        <v>436.1</v>
      </c>
      <c r="G35" s="20">
        <v>7.4999999999999997E-3</v>
      </c>
      <c r="H35" s="36"/>
      <c r="I35" s="22"/>
      <c r="J35" s="2"/>
    </row>
    <row r="36" spans="1:10" ht="12.95" customHeight="1">
      <c r="A36" s="16" t="s">
        <v>1735</v>
      </c>
      <c r="B36" s="17" t="s">
        <v>1736</v>
      </c>
      <c r="C36" s="13" t="s">
        <v>1737</v>
      </c>
      <c r="D36" s="13" t="s">
        <v>900</v>
      </c>
      <c r="E36" s="18">
        <v>60075</v>
      </c>
      <c r="F36" s="19">
        <v>433.98</v>
      </c>
      <c r="G36" s="20">
        <v>7.4999999999999997E-3</v>
      </c>
      <c r="H36" s="36"/>
      <c r="I36" s="22"/>
      <c r="J36" s="2"/>
    </row>
    <row r="37" spans="1:10" ht="12.95" customHeight="1">
      <c r="A37" s="16" t="s">
        <v>698</v>
      </c>
      <c r="B37" s="17" t="s">
        <v>699</v>
      </c>
      <c r="C37" s="13" t="s">
        <v>700</v>
      </c>
      <c r="D37" s="13" t="s">
        <v>685</v>
      </c>
      <c r="E37" s="18">
        <v>39017</v>
      </c>
      <c r="F37" s="19">
        <v>433.83</v>
      </c>
      <c r="G37" s="20">
        <v>7.4999999999999997E-3</v>
      </c>
      <c r="H37" s="36"/>
      <c r="I37" s="22"/>
      <c r="J37" s="2"/>
    </row>
    <row r="38" spans="1:10" ht="12.95" customHeight="1">
      <c r="A38" s="16" t="s">
        <v>1753</v>
      </c>
      <c r="B38" s="17" t="s">
        <v>1754</v>
      </c>
      <c r="C38" s="13" t="s">
        <v>1755</v>
      </c>
      <c r="D38" s="13" t="s">
        <v>949</v>
      </c>
      <c r="E38" s="18">
        <v>62870</v>
      </c>
      <c r="F38" s="19">
        <v>420.16</v>
      </c>
      <c r="G38" s="20">
        <v>7.3000000000000001E-3</v>
      </c>
      <c r="H38" s="36"/>
      <c r="I38" s="22"/>
      <c r="J38" s="2"/>
    </row>
    <row r="39" spans="1:10" ht="12.95" customHeight="1">
      <c r="A39" s="16" t="s">
        <v>3096</v>
      </c>
      <c r="B39" s="17" t="s">
        <v>3097</v>
      </c>
      <c r="C39" s="13" t="s">
        <v>3098</v>
      </c>
      <c r="D39" s="13" t="s">
        <v>1556</v>
      </c>
      <c r="E39" s="18">
        <v>220702</v>
      </c>
      <c r="F39" s="19">
        <v>419.11</v>
      </c>
      <c r="G39" s="20">
        <v>7.3000000000000001E-3</v>
      </c>
      <c r="H39" s="36"/>
      <c r="I39" s="22"/>
      <c r="J39" s="2"/>
    </row>
    <row r="40" spans="1:10" ht="12.95" customHeight="1">
      <c r="A40" s="16" t="s">
        <v>1771</v>
      </c>
      <c r="B40" s="17" t="s">
        <v>1772</v>
      </c>
      <c r="C40" s="13" t="s">
        <v>1773</v>
      </c>
      <c r="D40" s="13" t="s">
        <v>782</v>
      </c>
      <c r="E40" s="18">
        <v>24688</v>
      </c>
      <c r="F40" s="19">
        <v>412.15</v>
      </c>
      <c r="G40" s="20">
        <v>7.1000000000000004E-3</v>
      </c>
      <c r="H40" s="36"/>
      <c r="I40" s="22"/>
      <c r="J40" s="2"/>
    </row>
    <row r="41" spans="1:10" ht="12.95" customHeight="1">
      <c r="A41" s="16" t="s">
        <v>736</v>
      </c>
      <c r="B41" s="17" t="s">
        <v>737</v>
      </c>
      <c r="C41" s="13" t="s">
        <v>738</v>
      </c>
      <c r="D41" s="13" t="s">
        <v>739</v>
      </c>
      <c r="E41" s="18">
        <v>9612</v>
      </c>
      <c r="F41" s="19">
        <v>408.53</v>
      </c>
      <c r="G41" s="20">
        <v>7.1000000000000004E-3</v>
      </c>
      <c r="H41" s="36"/>
      <c r="I41" s="22"/>
      <c r="J41" s="2"/>
    </row>
    <row r="42" spans="1:10" ht="12.95" customHeight="1">
      <c r="A42" s="16" t="s">
        <v>746</v>
      </c>
      <c r="B42" s="17" t="s">
        <v>747</v>
      </c>
      <c r="C42" s="13" t="s">
        <v>748</v>
      </c>
      <c r="D42" s="13" t="s">
        <v>749</v>
      </c>
      <c r="E42" s="18">
        <v>8220</v>
      </c>
      <c r="F42" s="19">
        <v>394.45</v>
      </c>
      <c r="G42" s="20">
        <v>6.7999999999999996E-3</v>
      </c>
      <c r="H42" s="36"/>
      <c r="I42" s="22"/>
      <c r="J42" s="2"/>
    </row>
    <row r="43" spans="1:10" ht="12.95" customHeight="1">
      <c r="A43" s="16" t="s">
        <v>1547</v>
      </c>
      <c r="B43" s="17" t="s">
        <v>1548</v>
      </c>
      <c r="C43" s="13" t="s">
        <v>1549</v>
      </c>
      <c r="D43" s="13" t="s">
        <v>778</v>
      </c>
      <c r="E43" s="18">
        <v>116010</v>
      </c>
      <c r="F43" s="19">
        <v>386.72</v>
      </c>
      <c r="G43" s="20">
        <v>6.7000000000000002E-3</v>
      </c>
      <c r="H43" s="36"/>
      <c r="I43" s="22"/>
      <c r="J43" s="2"/>
    </row>
    <row r="44" spans="1:10" ht="12.95" customHeight="1">
      <c r="A44" s="16" t="s">
        <v>1557</v>
      </c>
      <c r="B44" s="17" t="s">
        <v>1558</v>
      </c>
      <c r="C44" s="13" t="s">
        <v>1559</v>
      </c>
      <c r="D44" s="13" t="s">
        <v>749</v>
      </c>
      <c r="E44" s="18">
        <v>7842</v>
      </c>
      <c r="F44" s="19">
        <v>382.74</v>
      </c>
      <c r="G44" s="20">
        <v>6.6E-3</v>
      </c>
      <c r="H44" s="36"/>
      <c r="I44" s="22"/>
      <c r="J44" s="2"/>
    </row>
    <row r="45" spans="1:10" ht="12.95" customHeight="1">
      <c r="A45" s="16" t="s">
        <v>1541</v>
      </c>
      <c r="B45" s="17" t="s">
        <v>1542</v>
      </c>
      <c r="C45" s="13" t="s">
        <v>1543</v>
      </c>
      <c r="D45" s="13" t="s">
        <v>814</v>
      </c>
      <c r="E45" s="18">
        <v>47552</v>
      </c>
      <c r="F45" s="19">
        <v>350.89</v>
      </c>
      <c r="G45" s="20">
        <v>6.1000000000000004E-3</v>
      </c>
      <c r="H45" s="36"/>
      <c r="I45" s="22"/>
      <c r="J45" s="2"/>
    </row>
    <row r="46" spans="1:10" ht="12.95" customHeight="1">
      <c r="A46" s="16" t="s">
        <v>1039</v>
      </c>
      <c r="B46" s="17" t="s">
        <v>1040</v>
      </c>
      <c r="C46" s="13" t="s">
        <v>1041</v>
      </c>
      <c r="D46" s="13" t="s">
        <v>900</v>
      </c>
      <c r="E46" s="18">
        <v>28442</v>
      </c>
      <c r="F46" s="19">
        <v>345.6</v>
      </c>
      <c r="G46" s="20">
        <v>6.0000000000000001E-3</v>
      </c>
      <c r="H46" s="36"/>
      <c r="I46" s="22"/>
      <c r="J46" s="2"/>
    </row>
    <row r="47" spans="1:10" ht="12.95" customHeight="1">
      <c r="A47" s="16" t="s">
        <v>3099</v>
      </c>
      <c r="B47" s="17" t="s">
        <v>3100</v>
      </c>
      <c r="C47" s="13" t="s">
        <v>3101</v>
      </c>
      <c r="D47" s="13" t="s">
        <v>3102</v>
      </c>
      <c r="E47" s="18">
        <v>235558</v>
      </c>
      <c r="F47" s="19">
        <v>340.38</v>
      </c>
      <c r="G47" s="20">
        <v>5.8999999999999999E-3</v>
      </c>
      <c r="H47" s="36"/>
      <c r="I47" s="22"/>
      <c r="J47" s="2"/>
    </row>
    <row r="48" spans="1:10" ht="12.95" customHeight="1">
      <c r="A48" s="16" t="s">
        <v>1729</v>
      </c>
      <c r="B48" s="17" t="s">
        <v>1730</v>
      </c>
      <c r="C48" s="13" t="s">
        <v>1731</v>
      </c>
      <c r="D48" s="13" t="s">
        <v>749</v>
      </c>
      <c r="E48" s="18">
        <v>32814</v>
      </c>
      <c r="F48" s="19">
        <v>322.74</v>
      </c>
      <c r="G48" s="20">
        <v>5.5999999999999999E-3</v>
      </c>
      <c r="H48" s="36"/>
      <c r="I48" s="22"/>
      <c r="J48" s="2"/>
    </row>
    <row r="49" spans="1:10" ht="12.95" customHeight="1">
      <c r="A49" s="16" t="s">
        <v>960</v>
      </c>
      <c r="B49" s="17" t="s">
        <v>961</v>
      </c>
      <c r="C49" s="13" t="s">
        <v>962</v>
      </c>
      <c r="D49" s="13" t="s">
        <v>778</v>
      </c>
      <c r="E49" s="18">
        <v>8403</v>
      </c>
      <c r="F49" s="19">
        <v>322.06</v>
      </c>
      <c r="G49" s="20">
        <v>5.5999999999999999E-3</v>
      </c>
      <c r="H49" s="36"/>
      <c r="I49" s="22"/>
      <c r="J49" s="2"/>
    </row>
    <row r="50" spans="1:10" ht="12.95" customHeight="1">
      <c r="A50" s="16" t="s">
        <v>963</v>
      </c>
      <c r="B50" s="17" t="s">
        <v>964</v>
      </c>
      <c r="C50" s="13" t="s">
        <v>965</v>
      </c>
      <c r="D50" s="13" t="s">
        <v>739</v>
      </c>
      <c r="E50" s="18">
        <v>4984</v>
      </c>
      <c r="F50" s="19">
        <v>320.54000000000002</v>
      </c>
      <c r="G50" s="20">
        <v>5.4999999999999997E-3</v>
      </c>
      <c r="H50" s="36"/>
      <c r="I50" s="22"/>
      <c r="J50" s="2"/>
    </row>
    <row r="51" spans="1:10" ht="12.95" customHeight="1">
      <c r="A51" s="16" t="s">
        <v>966</v>
      </c>
      <c r="B51" s="17" t="s">
        <v>967</v>
      </c>
      <c r="C51" s="13" t="s">
        <v>968</v>
      </c>
      <c r="D51" s="13" t="s">
        <v>789</v>
      </c>
      <c r="E51" s="18">
        <v>39098</v>
      </c>
      <c r="F51" s="19">
        <v>318.10000000000002</v>
      </c>
      <c r="G51" s="20">
        <v>5.4999999999999997E-3</v>
      </c>
      <c r="H51" s="36"/>
      <c r="I51" s="22"/>
      <c r="J51" s="2"/>
    </row>
    <row r="52" spans="1:10" ht="12.95" customHeight="1">
      <c r="A52" s="16" t="s">
        <v>3110</v>
      </c>
      <c r="B52" s="17" t="s">
        <v>3111</v>
      </c>
      <c r="C52" s="13" t="s">
        <v>3112</v>
      </c>
      <c r="D52" s="13" t="s">
        <v>1556</v>
      </c>
      <c r="E52" s="18">
        <v>26249</v>
      </c>
      <c r="F52" s="19">
        <v>300.97000000000003</v>
      </c>
      <c r="G52" s="20">
        <v>5.1999999999999998E-3</v>
      </c>
      <c r="H52" s="36"/>
      <c r="I52" s="22"/>
      <c r="J52" s="2"/>
    </row>
    <row r="53" spans="1:10" ht="12.95" customHeight="1">
      <c r="A53" s="16" t="s">
        <v>969</v>
      </c>
      <c r="B53" s="17" t="s">
        <v>970</v>
      </c>
      <c r="C53" s="13" t="s">
        <v>971</v>
      </c>
      <c r="D53" s="13" t="s">
        <v>789</v>
      </c>
      <c r="E53" s="18">
        <v>7616</v>
      </c>
      <c r="F53" s="19">
        <v>300.75</v>
      </c>
      <c r="G53" s="20">
        <v>5.1999999999999998E-3</v>
      </c>
      <c r="H53" s="36"/>
      <c r="I53" s="22"/>
      <c r="J53" s="2"/>
    </row>
    <row r="54" spans="1:10" ht="12.95" customHeight="1">
      <c r="A54" s="16" t="s">
        <v>972</v>
      </c>
      <c r="B54" s="17" t="s">
        <v>973</v>
      </c>
      <c r="C54" s="13" t="s">
        <v>974</v>
      </c>
      <c r="D54" s="13" t="s">
        <v>910</v>
      </c>
      <c r="E54" s="18">
        <v>6547</v>
      </c>
      <c r="F54" s="19">
        <v>293.41000000000003</v>
      </c>
      <c r="G54" s="20">
        <v>5.1000000000000004E-3</v>
      </c>
      <c r="H54" s="36"/>
      <c r="I54" s="22"/>
      <c r="J54" s="2"/>
    </row>
    <row r="55" spans="1:10" ht="12.95" customHeight="1">
      <c r="A55" s="16" t="s">
        <v>3113</v>
      </c>
      <c r="B55" s="17" t="s">
        <v>3114</v>
      </c>
      <c r="C55" s="13" t="s">
        <v>3115</v>
      </c>
      <c r="D55" s="13" t="s">
        <v>1556</v>
      </c>
      <c r="E55" s="18">
        <v>17712</v>
      </c>
      <c r="F55" s="19">
        <v>276.04000000000002</v>
      </c>
      <c r="G55" s="20">
        <v>4.7999999999999996E-3</v>
      </c>
      <c r="H55" s="36"/>
      <c r="I55" s="22"/>
      <c r="J55" s="2"/>
    </row>
    <row r="56" spans="1:10" ht="12.95" customHeight="1">
      <c r="A56" s="16" t="s">
        <v>1563</v>
      </c>
      <c r="B56" s="17" t="s">
        <v>1564</v>
      </c>
      <c r="C56" s="13" t="s">
        <v>1565</v>
      </c>
      <c r="D56" s="13" t="s">
        <v>735</v>
      </c>
      <c r="E56" s="18">
        <v>61632</v>
      </c>
      <c r="F56" s="19">
        <v>266.37</v>
      </c>
      <c r="G56" s="20">
        <v>4.5999999999999999E-3</v>
      </c>
      <c r="H56" s="36"/>
      <c r="I56" s="22"/>
      <c r="J56" s="2"/>
    </row>
    <row r="57" spans="1:10" ht="12.95" customHeight="1">
      <c r="A57" s="16" t="s">
        <v>1576</v>
      </c>
      <c r="B57" s="17" t="s">
        <v>1577</v>
      </c>
      <c r="C57" s="13" t="s">
        <v>1578</v>
      </c>
      <c r="D57" s="13" t="s">
        <v>1540</v>
      </c>
      <c r="E57" s="18">
        <v>17998</v>
      </c>
      <c r="F57" s="19">
        <v>264.23</v>
      </c>
      <c r="G57" s="20">
        <v>4.5999999999999999E-3</v>
      </c>
      <c r="H57" s="36"/>
      <c r="I57" s="22"/>
      <c r="J57" s="2"/>
    </row>
    <row r="58" spans="1:10" ht="12.95" customHeight="1">
      <c r="A58" s="16" t="s">
        <v>3116</v>
      </c>
      <c r="B58" s="17" t="s">
        <v>3117</v>
      </c>
      <c r="C58" s="13" t="s">
        <v>3118</v>
      </c>
      <c r="D58" s="13" t="s">
        <v>900</v>
      </c>
      <c r="E58" s="18">
        <v>16462</v>
      </c>
      <c r="F58" s="19">
        <v>261.66000000000003</v>
      </c>
      <c r="G58" s="20">
        <v>4.4999999999999997E-3</v>
      </c>
      <c r="H58" s="36"/>
      <c r="I58" s="22"/>
      <c r="J58" s="2"/>
    </row>
    <row r="59" spans="1:10" ht="12.95" customHeight="1">
      <c r="A59" s="16" t="s">
        <v>911</v>
      </c>
      <c r="B59" s="17" t="s">
        <v>912</v>
      </c>
      <c r="C59" s="13" t="s">
        <v>913</v>
      </c>
      <c r="D59" s="13" t="s">
        <v>789</v>
      </c>
      <c r="E59" s="18">
        <v>24425</v>
      </c>
      <c r="F59" s="19">
        <v>251.55</v>
      </c>
      <c r="G59" s="20">
        <v>4.4000000000000003E-3</v>
      </c>
      <c r="H59" s="36"/>
      <c r="I59" s="22"/>
      <c r="J59" s="2"/>
    </row>
    <row r="60" spans="1:10" ht="12.95" customHeight="1">
      <c r="A60" s="16" t="s">
        <v>1759</v>
      </c>
      <c r="B60" s="17" t="s">
        <v>1760</v>
      </c>
      <c r="C60" s="13" t="s">
        <v>1761</v>
      </c>
      <c r="D60" s="13" t="s">
        <v>753</v>
      </c>
      <c r="E60" s="18">
        <v>35505</v>
      </c>
      <c r="F60" s="19">
        <v>251.27</v>
      </c>
      <c r="G60" s="20">
        <v>4.4000000000000003E-3</v>
      </c>
      <c r="H60" s="36"/>
      <c r="I60" s="22"/>
      <c r="J60" s="2"/>
    </row>
    <row r="61" spans="1:10" ht="12.95" customHeight="1">
      <c r="A61" s="16" t="s">
        <v>854</v>
      </c>
      <c r="B61" s="17" t="s">
        <v>855</v>
      </c>
      <c r="C61" s="13" t="s">
        <v>856</v>
      </c>
      <c r="D61" s="13" t="s">
        <v>778</v>
      </c>
      <c r="E61" s="18">
        <v>8995</v>
      </c>
      <c r="F61" s="19">
        <v>250.98</v>
      </c>
      <c r="G61" s="20">
        <v>4.3E-3</v>
      </c>
      <c r="H61" s="36"/>
      <c r="I61" s="22"/>
      <c r="J61" s="2"/>
    </row>
    <row r="62" spans="1:10" ht="12.95" customHeight="1">
      <c r="A62" s="16" t="s">
        <v>1537</v>
      </c>
      <c r="B62" s="17" t="s">
        <v>1538</v>
      </c>
      <c r="C62" s="13" t="s">
        <v>1539</v>
      </c>
      <c r="D62" s="13" t="s">
        <v>1540</v>
      </c>
      <c r="E62" s="18">
        <v>135339</v>
      </c>
      <c r="F62" s="19">
        <v>250.51</v>
      </c>
      <c r="G62" s="20">
        <v>4.3E-3</v>
      </c>
      <c r="H62" s="36"/>
      <c r="I62" s="22"/>
      <c r="J62" s="2"/>
    </row>
    <row r="63" spans="1:10" ht="12.95" customHeight="1">
      <c r="A63" s="16" t="s">
        <v>939</v>
      </c>
      <c r="B63" s="17" t="s">
        <v>940</v>
      </c>
      <c r="C63" s="13" t="s">
        <v>941</v>
      </c>
      <c r="D63" s="13" t="s">
        <v>782</v>
      </c>
      <c r="E63" s="18">
        <v>858</v>
      </c>
      <c r="F63" s="19">
        <v>247.98</v>
      </c>
      <c r="G63" s="20">
        <v>4.3E-3</v>
      </c>
      <c r="H63" s="36"/>
      <c r="I63" s="22"/>
      <c r="J63" s="2"/>
    </row>
    <row r="64" spans="1:10" ht="12.95" customHeight="1">
      <c r="A64" s="16" t="s">
        <v>975</v>
      </c>
      <c r="B64" s="17" t="s">
        <v>976</v>
      </c>
      <c r="C64" s="13" t="s">
        <v>977</v>
      </c>
      <c r="D64" s="13" t="s">
        <v>778</v>
      </c>
      <c r="E64" s="18">
        <v>8380</v>
      </c>
      <c r="F64" s="19">
        <v>237.36</v>
      </c>
      <c r="G64" s="20">
        <v>4.1000000000000003E-3</v>
      </c>
      <c r="H64" s="36"/>
      <c r="I64" s="22"/>
      <c r="J64" s="2"/>
    </row>
    <row r="65" spans="1:10" ht="12.95" customHeight="1">
      <c r="A65" s="16" t="s">
        <v>1597</v>
      </c>
      <c r="B65" s="17" t="s">
        <v>1598</v>
      </c>
      <c r="C65" s="13" t="s">
        <v>1599</v>
      </c>
      <c r="D65" s="13" t="s">
        <v>1600</v>
      </c>
      <c r="E65" s="18">
        <v>81642</v>
      </c>
      <c r="F65" s="19">
        <v>234.84</v>
      </c>
      <c r="G65" s="20">
        <v>4.1000000000000003E-3</v>
      </c>
      <c r="H65" s="36"/>
      <c r="I65" s="22"/>
      <c r="J65" s="2"/>
    </row>
    <row r="66" spans="1:10" ht="12.95" customHeight="1">
      <c r="A66" s="16" t="s">
        <v>1726</v>
      </c>
      <c r="B66" s="17" t="s">
        <v>1727</v>
      </c>
      <c r="C66" s="13" t="s">
        <v>1728</v>
      </c>
      <c r="D66" s="13" t="s">
        <v>763</v>
      </c>
      <c r="E66" s="18">
        <v>9838</v>
      </c>
      <c r="F66" s="19">
        <v>234.34</v>
      </c>
      <c r="G66" s="20">
        <v>4.1000000000000003E-3</v>
      </c>
      <c r="H66" s="36"/>
      <c r="I66" s="22"/>
      <c r="J66" s="2"/>
    </row>
    <row r="67" spans="1:10" ht="12.95" customHeight="1">
      <c r="A67" s="16" t="s">
        <v>978</v>
      </c>
      <c r="B67" s="17" t="s">
        <v>979</v>
      </c>
      <c r="C67" s="13" t="s">
        <v>980</v>
      </c>
      <c r="D67" s="13" t="s">
        <v>789</v>
      </c>
      <c r="E67" s="18">
        <v>37740</v>
      </c>
      <c r="F67" s="19">
        <v>232.87</v>
      </c>
      <c r="G67" s="20">
        <v>4.0000000000000001E-3</v>
      </c>
      <c r="H67" s="36"/>
      <c r="I67" s="22"/>
      <c r="J67" s="2"/>
    </row>
    <row r="68" spans="1:10" ht="12.95" customHeight="1">
      <c r="A68" s="16" t="s">
        <v>981</v>
      </c>
      <c r="B68" s="17" t="s">
        <v>982</v>
      </c>
      <c r="C68" s="13" t="s">
        <v>983</v>
      </c>
      <c r="D68" s="13" t="s">
        <v>767</v>
      </c>
      <c r="E68" s="18">
        <v>16161</v>
      </c>
      <c r="F68" s="19">
        <v>221.91</v>
      </c>
      <c r="G68" s="20">
        <v>3.8E-3</v>
      </c>
      <c r="H68" s="36"/>
      <c r="I68" s="22"/>
      <c r="J68" s="2"/>
    </row>
    <row r="69" spans="1:10" ht="12.95" customHeight="1">
      <c r="A69" s="16" t="s">
        <v>3103</v>
      </c>
      <c r="B69" s="17" t="s">
        <v>3104</v>
      </c>
      <c r="C69" s="13" t="s">
        <v>3105</v>
      </c>
      <c r="D69" s="13" t="s">
        <v>735</v>
      </c>
      <c r="E69" s="18">
        <v>164165</v>
      </c>
      <c r="F69" s="19">
        <v>205.7</v>
      </c>
      <c r="G69" s="20">
        <v>3.5999999999999999E-3</v>
      </c>
      <c r="H69" s="36"/>
      <c r="I69" s="22"/>
      <c r="J69" s="2"/>
    </row>
    <row r="70" spans="1:10" ht="12.95" customHeight="1">
      <c r="A70" s="16" t="s">
        <v>1744</v>
      </c>
      <c r="B70" s="17" t="s">
        <v>1745</v>
      </c>
      <c r="C70" s="13" t="s">
        <v>1746</v>
      </c>
      <c r="D70" s="13" t="s">
        <v>723</v>
      </c>
      <c r="E70" s="18">
        <v>7870</v>
      </c>
      <c r="F70" s="19">
        <v>204.29</v>
      </c>
      <c r="G70" s="20">
        <v>3.5000000000000001E-3</v>
      </c>
      <c r="H70" s="36"/>
      <c r="I70" s="22"/>
      <c r="J70" s="2"/>
    </row>
    <row r="71" spans="1:10" ht="12.95" customHeight="1">
      <c r="A71" s="16" t="s">
        <v>984</v>
      </c>
      <c r="B71" s="17" t="s">
        <v>985</v>
      </c>
      <c r="C71" s="13" t="s">
        <v>986</v>
      </c>
      <c r="D71" s="13" t="s">
        <v>987</v>
      </c>
      <c r="E71" s="18">
        <v>4937</v>
      </c>
      <c r="F71" s="19">
        <v>199.5</v>
      </c>
      <c r="G71" s="20">
        <v>3.5000000000000001E-3</v>
      </c>
      <c r="H71" s="36"/>
      <c r="I71" s="22"/>
      <c r="J71" s="2"/>
    </row>
    <row r="72" spans="1:10" ht="12.95" customHeight="1">
      <c r="A72" s="16" t="s">
        <v>779</v>
      </c>
      <c r="B72" s="17" t="s">
        <v>780</v>
      </c>
      <c r="C72" s="13" t="s">
        <v>781</v>
      </c>
      <c r="D72" s="13" t="s">
        <v>782</v>
      </c>
      <c r="E72" s="18">
        <v>47420</v>
      </c>
      <c r="F72" s="19">
        <v>189.77</v>
      </c>
      <c r="G72" s="20">
        <v>3.3E-3</v>
      </c>
      <c r="H72" s="36"/>
      <c r="I72" s="22"/>
      <c r="J72" s="2"/>
    </row>
    <row r="73" spans="1:10" ht="12.95" customHeight="1">
      <c r="A73" s="16" t="s">
        <v>1570</v>
      </c>
      <c r="B73" s="17" t="s">
        <v>1571</v>
      </c>
      <c r="C73" s="13" t="s">
        <v>1572</v>
      </c>
      <c r="D73" s="13" t="s">
        <v>1569</v>
      </c>
      <c r="E73" s="18">
        <v>115753</v>
      </c>
      <c r="F73" s="19">
        <v>183.87</v>
      </c>
      <c r="G73" s="20">
        <v>3.2000000000000002E-3</v>
      </c>
      <c r="H73" s="36"/>
      <c r="I73" s="22"/>
      <c r="J73" s="2"/>
    </row>
    <row r="74" spans="1:10" ht="12.95" customHeight="1">
      <c r="A74" s="16" t="s">
        <v>988</v>
      </c>
      <c r="B74" s="17" t="s">
        <v>989</v>
      </c>
      <c r="C74" s="13" t="s">
        <v>990</v>
      </c>
      <c r="D74" s="13" t="s">
        <v>789</v>
      </c>
      <c r="E74" s="18">
        <v>33353</v>
      </c>
      <c r="F74" s="19">
        <v>182.61</v>
      </c>
      <c r="G74" s="20">
        <v>3.2000000000000002E-3</v>
      </c>
      <c r="H74" s="36"/>
      <c r="I74" s="22"/>
      <c r="J74" s="2"/>
    </row>
    <row r="75" spans="1:10" ht="12.95" customHeight="1">
      <c r="A75" s="16" t="s">
        <v>1864</v>
      </c>
      <c r="B75" s="17" t="s">
        <v>1865</v>
      </c>
      <c r="C75" s="13" t="s">
        <v>1866</v>
      </c>
      <c r="D75" s="13" t="s">
        <v>731</v>
      </c>
      <c r="E75" s="18">
        <v>2923</v>
      </c>
      <c r="F75" s="19">
        <v>168.52</v>
      </c>
      <c r="G75" s="20">
        <v>2.8999999999999998E-3</v>
      </c>
      <c r="H75" s="36"/>
      <c r="I75" s="22"/>
      <c r="J75" s="2"/>
    </row>
    <row r="76" spans="1:10" ht="12.95" customHeight="1">
      <c r="A76" s="16" t="s">
        <v>3119</v>
      </c>
      <c r="B76" s="17" t="s">
        <v>3120</v>
      </c>
      <c r="C76" s="13" t="s">
        <v>3121</v>
      </c>
      <c r="D76" s="13" t="s">
        <v>900</v>
      </c>
      <c r="E76" s="18">
        <v>25047</v>
      </c>
      <c r="F76" s="19">
        <v>168.28</v>
      </c>
      <c r="G76" s="20">
        <v>2.8999999999999998E-3</v>
      </c>
      <c r="H76" s="36"/>
      <c r="I76" s="22"/>
      <c r="J76" s="2"/>
    </row>
    <row r="77" spans="1:10" ht="12.95" customHeight="1">
      <c r="A77" s="16" t="s">
        <v>1723</v>
      </c>
      <c r="B77" s="17" t="s">
        <v>1724</v>
      </c>
      <c r="C77" s="13" t="s">
        <v>1725</v>
      </c>
      <c r="D77" s="13" t="s">
        <v>1032</v>
      </c>
      <c r="E77" s="18">
        <v>39945</v>
      </c>
      <c r="F77" s="19">
        <v>166.65</v>
      </c>
      <c r="G77" s="20">
        <v>2.8999999999999998E-3</v>
      </c>
      <c r="H77" s="36"/>
      <c r="I77" s="22"/>
      <c r="J77" s="2"/>
    </row>
    <row r="78" spans="1:10" ht="12.95" customHeight="1">
      <c r="A78" s="16" t="s">
        <v>750</v>
      </c>
      <c r="B78" s="17" t="s">
        <v>751</v>
      </c>
      <c r="C78" s="13" t="s">
        <v>752</v>
      </c>
      <c r="D78" s="13" t="s">
        <v>753</v>
      </c>
      <c r="E78" s="18">
        <v>5169</v>
      </c>
      <c r="F78" s="19">
        <v>164.29</v>
      </c>
      <c r="G78" s="20">
        <v>2.8E-3</v>
      </c>
      <c r="H78" s="36"/>
      <c r="I78" s="22"/>
      <c r="J78" s="2"/>
    </row>
    <row r="79" spans="1:10" ht="12.95" customHeight="1">
      <c r="A79" s="16" t="s">
        <v>1001</v>
      </c>
      <c r="B79" s="17" t="s">
        <v>1002</v>
      </c>
      <c r="C79" s="13" t="s">
        <v>1003</v>
      </c>
      <c r="D79" s="13" t="s">
        <v>789</v>
      </c>
      <c r="E79" s="18">
        <v>19251</v>
      </c>
      <c r="F79" s="19">
        <v>164.23</v>
      </c>
      <c r="G79" s="20">
        <v>2.8E-3</v>
      </c>
      <c r="H79" s="36"/>
      <c r="I79" s="22"/>
      <c r="J79" s="2"/>
    </row>
    <row r="80" spans="1:10" ht="12.95" customHeight="1">
      <c r="A80" s="16" t="s">
        <v>3122</v>
      </c>
      <c r="B80" s="17" t="s">
        <v>3123</v>
      </c>
      <c r="C80" s="13" t="s">
        <v>3124</v>
      </c>
      <c r="D80" s="13" t="s">
        <v>959</v>
      </c>
      <c r="E80" s="18">
        <v>52161</v>
      </c>
      <c r="F80" s="19">
        <v>161.02000000000001</v>
      </c>
      <c r="G80" s="20">
        <v>2.8E-3</v>
      </c>
      <c r="H80" s="36"/>
      <c r="I80" s="22"/>
      <c r="J80" s="2"/>
    </row>
    <row r="81" spans="1:10" ht="12.95" customHeight="1">
      <c r="A81" s="16" t="s">
        <v>3125</v>
      </c>
      <c r="B81" s="17" t="s">
        <v>3126</v>
      </c>
      <c r="C81" s="13" t="s">
        <v>3127</v>
      </c>
      <c r="D81" s="13" t="s">
        <v>723</v>
      </c>
      <c r="E81" s="18">
        <v>3227</v>
      </c>
      <c r="F81" s="19">
        <v>155.16999999999999</v>
      </c>
      <c r="G81" s="20">
        <v>2.7000000000000001E-3</v>
      </c>
      <c r="H81" s="36"/>
      <c r="I81" s="22"/>
      <c r="J81" s="2"/>
    </row>
    <row r="82" spans="1:10" ht="12.95" customHeight="1">
      <c r="A82" s="16" t="s">
        <v>3128</v>
      </c>
      <c r="B82" s="17" t="s">
        <v>3129</v>
      </c>
      <c r="C82" s="13" t="s">
        <v>3130</v>
      </c>
      <c r="D82" s="13" t="s">
        <v>723</v>
      </c>
      <c r="E82" s="18">
        <v>14582</v>
      </c>
      <c r="F82" s="19">
        <v>150.13999999999999</v>
      </c>
      <c r="G82" s="20">
        <v>2.5999999999999999E-3</v>
      </c>
      <c r="H82" s="36"/>
      <c r="I82" s="22"/>
      <c r="J82" s="2"/>
    </row>
    <row r="83" spans="1:10" ht="12.95" customHeight="1">
      <c r="A83" s="16" t="s">
        <v>1855</v>
      </c>
      <c r="B83" s="17" t="s">
        <v>1856</v>
      </c>
      <c r="C83" s="13" t="s">
        <v>1857</v>
      </c>
      <c r="D83" s="13" t="s">
        <v>749</v>
      </c>
      <c r="E83" s="18">
        <v>15510</v>
      </c>
      <c r="F83" s="19">
        <v>147.59</v>
      </c>
      <c r="G83" s="20">
        <v>2.5999999999999999E-3</v>
      </c>
      <c r="H83" s="36"/>
      <c r="I83" s="22"/>
      <c r="J83" s="2"/>
    </row>
    <row r="84" spans="1:10" ht="12.95" customHeight="1">
      <c r="A84" s="16" t="s">
        <v>1007</v>
      </c>
      <c r="B84" s="17" t="s">
        <v>1008</v>
      </c>
      <c r="C84" s="13" t="s">
        <v>1009</v>
      </c>
      <c r="D84" s="13" t="s">
        <v>789</v>
      </c>
      <c r="E84" s="18">
        <v>8597</v>
      </c>
      <c r="F84" s="19">
        <v>143.53</v>
      </c>
      <c r="G84" s="20">
        <v>2.5000000000000001E-3</v>
      </c>
      <c r="H84" s="36"/>
      <c r="I84" s="22"/>
      <c r="J84" s="2"/>
    </row>
    <row r="85" spans="1:10" ht="12.95" customHeight="1">
      <c r="A85" s="16" t="s">
        <v>930</v>
      </c>
      <c r="B85" s="17" t="s">
        <v>931</v>
      </c>
      <c r="C85" s="13" t="s">
        <v>932</v>
      </c>
      <c r="D85" s="13" t="s">
        <v>723</v>
      </c>
      <c r="E85" s="18">
        <v>25331</v>
      </c>
      <c r="F85" s="19">
        <v>142.93</v>
      </c>
      <c r="G85" s="20">
        <v>2.5000000000000001E-3</v>
      </c>
      <c r="H85" s="36"/>
      <c r="I85" s="22"/>
      <c r="J85" s="2"/>
    </row>
    <row r="86" spans="1:10" ht="12.95" customHeight="1">
      <c r="A86" s="16" t="s">
        <v>1750</v>
      </c>
      <c r="B86" s="17" t="s">
        <v>1751</v>
      </c>
      <c r="C86" s="13" t="s">
        <v>1752</v>
      </c>
      <c r="D86" s="13" t="s">
        <v>749</v>
      </c>
      <c r="E86" s="18">
        <v>18149</v>
      </c>
      <c r="F86" s="19">
        <v>131.54</v>
      </c>
      <c r="G86" s="20">
        <v>2.3E-3</v>
      </c>
      <c r="H86" s="36"/>
      <c r="I86" s="22"/>
      <c r="J86" s="2"/>
    </row>
    <row r="87" spans="1:10" ht="12.95" customHeight="1">
      <c r="A87" s="16" t="s">
        <v>1010</v>
      </c>
      <c r="B87" s="17" t="s">
        <v>1011</v>
      </c>
      <c r="C87" s="13" t="s">
        <v>1012</v>
      </c>
      <c r="D87" s="13" t="s">
        <v>789</v>
      </c>
      <c r="E87" s="18">
        <v>15680</v>
      </c>
      <c r="F87" s="19">
        <v>126.85</v>
      </c>
      <c r="G87" s="20">
        <v>2.2000000000000001E-3</v>
      </c>
      <c r="H87" s="36"/>
      <c r="I87" s="22"/>
      <c r="J87" s="2"/>
    </row>
    <row r="88" spans="1:10" ht="12.95" customHeight="1">
      <c r="A88" s="16" t="s">
        <v>1013</v>
      </c>
      <c r="B88" s="17" t="s">
        <v>1014</v>
      </c>
      <c r="C88" s="13" t="s">
        <v>1015</v>
      </c>
      <c r="D88" s="13" t="s">
        <v>814</v>
      </c>
      <c r="E88" s="18">
        <v>6212</v>
      </c>
      <c r="F88" s="19">
        <v>125.59</v>
      </c>
      <c r="G88" s="20">
        <v>2.2000000000000001E-3</v>
      </c>
      <c r="H88" s="36"/>
      <c r="I88" s="22"/>
      <c r="J88" s="2"/>
    </row>
    <row r="89" spans="1:10" ht="12.95" customHeight="1">
      <c r="A89" s="16" t="s">
        <v>1780</v>
      </c>
      <c r="B89" s="17" t="s">
        <v>1781</v>
      </c>
      <c r="C89" s="13" t="s">
        <v>1782</v>
      </c>
      <c r="D89" s="13" t="s">
        <v>735</v>
      </c>
      <c r="E89" s="18">
        <v>41268</v>
      </c>
      <c r="F89" s="19">
        <v>123.8</v>
      </c>
      <c r="G89" s="20">
        <v>2.0999999999999999E-3</v>
      </c>
      <c r="H89" s="36"/>
      <c r="I89" s="22"/>
      <c r="J89" s="2"/>
    </row>
    <row r="90" spans="1:10" ht="12.95" customHeight="1">
      <c r="A90" s="16" t="s">
        <v>704</v>
      </c>
      <c r="B90" s="17" t="s">
        <v>705</v>
      </c>
      <c r="C90" s="13" t="s">
        <v>706</v>
      </c>
      <c r="D90" s="13" t="s">
        <v>685</v>
      </c>
      <c r="E90" s="18">
        <v>43681</v>
      </c>
      <c r="F90" s="19">
        <v>123.62</v>
      </c>
      <c r="G90" s="20">
        <v>2.0999999999999999E-3</v>
      </c>
      <c r="H90" s="36"/>
      <c r="I90" s="22"/>
      <c r="J90" s="2"/>
    </row>
    <row r="91" spans="1:10" ht="12.95" customHeight="1">
      <c r="A91" s="16" t="s">
        <v>1738</v>
      </c>
      <c r="B91" s="17" t="s">
        <v>1739</v>
      </c>
      <c r="C91" s="13" t="s">
        <v>1740</v>
      </c>
      <c r="D91" s="13" t="s">
        <v>782</v>
      </c>
      <c r="E91" s="18">
        <v>5446</v>
      </c>
      <c r="F91" s="19">
        <v>122.78</v>
      </c>
      <c r="G91" s="20">
        <v>2.0999999999999999E-3</v>
      </c>
      <c r="H91" s="36"/>
      <c r="I91" s="22"/>
      <c r="J91" s="2"/>
    </row>
    <row r="92" spans="1:10" ht="12.95" customHeight="1">
      <c r="A92" s="16" t="s">
        <v>1861</v>
      </c>
      <c r="B92" s="17" t="s">
        <v>1862</v>
      </c>
      <c r="C92" s="13" t="s">
        <v>1863</v>
      </c>
      <c r="D92" s="13" t="s">
        <v>836</v>
      </c>
      <c r="E92" s="18">
        <v>5745</v>
      </c>
      <c r="F92" s="19">
        <v>122.33</v>
      </c>
      <c r="G92" s="20">
        <v>2.0999999999999999E-3</v>
      </c>
      <c r="H92" s="36"/>
      <c r="I92" s="22"/>
      <c r="J92" s="2"/>
    </row>
    <row r="93" spans="1:10" ht="12.95" customHeight="1">
      <c r="A93" s="16" t="s">
        <v>1566</v>
      </c>
      <c r="B93" s="17" t="s">
        <v>1567</v>
      </c>
      <c r="C93" s="13" t="s">
        <v>1568</v>
      </c>
      <c r="D93" s="13" t="s">
        <v>1569</v>
      </c>
      <c r="E93" s="18">
        <v>22598</v>
      </c>
      <c r="F93" s="19">
        <v>120.47</v>
      </c>
      <c r="G93" s="20">
        <v>2.0999999999999999E-3</v>
      </c>
      <c r="H93" s="36"/>
      <c r="I93" s="22"/>
      <c r="J93" s="2"/>
    </row>
    <row r="94" spans="1:10" ht="12.95" customHeight="1">
      <c r="A94" s="16" t="s">
        <v>757</v>
      </c>
      <c r="B94" s="17" t="s">
        <v>758</v>
      </c>
      <c r="C94" s="13" t="s">
        <v>759</v>
      </c>
      <c r="D94" s="13" t="s">
        <v>749</v>
      </c>
      <c r="E94" s="18">
        <v>3169</v>
      </c>
      <c r="F94" s="19">
        <v>117.88</v>
      </c>
      <c r="G94" s="20">
        <v>2E-3</v>
      </c>
      <c r="H94" s="36"/>
      <c r="I94" s="22"/>
      <c r="J94" s="2"/>
    </row>
    <row r="95" spans="1:10" ht="12.95" customHeight="1">
      <c r="A95" s="16" t="s">
        <v>1774</v>
      </c>
      <c r="B95" s="17" t="s">
        <v>1775</v>
      </c>
      <c r="C95" s="13" t="s">
        <v>1776</v>
      </c>
      <c r="D95" s="13" t="s">
        <v>749</v>
      </c>
      <c r="E95" s="18">
        <v>29501</v>
      </c>
      <c r="F95" s="19">
        <v>107</v>
      </c>
      <c r="G95" s="20">
        <v>1.9E-3</v>
      </c>
      <c r="H95" s="36"/>
      <c r="I95" s="22"/>
      <c r="J95" s="2"/>
    </row>
    <row r="96" spans="1:10" ht="12.95" customHeight="1">
      <c r="A96" s="16" t="s">
        <v>1560</v>
      </c>
      <c r="B96" s="17" t="s">
        <v>1561</v>
      </c>
      <c r="C96" s="13" t="s">
        <v>1562</v>
      </c>
      <c r="D96" s="13" t="s">
        <v>1540</v>
      </c>
      <c r="E96" s="18">
        <v>73955</v>
      </c>
      <c r="F96" s="19">
        <v>105.76</v>
      </c>
      <c r="G96" s="20">
        <v>1.8E-3</v>
      </c>
      <c r="H96" s="36"/>
      <c r="I96" s="22"/>
      <c r="J96" s="2"/>
    </row>
    <row r="97" spans="1:10" ht="12.95" customHeight="1">
      <c r="A97" s="16" t="s">
        <v>1550</v>
      </c>
      <c r="B97" s="17" t="s">
        <v>1551</v>
      </c>
      <c r="C97" s="13" t="s">
        <v>1552</v>
      </c>
      <c r="D97" s="13" t="s">
        <v>949</v>
      </c>
      <c r="E97" s="18">
        <v>92969</v>
      </c>
      <c r="F97" s="19">
        <v>105.66</v>
      </c>
      <c r="G97" s="20">
        <v>1.8E-3</v>
      </c>
      <c r="H97" s="36"/>
      <c r="I97" s="22"/>
      <c r="J97" s="2"/>
    </row>
    <row r="98" spans="1:10" ht="12.95" customHeight="1">
      <c r="A98" s="16" t="s">
        <v>3131</v>
      </c>
      <c r="B98" s="17" t="s">
        <v>3132</v>
      </c>
      <c r="C98" s="13" t="s">
        <v>3133</v>
      </c>
      <c r="D98" s="13" t="s">
        <v>1047</v>
      </c>
      <c r="E98" s="18">
        <v>3578</v>
      </c>
      <c r="F98" s="19">
        <v>104.07</v>
      </c>
      <c r="G98" s="20">
        <v>1.8E-3</v>
      </c>
      <c r="H98" s="36"/>
      <c r="I98" s="22"/>
      <c r="J98" s="2"/>
    </row>
    <row r="99" spans="1:10" ht="12.95" customHeight="1">
      <c r="A99" s="16" t="s">
        <v>3134</v>
      </c>
      <c r="B99" s="17" t="s">
        <v>3135</v>
      </c>
      <c r="C99" s="13" t="s">
        <v>3136</v>
      </c>
      <c r="D99" s="13" t="s">
        <v>685</v>
      </c>
      <c r="E99" s="18">
        <v>825440</v>
      </c>
      <c r="F99" s="19">
        <v>103.59</v>
      </c>
      <c r="G99" s="20">
        <v>1.8E-3</v>
      </c>
      <c r="H99" s="36"/>
      <c r="I99" s="22"/>
      <c r="J99" s="2"/>
    </row>
    <row r="100" spans="1:10" ht="12.95" customHeight="1">
      <c r="A100" s="16" t="s">
        <v>1573</v>
      </c>
      <c r="B100" s="17" t="s">
        <v>1574</v>
      </c>
      <c r="C100" s="13" t="s">
        <v>1575</v>
      </c>
      <c r="D100" s="13" t="s">
        <v>949</v>
      </c>
      <c r="E100" s="18">
        <v>26238</v>
      </c>
      <c r="F100" s="19">
        <v>102.13</v>
      </c>
      <c r="G100" s="20">
        <v>1.8E-3</v>
      </c>
      <c r="H100" s="36"/>
      <c r="I100" s="22"/>
      <c r="J100" s="2"/>
    </row>
    <row r="101" spans="1:10" ht="12.95" customHeight="1">
      <c r="A101" s="16" t="s">
        <v>1792</v>
      </c>
      <c r="B101" s="17" t="s">
        <v>1793</v>
      </c>
      <c r="C101" s="13" t="s">
        <v>1794</v>
      </c>
      <c r="D101" s="13" t="s">
        <v>723</v>
      </c>
      <c r="E101" s="18">
        <v>7002</v>
      </c>
      <c r="F101" s="19">
        <v>101.55</v>
      </c>
      <c r="G101" s="20">
        <v>1.8E-3</v>
      </c>
      <c r="H101" s="36"/>
      <c r="I101" s="22"/>
      <c r="J101" s="2"/>
    </row>
    <row r="102" spans="1:10" ht="12.95" customHeight="1">
      <c r="A102" s="16" t="s">
        <v>1777</v>
      </c>
      <c r="B102" s="17" t="s">
        <v>1778</v>
      </c>
      <c r="C102" s="13" t="s">
        <v>1779</v>
      </c>
      <c r="D102" s="13" t="s">
        <v>685</v>
      </c>
      <c r="E102" s="18">
        <v>119722</v>
      </c>
      <c r="F102" s="19">
        <v>97.87</v>
      </c>
      <c r="G102" s="20">
        <v>1.6999999999999999E-3</v>
      </c>
      <c r="H102" s="36"/>
      <c r="I102" s="22"/>
      <c r="J102" s="2"/>
    </row>
    <row r="103" spans="1:10" ht="12.95" customHeight="1">
      <c r="A103" s="16" t="s">
        <v>1831</v>
      </c>
      <c r="B103" s="17" t="s">
        <v>1832</v>
      </c>
      <c r="C103" s="13" t="s">
        <v>1833</v>
      </c>
      <c r="D103" s="13" t="s">
        <v>749</v>
      </c>
      <c r="E103" s="18">
        <v>3168</v>
      </c>
      <c r="F103" s="19">
        <v>97.75</v>
      </c>
      <c r="G103" s="20">
        <v>1.6999999999999999E-3</v>
      </c>
      <c r="H103" s="36"/>
      <c r="I103" s="22"/>
      <c r="J103" s="2"/>
    </row>
    <row r="104" spans="1:10" ht="12.95" customHeight="1">
      <c r="A104" s="16" t="s">
        <v>1732</v>
      </c>
      <c r="B104" s="17" t="s">
        <v>1733</v>
      </c>
      <c r="C104" s="13" t="s">
        <v>1734</v>
      </c>
      <c r="D104" s="13" t="s">
        <v>749</v>
      </c>
      <c r="E104" s="18">
        <v>16534</v>
      </c>
      <c r="F104" s="19">
        <v>91.24</v>
      </c>
      <c r="G104" s="20">
        <v>1.6000000000000001E-3</v>
      </c>
      <c r="H104" s="36"/>
      <c r="I104" s="22"/>
      <c r="J104" s="2"/>
    </row>
    <row r="105" spans="1:10" ht="12.95" customHeight="1">
      <c r="A105" s="16" t="s">
        <v>3137</v>
      </c>
      <c r="B105" s="17" t="s">
        <v>3138</v>
      </c>
      <c r="C105" s="13" t="s">
        <v>3139</v>
      </c>
      <c r="D105" s="13" t="s">
        <v>771</v>
      </c>
      <c r="E105" s="18">
        <v>550</v>
      </c>
      <c r="F105" s="19">
        <v>85.11</v>
      </c>
      <c r="G105" s="20">
        <v>1.5E-3</v>
      </c>
      <c r="H105" s="36"/>
      <c r="I105" s="22"/>
      <c r="J105" s="2"/>
    </row>
    <row r="106" spans="1:10" ht="12.95" customHeight="1">
      <c r="A106" s="16" t="s">
        <v>3140</v>
      </c>
      <c r="B106" s="17" t="s">
        <v>3141</v>
      </c>
      <c r="C106" s="13" t="s">
        <v>3142</v>
      </c>
      <c r="D106" s="13" t="s">
        <v>789</v>
      </c>
      <c r="E106" s="18">
        <v>604</v>
      </c>
      <c r="F106" s="19">
        <v>85.01</v>
      </c>
      <c r="G106" s="20">
        <v>1.5E-3</v>
      </c>
      <c r="H106" s="36"/>
      <c r="I106" s="22"/>
      <c r="J106" s="2"/>
    </row>
    <row r="107" spans="1:10" ht="12.95" customHeight="1">
      <c r="A107" s="16" t="s">
        <v>713</v>
      </c>
      <c r="B107" s="17" t="s">
        <v>714</v>
      </c>
      <c r="C107" s="13" t="s">
        <v>715</v>
      </c>
      <c r="D107" s="13" t="s">
        <v>685</v>
      </c>
      <c r="E107" s="18">
        <v>191961</v>
      </c>
      <c r="F107" s="19">
        <v>76.98</v>
      </c>
      <c r="G107" s="20">
        <v>1.2999999999999999E-3</v>
      </c>
      <c r="H107" s="36"/>
      <c r="I107" s="22"/>
      <c r="J107" s="2"/>
    </row>
    <row r="108" spans="1:10" ht="12.95" customHeight="1">
      <c r="A108" s="16" t="s">
        <v>3106</v>
      </c>
      <c r="B108" s="103" t="s">
        <v>3925</v>
      </c>
      <c r="C108" s="13"/>
      <c r="D108" s="13" t="s">
        <v>685</v>
      </c>
      <c r="E108" s="18">
        <v>85011</v>
      </c>
      <c r="F108" s="36" t="s">
        <v>3988</v>
      </c>
      <c r="G108" s="36" t="s">
        <v>643</v>
      </c>
      <c r="H108" s="36"/>
      <c r="I108" s="22"/>
      <c r="J108" s="2"/>
    </row>
    <row r="109" spans="1:10" ht="12.95" customHeight="1">
      <c r="A109" s="2"/>
      <c r="B109" s="27" t="s">
        <v>177</v>
      </c>
      <c r="C109" s="28"/>
      <c r="D109" s="1"/>
      <c r="E109" s="28"/>
      <c r="F109" s="23">
        <v>57748.22</v>
      </c>
      <c r="G109" s="24">
        <v>1.0001</v>
      </c>
      <c r="H109" s="25"/>
      <c r="I109" s="26"/>
      <c r="J109" s="2"/>
    </row>
    <row r="110" spans="1:10" ht="12.95" customHeight="1">
      <c r="A110" s="2"/>
      <c r="B110" s="12" t="s">
        <v>127</v>
      </c>
      <c r="C110" s="13"/>
      <c r="D110" s="13"/>
      <c r="E110" s="13"/>
      <c r="F110" s="13"/>
      <c r="G110" s="13"/>
      <c r="H110" s="14"/>
      <c r="I110" s="15"/>
      <c r="J110" s="2"/>
    </row>
    <row r="111" spans="1:10" ht="12.95" customHeight="1">
      <c r="A111" s="2"/>
      <c r="B111" s="12" t="s">
        <v>128</v>
      </c>
      <c r="C111" s="13"/>
      <c r="D111" s="13"/>
      <c r="E111" s="13"/>
      <c r="F111" s="2"/>
      <c r="G111" s="14"/>
      <c r="H111" s="14"/>
      <c r="I111" s="15"/>
      <c r="J111" s="2"/>
    </row>
    <row r="112" spans="1:10" ht="12.95" customHeight="1">
      <c r="A112" s="16" t="s">
        <v>3107</v>
      </c>
      <c r="B112" s="17" t="s">
        <v>3108</v>
      </c>
      <c r="C112" s="13" t="s">
        <v>3109</v>
      </c>
      <c r="D112" s="13" t="s">
        <v>132</v>
      </c>
      <c r="E112" s="18">
        <v>23644.827586206895</v>
      </c>
      <c r="F112" s="19">
        <v>2</v>
      </c>
      <c r="G112" s="36" t="s">
        <v>643</v>
      </c>
      <c r="H112" s="21">
        <v>5.3449999999999998E-2</v>
      </c>
      <c r="I112" s="22"/>
      <c r="J112" s="2"/>
    </row>
    <row r="113" spans="1:10" ht="12.95" customHeight="1">
      <c r="A113" s="2"/>
      <c r="B113" s="12" t="s">
        <v>172</v>
      </c>
      <c r="C113" s="13"/>
      <c r="D113" s="13"/>
      <c r="E113" s="13"/>
      <c r="F113" s="23">
        <v>2</v>
      </c>
      <c r="G113" s="24">
        <v>0</v>
      </c>
      <c r="H113" s="25"/>
      <c r="I113" s="26"/>
      <c r="J113" s="2"/>
    </row>
    <row r="114" spans="1:10" ht="12.95" customHeight="1">
      <c r="A114" s="2"/>
      <c r="B114" s="27" t="s">
        <v>173</v>
      </c>
      <c r="C114" s="1"/>
      <c r="D114" s="1"/>
      <c r="E114" s="1"/>
      <c r="F114" s="25" t="s">
        <v>204</v>
      </c>
      <c r="G114" s="25" t="s">
        <v>204</v>
      </c>
      <c r="H114" s="25"/>
      <c r="I114" s="26"/>
      <c r="J114" s="2"/>
    </row>
    <row r="115" spans="1:10" ht="12.95" customHeight="1">
      <c r="A115" s="2"/>
      <c r="B115" s="27" t="s">
        <v>172</v>
      </c>
      <c r="C115" s="1"/>
      <c r="D115" s="1"/>
      <c r="E115" s="1"/>
      <c r="F115" s="25" t="s">
        <v>204</v>
      </c>
      <c r="G115" s="25" t="s">
        <v>204</v>
      </c>
      <c r="H115" s="25"/>
      <c r="I115" s="26"/>
      <c r="J115" s="2"/>
    </row>
    <row r="116" spans="1:10" ht="12.95" customHeight="1">
      <c r="A116" s="2"/>
      <c r="B116" s="27" t="s">
        <v>177</v>
      </c>
      <c r="C116" s="28"/>
      <c r="D116" s="1"/>
      <c r="E116" s="28"/>
      <c r="F116" s="23">
        <v>2</v>
      </c>
      <c r="G116" s="24">
        <v>0</v>
      </c>
      <c r="H116" s="25"/>
      <c r="I116" s="26"/>
      <c r="J116" s="2"/>
    </row>
    <row r="117" spans="1:10" ht="12.95" customHeight="1">
      <c r="A117" s="2"/>
      <c r="B117" s="12" t="s">
        <v>178</v>
      </c>
      <c r="C117" s="13"/>
      <c r="D117" s="13"/>
      <c r="E117" s="13"/>
      <c r="F117" s="13"/>
      <c r="G117" s="13"/>
      <c r="H117" s="14"/>
      <c r="I117" s="15"/>
      <c r="J117" s="2"/>
    </row>
    <row r="118" spans="1:10" ht="12.95" customHeight="1">
      <c r="A118" s="16" t="s">
        <v>179</v>
      </c>
      <c r="B118" s="17" t="s">
        <v>180</v>
      </c>
      <c r="C118" s="13"/>
      <c r="D118" s="13"/>
      <c r="E118" s="18"/>
      <c r="F118" s="19">
        <v>395.12</v>
      </c>
      <c r="G118" s="20">
        <v>6.7999999999999996E-3</v>
      </c>
      <c r="H118" s="21">
        <v>3.3047722641008366E-2</v>
      </c>
      <c r="I118" s="22"/>
      <c r="J118" s="2"/>
    </row>
    <row r="119" spans="1:10" ht="12.95" customHeight="1">
      <c r="A119" s="2"/>
      <c r="B119" s="12" t="s">
        <v>172</v>
      </c>
      <c r="C119" s="13"/>
      <c r="D119" s="13"/>
      <c r="E119" s="13"/>
      <c r="F119" s="23">
        <v>395.12</v>
      </c>
      <c r="G119" s="24">
        <v>6.7999999999999996E-3</v>
      </c>
      <c r="H119" s="25"/>
      <c r="I119" s="26"/>
      <c r="J119" s="2"/>
    </row>
    <row r="120" spans="1:10" ht="12.95" customHeight="1">
      <c r="A120" s="2"/>
      <c r="B120" s="27" t="s">
        <v>173</v>
      </c>
      <c r="C120" s="1"/>
      <c r="D120" s="1"/>
      <c r="E120" s="1"/>
      <c r="F120" s="25" t="s">
        <v>204</v>
      </c>
      <c r="G120" s="25" t="s">
        <v>204</v>
      </c>
      <c r="H120" s="25"/>
      <c r="I120" s="26"/>
      <c r="J120" s="2"/>
    </row>
    <row r="121" spans="1:10" ht="12.95" customHeight="1">
      <c r="A121" s="2"/>
      <c r="B121" s="27" t="s">
        <v>172</v>
      </c>
      <c r="C121" s="1"/>
      <c r="D121" s="1"/>
      <c r="E121" s="1"/>
      <c r="F121" s="25" t="s">
        <v>204</v>
      </c>
      <c r="G121" s="25" t="s">
        <v>204</v>
      </c>
      <c r="H121" s="25"/>
      <c r="I121" s="26"/>
      <c r="J121" s="2"/>
    </row>
    <row r="122" spans="1:10" ht="12.95" customHeight="1">
      <c r="A122" s="2"/>
      <c r="B122" s="27" t="s">
        <v>177</v>
      </c>
      <c r="C122" s="28"/>
      <c r="D122" s="1"/>
      <c r="E122" s="28"/>
      <c r="F122" s="23">
        <v>395.12</v>
      </c>
      <c r="G122" s="24">
        <v>6.7999999999999996E-3</v>
      </c>
      <c r="H122" s="25"/>
      <c r="I122" s="26"/>
      <c r="J122" s="2"/>
    </row>
    <row r="123" spans="1:10" ht="12.95" customHeight="1">
      <c r="A123" s="2"/>
      <c r="B123" s="27" t="s">
        <v>181</v>
      </c>
      <c r="C123" s="13"/>
      <c r="D123" s="1"/>
      <c r="E123" s="13"/>
      <c r="F123" s="29">
        <v>-383.38</v>
      </c>
      <c r="G123" s="24">
        <v>-6.8999999999999999E-3</v>
      </c>
      <c r="H123" s="25"/>
      <c r="I123" s="26"/>
      <c r="J123" s="2"/>
    </row>
    <row r="124" spans="1:10" ht="12.95" customHeight="1">
      <c r="A124" s="2"/>
      <c r="B124" s="30" t="s">
        <v>182</v>
      </c>
      <c r="C124" s="31"/>
      <c r="D124" s="31"/>
      <c r="E124" s="31"/>
      <c r="F124" s="32">
        <v>57761.96</v>
      </c>
      <c r="G124" s="33">
        <v>1</v>
      </c>
      <c r="H124" s="34"/>
      <c r="I124" s="35"/>
      <c r="J124" s="2"/>
    </row>
    <row r="125" spans="1:10" ht="12.95" customHeight="1">
      <c r="A125" s="2"/>
      <c r="B125" s="5"/>
      <c r="C125" s="2"/>
      <c r="D125" s="2"/>
      <c r="E125" s="2"/>
      <c r="F125" s="2"/>
      <c r="G125" s="2"/>
      <c r="H125" s="2"/>
      <c r="I125" s="2"/>
      <c r="J125" s="2"/>
    </row>
    <row r="126" spans="1:10" ht="12.95" customHeight="1">
      <c r="A126" s="2"/>
      <c r="B126" s="3" t="s">
        <v>244</v>
      </c>
      <c r="C126" s="2"/>
      <c r="D126" s="2"/>
      <c r="E126" s="2"/>
      <c r="F126" s="2"/>
      <c r="G126" s="2"/>
      <c r="H126" s="2"/>
      <c r="I126" s="2"/>
      <c r="J126" s="2"/>
    </row>
    <row r="127" spans="1:10" ht="12.95" customHeight="1">
      <c r="A127" s="2"/>
      <c r="B127" s="3" t="s">
        <v>184</v>
      </c>
      <c r="C127" s="2"/>
      <c r="D127" s="2"/>
      <c r="E127" s="2"/>
      <c r="F127" s="2"/>
      <c r="G127" s="2"/>
      <c r="H127" s="2"/>
      <c r="I127" s="2"/>
      <c r="J127" s="2"/>
    </row>
    <row r="128" spans="1:10" ht="12.95" customHeight="1">
      <c r="A128" s="2"/>
      <c r="B128" s="193" t="s">
        <v>3926</v>
      </c>
      <c r="C128" s="193"/>
      <c r="D128" s="193"/>
      <c r="E128" s="193"/>
      <c r="F128" s="193"/>
      <c r="G128" s="193"/>
      <c r="H128" s="2"/>
      <c r="I128" s="2"/>
      <c r="J128" s="2"/>
    </row>
    <row r="129" spans="1:10" ht="12.95" customHeight="1">
      <c r="A129" s="116"/>
      <c r="B129" s="113" t="s">
        <v>3990</v>
      </c>
      <c r="C129" s="114"/>
      <c r="D129" s="114"/>
      <c r="E129" s="114"/>
      <c r="F129" s="114"/>
      <c r="G129" s="114"/>
      <c r="H129" s="116"/>
      <c r="I129" s="116"/>
      <c r="J129" s="116"/>
    </row>
    <row r="130" spans="1:10" ht="12.95" customHeight="1">
      <c r="A130" s="2"/>
      <c r="B130" s="3" t="s">
        <v>678</v>
      </c>
      <c r="C130" s="2"/>
      <c r="D130" s="2"/>
      <c r="E130" s="2"/>
      <c r="F130" s="2"/>
      <c r="G130" s="2"/>
      <c r="H130" s="2"/>
      <c r="I130" s="2"/>
      <c r="J130" s="2"/>
    </row>
    <row r="131" spans="1:10" ht="12.95" customHeight="1">
      <c r="A131" s="2"/>
      <c r="B131" s="3" t="s">
        <v>186</v>
      </c>
      <c r="C131" s="2"/>
      <c r="D131" s="2"/>
      <c r="E131" s="2"/>
      <c r="F131" s="2"/>
      <c r="G131" s="2"/>
      <c r="H131" s="2"/>
      <c r="I131" s="2"/>
      <c r="J131" s="2"/>
    </row>
    <row r="132" spans="1:10" ht="23.25" customHeight="1">
      <c r="A132" s="2"/>
      <c r="B132" s="189" t="s">
        <v>4025</v>
      </c>
      <c r="C132" s="189"/>
      <c r="D132" s="189"/>
      <c r="E132" s="189"/>
      <c r="F132" s="189"/>
      <c r="G132" s="189"/>
      <c r="H132" s="189"/>
      <c r="I132" s="189"/>
      <c r="J132" s="2"/>
    </row>
    <row r="133" spans="1:10" ht="12.95" customHeight="1">
      <c r="A133" s="2"/>
      <c r="B133" s="3"/>
      <c r="C133" s="2"/>
      <c r="D133" s="2"/>
      <c r="E133" s="2"/>
      <c r="F133" s="2"/>
      <c r="G133" s="2"/>
      <c r="H133" s="2"/>
      <c r="I133" s="2"/>
      <c r="J133" s="2"/>
    </row>
    <row r="134" spans="1:10">
      <c r="C134" s="111" t="s">
        <v>3965</v>
      </c>
    </row>
    <row r="135" spans="1:10">
      <c r="B135" s="111" t="s">
        <v>3933</v>
      </c>
      <c r="C135" s="111" t="s">
        <v>3934</v>
      </c>
    </row>
  </sheetData>
  <mergeCells count="3">
    <mergeCell ref="B2:I2"/>
    <mergeCell ref="B128:G128"/>
    <mergeCell ref="B132:I132"/>
  </mergeCells>
  <hyperlinks>
    <hyperlink ref="A2" location="Index!A1" display="Index"/>
  </hyperlinks>
  <pageMargins left="0" right="0" top="0" bottom="0" header="0" footer="0"/>
  <pageSetup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
  <sheetViews>
    <sheetView workbookViewId="0"/>
  </sheetViews>
  <sheetFormatPr defaultRowHeight="15"/>
  <cols>
    <col min="1" max="1" width="3.28515625" customWidth="1"/>
    <col min="2" max="2" width="69.140625" customWidth="1"/>
    <col min="3" max="3" width="28.28515625" bestFit="1" customWidth="1"/>
    <col min="4" max="4" width="33.28515625" customWidth="1"/>
    <col min="5" max="5" width="25.7109375" customWidth="1"/>
    <col min="6" max="6" width="15.28515625" bestFit="1" customWidth="1"/>
    <col min="7" max="9" width="10.7109375" customWidth="1"/>
    <col min="10" max="10" width="3.85546875" bestFit="1" customWidth="1"/>
  </cols>
  <sheetData>
    <row r="1" spans="1:13" ht="15.75" thickBot="1">
      <c r="A1" s="108" t="str">
        <f>M2</f>
        <v>AXISONF</v>
      </c>
    </row>
    <row r="2" spans="1:13" ht="34.5" customHeight="1" thickBot="1">
      <c r="A2" s="135" t="str">
        <f>M2</f>
        <v>AXISONF</v>
      </c>
      <c r="B2" s="186" t="s">
        <v>83</v>
      </c>
      <c r="C2" s="187"/>
      <c r="D2" s="187"/>
      <c r="E2" s="187"/>
      <c r="F2" s="187"/>
      <c r="G2" s="187"/>
      <c r="H2" s="187"/>
      <c r="I2" s="188"/>
      <c r="J2" s="2"/>
      <c r="M2" s="108" t="s">
        <v>82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178</v>
      </c>
      <c r="C6" s="13"/>
      <c r="D6" s="13"/>
      <c r="E6" s="13"/>
      <c r="F6" s="13"/>
      <c r="G6" s="13"/>
      <c r="H6" s="14"/>
      <c r="I6" s="15"/>
      <c r="J6" s="2"/>
    </row>
    <row r="7" spans="1:13" ht="12.95" customHeight="1">
      <c r="A7" s="16" t="s">
        <v>179</v>
      </c>
      <c r="B7" s="17" t="s">
        <v>180</v>
      </c>
      <c r="C7" s="13"/>
      <c r="D7" s="13"/>
      <c r="E7" s="41"/>
      <c r="F7" s="19">
        <v>988325.33</v>
      </c>
      <c r="G7" s="20">
        <v>0.99390000000000001</v>
      </c>
      <c r="H7" s="21">
        <v>3.3046309336864178E-2</v>
      </c>
      <c r="I7" s="22"/>
      <c r="J7" s="2"/>
    </row>
    <row r="8" spans="1:13" ht="12.95" customHeight="1">
      <c r="A8" s="2"/>
      <c r="B8" s="12" t="s">
        <v>172</v>
      </c>
      <c r="C8" s="13"/>
      <c r="D8" s="13"/>
      <c r="E8" s="13"/>
      <c r="F8" s="23">
        <v>988325.33</v>
      </c>
      <c r="G8" s="24">
        <v>0.99390000000000001</v>
      </c>
      <c r="H8" s="25"/>
      <c r="I8" s="26"/>
      <c r="J8" s="2"/>
    </row>
    <row r="9" spans="1:13" ht="12.95" customHeight="1">
      <c r="A9" s="2"/>
      <c r="B9" s="27" t="s">
        <v>177</v>
      </c>
      <c r="C9" s="28"/>
      <c r="D9" s="1"/>
      <c r="E9" s="28"/>
      <c r="F9" s="23">
        <v>988325.33</v>
      </c>
      <c r="G9" s="24">
        <v>0.99390000000000001</v>
      </c>
      <c r="H9" s="25"/>
      <c r="I9" s="26"/>
      <c r="J9" s="2"/>
    </row>
    <row r="10" spans="1:13" ht="12.95" customHeight="1">
      <c r="A10" s="2"/>
      <c r="B10" s="27" t="s">
        <v>181</v>
      </c>
      <c r="C10" s="13"/>
      <c r="D10" s="1"/>
      <c r="E10" s="13"/>
      <c r="F10" s="106">
        <v>6091.11</v>
      </c>
      <c r="G10" s="24">
        <v>6.1000000000000004E-3</v>
      </c>
      <c r="H10" s="25"/>
      <c r="I10" s="26"/>
      <c r="J10" s="2"/>
    </row>
    <row r="11" spans="1:13" ht="12.95" customHeight="1">
      <c r="A11" s="2"/>
      <c r="B11" s="30" t="s">
        <v>182</v>
      </c>
      <c r="C11" s="31"/>
      <c r="D11" s="31"/>
      <c r="E11" s="31"/>
      <c r="F11" s="32">
        <v>994416.44</v>
      </c>
      <c r="G11" s="33">
        <v>1</v>
      </c>
      <c r="H11" s="34"/>
      <c r="I11" s="35"/>
      <c r="J11" s="2"/>
    </row>
    <row r="12" spans="1:13" ht="12.95" customHeight="1">
      <c r="A12" s="2"/>
      <c r="B12" s="5"/>
      <c r="C12" s="2"/>
      <c r="D12" s="2"/>
      <c r="E12" s="2"/>
      <c r="F12" s="2"/>
      <c r="G12" s="2"/>
      <c r="H12" s="2"/>
      <c r="I12" s="2"/>
      <c r="J12" s="2"/>
    </row>
    <row r="13" spans="1:13" ht="12.95" customHeight="1">
      <c r="A13" s="2"/>
      <c r="B13" s="3" t="s">
        <v>244</v>
      </c>
      <c r="C13" s="2"/>
      <c r="D13" s="2"/>
      <c r="E13" s="2"/>
      <c r="F13" s="2"/>
      <c r="G13" s="2"/>
      <c r="H13" s="2"/>
      <c r="I13" s="2"/>
      <c r="J13" s="2"/>
    </row>
    <row r="14" spans="1:13" ht="12.95" customHeight="1">
      <c r="A14" s="2"/>
      <c r="B14" s="3" t="s">
        <v>186</v>
      </c>
      <c r="C14" s="2"/>
      <c r="D14" s="2"/>
      <c r="E14" s="2"/>
      <c r="F14" s="2"/>
      <c r="G14" s="2"/>
      <c r="H14" s="2"/>
      <c r="I14" s="2"/>
      <c r="J14" s="2"/>
    </row>
    <row r="15" spans="1:13" ht="23.25" customHeight="1">
      <c r="A15" s="2"/>
      <c r="B15" s="189" t="s">
        <v>4025</v>
      </c>
      <c r="C15" s="189"/>
      <c r="D15" s="189"/>
      <c r="E15" s="189"/>
      <c r="F15" s="189"/>
      <c r="G15" s="189"/>
      <c r="H15" s="189"/>
      <c r="I15" s="189"/>
      <c r="J15" s="2"/>
    </row>
    <row r="16" spans="1:13" ht="12.95" customHeight="1">
      <c r="A16" s="2"/>
      <c r="B16" s="3"/>
      <c r="C16" s="2"/>
      <c r="D16" s="2"/>
      <c r="E16" s="2"/>
      <c r="F16" s="2"/>
      <c r="G16" s="2"/>
      <c r="H16" s="2"/>
      <c r="I16" s="2"/>
      <c r="J16" s="2"/>
    </row>
    <row r="17" spans="2:3">
      <c r="C17" s="111" t="s">
        <v>3966</v>
      </c>
    </row>
    <row r="18" spans="2:3">
      <c r="B18" s="111" t="s">
        <v>3933</v>
      </c>
      <c r="C18" s="111" t="s">
        <v>3934</v>
      </c>
    </row>
  </sheetData>
  <mergeCells count="2">
    <mergeCell ref="B2:I2"/>
    <mergeCell ref="B15:I15"/>
  </mergeCells>
  <hyperlinks>
    <hyperlink ref="A2" location="Index!A1" display="Index"/>
  </hyperlinks>
  <pageMargins left="0" right="0" top="0" bottom="0" header="0" footer="0"/>
  <pageSetup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1"/>
  <sheetViews>
    <sheetView workbookViewId="0"/>
  </sheetViews>
  <sheetFormatPr defaultRowHeight="15"/>
  <cols>
    <col min="1" max="1" width="3.28515625" customWidth="1"/>
    <col min="2" max="2" width="69.140625" customWidth="1"/>
    <col min="3" max="3" width="21.140625" bestFit="1" customWidth="1"/>
    <col min="4" max="4" width="25.5703125" bestFit="1" customWidth="1"/>
    <col min="5" max="5" width="25.7109375" customWidth="1"/>
    <col min="6" max="6" width="20.85546875" bestFit="1" customWidth="1"/>
    <col min="7" max="9" width="10.7109375" customWidth="1"/>
    <col min="10" max="10" width="10.85546875" customWidth="1"/>
  </cols>
  <sheetData>
    <row r="1" spans="1:13" ht="15.75" thickBot="1">
      <c r="A1" s="108" t="str">
        <f>M2</f>
        <v>AXISQUA</v>
      </c>
    </row>
    <row r="2" spans="1:13" ht="34.5" customHeight="1" thickBot="1">
      <c r="A2" s="135" t="str">
        <f>M2</f>
        <v>AXISQUA</v>
      </c>
      <c r="B2" s="186" t="s">
        <v>85</v>
      </c>
      <c r="C2" s="187"/>
      <c r="D2" s="187"/>
      <c r="E2" s="187"/>
      <c r="F2" s="187"/>
      <c r="G2" s="187"/>
      <c r="H2" s="187"/>
      <c r="I2" s="188"/>
      <c r="J2" s="2"/>
      <c r="M2" s="108" t="s">
        <v>84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682</v>
      </c>
      <c r="B8" s="17" t="s">
        <v>683</v>
      </c>
      <c r="C8" s="13" t="s">
        <v>684</v>
      </c>
      <c r="D8" s="13" t="s">
        <v>685</v>
      </c>
      <c r="E8" s="18">
        <v>908657</v>
      </c>
      <c r="F8" s="19">
        <v>14492.62</v>
      </c>
      <c r="G8" s="20">
        <v>8.8400000000000006E-2</v>
      </c>
      <c r="H8" s="36"/>
      <c r="I8" s="22"/>
      <c r="J8" s="2"/>
    </row>
    <row r="9" spans="1:13" ht="12.95" customHeight="1">
      <c r="A9" s="16" t="s">
        <v>686</v>
      </c>
      <c r="B9" s="17" t="s">
        <v>687</v>
      </c>
      <c r="C9" s="13" t="s">
        <v>688</v>
      </c>
      <c r="D9" s="13" t="s">
        <v>685</v>
      </c>
      <c r="E9" s="18">
        <v>1680304</v>
      </c>
      <c r="F9" s="19">
        <v>11776.41</v>
      </c>
      <c r="G9" s="20">
        <v>7.1900000000000006E-2</v>
      </c>
      <c r="H9" s="36"/>
      <c r="I9" s="22"/>
      <c r="J9" s="2"/>
    </row>
    <row r="10" spans="1:13" ht="12.95" customHeight="1">
      <c r="A10" s="16" t="s">
        <v>689</v>
      </c>
      <c r="B10" s="17" t="s">
        <v>690</v>
      </c>
      <c r="C10" s="13" t="s">
        <v>691</v>
      </c>
      <c r="D10" s="13" t="s">
        <v>685</v>
      </c>
      <c r="E10" s="18">
        <v>1528647</v>
      </c>
      <c r="F10" s="19">
        <v>6924.77</v>
      </c>
      <c r="G10" s="20">
        <v>4.2299999999999997E-2</v>
      </c>
      <c r="H10" s="36"/>
      <c r="I10" s="22"/>
      <c r="J10" s="2"/>
    </row>
    <row r="11" spans="1:13" ht="12.95" customHeight="1">
      <c r="A11" s="16" t="s">
        <v>732</v>
      </c>
      <c r="B11" s="17" t="s">
        <v>733</v>
      </c>
      <c r="C11" s="13" t="s">
        <v>734</v>
      </c>
      <c r="D11" s="13" t="s">
        <v>735</v>
      </c>
      <c r="E11" s="18">
        <v>226058</v>
      </c>
      <c r="F11" s="19">
        <v>5694.97</v>
      </c>
      <c r="G11" s="20">
        <v>3.4700000000000002E-2</v>
      </c>
      <c r="H11" s="36"/>
      <c r="I11" s="22"/>
      <c r="J11" s="2"/>
    </row>
    <row r="12" spans="1:13" ht="12.95" customHeight="1">
      <c r="A12" s="16" t="s">
        <v>901</v>
      </c>
      <c r="B12" s="17" t="s">
        <v>902</v>
      </c>
      <c r="C12" s="13" t="s">
        <v>903</v>
      </c>
      <c r="D12" s="13" t="s">
        <v>767</v>
      </c>
      <c r="E12" s="18">
        <v>260943</v>
      </c>
      <c r="F12" s="19">
        <v>5641.2</v>
      </c>
      <c r="G12" s="20">
        <v>3.44E-2</v>
      </c>
      <c r="H12" s="36"/>
      <c r="I12" s="22"/>
      <c r="J12" s="2"/>
    </row>
    <row r="13" spans="1:13" ht="12.95" customHeight="1">
      <c r="A13" s="16" t="s">
        <v>946</v>
      </c>
      <c r="B13" s="17" t="s">
        <v>947</v>
      </c>
      <c r="C13" s="13" t="s">
        <v>948</v>
      </c>
      <c r="D13" s="13" t="s">
        <v>949</v>
      </c>
      <c r="E13" s="18">
        <v>417462</v>
      </c>
      <c r="F13" s="19">
        <v>5380.67</v>
      </c>
      <c r="G13" s="20">
        <v>3.2800000000000003E-2</v>
      </c>
      <c r="H13" s="36"/>
      <c r="I13" s="22"/>
      <c r="J13" s="2"/>
    </row>
    <row r="14" spans="1:13" ht="12.95" customHeight="1">
      <c r="A14" s="16" t="s">
        <v>914</v>
      </c>
      <c r="B14" s="17" t="s">
        <v>915</v>
      </c>
      <c r="C14" s="13" t="s">
        <v>916</v>
      </c>
      <c r="D14" s="13" t="s">
        <v>731</v>
      </c>
      <c r="E14" s="18">
        <v>118877</v>
      </c>
      <c r="F14" s="19">
        <v>4992.95</v>
      </c>
      <c r="G14" s="20">
        <v>3.0499999999999999E-2</v>
      </c>
      <c r="H14" s="36"/>
      <c r="I14" s="22"/>
      <c r="J14" s="2"/>
    </row>
    <row r="15" spans="1:13" ht="12.95" customHeight="1">
      <c r="A15" s="16" t="s">
        <v>1771</v>
      </c>
      <c r="B15" s="17" t="s">
        <v>1772</v>
      </c>
      <c r="C15" s="13" t="s">
        <v>1773</v>
      </c>
      <c r="D15" s="13" t="s">
        <v>782</v>
      </c>
      <c r="E15" s="18">
        <v>283368</v>
      </c>
      <c r="F15" s="19">
        <v>4730.6899999999996</v>
      </c>
      <c r="G15" s="20">
        <v>2.8899999999999999E-2</v>
      </c>
      <c r="H15" s="36"/>
      <c r="I15" s="22"/>
      <c r="J15" s="2"/>
    </row>
    <row r="16" spans="1:13" ht="12.95" customHeight="1">
      <c r="A16" s="16" t="s">
        <v>772</v>
      </c>
      <c r="B16" s="17" t="s">
        <v>773</v>
      </c>
      <c r="C16" s="13" t="s">
        <v>774</v>
      </c>
      <c r="D16" s="13" t="s">
        <v>731</v>
      </c>
      <c r="E16" s="18">
        <v>276976</v>
      </c>
      <c r="F16" s="19">
        <v>3823.93</v>
      </c>
      <c r="G16" s="20">
        <v>2.3300000000000001E-2</v>
      </c>
      <c r="H16" s="36"/>
      <c r="I16" s="22"/>
      <c r="J16" s="2"/>
    </row>
    <row r="17" spans="1:10" ht="12.95" customHeight="1">
      <c r="A17" s="16" t="s">
        <v>2078</v>
      </c>
      <c r="B17" s="17" t="s">
        <v>2079</v>
      </c>
      <c r="C17" s="13" t="s">
        <v>2080</v>
      </c>
      <c r="D17" s="13" t="s">
        <v>731</v>
      </c>
      <c r="E17" s="18">
        <v>590666</v>
      </c>
      <c r="F17" s="19">
        <v>3745.41</v>
      </c>
      <c r="G17" s="20">
        <v>2.29E-2</v>
      </c>
      <c r="H17" s="36"/>
      <c r="I17" s="22"/>
      <c r="J17" s="2"/>
    </row>
    <row r="18" spans="1:10" ht="12.95" customHeight="1">
      <c r="A18" s="16" t="s">
        <v>3143</v>
      </c>
      <c r="B18" s="17" t="s">
        <v>3144</v>
      </c>
      <c r="C18" s="13" t="s">
        <v>3145</v>
      </c>
      <c r="D18" s="13" t="s">
        <v>1025</v>
      </c>
      <c r="E18" s="18">
        <v>1834777</v>
      </c>
      <c r="F18" s="19">
        <v>3723.68</v>
      </c>
      <c r="G18" s="20">
        <v>2.2700000000000001E-2</v>
      </c>
      <c r="H18" s="36"/>
      <c r="I18" s="22"/>
      <c r="J18" s="2"/>
    </row>
    <row r="19" spans="1:10" ht="12.95" customHeight="1">
      <c r="A19" s="16" t="s">
        <v>1550</v>
      </c>
      <c r="B19" s="17" t="s">
        <v>1551</v>
      </c>
      <c r="C19" s="13" t="s">
        <v>1552</v>
      </c>
      <c r="D19" s="13" t="s">
        <v>949</v>
      </c>
      <c r="E19" s="18">
        <v>3181478</v>
      </c>
      <c r="F19" s="19">
        <v>3615.75</v>
      </c>
      <c r="G19" s="20">
        <v>2.2100000000000002E-2</v>
      </c>
      <c r="H19" s="36"/>
      <c r="I19" s="22"/>
      <c r="J19" s="2"/>
    </row>
    <row r="20" spans="1:10" ht="12.95" customHeight="1">
      <c r="A20" s="16" t="s">
        <v>972</v>
      </c>
      <c r="B20" s="17" t="s">
        <v>973</v>
      </c>
      <c r="C20" s="13" t="s">
        <v>974</v>
      </c>
      <c r="D20" s="13" t="s">
        <v>910</v>
      </c>
      <c r="E20" s="18">
        <v>79014</v>
      </c>
      <c r="F20" s="19">
        <v>3541.09</v>
      </c>
      <c r="G20" s="20">
        <v>2.1600000000000001E-2</v>
      </c>
      <c r="H20" s="36"/>
      <c r="I20" s="22"/>
      <c r="J20" s="2"/>
    </row>
    <row r="21" spans="1:10" ht="12.95" customHeight="1">
      <c r="A21" s="16" t="s">
        <v>876</v>
      </c>
      <c r="B21" s="17" t="s">
        <v>877</v>
      </c>
      <c r="C21" s="13" t="s">
        <v>878</v>
      </c>
      <c r="D21" s="13" t="s">
        <v>763</v>
      </c>
      <c r="E21" s="18">
        <v>31201</v>
      </c>
      <c r="F21" s="19">
        <v>3519.19</v>
      </c>
      <c r="G21" s="20">
        <v>2.1499999999999998E-2</v>
      </c>
      <c r="H21" s="36"/>
      <c r="I21" s="22"/>
      <c r="J21" s="2"/>
    </row>
    <row r="22" spans="1:10" ht="12.95" customHeight="1">
      <c r="A22" s="16" t="s">
        <v>779</v>
      </c>
      <c r="B22" s="17" t="s">
        <v>780</v>
      </c>
      <c r="C22" s="13" t="s">
        <v>781</v>
      </c>
      <c r="D22" s="13" t="s">
        <v>782</v>
      </c>
      <c r="E22" s="18">
        <v>867801</v>
      </c>
      <c r="F22" s="19">
        <v>3472.94</v>
      </c>
      <c r="G22" s="20">
        <v>2.12E-2</v>
      </c>
      <c r="H22" s="36"/>
      <c r="I22" s="22"/>
      <c r="J22" s="2"/>
    </row>
    <row r="23" spans="1:10" ht="12.95" customHeight="1">
      <c r="A23" s="16" t="s">
        <v>3099</v>
      </c>
      <c r="B23" s="17" t="s">
        <v>3100</v>
      </c>
      <c r="C23" s="13" t="s">
        <v>3101</v>
      </c>
      <c r="D23" s="13" t="s">
        <v>3102</v>
      </c>
      <c r="E23" s="18">
        <v>2400444</v>
      </c>
      <c r="F23" s="19">
        <v>3468.64</v>
      </c>
      <c r="G23" s="20">
        <v>2.12E-2</v>
      </c>
      <c r="H23" s="36"/>
      <c r="I23" s="22"/>
      <c r="J23" s="2"/>
    </row>
    <row r="24" spans="1:10" ht="12.95" customHeight="1">
      <c r="A24" s="16" t="s">
        <v>911</v>
      </c>
      <c r="B24" s="17" t="s">
        <v>912</v>
      </c>
      <c r="C24" s="13" t="s">
        <v>913</v>
      </c>
      <c r="D24" s="13" t="s">
        <v>789</v>
      </c>
      <c r="E24" s="18">
        <v>311392</v>
      </c>
      <c r="F24" s="19">
        <v>3207.03</v>
      </c>
      <c r="G24" s="20">
        <v>1.9599999999999999E-2</v>
      </c>
      <c r="H24" s="36"/>
      <c r="I24" s="22"/>
      <c r="J24" s="2"/>
    </row>
    <row r="25" spans="1:10" ht="12.95" customHeight="1">
      <c r="A25" s="16" t="s">
        <v>1825</v>
      </c>
      <c r="B25" s="17" t="s">
        <v>1826</v>
      </c>
      <c r="C25" s="13" t="s">
        <v>1827</v>
      </c>
      <c r="D25" s="13" t="s">
        <v>727</v>
      </c>
      <c r="E25" s="18">
        <v>133134</v>
      </c>
      <c r="F25" s="19">
        <v>3180.57</v>
      </c>
      <c r="G25" s="20">
        <v>1.9400000000000001E-2</v>
      </c>
      <c r="H25" s="36"/>
      <c r="I25" s="22"/>
      <c r="J25" s="2"/>
    </row>
    <row r="26" spans="1:10" ht="12.95" customHeight="1">
      <c r="A26" s="16" t="s">
        <v>988</v>
      </c>
      <c r="B26" s="17" t="s">
        <v>989</v>
      </c>
      <c r="C26" s="13" t="s">
        <v>990</v>
      </c>
      <c r="D26" s="13" t="s">
        <v>789</v>
      </c>
      <c r="E26" s="18">
        <v>539179</v>
      </c>
      <c r="F26" s="19">
        <v>2952.01</v>
      </c>
      <c r="G26" s="20">
        <v>1.7999999999999999E-2</v>
      </c>
      <c r="H26" s="36"/>
      <c r="I26" s="22"/>
      <c r="J26" s="2"/>
    </row>
    <row r="27" spans="1:10" ht="12.95" customHeight="1">
      <c r="A27" s="16" t="s">
        <v>799</v>
      </c>
      <c r="B27" s="17" t="s">
        <v>800</v>
      </c>
      <c r="C27" s="13" t="s">
        <v>801</v>
      </c>
      <c r="D27" s="13" t="s">
        <v>749</v>
      </c>
      <c r="E27" s="18">
        <v>332176</v>
      </c>
      <c r="F27" s="19">
        <v>2718.03</v>
      </c>
      <c r="G27" s="20">
        <v>1.66E-2</v>
      </c>
      <c r="H27" s="36"/>
      <c r="I27" s="22"/>
      <c r="J27" s="2"/>
    </row>
    <row r="28" spans="1:10" ht="12.95" customHeight="1">
      <c r="A28" s="16" t="s">
        <v>740</v>
      </c>
      <c r="B28" s="17" t="s">
        <v>741</v>
      </c>
      <c r="C28" s="13" t="s">
        <v>742</v>
      </c>
      <c r="D28" s="13" t="s">
        <v>731</v>
      </c>
      <c r="E28" s="18">
        <v>158419</v>
      </c>
      <c r="F28" s="19">
        <v>2653.84</v>
      </c>
      <c r="G28" s="20">
        <v>1.6199999999999999E-2</v>
      </c>
      <c r="H28" s="36"/>
      <c r="I28" s="22"/>
      <c r="J28" s="2"/>
    </row>
    <row r="29" spans="1:10" ht="12.95" customHeight="1">
      <c r="A29" s="16" t="s">
        <v>1801</v>
      </c>
      <c r="B29" s="17" t="s">
        <v>1802</v>
      </c>
      <c r="C29" s="13" t="s">
        <v>1803</v>
      </c>
      <c r="D29" s="13" t="s">
        <v>723</v>
      </c>
      <c r="E29" s="18">
        <v>1676791</v>
      </c>
      <c r="F29" s="19">
        <v>2646.81</v>
      </c>
      <c r="G29" s="20">
        <v>1.6199999999999999E-2</v>
      </c>
      <c r="H29" s="36"/>
      <c r="I29" s="22"/>
      <c r="J29" s="2"/>
    </row>
    <row r="30" spans="1:10" ht="12.95" customHeight="1">
      <c r="A30" s="16" t="s">
        <v>917</v>
      </c>
      <c r="B30" s="17" t="s">
        <v>918</v>
      </c>
      <c r="C30" s="13" t="s">
        <v>919</v>
      </c>
      <c r="D30" s="13" t="s">
        <v>731</v>
      </c>
      <c r="E30" s="18">
        <v>71048</v>
      </c>
      <c r="F30" s="19">
        <v>2640.36</v>
      </c>
      <c r="G30" s="20">
        <v>1.61E-2</v>
      </c>
      <c r="H30" s="36"/>
      <c r="I30" s="22"/>
      <c r="J30" s="2"/>
    </row>
    <row r="31" spans="1:10" ht="12.95" customHeight="1">
      <c r="A31" s="16" t="s">
        <v>1588</v>
      </c>
      <c r="B31" s="17" t="s">
        <v>1589</v>
      </c>
      <c r="C31" s="13" t="s">
        <v>1590</v>
      </c>
      <c r="D31" s="13" t="s">
        <v>727</v>
      </c>
      <c r="E31" s="18">
        <v>342217</v>
      </c>
      <c r="F31" s="19">
        <v>2523.6799999999998</v>
      </c>
      <c r="G31" s="20">
        <v>1.54E-2</v>
      </c>
      <c r="H31" s="36"/>
      <c r="I31" s="22"/>
      <c r="J31" s="2"/>
    </row>
    <row r="32" spans="1:10" ht="12.95" customHeight="1">
      <c r="A32" s="16" t="s">
        <v>1007</v>
      </c>
      <c r="B32" s="17" t="s">
        <v>1008</v>
      </c>
      <c r="C32" s="13" t="s">
        <v>1009</v>
      </c>
      <c r="D32" s="13" t="s">
        <v>789</v>
      </c>
      <c r="E32" s="18">
        <v>144821</v>
      </c>
      <c r="F32" s="19">
        <v>2417.79</v>
      </c>
      <c r="G32" s="20">
        <v>1.4800000000000001E-2</v>
      </c>
      <c r="H32" s="36"/>
      <c r="I32" s="22"/>
      <c r="J32" s="2"/>
    </row>
    <row r="33" spans="1:10" ht="12.95" customHeight="1">
      <c r="A33" s="16" t="s">
        <v>2448</v>
      </c>
      <c r="B33" s="17" t="s">
        <v>2449</v>
      </c>
      <c r="C33" s="13" t="s">
        <v>2450</v>
      </c>
      <c r="D33" s="13" t="s">
        <v>1047</v>
      </c>
      <c r="E33" s="18">
        <v>316607</v>
      </c>
      <c r="F33" s="19">
        <v>2400.9899999999998</v>
      </c>
      <c r="G33" s="20">
        <v>1.47E-2</v>
      </c>
      <c r="H33" s="36"/>
      <c r="I33" s="22"/>
      <c r="J33" s="2"/>
    </row>
    <row r="34" spans="1:10" ht="12.95" customHeight="1">
      <c r="A34" s="16" t="s">
        <v>1792</v>
      </c>
      <c r="B34" s="17" t="s">
        <v>1793</v>
      </c>
      <c r="C34" s="13" t="s">
        <v>1794</v>
      </c>
      <c r="D34" s="13" t="s">
        <v>723</v>
      </c>
      <c r="E34" s="18">
        <v>164570</v>
      </c>
      <c r="F34" s="19">
        <v>2386.7600000000002</v>
      </c>
      <c r="G34" s="20">
        <v>1.46E-2</v>
      </c>
      <c r="H34" s="36"/>
      <c r="I34" s="22"/>
      <c r="J34" s="2"/>
    </row>
    <row r="35" spans="1:10" ht="12.95" customHeight="1">
      <c r="A35" s="16" t="s">
        <v>1834</v>
      </c>
      <c r="B35" s="17" t="s">
        <v>1835</v>
      </c>
      <c r="C35" s="13" t="s">
        <v>1836</v>
      </c>
      <c r="D35" s="13" t="s">
        <v>1569</v>
      </c>
      <c r="E35" s="18">
        <v>356857</v>
      </c>
      <c r="F35" s="19">
        <v>2274.7800000000002</v>
      </c>
      <c r="G35" s="20">
        <v>1.3899999999999999E-2</v>
      </c>
      <c r="H35" s="36"/>
      <c r="I35" s="22"/>
      <c r="J35" s="2"/>
    </row>
    <row r="36" spans="1:10" ht="12.95" customHeight="1">
      <c r="A36" s="16" t="s">
        <v>724</v>
      </c>
      <c r="B36" s="17" t="s">
        <v>725</v>
      </c>
      <c r="C36" s="13" t="s">
        <v>726</v>
      </c>
      <c r="D36" s="13" t="s">
        <v>727</v>
      </c>
      <c r="E36" s="18">
        <v>104034</v>
      </c>
      <c r="F36" s="19">
        <v>2247.5500000000002</v>
      </c>
      <c r="G36" s="20">
        <v>1.37E-2</v>
      </c>
      <c r="H36" s="36"/>
      <c r="I36" s="22"/>
      <c r="J36" s="2"/>
    </row>
    <row r="37" spans="1:10" ht="12.95" customHeight="1">
      <c r="A37" s="16" t="s">
        <v>3096</v>
      </c>
      <c r="B37" s="17" t="s">
        <v>3097</v>
      </c>
      <c r="C37" s="13" t="s">
        <v>3098</v>
      </c>
      <c r="D37" s="13" t="s">
        <v>1556</v>
      </c>
      <c r="E37" s="18">
        <v>1138570</v>
      </c>
      <c r="F37" s="19">
        <v>2162.14</v>
      </c>
      <c r="G37" s="20">
        <v>1.32E-2</v>
      </c>
      <c r="H37" s="36"/>
      <c r="I37" s="22"/>
      <c r="J37" s="2"/>
    </row>
    <row r="38" spans="1:10" ht="12.95" customHeight="1">
      <c r="A38" s="16" t="s">
        <v>3146</v>
      </c>
      <c r="B38" s="17" t="s">
        <v>3147</v>
      </c>
      <c r="C38" s="13" t="s">
        <v>3148</v>
      </c>
      <c r="D38" s="13" t="s">
        <v>731</v>
      </c>
      <c r="E38" s="18">
        <v>533232</v>
      </c>
      <c r="F38" s="19">
        <v>1822.32</v>
      </c>
      <c r="G38" s="20">
        <v>1.11E-2</v>
      </c>
      <c r="H38" s="36"/>
      <c r="I38" s="22"/>
      <c r="J38" s="2"/>
    </row>
    <row r="39" spans="1:10" ht="12.95" customHeight="1">
      <c r="A39" s="16" t="s">
        <v>3149</v>
      </c>
      <c r="B39" s="17" t="s">
        <v>3150</v>
      </c>
      <c r="C39" s="13" t="s">
        <v>3151</v>
      </c>
      <c r="D39" s="13" t="s">
        <v>731</v>
      </c>
      <c r="E39" s="18">
        <v>169909</v>
      </c>
      <c r="F39" s="19">
        <v>1805.71</v>
      </c>
      <c r="G39" s="20">
        <v>1.0999999999999999E-2</v>
      </c>
      <c r="H39" s="36"/>
      <c r="I39" s="22"/>
      <c r="J39" s="2"/>
    </row>
    <row r="40" spans="1:10" ht="12.95" customHeight="1">
      <c r="A40" s="16" t="s">
        <v>3152</v>
      </c>
      <c r="B40" s="17" t="s">
        <v>3153</v>
      </c>
      <c r="C40" s="13" t="s">
        <v>3154</v>
      </c>
      <c r="D40" s="13" t="s">
        <v>789</v>
      </c>
      <c r="E40" s="18">
        <v>311146</v>
      </c>
      <c r="F40" s="19">
        <v>1785.98</v>
      </c>
      <c r="G40" s="20">
        <v>1.09E-2</v>
      </c>
      <c r="H40" s="36"/>
      <c r="I40" s="22"/>
      <c r="J40" s="2"/>
    </row>
    <row r="41" spans="1:10" ht="12.95" customHeight="1">
      <c r="A41" s="16" t="s">
        <v>3155</v>
      </c>
      <c r="B41" s="17" t="s">
        <v>3156</v>
      </c>
      <c r="C41" s="13" t="s">
        <v>3157</v>
      </c>
      <c r="D41" s="13" t="s">
        <v>1047</v>
      </c>
      <c r="E41" s="18">
        <v>203325</v>
      </c>
      <c r="F41" s="19">
        <v>1746.05</v>
      </c>
      <c r="G41" s="20">
        <v>1.0699999999999999E-2</v>
      </c>
      <c r="H41" s="36"/>
      <c r="I41" s="22"/>
      <c r="J41" s="2"/>
    </row>
    <row r="42" spans="1:10" ht="12.95" customHeight="1">
      <c r="A42" s="16" t="s">
        <v>3158</v>
      </c>
      <c r="B42" s="17" t="s">
        <v>3159</v>
      </c>
      <c r="C42" s="13" t="s">
        <v>3160</v>
      </c>
      <c r="D42" s="13" t="s">
        <v>767</v>
      </c>
      <c r="E42" s="18">
        <v>149113</v>
      </c>
      <c r="F42" s="19">
        <v>1701.45</v>
      </c>
      <c r="G42" s="20">
        <v>1.04E-2</v>
      </c>
      <c r="H42" s="36"/>
      <c r="I42" s="22"/>
      <c r="J42" s="2"/>
    </row>
    <row r="43" spans="1:10" ht="12.95" customHeight="1">
      <c r="A43" s="16" t="s">
        <v>3161</v>
      </c>
      <c r="B43" s="17" t="s">
        <v>3162</v>
      </c>
      <c r="C43" s="13" t="s">
        <v>3163</v>
      </c>
      <c r="D43" s="13" t="s">
        <v>731</v>
      </c>
      <c r="E43" s="18">
        <v>193591</v>
      </c>
      <c r="F43" s="19">
        <v>1693.53</v>
      </c>
      <c r="G43" s="20">
        <v>1.03E-2</v>
      </c>
      <c r="H43" s="36"/>
      <c r="I43" s="22"/>
      <c r="J43" s="2"/>
    </row>
    <row r="44" spans="1:10" ht="12.95" customHeight="1">
      <c r="A44" s="16" t="s">
        <v>3164</v>
      </c>
      <c r="B44" s="17" t="s">
        <v>3165</v>
      </c>
      <c r="C44" s="13" t="s">
        <v>3166</v>
      </c>
      <c r="D44" s="13" t="s">
        <v>767</v>
      </c>
      <c r="E44" s="18">
        <v>647737</v>
      </c>
      <c r="F44" s="19">
        <v>1670.84</v>
      </c>
      <c r="G44" s="20">
        <v>1.0200000000000001E-2</v>
      </c>
      <c r="H44" s="36"/>
      <c r="I44" s="22"/>
      <c r="J44" s="2"/>
    </row>
    <row r="45" spans="1:10" ht="12.95" customHeight="1">
      <c r="A45" s="16" t="s">
        <v>2947</v>
      </c>
      <c r="B45" s="17" t="s">
        <v>2948</v>
      </c>
      <c r="C45" s="13" t="s">
        <v>2949</v>
      </c>
      <c r="D45" s="13" t="s">
        <v>2950</v>
      </c>
      <c r="E45" s="18">
        <v>206840</v>
      </c>
      <c r="F45" s="19">
        <v>1643.24</v>
      </c>
      <c r="G45" s="20">
        <v>0.01</v>
      </c>
      <c r="H45" s="36"/>
      <c r="I45" s="22"/>
      <c r="J45" s="2"/>
    </row>
    <row r="46" spans="1:10" ht="12.95" customHeight="1">
      <c r="A46" s="16" t="s">
        <v>1828</v>
      </c>
      <c r="B46" s="17" t="s">
        <v>1829</v>
      </c>
      <c r="C46" s="13" t="s">
        <v>1830</v>
      </c>
      <c r="D46" s="13" t="s">
        <v>749</v>
      </c>
      <c r="E46" s="18">
        <v>29036</v>
      </c>
      <c r="F46" s="19">
        <v>1620.53</v>
      </c>
      <c r="G46" s="20">
        <v>9.9000000000000008E-3</v>
      </c>
      <c r="H46" s="36"/>
      <c r="I46" s="22"/>
      <c r="J46" s="2"/>
    </row>
    <row r="47" spans="1:10" ht="12.95" customHeight="1">
      <c r="A47" s="16" t="s">
        <v>3167</v>
      </c>
      <c r="B47" s="17" t="s">
        <v>3168</v>
      </c>
      <c r="C47" s="13" t="s">
        <v>3169</v>
      </c>
      <c r="D47" s="13" t="s">
        <v>749</v>
      </c>
      <c r="E47" s="18">
        <v>82848</v>
      </c>
      <c r="F47" s="19">
        <v>1546.73</v>
      </c>
      <c r="G47" s="20">
        <v>9.4000000000000004E-3</v>
      </c>
      <c r="H47" s="36"/>
      <c r="I47" s="22"/>
      <c r="J47" s="2"/>
    </row>
    <row r="48" spans="1:10" ht="12.95" customHeight="1">
      <c r="A48" s="16" t="s">
        <v>1735</v>
      </c>
      <c r="B48" s="17" t="s">
        <v>1736</v>
      </c>
      <c r="C48" s="13" t="s">
        <v>1737</v>
      </c>
      <c r="D48" s="13" t="s">
        <v>900</v>
      </c>
      <c r="E48" s="18">
        <v>169592</v>
      </c>
      <c r="F48" s="19">
        <v>1225.1300000000001</v>
      </c>
      <c r="G48" s="20">
        <v>7.4999999999999997E-3</v>
      </c>
      <c r="H48" s="36"/>
      <c r="I48" s="22"/>
      <c r="J48" s="2"/>
    </row>
    <row r="49" spans="1:10" ht="12.95" customHeight="1">
      <c r="A49" s="16" t="s">
        <v>802</v>
      </c>
      <c r="B49" s="17" t="s">
        <v>803</v>
      </c>
      <c r="C49" s="13" t="s">
        <v>804</v>
      </c>
      <c r="D49" s="13" t="s">
        <v>731</v>
      </c>
      <c r="E49" s="18">
        <v>24618</v>
      </c>
      <c r="F49" s="19">
        <v>1156.44</v>
      </c>
      <c r="G49" s="20">
        <v>7.1000000000000004E-3</v>
      </c>
      <c r="H49" s="36"/>
      <c r="I49" s="22"/>
      <c r="J49" s="2"/>
    </row>
    <row r="50" spans="1:10" ht="12.95" customHeight="1">
      <c r="A50" s="16" t="s">
        <v>3170</v>
      </c>
      <c r="B50" s="17" t="s">
        <v>3171</v>
      </c>
      <c r="C50" s="13" t="s">
        <v>3172</v>
      </c>
      <c r="D50" s="13" t="s">
        <v>949</v>
      </c>
      <c r="E50" s="18">
        <v>124044</v>
      </c>
      <c r="F50" s="19">
        <v>1019.39</v>
      </c>
      <c r="G50" s="20">
        <v>6.1999999999999998E-3</v>
      </c>
      <c r="H50" s="36"/>
      <c r="I50" s="22"/>
      <c r="J50" s="2"/>
    </row>
    <row r="51" spans="1:10" ht="12.95" customHeight="1">
      <c r="A51" s="16" t="s">
        <v>754</v>
      </c>
      <c r="B51" s="17" t="s">
        <v>755</v>
      </c>
      <c r="C51" s="13" t="s">
        <v>756</v>
      </c>
      <c r="D51" s="13" t="s">
        <v>727</v>
      </c>
      <c r="E51" s="18">
        <v>43212</v>
      </c>
      <c r="F51" s="19">
        <v>1008.81</v>
      </c>
      <c r="G51" s="20">
        <v>6.1999999999999998E-3</v>
      </c>
      <c r="H51" s="36"/>
      <c r="I51" s="22"/>
      <c r="J51" s="2"/>
    </row>
    <row r="52" spans="1:10" ht="12.95" customHeight="1">
      <c r="A52" s="16" t="s">
        <v>3173</v>
      </c>
      <c r="B52" s="17" t="s">
        <v>3174</v>
      </c>
      <c r="C52" s="13" t="s">
        <v>3175</v>
      </c>
      <c r="D52" s="13" t="s">
        <v>727</v>
      </c>
      <c r="E52" s="18">
        <v>110375</v>
      </c>
      <c r="F52" s="19">
        <v>979.63</v>
      </c>
      <c r="G52" s="20">
        <v>6.0000000000000001E-3</v>
      </c>
      <c r="H52" s="36"/>
      <c r="I52" s="22"/>
      <c r="J52" s="2"/>
    </row>
    <row r="53" spans="1:10" ht="12.95" customHeight="1">
      <c r="A53" s="16" t="s">
        <v>2966</v>
      </c>
      <c r="B53" s="17" t="s">
        <v>2967</v>
      </c>
      <c r="C53" s="13" t="s">
        <v>2968</v>
      </c>
      <c r="D53" s="13" t="s">
        <v>727</v>
      </c>
      <c r="E53" s="18">
        <v>11005</v>
      </c>
      <c r="F53" s="19">
        <v>831.82</v>
      </c>
      <c r="G53" s="20">
        <v>5.1000000000000004E-3</v>
      </c>
      <c r="H53" s="36"/>
      <c r="I53" s="22"/>
      <c r="J53" s="2"/>
    </row>
    <row r="54" spans="1:10" ht="12.95" customHeight="1">
      <c r="A54" s="16" t="s">
        <v>3176</v>
      </c>
      <c r="B54" s="17" t="s">
        <v>3177</v>
      </c>
      <c r="C54" s="13" t="s">
        <v>3178</v>
      </c>
      <c r="D54" s="13" t="s">
        <v>771</v>
      </c>
      <c r="E54" s="18">
        <v>59249</v>
      </c>
      <c r="F54" s="19">
        <v>827.62</v>
      </c>
      <c r="G54" s="20">
        <v>5.0000000000000001E-3</v>
      </c>
      <c r="H54" s="36"/>
      <c r="I54" s="22"/>
      <c r="J54" s="2"/>
    </row>
    <row r="55" spans="1:10" ht="12.95" customHeight="1">
      <c r="A55" s="16" t="s">
        <v>692</v>
      </c>
      <c r="B55" s="17" t="s">
        <v>693</v>
      </c>
      <c r="C55" s="13" t="s">
        <v>694</v>
      </c>
      <c r="D55" s="13" t="s">
        <v>685</v>
      </c>
      <c r="E55" s="18">
        <v>40790</v>
      </c>
      <c r="F55" s="19">
        <v>818.04</v>
      </c>
      <c r="G55" s="20">
        <v>5.0000000000000001E-3</v>
      </c>
      <c r="H55" s="36"/>
      <c r="I55" s="22"/>
      <c r="J55" s="2"/>
    </row>
    <row r="56" spans="1:10" ht="12.95" customHeight="1">
      <c r="A56" s="16" t="s">
        <v>3179</v>
      </c>
      <c r="B56" s="17" t="s">
        <v>3180</v>
      </c>
      <c r="C56" s="13" t="s">
        <v>3181</v>
      </c>
      <c r="D56" s="13" t="s">
        <v>727</v>
      </c>
      <c r="E56" s="18">
        <v>25924</v>
      </c>
      <c r="F56" s="19">
        <v>801.38</v>
      </c>
      <c r="G56" s="20">
        <v>4.8999999999999998E-3</v>
      </c>
      <c r="H56" s="36"/>
      <c r="I56" s="22"/>
      <c r="J56" s="2"/>
    </row>
    <row r="57" spans="1:10" ht="12.95" customHeight="1">
      <c r="A57" s="16" t="s">
        <v>2519</v>
      </c>
      <c r="B57" s="17" t="s">
        <v>2520</v>
      </c>
      <c r="C57" s="13" t="s">
        <v>2521</v>
      </c>
      <c r="D57" s="13" t="s">
        <v>910</v>
      </c>
      <c r="E57" s="18">
        <v>21424</v>
      </c>
      <c r="F57" s="19">
        <v>787.72</v>
      </c>
      <c r="G57" s="20">
        <v>4.7999999999999996E-3</v>
      </c>
      <c r="H57" s="36"/>
      <c r="I57" s="22"/>
      <c r="J57" s="2"/>
    </row>
    <row r="58" spans="1:10" ht="12.95" customHeight="1">
      <c r="A58" s="16" t="s">
        <v>2457</v>
      </c>
      <c r="B58" s="17" t="s">
        <v>2458</v>
      </c>
      <c r="C58" s="13" t="s">
        <v>2459</v>
      </c>
      <c r="D58" s="13" t="s">
        <v>814</v>
      </c>
      <c r="E58" s="18">
        <v>12054</v>
      </c>
      <c r="F58" s="19">
        <v>784.34</v>
      </c>
      <c r="G58" s="20">
        <v>4.7999999999999996E-3</v>
      </c>
      <c r="H58" s="36"/>
      <c r="I58" s="22"/>
      <c r="J58" s="2"/>
    </row>
    <row r="59" spans="1:10" ht="12.95" customHeight="1">
      <c r="A59" s="16" t="s">
        <v>743</v>
      </c>
      <c r="B59" s="17" t="s">
        <v>744</v>
      </c>
      <c r="C59" s="13" t="s">
        <v>745</v>
      </c>
      <c r="D59" s="13" t="s">
        <v>723</v>
      </c>
      <c r="E59" s="18">
        <v>28462</v>
      </c>
      <c r="F59" s="19">
        <v>783.93</v>
      </c>
      <c r="G59" s="20">
        <v>4.7999999999999996E-3</v>
      </c>
      <c r="H59" s="36"/>
      <c r="I59" s="22"/>
      <c r="J59" s="2"/>
    </row>
    <row r="60" spans="1:10" ht="12.95" customHeight="1">
      <c r="A60" s="16" t="s">
        <v>930</v>
      </c>
      <c r="B60" s="17" t="s">
        <v>931</v>
      </c>
      <c r="C60" s="13" t="s">
        <v>932</v>
      </c>
      <c r="D60" s="13" t="s">
        <v>723</v>
      </c>
      <c r="E60" s="18">
        <v>138299</v>
      </c>
      <c r="F60" s="19">
        <v>780.35</v>
      </c>
      <c r="G60" s="20">
        <v>4.7999999999999996E-3</v>
      </c>
      <c r="H60" s="36"/>
      <c r="I60" s="22"/>
      <c r="J60" s="2"/>
    </row>
    <row r="61" spans="1:10" ht="12.95" customHeight="1">
      <c r="A61" s="16" t="s">
        <v>2036</v>
      </c>
      <c r="B61" s="17" t="s">
        <v>2037</v>
      </c>
      <c r="C61" s="13" t="s">
        <v>2038</v>
      </c>
      <c r="D61" s="13" t="s">
        <v>727</v>
      </c>
      <c r="E61" s="18">
        <v>56099</v>
      </c>
      <c r="F61" s="19">
        <v>770.04</v>
      </c>
      <c r="G61" s="20">
        <v>4.7000000000000002E-3</v>
      </c>
      <c r="H61" s="36"/>
      <c r="I61" s="22"/>
      <c r="J61" s="2"/>
    </row>
    <row r="62" spans="1:10" ht="12.95" customHeight="1">
      <c r="A62" s="16" t="s">
        <v>3182</v>
      </c>
      <c r="B62" s="17" t="s">
        <v>3183</v>
      </c>
      <c r="C62" s="13" t="s">
        <v>3184</v>
      </c>
      <c r="D62" s="13" t="s">
        <v>731</v>
      </c>
      <c r="E62" s="18">
        <v>34274</v>
      </c>
      <c r="F62" s="19">
        <v>741.71</v>
      </c>
      <c r="G62" s="20">
        <v>4.4999999999999997E-3</v>
      </c>
      <c r="H62" s="36"/>
      <c r="I62" s="22"/>
      <c r="J62" s="2"/>
    </row>
    <row r="63" spans="1:10" ht="12.95" customHeight="1">
      <c r="A63" s="16" t="s">
        <v>2528</v>
      </c>
      <c r="B63" s="17" t="s">
        <v>2529</v>
      </c>
      <c r="C63" s="13" t="s">
        <v>2530</v>
      </c>
      <c r="D63" s="13" t="s">
        <v>749</v>
      </c>
      <c r="E63" s="18">
        <v>3258</v>
      </c>
      <c r="F63" s="19">
        <v>668.47</v>
      </c>
      <c r="G63" s="20">
        <v>4.1000000000000003E-3</v>
      </c>
      <c r="H63" s="36"/>
      <c r="I63" s="22"/>
      <c r="J63" s="2"/>
    </row>
    <row r="64" spans="1:10" ht="12.95" customHeight="1">
      <c r="A64" s="16" t="s">
        <v>764</v>
      </c>
      <c r="B64" s="17" t="s">
        <v>765</v>
      </c>
      <c r="C64" s="13" t="s">
        <v>766</v>
      </c>
      <c r="D64" s="13" t="s">
        <v>767</v>
      </c>
      <c r="E64" s="18">
        <v>7505</v>
      </c>
      <c r="F64" s="19">
        <v>666.7</v>
      </c>
      <c r="G64" s="20">
        <v>4.1000000000000003E-3</v>
      </c>
      <c r="H64" s="36"/>
      <c r="I64" s="22"/>
      <c r="J64" s="2"/>
    </row>
    <row r="65" spans="1:10" ht="12.95" customHeight="1">
      <c r="A65" s="2"/>
      <c r="B65" s="12" t="s">
        <v>172</v>
      </c>
      <c r="C65" s="13"/>
      <c r="D65" s="13"/>
      <c r="E65" s="13"/>
      <c r="F65" s="23">
        <v>156645.15</v>
      </c>
      <c r="G65" s="24">
        <v>0.95630000000000004</v>
      </c>
      <c r="H65" s="25"/>
      <c r="I65" s="26"/>
      <c r="J65" s="2"/>
    </row>
    <row r="66" spans="1:10" ht="12.95" customHeight="1">
      <c r="A66" s="2"/>
      <c r="B66" s="27" t="s">
        <v>719</v>
      </c>
      <c r="C66" s="1"/>
      <c r="D66" s="1"/>
      <c r="E66" s="1"/>
      <c r="F66" s="25" t="s">
        <v>204</v>
      </c>
      <c r="G66" s="25" t="s">
        <v>204</v>
      </c>
      <c r="H66" s="25"/>
      <c r="I66" s="26"/>
      <c r="J66" s="2"/>
    </row>
    <row r="67" spans="1:10" ht="12.95" customHeight="1">
      <c r="A67" s="2"/>
      <c r="B67" s="27" t="s">
        <v>172</v>
      </c>
      <c r="C67" s="1"/>
      <c r="D67" s="1"/>
      <c r="E67" s="1"/>
      <c r="F67" s="25" t="s">
        <v>204</v>
      </c>
      <c r="G67" s="25" t="s">
        <v>204</v>
      </c>
      <c r="H67" s="25"/>
      <c r="I67" s="26"/>
      <c r="J67" s="2"/>
    </row>
    <row r="68" spans="1:10" ht="12.95" customHeight="1">
      <c r="A68" s="2"/>
      <c r="B68" s="27" t="s">
        <v>177</v>
      </c>
      <c r="C68" s="28"/>
      <c r="D68" s="1"/>
      <c r="E68" s="28"/>
      <c r="F68" s="23">
        <v>156645.15</v>
      </c>
      <c r="G68" s="24">
        <v>0.95630000000000004</v>
      </c>
      <c r="H68" s="25"/>
      <c r="I68" s="26"/>
      <c r="J68" s="2"/>
    </row>
    <row r="69" spans="1:10" ht="12.95" customHeight="1">
      <c r="A69" s="2"/>
      <c r="B69" s="12" t="s">
        <v>178</v>
      </c>
      <c r="C69" s="13"/>
      <c r="D69" s="13"/>
      <c r="E69" s="13"/>
      <c r="F69" s="13"/>
      <c r="G69" s="13"/>
      <c r="H69" s="14"/>
      <c r="I69" s="15"/>
      <c r="J69" s="2"/>
    </row>
    <row r="70" spans="1:10" ht="12.95" customHeight="1">
      <c r="A70" s="16" t="s">
        <v>179</v>
      </c>
      <c r="B70" s="17" t="s">
        <v>180</v>
      </c>
      <c r="C70" s="13"/>
      <c r="D70" s="13"/>
      <c r="E70" s="18"/>
      <c r="F70" s="19">
        <v>7779.92</v>
      </c>
      <c r="G70" s="20">
        <v>4.7500000000000001E-2</v>
      </c>
      <c r="H70" s="21">
        <v>3.3046180908737309E-2</v>
      </c>
      <c r="I70" s="22"/>
      <c r="J70" s="2"/>
    </row>
    <row r="71" spans="1:10" ht="12.95" customHeight="1">
      <c r="A71" s="2"/>
      <c r="B71" s="12" t="s">
        <v>172</v>
      </c>
      <c r="C71" s="13"/>
      <c r="D71" s="13"/>
      <c r="E71" s="13"/>
      <c r="F71" s="23">
        <v>7779.92</v>
      </c>
      <c r="G71" s="24">
        <v>4.7500000000000001E-2</v>
      </c>
      <c r="H71" s="25"/>
      <c r="I71" s="26"/>
      <c r="J71" s="2"/>
    </row>
    <row r="72" spans="1:10" ht="12.95" customHeight="1">
      <c r="A72" s="2"/>
      <c r="B72" s="27" t="s">
        <v>177</v>
      </c>
      <c r="C72" s="28"/>
      <c r="D72" s="1"/>
      <c r="E72" s="28"/>
      <c r="F72" s="23">
        <v>7779.92</v>
      </c>
      <c r="G72" s="24">
        <v>4.7500000000000001E-2</v>
      </c>
      <c r="H72" s="25"/>
      <c r="I72" s="26"/>
      <c r="J72" s="2"/>
    </row>
    <row r="73" spans="1:10" ht="12.95" customHeight="1">
      <c r="A73" s="2"/>
      <c r="B73" s="27" t="s">
        <v>181</v>
      </c>
      <c r="C73" s="13"/>
      <c r="D73" s="1"/>
      <c r="E73" s="13"/>
      <c r="F73" s="29">
        <v>-535.72</v>
      </c>
      <c r="G73" s="24">
        <v>-3.8E-3</v>
      </c>
      <c r="H73" s="25"/>
      <c r="I73" s="26"/>
      <c r="J73" s="2"/>
    </row>
    <row r="74" spans="1:10" ht="12.95" customHeight="1">
      <c r="A74" s="2"/>
      <c r="B74" s="30" t="s">
        <v>182</v>
      </c>
      <c r="C74" s="31"/>
      <c r="D74" s="31"/>
      <c r="E74" s="31"/>
      <c r="F74" s="32">
        <v>163889.35</v>
      </c>
      <c r="G74" s="33">
        <v>1</v>
      </c>
      <c r="H74" s="34"/>
      <c r="I74" s="35"/>
      <c r="J74" s="2"/>
    </row>
    <row r="75" spans="1:10" ht="12.95" customHeight="1">
      <c r="A75" s="2"/>
      <c r="B75" s="5"/>
      <c r="C75" s="2"/>
      <c r="D75" s="2"/>
      <c r="E75" s="2"/>
      <c r="F75" s="2"/>
      <c r="G75" s="2"/>
      <c r="H75" s="2"/>
      <c r="I75" s="2"/>
      <c r="J75" s="2"/>
    </row>
    <row r="76" spans="1:10" ht="12.95" customHeight="1">
      <c r="A76" s="2"/>
      <c r="B76" s="3" t="s">
        <v>244</v>
      </c>
      <c r="C76" s="2"/>
      <c r="D76" s="2"/>
      <c r="E76" s="2"/>
      <c r="F76" s="2"/>
      <c r="G76" s="2"/>
      <c r="H76" s="2"/>
      <c r="I76" s="2"/>
      <c r="J76" s="2"/>
    </row>
    <row r="77" spans="1:10" ht="12.95" customHeight="1">
      <c r="A77" s="2"/>
      <c r="B77" s="3" t="s">
        <v>186</v>
      </c>
      <c r="C77" s="2"/>
      <c r="D77" s="2"/>
      <c r="E77" s="2"/>
      <c r="F77" s="2"/>
      <c r="G77" s="2"/>
      <c r="H77" s="2"/>
      <c r="I77" s="2"/>
      <c r="J77" s="2"/>
    </row>
    <row r="78" spans="1:10" ht="23.25" customHeight="1">
      <c r="A78" s="2"/>
      <c r="B78" s="189" t="s">
        <v>4025</v>
      </c>
      <c r="C78" s="189"/>
      <c r="D78" s="189"/>
      <c r="E78" s="189"/>
      <c r="F78" s="189"/>
      <c r="G78" s="189"/>
      <c r="H78" s="189"/>
      <c r="I78" s="189"/>
      <c r="J78" s="2"/>
    </row>
    <row r="79" spans="1:10" ht="12.95" customHeight="1">
      <c r="A79" s="2"/>
      <c r="B79" s="3"/>
      <c r="C79" s="2"/>
      <c r="D79" s="2"/>
      <c r="E79" s="2"/>
      <c r="F79" s="2"/>
      <c r="G79" s="2"/>
      <c r="H79" s="2"/>
      <c r="I79" s="2"/>
      <c r="J79" s="2"/>
    </row>
    <row r="80" spans="1:10">
      <c r="C80" s="111" t="s">
        <v>3967</v>
      </c>
    </row>
    <row r="81" spans="2:3">
      <c r="B81" s="111" t="s">
        <v>3933</v>
      </c>
      <c r="C81" s="111" t="s">
        <v>3934</v>
      </c>
    </row>
  </sheetData>
  <mergeCells count="2">
    <mergeCell ref="B2:I2"/>
    <mergeCell ref="B78:I78"/>
  </mergeCells>
  <hyperlinks>
    <hyperlink ref="A2" location="Index!A1" display="Index"/>
  </hyperlinks>
  <pageMargins left="0" right="0" top="0" bottom="0" header="0" footer="0"/>
  <pageSetup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9"/>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3.85546875" bestFit="1" customWidth="1"/>
  </cols>
  <sheetData>
    <row r="1" spans="1:13" ht="15.75" thickBot="1">
      <c r="A1" s="108" t="str">
        <f>M2</f>
        <v>AXISRAP</v>
      </c>
    </row>
    <row r="2" spans="1:13" ht="34.5" customHeight="1" thickBot="1">
      <c r="A2" s="135" t="str">
        <f>M2</f>
        <v>AXISRAP</v>
      </c>
      <c r="B2" s="186" t="s">
        <v>87</v>
      </c>
      <c r="C2" s="187"/>
      <c r="D2" s="187"/>
      <c r="E2" s="187"/>
      <c r="F2" s="187"/>
      <c r="G2" s="187"/>
      <c r="H2" s="187"/>
      <c r="I2" s="188"/>
      <c r="J2" s="2"/>
      <c r="M2" s="108" t="s">
        <v>86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963</v>
      </c>
      <c r="B8" s="17" t="s">
        <v>964</v>
      </c>
      <c r="C8" s="13" t="s">
        <v>965</v>
      </c>
      <c r="D8" s="13" t="s">
        <v>739</v>
      </c>
      <c r="E8" s="18">
        <v>95245</v>
      </c>
      <c r="F8" s="19">
        <v>6125.59</v>
      </c>
      <c r="G8" s="20">
        <v>9.0899999999999995E-2</v>
      </c>
      <c r="H8" s="36"/>
      <c r="I8" s="22"/>
      <c r="J8" s="2"/>
    </row>
    <row r="9" spans="1:13" ht="12.95" customHeight="1">
      <c r="A9" s="16" t="s">
        <v>1726</v>
      </c>
      <c r="B9" s="17" t="s">
        <v>1727</v>
      </c>
      <c r="C9" s="13" t="s">
        <v>1728</v>
      </c>
      <c r="D9" s="13" t="s">
        <v>763</v>
      </c>
      <c r="E9" s="18">
        <v>220461</v>
      </c>
      <c r="F9" s="19">
        <v>5251.27</v>
      </c>
      <c r="G9" s="20">
        <v>7.7899999999999997E-2</v>
      </c>
      <c r="H9" s="36"/>
      <c r="I9" s="22"/>
      <c r="J9" s="2"/>
    </row>
    <row r="10" spans="1:13" ht="12.95" customHeight="1">
      <c r="A10" s="16" t="s">
        <v>879</v>
      </c>
      <c r="B10" s="17" t="s">
        <v>880</v>
      </c>
      <c r="C10" s="13" t="s">
        <v>881</v>
      </c>
      <c r="D10" s="13" t="s">
        <v>723</v>
      </c>
      <c r="E10" s="18">
        <v>207669</v>
      </c>
      <c r="F10" s="19">
        <v>5088.2</v>
      </c>
      <c r="G10" s="20">
        <v>7.5499999999999998E-2</v>
      </c>
      <c r="H10" s="36"/>
      <c r="I10" s="22"/>
      <c r="J10" s="2"/>
    </row>
    <row r="11" spans="1:13" ht="12.95" customHeight="1">
      <c r="A11" s="16" t="s">
        <v>736</v>
      </c>
      <c r="B11" s="17" t="s">
        <v>737</v>
      </c>
      <c r="C11" s="13" t="s">
        <v>738</v>
      </c>
      <c r="D11" s="13" t="s">
        <v>739</v>
      </c>
      <c r="E11" s="18">
        <v>116297</v>
      </c>
      <c r="F11" s="19">
        <v>4942.8599999999997</v>
      </c>
      <c r="G11" s="20">
        <v>7.3400000000000007E-2</v>
      </c>
      <c r="H11" s="36"/>
      <c r="I11" s="22"/>
      <c r="J11" s="2"/>
    </row>
    <row r="12" spans="1:13" ht="12.95" customHeight="1">
      <c r="A12" s="16" t="s">
        <v>720</v>
      </c>
      <c r="B12" s="17" t="s">
        <v>721</v>
      </c>
      <c r="C12" s="13" t="s">
        <v>722</v>
      </c>
      <c r="D12" s="13" t="s">
        <v>723</v>
      </c>
      <c r="E12" s="18">
        <v>58304</v>
      </c>
      <c r="F12" s="19">
        <v>4470.8100000000004</v>
      </c>
      <c r="G12" s="20">
        <v>6.6299999999999998E-2</v>
      </c>
      <c r="H12" s="36"/>
      <c r="I12" s="22"/>
      <c r="J12" s="2"/>
    </row>
    <row r="13" spans="1:13" ht="12.95" customHeight="1">
      <c r="A13" s="16" t="s">
        <v>728</v>
      </c>
      <c r="B13" s="17" t="s">
        <v>729</v>
      </c>
      <c r="C13" s="13" t="s">
        <v>730</v>
      </c>
      <c r="D13" s="13" t="s">
        <v>731</v>
      </c>
      <c r="E13" s="18">
        <v>115670</v>
      </c>
      <c r="F13" s="19">
        <v>4367.18</v>
      </c>
      <c r="G13" s="20">
        <v>6.4799999999999996E-2</v>
      </c>
      <c r="H13" s="36"/>
      <c r="I13" s="22"/>
      <c r="J13" s="2"/>
    </row>
    <row r="14" spans="1:13" ht="12.95" customHeight="1">
      <c r="A14" s="16" t="s">
        <v>692</v>
      </c>
      <c r="B14" s="17" t="s">
        <v>693</v>
      </c>
      <c r="C14" s="13" t="s">
        <v>694</v>
      </c>
      <c r="D14" s="13" t="s">
        <v>685</v>
      </c>
      <c r="E14" s="18">
        <v>176048</v>
      </c>
      <c r="F14" s="19">
        <v>3530.64</v>
      </c>
      <c r="G14" s="20">
        <v>5.2400000000000002E-2</v>
      </c>
      <c r="H14" s="36"/>
      <c r="I14" s="22"/>
      <c r="J14" s="2"/>
    </row>
    <row r="15" spans="1:13" ht="12.95" customHeight="1">
      <c r="A15" s="16" t="s">
        <v>790</v>
      </c>
      <c r="B15" s="17" t="s">
        <v>791</v>
      </c>
      <c r="C15" s="13" t="s">
        <v>792</v>
      </c>
      <c r="D15" s="13" t="s">
        <v>767</v>
      </c>
      <c r="E15" s="18">
        <v>258697</v>
      </c>
      <c r="F15" s="19">
        <v>2770.52</v>
      </c>
      <c r="G15" s="20">
        <v>4.1099999999999998E-2</v>
      </c>
      <c r="H15" s="36"/>
      <c r="I15" s="22"/>
      <c r="J15" s="2"/>
    </row>
    <row r="16" spans="1:13" ht="12.95" customHeight="1">
      <c r="A16" s="16" t="s">
        <v>682</v>
      </c>
      <c r="B16" s="17" t="s">
        <v>683</v>
      </c>
      <c r="C16" s="13" t="s">
        <v>684</v>
      </c>
      <c r="D16" s="13" t="s">
        <v>685</v>
      </c>
      <c r="E16" s="18">
        <v>154320</v>
      </c>
      <c r="F16" s="19">
        <v>2461.33</v>
      </c>
      <c r="G16" s="20">
        <v>3.6499999999999998E-2</v>
      </c>
      <c r="H16" s="36"/>
      <c r="I16" s="22"/>
      <c r="J16" s="2"/>
    </row>
    <row r="17" spans="1:10" ht="12.95" customHeight="1">
      <c r="A17" s="16" t="s">
        <v>724</v>
      </c>
      <c r="B17" s="17" t="s">
        <v>725</v>
      </c>
      <c r="C17" s="13" t="s">
        <v>726</v>
      </c>
      <c r="D17" s="13" t="s">
        <v>727</v>
      </c>
      <c r="E17" s="18">
        <v>113078</v>
      </c>
      <c r="F17" s="19">
        <v>2442.94</v>
      </c>
      <c r="G17" s="20">
        <v>3.6299999999999999E-2</v>
      </c>
      <c r="H17" s="36"/>
      <c r="I17" s="22"/>
      <c r="J17" s="2"/>
    </row>
    <row r="18" spans="1:10" ht="12.95" customHeight="1">
      <c r="A18" s="16" t="s">
        <v>757</v>
      </c>
      <c r="B18" s="17" t="s">
        <v>758</v>
      </c>
      <c r="C18" s="13" t="s">
        <v>759</v>
      </c>
      <c r="D18" s="13" t="s">
        <v>749</v>
      </c>
      <c r="E18" s="18">
        <v>64708</v>
      </c>
      <c r="F18" s="19">
        <v>2407.0700000000002</v>
      </c>
      <c r="G18" s="20">
        <v>3.5700000000000003E-2</v>
      </c>
      <c r="H18" s="36"/>
      <c r="I18" s="22"/>
      <c r="J18" s="2"/>
    </row>
    <row r="19" spans="1:10" ht="12.95" customHeight="1">
      <c r="A19" s="16" t="s">
        <v>750</v>
      </c>
      <c r="B19" s="17" t="s">
        <v>751</v>
      </c>
      <c r="C19" s="13" t="s">
        <v>752</v>
      </c>
      <c r="D19" s="13" t="s">
        <v>753</v>
      </c>
      <c r="E19" s="18">
        <v>73148</v>
      </c>
      <c r="F19" s="19">
        <v>2324.9</v>
      </c>
      <c r="G19" s="20">
        <v>3.4500000000000003E-2</v>
      </c>
      <c r="H19" s="36"/>
      <c r="I19" s="22"/>
      <c r="J19" s="2"/>
    </row>
    <row r="20" spans="1:10" ht="12.95" customHeight="1">
      <c r="A20" s="16" t="s">
        <v>1858</v>
      </c>
      <c r="B20" s="17" t="s">
        <v>1859</v>
      </c>
      <c r="C20" s="13" t="s">
        <v>1860</v>
      </c>
      <c r="D20" s="13" t="s">
        <v>1556</v>
      </c>
      <c r="E20" s="18">
        <v>335157</v>
      </c>
      <c r="F20" s="19">
        <v>1692.71</v>
      </c>
      <c r="G20" s="20">
        <v>2.5100000000000001E-2</v>
      </c>
      <c r="H20" s="36"/>
      <c r="I20" s="22"/>
      <c r="J20" s="2"/>
    </row>
    <row r="21" spans="1:10" ht="12.95" customHeight="1">
      <c r="A21" s="16" t="s">
        <v>768</v>
      </c>
      <c r="B21" s="17" t="s">
        <v>769</v>
      </c>
      <c r="C21" s="13" t="s">
        <v>770</v>
      </c>
      <c r="D21" s="13" t="s">
        <v>771</v>
      </c>
      <c r="E21" s="18">
        <v>91750</v>
      </c>
      <c r="F21" s="19">
        <v>1453.73</v>
      </c>
      <c r="G21" s="20">
        <v>2.1600000000000001E-2</v>
      </c>
      <c r="H21" s="36"/>
      <c r="I21" s="22"/>
      <c r="J21" s="2"/>
    </row>
    <row r="22" spans="1:10" ht="12.95" customHeight="1">
      <c r="A22" s="16" t="s">
        <v>775</v>
      </c>
      <c r="B22" s="17" t="s">
        <v>776</v>
      </c>
      <c r="C22" s="13" t="s">
        <v>777</v>
      </c>
      <c r="D22" s="13" t="s">
        <v>778</v>
      </c>
      <c r="E22" s="18">
        <v>17831</v>
      </c>
      <c r="F22" s="19">
        <v>1308.45</v>
      </c>
      <c r="G22" s="20">
        <v>1.9400000000000001E-2</v>
      </c>
      <c r="H22" s="36"/>
      <c r="I22" s="22"/>
      <c r="J22" s="2"/>
    </row>
    <row r="23" spans="1:10" ht="12.95" customHeight="1">
      <c r="A23" s="16" t="s">
        <v>873</v>
      </c>
      <c r="B23" s="17" t="s">
        <v>874</v>
      </c>
      <c r="C23" s="13" t="s">
        <v>875</v>
      </c>
      <c r="D23" s="13" t="s">
        <v>789</v>
      </c>
      <c r="E23" s="18">
        <v>6321</v>
      </c>
      <c r="F23" s="19">
        <v>1229.1500000000001</v>
      </c>
      <c r="G23" s="20">
        <v>1.8200000000000001E-2</v>
      </c>
      <c r="H23" s="36"/>
      <c r="I23" s="22"/>
      <c r="J23" s="2"/>
    </row>
    <row r="24" spans="1:10" ht="12.95" customHeight="1">
      <c r="A24" s="16" t="s">
        <v>3164</v>
      </c>
      <c r="B24" s="17" t="s">
        <v>3165</v>
      </c>
      <c r="C24" s="13" t="s">
        <v>3166</v>
      </c>
      <c r="D24" s="13" t="s">
        <v>767</v>
      </c>
      <c r="E24" s="18">
        <v>449451</v>
      </c>
      <c r="F24" s="19">
        <v>1159.3599999999999</v>
      </c>
      <c r="G24" s="20">
        <v>1.72E-2</v>
      </c>
      <c r="H24" s="36"/>
      <c r="I24" s="22"/>
      <c r="J24" s="2"/>
    </row>
    <row r="25" spans="1:10" ht="12.95" customHeight="1">
      <c r="A25" s="16" t="s">
        <v>930</v>
      </c>
      <c r="B25" s="17" t="s">
        <v>931</v>
      </c>
      <c r="C25" s="13" t="s">
        <v>932</v>
      </c>
      <c r="D25" s="13" t="s">
        <v>723</v>
      </c>
      <c r="E25" s="18">
        <v>97531</v>
      </c>
      <c r="F25" s="19">
        <v>550.32000000000005</v>
      </c>
      <c r="G25" s="20">
        <v>8.2000000000000007E-3</v>
      </c>
      <c r="H25" s="36"/>
      <c r="I25" s="22"/>
      <c r="J25" s="2"/>
    </row>
    <row r="26" spans="1:10" ht="12.95" customHeight="1">
      <c r="A26" s="2"/>
      <c r="B26" s="12" t="s">
        <v>172</v>
      </c>
      <c r="C26" s="13"/>
      <c r="D26" s="13"/>
      <c r="E26" s="13"/>
      <c r="F26" s="23">
        <v>53577.03</v>
      </c>
      <c r="G26" s="24">
        <v>0.79500000000000004</v>
      </c>
      <c r="H26" s="25"/>
      <c r="I26" s="26"/>
      <c r="J26" s="2"/>
    </row>
    <row r="27" spans="1:10" ht="12.95" customHeight="1">
      <c r="A27" s="2"/>
      <c r="B27" s="27" t="s">
        <v>719</v>
      </c>
      <c r="C27" s="1"/>
      <c r="D27" s="1"/>
      <c r="E27" s="1"/>
      <c r="F27" s="25" t="s">
        <v>204</v>
      </c>
      <c r="G27" s="25" t="s">
        <v>204</v>
      </c>
      <c r="H27" s="25"/>
      <c r="I27" s="26"/>
      <c r="J27" s="2"/>
    </row>
    <row r="28" spans="1:10" ht="12.95" customHeight="1">
      <c r="A28" s="2"/>
      <c r="B28" s="27" t="s">
        <v>172</v>
      </c>
      <c r="C28" s="1"/>
      <c r="D28" s="1"/>
      <c r="E28" s="1"/>
      <c r="F28" s="25" t="s">
        <v>204</v>
      </c>
      <c r="G28" s="25" t="s">
        <v>204</v>
      </c>
      <c r="H28" s="25"/>
      <c r="I28" s="26"/>
      <c r="J28" s="2"/>
    </row>
    <row r="29" spans="1:10" ht="12.95" customHeight="1">
      <c r="A29" s="2"/>
      <c r="B29" s="27" t="s">
        <v>177</v>
      </c>
      <c r="C29" s="28"/>
      <c r="D29" s="1"/>
      <c r="E29" s="28"/>
      <c r="F29" s="23">
        <v>53577.03</v>
      </c>
      <c r="G29" s="24">
        <v>0.79500000000000004</v>
      </c>
      <c r="H29" s="25"/>
      <c r="I29" s="26"/>
      <c r="J29" s="2"/>
    </row>
    <row r="30" spans="1:10" ht="12.95" customHeight="1">
      <c r="A30" s="2"/>
      <c r="B30" s="12" t="s">
        <v>127</v>
      </c>
      <c r="C30" s="13"/>
      <c r="D30" s="13"/>
      <c r="E30" s="13"/>
      <c r="F30" s="13"/>
      <c r="G30" s="13"/>
      <c r="H30" s="14"/>
      <c r="I30" s="15"/>
      <c r="J30" s="2"/>
    </row>
    <row r="31" spans="1:10" ht="12.95" customHeight="1">
      <c r="A31" s="2"/>
      <c r="B31" s="12" t="s">
        <v>128</v>
      </c>
      <c r="C31" s="13"/>
      <c r="D31" s="13"/>
      <c r="E31" s="13"/>
      <c r="F31" s="2"/>
      <c r="G31" s="14"/>
      <c r="H31" s="14"/>
      <c r="I31" s="15"/>
      <c r="J31" s="2"/>
    </row>
    <row r="32" spans="1:10" ht="12.95" customHeight="1">
      <c r="A32" s="16" t="s">
        <v>1048</v>
      </c>
      <c r="B32" s="17" t="s">
        <v>1049</v>
      </c>
      <c r="C32" s="13" t="s">
        <v>1050</v>
      </c>
      <c r="D32" s="13" t="s">
        <v>200</v>
      </c>
      <c r="E32" s="18">
        <v>3500000</v>
      </c>
      <c r="F32" s="19">
        <v>3563.9</v>
      </c>
      <c r="G32" s="20">
        <v>5.2900000000000003E-2</v>
      </c>
      <c r="H32" s="36"/>
      <c r="I32" s="22"/>
      <c r="J32" s="2"/>
    </row>
    <row r="33" spans="1:10" ht="12.95" customHeight="1">
      <c r="A33" s="16" t="s">
        <v>1463</v>
      </c>
      <c r="B33" s="17" t="s">
        <v>1464</v>
      </c>
      <c r="C33" s="13" t="s">
        <v>1465</v>
      </c>
      <c r="D33" s="13" t="s">
        <v>132</v>
      </c>
      <c r="E33" s="18">
        <v>125</v>
      </c>
      <c r="F33" s="19">
        <v>1395.69</v>
      </c>
      <c r="G33" s="20">
        <v>2.07E-2</v>
      </c>
      <c r="H33" s="21">
        <v>6.8099000000000007E-2</v>
      </c>
      <c r="I33" s="22"/>
      <c r="J33" s="2"/>
    </row>
    <row r="34" spans="1:10" ht="12.95" customHeight="1">
      <c r="A34" s="16" t="s">
        <v>1468</v>
      </c>
      <c r="B34" s="17" t="s">
        <v>1469</v>
      </c>
      <c r="C34" s="13" t="s">
        <v>1470</v>
      </c>
      <c r="D34" s="13" t="s">
        <v>132</v>
      </c>
      <c r="E34" s="18">
        <v>100</v>
      </c>
      <c r="F34" s="19">
        <v>1100.04</v>
      </c>
      <c r="G34" s="20">
        <v>1.6299999999999999E-2</v>
      </c>
      <c r="H34" s="21">
        <v>6.7100000000000007E-2</v>
      </c>
      <c r="I34" s="22"/>
      <c r="J34" s="2"/>
    </row>
    <row r="35" spans="1:10" ht="12.95" customHeight="1">
      <c r="A35" s="16" t="s">
        <v>1057</v>
      </c>
      <c r="B35" s="17" t="s">
        <v>1058</v>
      </c>
      <c r="C35" s="13" t="s">
        <v>1059</v>
      </c>
      <c r="D35" s="13" t="s">
        <v>200</v>
      </c>
      <c r="E35" s="18">
        <v>1000000</v>
      </c>
      <c r="F35" s="19">
        <v>972.02</v>
      </c>
      <c r="G35" s="20">
        <v>1.44E-2</v>
      </c>
      <c r="H35" s="21">
        <v>6.9682999999999995E-2</v>
      </c>
      <c r="I35" s="22"/>
      <c r="J35" s="2"/>
    </row>
    <row r="36" spans="1:10" ht="12.95" customHeight="1">
      <c r="A36" s="16" t="s">
        <v>1086</v>
      </c>
      <c r="B36" s="17" t="s">
        <v>1087</v>
      </c>
      <c r="C36" s="13" t="s">
        <v>1088</v>
      </c>
      <c r="D36" s="13" t="s">
        <v>200</v>
      </c>
      <c r="E36" s="18">
        <v>900000</v>
      </c>
      <c r="F36" s="19">
        <v>969.93</v>
      </c>
      <c r="G36" s="20">
        <v>1.44E-2</v>
      </c>
      <c r="H36" s="21">
        <v>6.6048999999999997E-2</v>
      </c>
      <c r="I36" s="22"/>
      <c r="J36" s="2"/>
    </row>
    <row r="37" spans="1:10" ht="12.95" customHeight="1">
      <c r="A37" s="16" t="s">
        <v>3185</v>
      </c>
      <c r="B37" s="17" t="s">
        <v>3186</v>
      </c>
      <c r="C37" s="13" t="s">
        <v>3187</v>
      </c>
      <c r="D37" s="13" t="s">
        <v>196</v>
      </c>
      <c r="E37" s="18">
        <v>75</v>
      </c>
      <c r="F37" s="19">
        <v>785.84</v>
      </c>
      <c r="G37" s="20">
        <v>1.17E-2</v>
      </c>
      <c r="H37" s="21">
        <v>7.1507500000000002E-2</v>
      </c>
      <c r="I37" s="37">
        <v>7.0502605999999995E-2</v>
      </c>
      <c r="J37" s="2"/>
    </row>
    <row r="38" spans="1:10" ht="12.95" customHeight="1">
      <c r="A38" s="16" t="s">
        <v>3188</v>
      </c>
      <c r="B38" s="17" t="s">
        <v>3189</v>
      </c>
      <c r="C38" s="13" t="s">
        <v>3190</v>
      </c>
      <c r="D38" s="13" t="s">
        <v>196</v>
      </c>
      <c r="E38" s="18">
        <v>50</v>
      </c>
      <c r="F38" s="19">
        <v>520.39</v>
      </c>
      <c r="G38" s="20">
        <v>7.7000000000000002E-3</v>
      </c>
      <c r="H38" s="21">
        <v>7.1640499999999996E-2</v>
      </c>
      <c r="I38" s="37">
        <v>7.0599332000000001E-2</v>
      </c>
      <c r="J38" s="2"/>
    </row>
    <row r="39" spans="1:10" ht="12.95" customHeight="1">
      <c r="A39" s="16" t="s">
        <v>1448</v>
      </c>
      <c r="B39" s="17" t="s">
        <v>1449</v>
      </c>
      <c r="C39" s="13" t="s">
        <v>1450</v>
      </c>
      <c r="D39" s="13" t="s">
        <v>171</v>
      </c>
      <c r="E39" s="18">
        <v>50</v>
      </c>
      <c r="F39" s="19">
        <v>511.45</v>
      </c>
      <c r="G39" s="20">
        <v>7.6E-3</v>
      </c>
      <c r="H39" s="21">
        <v>6.7499000000000003E-2</v>
      </c>
      <c r="I39" s="37"/>
      <c r="J39" s="2"/>
    </row>
    <row r="40" spans="1:10" ht="12.95" customHeight="1">
      <c r="A40" s="2"/>
      <c r="B40" s="12" t="s">
        <v>172</v>
      </c>
      <c r="C40" s="13"/>
      <c r="D40" s="13"/>
      <c r="E40" s="13"/>
      <c r="F40" s="23">
        <v>9819.26</v>
      </c>
      <c r="G40" s="24">
        <v>0.1457</v>
      </c>
      <c r="H40" s="25"/>
      <c r="I40" s="26"/>
      <c r="J40" s="2"/>
    </row>
    <row r="41" spans="1:10" ht="12.95" customHeight="1">
      <c r="A41" s="2"/>
      <c r="B41" s="27" t="s">
        <v>173</v>
      </c>
      <c r="C41" s="1"/>
      <c r="D41" s="1"/>
      <c r="E41" s="1"/>
      <c r="F41" s="25" t="s">
        <v>204</v>
      </c>
      <c r="G41" s="25" t="s">
        <v>204</v>
      </c>
      <c r="H41" s="25"/>
      <c r="I41" s="26"/>
      <c r="J41" s="2"/>
    </row>
    <row r="42" spans="1:10" ht="12.95" customHeight="1">
      <c r="A42" s="2"/>
      <c r="B42" s="27" t="s">
        <v>172</v>
      </c>
      <c r="C42" s="1"/>
      <c r="D42" s="1"/>
      <c r="E42" s="1"/>
      <c r="F42" s="25" t="s">
        <v>204</v>
      </c>
      <c r="G42" s="25" t="s">
        <v>204</v>
      </c>
      <c r="H42" s="25"/>
      <c r="I42" s="26"/>
      <c r="J42" s="2"/>
    </row>
    <row r="43" spans="1:10" ht="12.95" customHeight="1">
      <c r="A43" s="2"/>
      <c r="B43" s="27" t="s">
        <v>177</v>
      </c>
      <c r="C43" s="28"/>
      <c r="D43" s="1"/>
      <c r="E43" s="28"/>
      <c r="F43" s="23">
        <v>9819.26</v>
      </c>
      <c r="G43" s="24">
        <v>0.1457</v>
      </c>
      <c r="H43" s="25"/>
      <c r="I43" s="26"/>
      <c r="J43" s="2"/>
    </row>
    <row r="44" spans="1:10" ht="12.95" customHeight="1">
      <c r="A44" s="2"/>
      <c r="B44" s="12" t="s">
        <v>178</v>
      </c>
      <c r="C44" s="13"/>
      <c r="D44" s="13"/>
      <c r="E44" s="13"/>
      <c r="F44" s="13"/>
      <c r="G44" s="13"/>
      <c r="H44" s="14"/>
      <c r="I44" s="15"/>
      <c r="J44" s="2"/>
    </row>
    <row r="45" spans="1:10" ht="12.95" customHeight="1">
      <c r="A45" s="16" t="s">
        <v>179</v>
      </c>
      <c r="B45" s="17" t="s">
        <v>180</v>
      </c>
      <c r="C45" s="13"/>
      <c r="D45" s="13"/>
      <c r="E45" s="18"/>
      <c r="F45" s="19">
        <v>3298.12</v>
      </c>
      <c r="G45" s="20">
        <v>4.8899999999999999E-2</v>
      </c>
      <c r="H45" s="21">
        <v>3.3046485571545235E-2</v>
      </c>
      <c r="I45" s="37"/>
      <c r="J45" s="2"/>
    </row>
    <row r="46" spans="1:10" ht="12.95" customHeight="1">
      <c r="A46" s="2"/>
      <c r="B46" s="12" t="s">
        <v>172</v>
      </c>
      <c r="C46" s="13"/>
      <c r="D46" s="13"/>
      <c r="E46" s="13"/>
      <c r="F46" s="23">
        <v>3298.12</v>
      </c>
      <c r="G46" s="24">
        <v>4.8899999999999999E-2</v>
      </c>
      <c r="H46" s="25"/>
      <c r="I46" s="26"/>
      <c r="J46" s="2"/>
    </row>
    <row r="47" spans="1:10" ht="12.95" customHeight="1">
      <c r="A47" s="2"/>
      <c r="B47" s="27" t="s">
        <v>173</v>
      </c>
      <c r="C47" s="1"/>
      <c r="D47" s="1"/>
      <c r="E47" s="1"/>
      <c r="F47" s="25" t="s">
        <v>204</v>
      </c>
      <c r="G47" s="25" t="s">
        <v>204</v>
      </c>
      <c r="H47" s="25"/>
      <c r="I47" s="26"/>
      <c r="J47" s="2"/>
    </row>
    <row r="48" spans="1:10" ht="12.95" customHeight="1">
      <c r="A48" s="2"/>
      <c r="B48" s="27" t="s">
        <v>172</v>
      </c>
      <c r="C48" s="1"/>
      <c r="D48" s="1"/>
      <c r="E48" s="1"/>
      <c r="F48" s="25" t="s">
        <v>204</v>
      </c>
      <c r="G48" s="25" t="s">
        <v>204</v>
      </c>
      <c r="H48" s="25"/>
      <c r="I48" s="26"/>
      <c r="J48" s="2"/>
    </row>
    <row r="49" spans="1:10" ht="12.95" customHeight="1">
      <c r="A49" s="2"/>
      <c r="B49" s="27" t="s">
        <v>177</v>
      </c>
      <c r="C49" s="28"/>
      <c r="D49" s="1"/>
      <c r="E49" s="28"/>
      <c r="F49" s="23">
        <v>3298.12</v>
      </c>
      <c r="G49" s="24">
        <v>4.8899999999999999E-2</v>
      </c>
      <c r="H49" s="25"/>
      <c r="I49" s="26"/>
      <c r="J49" s="2"/>
    </row>
    <row r="50" spans="1:10" ht="12.95" customHeight="1">
      <c r="A50" s="2"/>
      <c r="B50" s="27" t="s">
        <v>181</v>
      </c>
      <c r="C50" s="13"/>
      <c r="D50" s="1"/>
      <c r="E50" s="13"/>
      <c r="F50" s="29">
        <v>688.01</v>
      </c>
      <c r="G50" s="24">
        <v>1.04E-2</v>
      </c>
      <c r="H50" s="25"/>
      <c r="I50" s="26"/>
      <c r="J50" s="2"/>
    </row>
    <row r="51" spans="1:10" ht="12.95" customHeight="1">
      <c r="A51" s="2"/>
      <c r="B51" s="30" t="s">
        <v>182</v>
      </c>
      <c r="C51" s="31"/>
      <c r="D51" s="31"/>
      <c r="E51" s="31"/>
      <c r="F51" s="32">
        <v>67382.42</v>
      </c>
      <c r="G51" s="33">
        <v>1</v>
      </c>
      <c r="H51" s="34"/>
      <c r="I51" s="35"/>
      <c r="J51" s="2"/>
    </row>
    <row r="52" spans="1:10" ht="12.95" customHeight="1">
      <c r="A52" s="2"/>
      <c r="B52" s="5"/>
      <c r="C52" s="2"/>
      <c r="D52" s="2"/>
      <c r="E52" s="2"/>
      <c r="F52" s="2"/>
      <c r="G52" s="2"/>
      <c r="H52" s="2"/>
      <c r="I52" s="2"/>
      <c r="J52" s="2"/>
    </row>
    <row r="53" spans="1:10" ht="12.95" customHeight="1">
      <c r="A53" s="2"/>
      <c r="B53" s="3" t="s">
        <v>244</v>
      </c>
      <c r="C53" s="2"/>
      <c r="D53" s="2"/>
      <c r="E53" s="2"/>
      <c r="F53" s="2"/>
      <c r="G53" s="2"/>
      <c r="H53" s="2"/>
      <c r="I53" s="2"/>
      <c r="J53" s="2"/>
    </row>
    <row r="54" spans="1:10" ht="12.95" customHeight="1">
      <c r="A54" s="2"/>
      <c r="B54" s="3" t="s">
        <v>184</v>
      </c>
      <c r="C54" s="2"/>
      <c r="D54" s="2"/>
      <c r="E54" s="2"/>
      <c r="F54" s="2"/>
      <c r="G54" s="2"/>
      <c r="H54" s="2"/>
      <c r="I54" s="2"/>
      <c r="J54" s="2"/>
    </row>
    <row r="55" spans="1:10" ht="12.95" customHeight="1">
      <c r="A55" s="2"/>
      <c r="B55" s="3" t="s">
        <v>186</v>
      </c>
      <c r="C55" s="2"/>
      <c r="D55" s="2"/>
      <c r="E55" s="2"/>
      <c r="F55" s="2"/>
      <c r="G55" s="2"/>
      <c r="H55" s="2"/>
      <c r="I55" s="2"/>
      <c r="J55" s="2"/>
    </row>
    <row r="56" spans="1:10" ht="23.25" customHeight="1">
      <c r="A56" s="2"/>
      <c r="B56" s="189" t="s">
        <v>4025</v>
      </c>
      <c r="C56" s="189"/>
      <c r="D56" s="189"/>
      <c r="E56" s="189"/>
      <c r="F56" s="189"/>
      <c r="G56" s="189"/>
      <c r="H56" s="189"/>
      <c r="I56" s="189"/>
      <c r="J56" s="2"/>
    </row>
    <row r="57" spans="1:10" ht="12.95" customHeight="1">
      <c r="A57" s="2"/>
      <c r="B57" s="3"/>
      <c r="C57" s="2"/>
      <c r="D57" s="2"/>
      <c r="E57" s="2"/>
      <c r="F57" s="2"/>
      <c r="G57" s="2"/>
      <c r="H57" s="2"/>
      <c r="I57" s="2"/>
      <c r="J57" s="2"/>
    </row>
    <row r="58" spans="1:10">
      <c r="C58" s="111" t="s">
        <v>3968</v>
      </c>
    </row>
    <row r="59" spans="1:10">
      <c r="B59" s="111" t="s">
        <v>3933</v>
      </c>
      <c r="C59" s="111" t="s">
        <v>3934</v>
      </c>
    </row>
  </sheetData>
  <mergeCells count="2">
    <mergeCell ref="B2:I2"/>
    <mergeCell ref="B56:I56"/>
  </mergeCells>
  <hyperlinks>
    <hyperlink ref="A2" location="Index!A1" display="Index"/>
  </hyperlinks>
  <pageMargins left="0" right="0" top="0" bottom="0" header="0" footer="0"/>
  <pageSetup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7"/>
  <sheetViews>
    <sheetView workbookViewId="0"/>
  </sheetViews>
  <sheetFormatPr defaultRowHeight="15"/>
  <cols>
    <col min="1" max="1" width="3.28515625" customWidth="1"/>
    <col min="2" max="2" width="69.140625" customWidth="1"/>
    <col min="3" max="3" width="18.7109375" bestFit="1" customWidth="1"/>
    <col min="4"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AXISRCP</v>
      </c>
    </row>
    <row r="2" spans="1:13" ht="34.5" customHeight="1" thickBot="1">
      <c r="A2" s="135" t="str">
        <f>M2</f>
        <v>AXISRCP</v>
      </c>
      <c r="B2" s="186" t="s">
        <v>89</v>
      </c>
      <c r="C2" s="187"/>
      <c r="D2" s="187"/>
      <c r="E2" s="187"/>
      <c r="F2" s="187"/>
      <c r="G2" s="187"/>
      <c r="H2" s="187"/>
      <c r="I2" s="188"/>
      <c r="J2" s="2"/>
      <c r="M2" s="108" t="s">
        <v>88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904</v>
      </c>
      <c r="B8" s="17" t="s">
        <v>905</v>
      </c>
      <c r="C8" s="13" t="s">
        <v>906</v>
      </c>
      <c r="D8" s="13" t="s">
        <v>731</v>
      </c>
      <c r="E8" s="18">
        <v>10751</v>
      </c>
      <c r="F8" s="19">
        <v>333.75</v>
      </c>
      <c r="G8" s="20">
        <v>3.1099999999999999E-2</v>
      </c>
      <c r="H8" s="36"/>
      <c r="I8" s="22"/>
      <c r="J8" s="2"/>
    </row>
    <row r="9" spans="1:13" ht="12.95" customHeight="1">
      <c r="A9" s="16" t="s">
        <v>764</v>
      </c>
      <c r="B9" s="17" t="s">
        <v>765</v>
      </c>
      <c r="C9" s="13" t="s">
        <v>766</v>
      </c>
      <c r="D9" s="13" t="s">
        <v>767</v>
      </c>
      <c r="E9" s="18">
        <v>2988</v>
      </c>
      <c r="F9" s="19">
        <v>265.44</v>
      </c>
      <c r="G9" s="20">
        <v>2.47E-2</v>
      </c>
      <c r="H9" s="36"/>
      <c r="I9" s="22"/>
      <c r="J9" s="2"/>
    </row>
    <row r="10" spans="1:13" ht="12.95" customHeight="1">
      <c r="A10" s="16" t="s">
        <v>2448</v>
      </c>
      <c r="B10" s="17" t="s">
        <v>2449</v>
      </c>
      <c r="C10" s="13" t="s">
        <v>2450</v>
      </c>
      <c r="D10" s="13" t="s">
        <v>1047</v>
      </c>
      <c r="E10" s="18">
        <v>34306</v>
      </c>
      <c r="F10" s="19">
        <v>260.16000000000003</v>
      </c>
      <c r="G10" s="20">
        <v>2.4199999999999999E-2</v>
      </c>
      <c r="H10" s="36"/>
      <c r="I10" s="22"/>
      <c r="J10" s="2"/>
    </row>
    <row r="11" spans="1:13" ht="12.95" customHeight="1">
      <c r="A11" s="16" t="s">
        <v>1768</v>
      </c>
      <c r="B11" s="17" t="s">
        <v>1769</v>
      </c>
      <c r="C11" s="13" t="s">
        <v>1770</v>
      </c>
      <c r="D11" s="13" t="s">
        <v>731</v>
      </c>
      <c r="E11" s="18">
        <v>19149</v>
      </c>
      <c r="F11" s="19">
        <v>245.02</v>
      </c>
      <c r="G11" s="20">
        <v>2.2800000000000001E-2</v>
      </c>
      <c r="H11" s="36"/>
      <c r="I11" s="22"/>
      <c r="J11" s="2"/>
    </row>
    <row r="12" spans="1:13" ht="12.95" customHeight="1">
      <c r="A12" s="16" t="s">
        <v>772</v>
      </c>
      <c r="B12" s="17" t="s">
        <v>773</v>
      </c>
      <c r="C12" s="13" t="s">
        <v>774</v>
      </c>
      <c r="D12" s="13" t="s">
        <v>731</v>
      </c>
      <c r="E12" s="18">
        <v>17276</v>
      </c>
      <c r="F12" s="19">
        <v>238.51</v>
      </c>
      <c r="G12" s="20">
        <v>2.2200000000000001E-2</v>
      </c>
      <c r="H12" s="36"/>
      <c r="I12" s="22"/>
      <c r="J12" s="2"/>
    </row>
    <row r="13" spans="1:13" ht="12.95" customHeight="1">
      <c r="A13" s="16" t="s">
        <v>942</v>
      </c>
      <c r="B13" s="17" t="s">
        <v>943</v>
      </c>
      <c r="C13" s="13" t="s">
        <v>944</v>
      </c>
      <c r="D13" s="13" t="s">
        <v>945</v>
      </c>
      <c r="E13" s="18">
        <v>13458</v>
      </c>
      <c r="F13" s="19">
        <v>229.18</v>
      </c>
      <c r="G13" s="20">
        <v>2.1299999999999999E-2</v>
      </c>
      <c r="H13" s="36"/>
      <c r="I13" s="22"/>
      <c r="J13" s="2"/>
    </row>
    <row r="14" spans="1:13" ht="12.95" customHeight="1">
      <c r="A14" s="16" t="s">
        <v>1007</v>
      </c>
      <c r="B14" s="17" t="s">
        <v>1008</v>
      </c>
      <c r="C14" s="13" t="s">
        <v>1009</v>
      </c>
      <c r="D14" s="13" t="s">
        <v>789</v>
      </c>
      <c r="E14" s="18">
        <v>13203</v>
      </c>
      <c r="F14" s="19">
        <v>220.42</v>
      </c>
      <c r="G14" s="20">
        <v>2.0500000000000001E-2</v>
      </c>
      <c r="H14" s="36"/>
      <c r="I14" s="22"/>
      <c r="J14" s="2"/>
    </row>
    <row r="15" spans="1:13" ht="12.95" customHeight="1">
      <c r="A15" s="16" t="s">
        <v>1828</v>
      </c>
      <c r="B15" s="17" t="s">
        <v>1829</v>
      </c>
      <c r="C15" s="13" t="s">
        <v>1830</v>
      </c>
      <c r="D15" s="13" t="s">
        <v>749</v>
      </c>
      <c r="E15" s="18">
        <v>3726</v>
      </c>
      <c r="F15" s="19">
        <v>207.95</v>
      </c>
      <c r="G15" s="20">
        <v>1.9400000000000001E-2</v>
      </c>
      <c r="H15" s="36"/>
      <c r="I15" s="22"/>
      <c r="J15" s="2"/>
    </row>
    <row r="16" spans="1:13" ht="12.95" customHeight="1">
      <c r="A16" s="16" t="s">
        <v>808</v>
      </c>
      <c r="B16" s="17" t="s">
        <v>809</v>
      </c>
      <c r="C16" s="13" t="s">
        <v>810</v>
      </c>
      <c r="D16" s="13" t="s">
        <v>778</v>
      </c>
      <c r="E16" s="18">
        <v>24954</v>
      </c>
      <c r="F16" s="19">
        <v>200.39</v>
      </c>
      <c r="G16" s="20">
        <v>1.8700000000000001E-2</v>
      </c>
      <c r="H16" s="36"/>
      <c r="I16" s="22"/>
      <c r="J16" s="2"/>
    </row>
    <row r="17" spans="1:10" ht="12.95" customHeight="1">
      <c r="A17" s="16" t="s">
        <v>2078</v>
      </c>
      <c r="B17" s="17" t="s">
        <v>2079</v>
      </c>
      <c r="C17" s="13" t="s">
        <v>2080</v>
      </c>
      <c r="D17" s="13" t="s">
        <v>731</v>
      </c>
      <c r="E17" s="18">
        <v>31260</v>
      </c>
      <c r="F17" s="19">
        <v>198.22</v>
      </c>
      <c r="G17" s="20">
        <v>1.84E-2</v>
      </c>
      <c r="H17" s="36"/>
      <c r="I17" s="22"/>
      <c r="J17" s="2"/>
    </row>
    <row r="18" spans="1:10" ht="12.95" customHeight="1">
      <c r="A18" s="16" t="s">
        <v>1804</v>
      </c>
      <c r="B18" s="17" t="s">
        <v>1805</v>
      </c>
      <c r="C18" s="13" t="s">
        <v>1806</v>
      </c>
      <c r="D18" s="13" t="s">
        <v>771</v>
      </c>
      <c r="E18" s="18">
        <v>108569</v>
      </c>
      <c r="F18" s="19">
        <v>193.52</v>
      </c>
      <c r="G18" s="20">
        <v>1.7999999999999999E-2</v>
      </c>
      <c r="H18" s="36"/>
      <c r="I18" s="22"/>
      <c r="J18" s="2"/>
    </row>
    <row r="19" spans="1:10" ht="12.95" customHeight="1">
      <c r="A19" s="16" t="s">
        <v>960</v>
      </c>
      <c r="B19" s="17" t="s">
        <v>961</v>
      </c>
      <c r="C19" s="13" t="s">
        <v>962</v>
      </c>
      <c r="D19" s="13" t="s">
        <v>778</v>
      </c>
      <c r="E19" s="18">
        <v>5036</v>
      </c>
      <c r="F19" s="19">
        <v>193.01</v>
      </c>
      <c r="G19" s="20">
        <v>1.7999999999999999E-2</v>
      </c>
      <c r="H19" s="36"/>
      <c r="I19" s="22"/>
      <c r="J19" s="2"/>
    </row>
    <row r="20" spans="1:10" ht="12.95" customHeight="1">
      <c r="A20" s="16" t="s">
        <v>3191</v>
      </c>
      <c r="B20" s="17" t="s">
        <v>3192</v>
      </c>
      <c r="C20" s="13" t="s">
        <v>3193</v>
      </c>
      <c r="D20" s="13" t="s">
        <v>1600</v>
      </c>
      <c r="E20" s="18">
        <v>59950</v>
      </c>
      <c r="F20" s="19">
        <v>186.8</v>
      </c>
      <c r="G20" s="20">
        <v>1.7399999999999999E-2</v>
      </c>
      <c r="H20" s="36"/>
      <c r="I20" s="22"/>
      <c r="J20" s="2"/>
    </row>
    <row r="21" spans="1:10" ht="12.95" customHeight="1">
      <c r="A21" s="16" t="s">
        <v>1810</v>
      </c>
      <c r="B21" s="17" t="s">
        <v>1811</v>
      </c>
      <c r="C21" s="13" t="s">
        <v>1812</v>
      </c>
      <c r="D21" s="13" t="s">
        <v>1569</v>
      </c>
      <c r="E21" s="18">
        <v>74811</v>
      </c>
      <c r="F21" s="19">
        <v>178.46</v>
      </c>
      <c r="G21" s="20">
        <v>1.66E-2</v>
      </c>
      <c r="H21" s="36"/>
      <c r="I21" s="22"/>
      <c r="J21" s="2"/>
    </row>
    <row r="22" spans="1:10" ht="12.95" customHeight="1">
      <c r="A22" s="16" t="s">
        <v>975</v>
      </c>
      <c r="B22" s="17" t="s">
        <v>976</v>
      </c>
      <c r="C22" s="13" t="s">
        <v>977</v>
      </c>
      <c r="D22" s="13" t="s">
        <v>778</v>
      </c>
      <c r="E22" s="18">
        <v>6266</v>
      </c>
      <c r="F22" s="19">
        <v>177.48</v>
      </c>
      <c r="G22" s="20">
        <v>1.6500000000000001E-2</v>
      </c>
      <c r="H22" s="36"/>
      <c r="I22" s="22"/>
      <c r="J22" s="2"/>
    </row>
    <row r="23" spans="1:10" ht="12.95" customHeight="1">
      <c r="A23" s="16" t="s">
        <v>997</v>
      </c>
      <c r="B23" s="17" t="s">
        <v>998</v>
      </c>
      <c r="C23" s="13" t="s">
        <v>999</v>
      </c>
      <c r="D23" s="13" t="s">
        <v>1000</v>
      </c>
      <c r="E23" s="18">
        <v>52892</v>
      </c>
      <c r="F23" s="19">
        <v>160.37</v>
      </c>
      <c r="G23" s="20">
        <v>1.49E-2</v>
      </c>
      <c r="H23" s="36"/>
      <c r="I23" s="22"/>
      <c r="J23" s="2"/>
    </row>
    <row r="24" spans="1:10" ht="12.95" customHeight="1">
      <c r="A24" s="16" t="s">
        <v>740</v>
      </c>
      <c r="B24" s="17" t="s">
        <v>741</v>
      </c>
      <c r="C24" s="13" t="s">
        <v>742</v>
      </c>
      <c r="D24" s="13" t="s">
        <v>731</v>
      </c>
      <c r="E24" s="18">
        <v>9385</v>
      </c>
      <c r="F24" s="19">
        <v>157.22</v>
      </c>
      <c r="G24" s="20">
        <v>1.46E-2</v>
      </c>
      <c r="H24" s="36"/>
      <c r="I24" s="22"/>
      <c r="J24" s="2"/>
    </row>
    <row r="25" spans="1:10" ht="12.95" customHeight="1">
      <c r="A25" s="16" t="s">
        <v>790</v>
      </c>
      <c r="B25" s="17" t="s">
        <v>791</v>
      </c>
      <c r="C25" s="13" t="s">
        <v>792</v>
      </c>
      <c r="D25" s="13" t="s">
        <v>767</v>
      </c>
      <c r="E25" s="18">
        <v>10839</v>
      </c>
      <c r="F25" s="19">
        <v>116.08</v>
      </c>
      <c r="G25" s="20">
        <v>1.0800000000000001E-2</v>
      </c>
      <c r="H25" s="36"/>
      <c r="I25" s="22"/>
      <c r="J25" s="2"/>
    </row>
    <row r="26" spans="1:10" ht="12.95" customHeight="1">
      <c r="A26" s="16" t="s">
        <v>2534</v>
      </c>
      <c r="B26" s="17" t="s">
        <v>2535</v>
      </c>
      <c r="C26" s="13" t="s">
        <v>2536</v>
      </c>
      <c r="D26" s="13" t="s">
        <v>749</v>
      </c>
      <c r="E26" s="18">
        <v>1175</v>
      </c>
      <c r="F26" s="19">
        <v>91.65</v>
      </c>
      <c r="G26" s="20">
        <v>8.5000000000000006E-3</v>
      </c>
      <c r="H26" s="36"/>
      <c r="I26" s="22"/>
      <c r="J26" s="2"/>
    </row>
    <row r="27" spans="1:10" ht="12.95" customHeight="1">
      <c r="A27" s="16" t="s">
        <v>879</v>
      </c>
      <c r="B27" s="17" t="s">
        <v>880</v>
      </c>
      <c r="C27" s="13" t="s">
        <v>881</v>
      </c>
      <c r="D27" s="13" t="s">
        <v>723</v>
      </c>
      <c r="E27" s="18">
        <v>3655</v>
      </c>
      <c r="F27" s="19">
        <v>89.55</v>
      </c>
      <c r="G27" s="20">
        <v>8.3000000000000001E-3</v>
      </c>
      <c r="H27" s="36"/>
      <c r="I27" s="22"/>
      <c r="J27" s="2"/>
    </row>
    <row r="28" spans="1:10" ht="12.95" customHeight="1">
      <c r="A28" s="16" t="s">
        <v>775</v>
      </c>
      <c r="B28" s="17" t="s">
        <v>776</v>
      </c>
      <c r="C28" s="13" t="s">
        <v>777</v>
      </c>
      <c r="D28" s="13" t="s">
        <v>778</v>
      </c>
      <c r="E28" s="18">
        <v>1202</v>
      </c>
      <c r="F28" s="19">
        <v>88.2</v>
      </c>
      <c r="G28" s="20">
        <v>8.2000000000000007E-3</v>
      </c>
      <c r="H28" s="36"/>
      <c r="I28" s="22"/>
      <c r="J28" s="2"/>
    </row>
    <row r="29" spans="1:10" ht="12.95" customHeight="1">
      <c r="A29" s="16" t="s">
        <v>3122</v>
      </c>
      <c r="B29" s="17" t="s">
        <v>3123</v>
      </c>
      <c r="C29" s="13" t="s">
        <v>3124</v>
      </c>
      <c r="D29" s="13" t="s">
        <v>959</v>
      </c>
      <c r="E29" s="18">
        <v>28386</v>
      </c>
      <c r="F29" s="19">
        <v>87.63</v>
      </c>
      <c r="G29" s="20">
        <v>8.2000000000000007E-3</v>
      </c>
      <c r="H29" s="36"/>
      <c r="I29" s="22"/>
      <c r="J29" s="2"/>
    </row>
    <row r="30" spans="1:10" ht="12.95" customHeight="1">
      <c r="A30" s="16" t="s">
        <v>953</v>
      </c>
      <c r="B30" s="17" t="s">
        <v>954</v>
      </c>
      <c r="C30" s="13" t="s">
        <v>955</v>
      </c>
      <c r="D30" s="13" t="s">
        <v>789</v>
      </c>
      <c r="E30" s="18">
        <v>32681</v>
      </c>
      <c r="F30" s="19">
        <v>77.180000000000007</v>
      </c>
      <c r="G30" s="20">
        <v>7.1999999999999998E-3</v>
      </c>
      <c r="H30" s="36"/>
      <c r="I30" s="22"/>
      <c r="J30" s="2"/>
    </row>
    <row r="31" spans="1:10" ht="12.95" customHeight="1">
      <c r="A31" s="16" t="s">
        <v>2947</v>
      </c>
      <c r="B31" s="17" t="s">
        <v>2948</v>
      </c>
      <c r="C31" s="13" t="s">
        <v>2949</v>
      </c>
      <c r="D31" s="13" t="s">
        <v>2950</v>
      </c>
      <c r="E31" s="18">
        <v>9064</v>
      </c>
      <c r="F31" s="19">
        <v>72.010000000000005</v>
      </c>
      <c r="G31" s="20">
        <v>6.7000000000000002E-3</v>
      </c>
      <c r="H31" s="36"/>
      <c r="I31" s="22"/>
      <c r="J31" s="2"/>
    </row>
    <row r="32" spans="1:10" ht="12.95" customHeight="1">
      <c r="A32" s="16" t="s">
        <v>2951</v>
      </c>
      <c r="B32" s="17" t="s">
        <v>2952</v>
      </c>
      <c r="C32" s="13" t="s">
        <v>2953</v>
      </c>
      <c r="D32" s="13" t="s">
        <v>959</v>
      </c>
      <c r="E32" s="18">
        <v>4402</v>
      </c>
      <c r="F32" s="19">
        <v>61.26</v>
      </c>
      <c r="G32" s="20">
        <v>5.7000000000000002E-3</v>
      </c>
      <c r="H32" s="36"/>
      <c r="I32" s="22"/>
      <c r="J32" s="2"/>
    </row>
    <row r="33" spans="1:10" ht="12.95" customHeight="1">
      <c r="A33" s="16" t="s">
        <v>736</v>
      </c>
      <c r="B33" s="17" t="s">
        <v>737</v>
      </c>
      <c r="C33" s="13" t="s">
        <v>738</v>
      </c>
      <c r="D33" s="13" t="s">
        <v>739</v>
      </c>
      <c r="E33" s="18">
        <v>381</v>
      </c>
      <c r="F33" s="19">
        <v>16.190000000000001</v>
      </c>
      <c r="G33" s="20">
        <v>1.5E-3</v>
      </c>
      <c r="H33" s="36"/>
      <c r="I33" s="22"/>
      <c r="J33" s="2"/>
    </row>
    <row r="34" spans="1:10" ht="12.95" customHeight="1">
      <c r="A34" s="2"/>
      <c r="B34" s="12" t="s">
        <v>172</v>
      </c>
      <c r="C34" s="13"/>
      <c r="D34" s="13"/>
      <c r="E34" s="13"/>
      <c r="F34" s="23">
        <v>4345.6499999999996</v>
      </c>
      <c r="G34" s="24">
        <v>0.40439999999999998</v>
      </c>
      <c r="H34" s="25"/>
      <c r="I34" s="26"/>
      <c r="J34" s="2"/>
    </row>
    <row r="35" spans="1:10" ht="12.95" customHeight="1">
      <c r="A35" s="2"/>
      <c r="B35" s="27" t="s">
        <v>719</v>
      </c>
      <c r="C35" s="1"/>
      <c r="D35" s="1"/>
      <c r="E35" s="1"/>
      <c r="F35" s="25" t="s">
        <v>204</v>
      </c>
      <c r="G35" s="25" t="s">
        <v>204</v>
      </c>
      <c r="H35" s="25"/>
      <c r="I35" s="26"/>
      <c r="J35" s="2"/>
    </row>
    <row r="36" spans="1:10" ht="12.95" customHeight="1">
      <c r="A36" s="2"/>
      <c r="B36" s="27" t="s">
        <v>172</v>
      </c>
      <c r="C36" s="1"/>
      <c r="D36" s="1"/>
      <c r="E36" s="1"/>
      <c r="F36" s="25" t="s">
        <v>204</v>
      </c>
      <c r="G36" s="25" t="s">
        <v>204</v>
      </c>
      <c r="H36" s="25"/>
      <c r="I36" s="26"/>
      <c r="J36" s="2"/>
    </row>
    <row r="37" spans="1:10" ht="12.95" customHeight="1">
      <c r="A37" s="2"/>
      <c r="B37" s="27" t="s">
        <v>177</v>
      </c>
      <c r="C37" s="28"/>
      <c r="D37" s="1"/>
      <c r="E37" s="28"/>
      <c r="F37" s="23">
        <v>4345.6499999999996</v>
      </c>
      <c r="G37" s="24">
        <v>0.40439999999999998</v>
      </c>
      <c r="H37" s="25"/>
      <c r="I37" s="26"/>
      <c r="J37" s="2"/>
    </row>
    <row r="38" spans="1:10" ht="12.95" customHeight="1">
      <c r="A38" s="2"/>
      <c r="B38" s="12" t="s">
        <v>127</v>
      </c>
      <c r="C38" s="13"/>
      <c r="D38" s="13"/>
      <c r="E38" s="13"/>
      <c r="F38" s="13"/>
      <c r="G38" s="13"/>
      <c r="H38" s="14"/>
      <c r="I38" s="15"/>
      <c r="J38" s="2"/>
    </row>
    <row r="39" spans="1:10" ht="12.95" customHeight="1">
      <c r="A39" s="2"/>
      <c r="B39" s="12" t="s">
        <v>128</v>
      </c>
      <c r="C39" s="13"/>
      <c r="D39" s="13"/>
      <c r="E39" s="13"/>
      <c r="F39" s="2"/>
      <c r="G39" s="14"/>
      <c r="H39" s="14"/>
      <c r="I39" s="15"/>
      <c r="J39" s="2"/>
    </row>
    <row r="40" spans="1:10" ht="12.95" customHeight="1">
      <c r="A40" s="16" t="s">
        <v>1463</v>
      </c>
      <c r="B40" s="17" t="s">
        <v>1464</v>
      </c>
      <c r="C40" s="13" t="s">
        <v>1465</v>
      </c>
      <c r="D40" s="13" t="s">
        <v>132</v>
      </c>
      <c r="E40" s="18">
        <v>85</v>
      </c>
      <c r="F40" s="19">
        <v>949.07</v>
      </c>
      <c r="G40" s="20">
        <v>8.8300000000000003E-2</v>
      </c>
      <c r="H40" s="21">
        <v>6.8099000000000007E-2</v>
      </c>
      <c r="I40" s="22"/>
      <c r="J40" s="2"/>
    </row>
    <row r="41" spans="1:10" ht="12.95" customHeight="1">
      <c r="A41" s="16" t="s">
        <v>3185</v>
      </c>
      <c r="B41" s="17" t="s">
        <v>3186</v>
      </c>
      <c r="C41" s="13" t="s">
        <v>3187</v>
      </c>
      <c r="D41" s="13" t="s">
        <v>196</v>
      </c>
      <c r="E41" s="18">
        <v>75</v>
      </c>
      <c r="F41" s="19">
        <v>785.84</v>
      </c>
      <c r="G41" s="20">
        <v>7.3099999999999998E-2</v>
      </c>
      <c r="H41" s="21">
        <v>7.1507500000000002E-2</v>
      </c>
      <c r="I41" s="37">
        <v>7.0502605999999995E-2</v>
      </c>
      <c r="J41" s="2"/>
    </row>
    <row r="42" spans="1:10" ht="12.95" customHeight="1">
      <c r="A42" s="16" t="s">
        <v>1448</v>
      </c>
      <c r="B42" s="17" t="s">
        <v>1449</v>
      </c>
      <c r="C42" s="13" t="s">
        <v>1450</v>
      </c>
      <c r="D42" s="13" t="s">
        <v>171</v>
      </c>
      <c r="E42" s="18">
        <v>50</v>
      </c>
      <c r="F42" s="19">
        <v>511.45</v>
      </c>
      <c r="G42" s="20">
        <v>4.7600000000000003E-2</v>
      </c>
      <c r="H42" s="21">
        <v>6.7499000000000003E-2</v>
      </c>
      <c r="I42" s="37"/>
      <c r="J42" s="2"/>
    </row>
    <row r="43" spans="1:10" ht="12.95" customHeight="1">
      <c r="A43" s="16" t="s">
        <v>1048</v>
      </c>
      <c r="B43" s="17" t="s">
        <v>1049</v>
      </c>
      <c r="C43" s="13" t="s">
        <v>1050</v>
      </c>
      <c r="D43" s="13" t="s">
        <v>200</v>
      </c>
      <c r="E43" s="18">
        <v>500000</v>
      </c>
      <c r="F43" s="19">
        <v>509.13</v>
      </c>
      <c r="G43" s="20">
        <v>4.7399999999999998E-2</v>
      </c>
      <c r="H43" s="21"/>
      <c r="I43" s="37"/>
      <c r="J43" s="2"/>
    </row>
    <row r="44" spans="1:10" ht="12.95" customHeight="1">
      <c r="A44" s="16" t="s">
        <v>1057</v>
      </c>
      <c r="B44" s="17" t="s">
        <v>1058</v>
      </c>
      <c r="C44" s="13" t="s">
        <v>1059</v>
      </c>
      <c r="D44" s="13" t="s">
        <v>200</v>
      </c>
      <c r="E44" s="18">
        <v>500000</v>
      </c>
      <c r="F44" s="19">
        <v>486.01</v>
      </c>
      <c r="G44" s="20">
        <v>4.5199999999999997E-2</v>
      </c>
      <c r="H44" s="21">
        <v>6.9682999999999995E-2</v>
      </c>
      <c r="I44" s="37"/>
      <c r="J44" s="2"/>
    </row>
    <row r="45" spans="1:10" ht="12.95" customHeight="1">
      <c r="A45" s="16" t="s">
        <v>1474</v>
      </c>
      <c r="B45" s="17" t="s">
        <v>1475</v>
      </c>
      <c r="C45" s="13" t="s">
        <v>1476</v>
      </c>
      <c r="D45" s="13" t="s">
        <v>132</v>
      </c>
      <c r="E45" s="18">
        <v>40</v>
      </c>
      <c r="F45" s="19">
        <v>448.42</v>
      </c>
      <c r="G45" s="20">
        <v>4.1700000000000001E-2</v>
      </c>
      <c r="H45" s="21">
        <v>6.7597000000000004E-2</v>
      </c>
      <c r="I45" s="37"/>
      <c r="J45" s="2"/>
    </row>
    <row r="46" spans="1:10" ht="12.95" customHeight="1">
      <c r="A46" s="16" t="s">
        <v>1330</v>
      </c>
      <c r="B46" s="17" t="s">
        <v>1331</v>
      </c>
      <c r="C46" s="13" t="s">
        <v>1332</v>
      </c>
      <c r="D46" s="13" t="s">
        <v>132</v>
      </c>
      <c r="E46" s="18">
        <v>40</v>
      </c>
      <c r="F46" s="19">
        <v>423.76</v>
      </c>
      <c r="G46" s="20">
        <v>3.9399999999999998E-2</v>
      </c>
      <c r="H46" s="21">
        <v>6.7100000000000007E-2</v>
      </c>
      <c r="I46" s="37"/>
      <c r="J46" s="2"/>
    </row>
    <row r="47" spans="1:10" ht="12.95" customHeight="1">
      <c r="A47" s="16" t="s">
        <v>1522</v>
      </c>
      <c r="B47" s="17" t="s">
        <v>1523</v>
      </c>
      <c r="C47" s="13" t="s">
        <v>1524</v>
      </c>
      <c r="D47" s="13" t="s">
        <v>132</v>
      </c>
      <c r="E47" s="18">
        <v>20</v>
      </c>
      <c r="F47" s="19">
        <v>211.04</v>
      </c>
      <c r="G47" s="20">
        <v>1.9599999999999999E-2</v>
      </c>
      <c r="H47" s="21">
        <v>6.5549999999999997E-2</v>
      </c>
      <c r="I47" s="37"/>
      <c r="J47" s="2"/>
    </row>
    <row r="48" spans="1:10" ht="12.95" customHeight="1">
      <c r="A48" s="2"/>
      <c r="B48" s="12" t="s">
        <v>172</v>
      </c>
      <c r="C48" s="13"/>
      <c r="D48" s="13"/>
      <c r="E48" s="13"/>
      <c r="F48" s="23">
        <v>4324.72</v>
      </c>
      <c r="G48" s="24">
        <v>0.40229999999999999</v>
      </c>
      <c r="H48" s="25"/>
      <c r="I48" s="26"/>
      <c r="J48" s="2"/>
    </row>
    <row r="49" spans="1:10" ht="12.95" customHeight="1">
      <c r="A49" s="2"/>
      <c r="B49" s="27" t="s">
        <v>173</v>
      </c>
      <c r="C49" s="1"/>
      <c r="D49" s="1"/>
      <c r="E49" s="1"/>
      <c r="F49" s="25" t="s">
        <v>204</v>
      </c>
      <c r="G49" s="25" t="s">
        <v>204</v>
      </c>
      <c r="H49" s="25"/>
      <c r="I49" s="26"/>
      <c r="J49" s="2"/>
    </row>
    <row r="50" spans="1:10" ht="12.95" customHeight="1">
      <c r="A50" s="2"/>
      <c r="B50" s="27" t="s">
        <v>172</v>
      </c>
      <c r="C50" s="1"/>
      <c r="D50" s="1"/>
      <c r="E50" s="1"/>
      <c r="F50" s="25" t="s">
        <v>204</v>
      </c>
      <c r="G50" s="25" t="s">
        <v>204</v>
      </c>
      <c r="H50" s="25"/>
      <c r="I50" s="26"/>
      <c r="J50" s="2"/>
    </row>
    <row r="51" spans="1:10" ht="12.95" customHeight="1">
      <c r="A51" s="2"/>
      <c r="B51" s="27" t="s">
        <v>177</v>
      </c>
      <c r="C51" s="28"/>
      <c r="D51" s="1"/>
      <c r="E51" s="28"/>
      <c r="F51" s="23">
        <v>4324.72</v>
      </c>
      <c r="G51" s="24">
        <v>0.40229999999999999</v>
      </c>
      <c r="H51" s="25"/>
      <c r="I51" s="26"/>
      <c r="J51" s="2"/>
    </row>
    <row r="52" spans="1:10" ht="12.95" customHeight="1">
      <c r="A52" s="2"/>
      <c r="B52" s="12" t="s">
        <v>178</v>
      </c>
      <c r="C52" s="13"/>
      <c r="D52" s="13"/>
      <c r="E52" s="13"/>
      <c r="F52" s="13"/>
      <c r="G52" s="13"/>
      <c r="H52" s="14"/>
      <c r="I52" s="15"/>
      <c r="J52" s="2"/>
    </row>
    <row r="53" spans="1:10" ht="12.95" customHeight="1">
      <c r="A53" s="16" t="s">
        <v>179</v>
      </c>
      <c r="B53" s="17" t="s">
        <v>180</v>
      </c>
      <c r="C53" s="13"/>
      <c r="D53" s="13"/>
      <c r="E53" s="18"/>
      <c r="F53" s="19">
        <v>1972.26</v>
      </c>
      <c r="G53" s="20">
        <v>0.18360000000000001</v>
      </c>
      <c r="H53" s="21">
        <v>3.3045683189988587E-2</v>
      </c>
      <c r="I53" s="37"/>
      <c r="J53" s="2"/>
    </row>
    <row r="54" spans="1:10" ht="12.95" customHeight="1">
      <c r="A54" s="2"/>
      <c r="B54" s="12" t="s">
        <v>172</v>
      </c>
      <c r="C54" s="13"/>
      <c r="D54" s="13"/>
      <c r="E54" s="13"/>
      <c r="F54" s="23">
        <v>1972.26</v>
      </c>
      <c r="G54" s="24">
        <v>0.18360000000000001</v>
      </c>
      <c r="H54" s="25"/>
      <c r="I54" s="26"/>
      <c r="J54" s="2"/>
    </row>
    <row r="55" spans="1:10" ht="12.95" customHeight="1">
      <c r="A55" s="2"/>
      <c r="B55" s="27" t="s">
        <v>173</v>
      </c>
      <c r="C55" s="1"/>
      <c r="D55" s="1"/>
      <c r="E55" s="1"/>
      <c r="F55" s="25" t="s">
        <v>204</v>
      </c>
      <c r="G55" s="25" t="s">
        <v>204</v>
      </c>
      <c r="H55" s="25"/>
      <c r="I55" s="26"/>
      <c r="J55" s="2"/>
    </row>
    <row r="56" spans="1:10" ht="12.95" customHeight="1">
      <c r="A56" s="2"/>
      <c r="B56" s="27" t="s">
        <v>172</v>
      </c>
      <c r="C56" s="1"/>
      <c r="D56" s="1"/>
      <c r="E56" s="1"/>
      <c r="F56" s="25" t="s">
        <v>204</v>
      </c>
      <c r="G56" s="25" t="s">
        <v>204</v>
      </c>
      <c r="H56" s="25"/>
      <c r="I56" s="26"/>
      <c r="J56" s="2"/>
    </row>
    <row r="57" spans="1:10" ht="12.95" customHeight="1">
      <c r="A57" s="2"/>
      <c r="B57" s="27" t="s">
        <v>177</v>
      </c>
      <c r="C57" s="28"/>
      <c r="D57" s="1"/>
      <c r="E57" s="28"/>
      <c r="F57" s="23">
        <v>1972.26</v>
      </c>
      <c r="G57" s="24">
        <v>0.18360000000000001</v>
      </c>
      <c r="H57" s="25"/>
      <c r="I57" s="26"/>
      <c r="J57" s="2"/>
    </row>
    <row r="58" spans="1:10" ht="12.95" customHeight="1">
      <c r="A58" s="2"/>
      <c r="B58" s="27" t="s">
        <v>181</v>
      </c>
      <c r="C58" s="13"/>
      <c r="D58" s="1"/>
      <c r="E58" s="13"/>
      <c r="F58" s="29">
        <v>101.86</v>
      </c>
      <c r="G58" s="24">
        <v>9.7000000000000003E-3</v>
      </c>
      <c r="H58" s="25"/>
      <c r="I58" s="26"/>
      <c r="J58" s="2"/>
    </row>
    <row r="59" spans="1:10" ht="12.95" customHeight="1">
      <c r="A59" s="2"/>
      <c r="B59" s="30" t="s">
        <v>182</v>
      </c>
      <c r="C59" s="31"/>
      <c r="D59" s="31"/>
      <c r="E59" s="31"/>
      <c r="F59" s="32">
        <v>10744.49</v>
      </c>
      <c r="G59" s="33">
        <v>1</v>
      </c>
      <c r="H59" s="34"/>
      <c r="I59" s="35"/>
      <c r="J59" s="2"/>
    </row>
    <row r="60" spans="1:10" ht="12.95" customHeight="1">
      <c r="A60" s="2"/>
      <c r="B60" s="5"/>
      <c r="C60" s="2"/>
      <c r="D60" s="2"/>
      <c r="E60" s="2"/>
      <c r="F60" s="2"/>
      <c r="G60" s="2"/>
      <c r="H60" s="2"/>
      <c r="I60" s="2"/>
      <c r="J60" s="2"/>
    </row>
    <row r="61" spans="1:10" ht="12.95" customHeight="1">
      <c r="A61" s="2"/>
      <c r="B61" s="3" t="s">
        <v>244</v>
      </c>
      <c r="C61" s="2"/>
      <c r="D61" s="2"/>
      <c r="E61" s="2"/>
      <c r="F61" s="2"/>
      <c r="G61" s="2"/>
      <c r="H61" s="2"/>
      <c r="I61" s="2"/>
      <c r="J61" s="2"/>
    </row>
    <row r="62" spans="1:10" ht="12.95" customHeight="1">
      <c r="A62" s="2"/>
      <c r="B62" s="3" t="s">
        <v>184</v>
      </c>
      <c r="C62" s="2"/>
      <c r="D62" s="2"/>
      <c r="E62" s="2"/>
      <c r="F62" s="2"/>
      <c r="G62" s="2"/>
      <c r="H62" s="2"/>
      <c r="I62" s="2"/>
      <c r="J62" s="2"/>
    </row>
    <row r="63" spans="1:10" ht="12.95" customHeight="1">
      <c r="A63" s="2"/>
      <c r="B63" s="3" t="s">
        <v>186</v>
      </c>
      <c r="C63" s="2"/>
      <c r="D63" s="2"/>
      <c r="E63" s="2"/>
      <c r="F63" s="2"/>
      <c r="G63" s="2"/>
      <c r="H63" s="2"/>
      <c r="I63" s="2"/>
      <c r="J63" s="2"/>
    </row>
    <row r="64" spans="1:10" ht="23.25" customHeight="1">
      <c r="A64" s="2"/>
      <c r="B64" s="189" t="s">
        <v>4025</v>
      </c>
      <c r="C64" s="189"/>
      <c r="D64" s="189"/>
      <c r="E64" s="189"/>
      <c r="F64" s="189"/>
      <c r="G64" s="189"/>
      <c r="H64" s="189"/>
      <c r="I64" s="189"/>
      <c r="J64" s="2"/>
    </row>
    <row r="65" spans="1:10" ht="12.95" customHeight="1">
      <c r="A65" s="2"/>
      <c r="B65" s="3"/>
      <c r="C65" s="2"/>
      <c r="D65" s="2"/>
      <c r="E65" s="2"/>
      <c r="F65" s="2"/>
      <c r="G65" s="2"/>
      <c r="H65" s="2"/>
      <c r="I65" s="2"/>
      <c r="J65" s="2"/>
    </row>
    <row r="66" spans="1:10">
      <c r="C66" s="111" t="s">
        <v>3959</v>
      </c>
    </row>
    <row r="67" spans="1:10">
      <c r="B67" s="111" t="s">
        <v>3933</v>
      </c>
      <c r="C67" s="111" t="s">
        <v>3934</v>
      </c>
    </row>
  </sheetData>
  <mergeCells count="2">
    <mergeCell ref="B2:I2"/>
    <mergeCell ref="B64:I64"/>
  </mergeCells>
  <hyperlinks>
    <hyperlink ref="A2" location="Index!A1" display="Index"/>
  </hyperlinks>
  <pageMargins left="0" right="0" top="0" bottom="0" header="0" footer="0"/>
  <pageSetup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0"/>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20.85546875" bestFit="1" customWidth="1"/>
    <col min="7" max="9" width="10.7109375" customWidth="1"/>
    <col min="10" max="10" width="10.85546875" customWidth="1"/>
  </cols>
  <sheetData>
    <row r="1" spans="1:13" ht="15.75" thickBot="1">
      <c r="A1" s="108" t="str">
        <f>M2</f>
        <v>AXISRDP</v>
      </c>
    </row>
    <row r="2" spans="1:13" ht="34.5" customHeight="1" thickBot="1">
      <c r="A2" s="135" t="str">
        <f>M2</f>
        <v>AXISRDP</v>
      </c>
      <c r="B2" s="186" t="s">
        <v>91</v>
      </c>
      <c r="C2" s="187"/>
      <c r="D2" s="187"/>
      <c r="E2" s="187"/>
      <c r="F2" s="187"/>
      <c r="G2" s="187"/>
      <c r="H2" s="187"/>
      <c r="I2" s="188"/>
      <c r="J2" s="2"/>
      <c r="M2" s="108" t="s">
        <v>90</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40199</v>
      </c>
      <c r="F8" s="19">
        <v>3082.5</v>
      </c>
      <c r="G8" s="20">
        <v>0.1027</v>
      </c>
      <c r="H8" s="36"/>
      <c r="I8" s="22"/>
      <c r="J8" s="2"/>
    </row>
    <row r="9" spans="1:13" ht="12.95" customHeight="1">
      <c r="A9" s="16" t="s">
        <v>963</v>
      </c>
      <c r="B9" s="17" t="s">
        <v>964</v>
      </c>
      <c r="C9" s="13" t="s">
        <v>965</v>
      </c>
      <c r="D9" s="13" t="s">
        <v>739</v>
      </c>
      <c r="E9" s="18">
        <v>47803</v>
      </c>
      <c r="F9" s="19">
        <v>3074.4</v>
      </c>
      <c r="G9" s="20">
        <v>0.1024</v>
      </c>
      <c r="H9" s="36"/>
      <c r="I9" s="22"/>
      <c r="J9" s="2"/>
    </row>
    <row r="10" spans="1:13" ht="12.95" customHeight="1">
      <c r="A10" s="16" t="s">
        <v>1726</v>
      </c>
      <c r="B10" s="17" t="s">
        <v>1727</v>
      </c>
      <c r="C10" s="13" t="s">
        <v>1728</v>
      </c>
      <c r="D10" s="13" t="s">
        <v>763</v>
      </c>
      <c r="E10" s="18">
        <v>125179</v>
      </c>
      <c r="F10" s="19">
        <v>2981.7</v>
      </c>
      <c r="G10" s="20">
        <v>9.9299999999999999E-2</v>
      </c>
      <c r="H10" s="36"/>
      <c r="I10" s="22"/>
      <c r="J10" s="2"/>
    </row>
    <row r="11" spans="1:13" ht="12.95" customHeight="1">
      <c r="A11" s="16" t="s">
        <v>764</v>
      </c>
      <c r="B11" s="17" t="s">
        <v>765</v>
      </c>
      <c r="C11" s="13" t="s">
        <v>766</v>
      </c>
      <c r="D11" s="13" t="s">
        <v>767</v>
      </c>
      <c r="E11" s="18">
        <v>23347</v>
      </c>
      <c r="F11" s="19">
        <v>2074.0100000000002</v>
      </c>
      <c r="G11" s="20">
        <v>6.9099999999999995E-2</v>
      </c>
      <c r="H11" s="36"/>
      <c r="I11" s="22"/>
      <c r="J11" s="2"/>
    </row>
    <row r="12" spans="1:13" ht="12.95" customHeight="1">
      <c r="A12" s="16" t="s">
        <v>736</v>
      </c>
      <c r="B12" s="17" t="s">
        <v>737</v>
      </c>
      <c r="C12" s="13" t="s">
        <v>738</v>
      </c>
      <c r="D12" s="13" t="s">
        <v>739</v>
      </c>
      <c r="E12" s="18">
        <v>38578</v>
      </c>
      <c r="F12" s="19">
        <v>1639.64</v>
      </c>
      <c r="G12" s="20">
        <v>5.4600000000000003E-2</v>
      </c>
      <c r="H12" s="36"/>
      <c r="I12" s="22"/>
      <c r="J12" s="2"/>
    </row>
    <row r="13" spans="1:13" ht="12.95" customHeight="1">
      <c r="A13" s="16" t="s">
        <v>873</v>
      </c>
      <c r="B13" s="17" t="s">
        <v>874</v>
      </c>
      <c r="C13" s="13" t="s">
        <v>875</v>
      </c>
      <c r="D13" s="13" t="s">
        <v>789</v>
      </c>
      <c r="E13" s="18">
        <v>8242</v>
      </c>
      <c r="F13" s="19">
        <v>1602.7</v>
      </c>
      <c r="G13" s="20">
        <v>5.3400000000000003E-2</v>
      </c>
      <c r="H13" s="36"/>
      <c r="I13" s="22"/>
      <c r="J13" s="2"/>
    </row>
    <row r="14" spans="1:13" ht="12.95" customHeight="1">
      <c r="A14" s="16" t="s">
        <v>1858</v>
      </c>
      <c r="B14" s="17" t="s">
        <v>1859</v>
      </c>
      <c r="C14" s="13" t="s">
        <v>1860</v>
      </c>
      <c r="D14" s="13" t="s">
        <v>1556</v>
      </c>
      <c r="E14" s="18">
        <v>314990</v>
      </c>
      <c r="F14" s="19">
        <v>1590.86</v>
      </c>
      <c r="G14" s="20">
        <v>5.2999999999999999E-2</v>
      </c>
      <c r="H14" s="36"/>
      <c r="I14" s="22"/>
      <c r="J14" s="2"/>
    </row>
    <row r="15" spans="1:13" ht="12.95" customHeight="1">
      <c r="A15" s="16" t="s">
        <v>728</v>
      </c>
      <c r="B15" s="17" t="s">
        <v>729</v>
      </c>
      <c r="C15" s="13" t="s">
        <v>730</v>
      </c>
      <c r="D15" s="13" t="s">
        <v>731</v>
      </c>
      <c r="E15" s="18">
        <v>36330</v>
      </c>
      <c r="F15" s="19">
        <v>1371.66</v>
      </c>
      <c r="G15" s="20">
        <v>4.5699999999999998E-2</v>
      </c>
      <c r="H15" s="36"/>
      <c r="I15" s="22"/>
      <c r="J15" s="2"/>
    </row>
    <row r="16" spans="1:13" ht="12.95" customHeight="1">
      <c r="A16" s="16" t="s">
        <v>686</v>
      </c>
      <c r="B16" s="17" t="s">
        <v>687</v>
      </c>
      <c r="C16" s="13" t="s">
        <v>688</v>
      </c>
      <c r="D16" s="13" t="s">
        <v>685</v>
      </c>
      <c r="E16" s="18">
        <v>186846</v>
      </c>
      <c r="F16" s="19">
        <v>1309.51</v>
      </c>
      <c r="G16" s="20">
        <v>4.36E-2</v>
      </c>
      <c r="H16" s="36"/>
      <c r="I16" s="22"/>
      <c r="J16" s="2"/>
    </row>
    <row r="17" spans="1:10" ht="12.95" customHeight="1">
      <c r="A17" s="16" t="s">
        <v>692</v>
      </c>
      <c r="B17" s="17" t="s">
        <v>693</v>
      </c>
      <c r="C17" s="13" t="s">
        <v>694</v>
      </c>
      <c r="D17" s="13" t="s">
        <v>685</v>
      </c>
      <c r="E17" s="18">
        <v>64239</v>
      </c>
      <c r="F17" s="19">
        <v>1288.31</v>
      </c>
      <c r="G17" s="20">
        <v>4.2900000000000001E-2</v>
      </c>
      <c r="H17" s="36"/>
      <c r="I17" s="22"/>
      <c r="J17" s="2"/>
    </row>
    <row r="18" spans="1:10" ht="12.95" customHeight="1">
      <c r="A18" s="16" t="s">
        <v>879</v>
      </c>
      <c r="B18" s="17" t="s">
        <v>880</v>
      </c>
      <c r="C18" s="13" t="s">
        <v>881</v>
      </c>
      <c r="D18" s="13" t="s">
        <v>723</v>
      </c>
      <c r="E18" s="18">
        <v>48573</v>
      </c>
      <c r="F18" s="19">
        <v>1190.1099999999999</v>
      </c>
      <c r="G18" s="20">
        <v>3.9600000000000003E-2</v>
      </c>
      <c r="H18" s="36"/>
      <c r="I18" s="22"/>
      <c r="J18" s="2"/>
    </row>
    <row r="19" spans="1:10" ht="12.95" customHeight="1">
      <c r="A19" s="16" t="s">
        <v>682</v>
      </c>
      <c r="B19" s="17" t="s">
        <v>683</v>
      </c>
      <c r="C19" s="13" t="s">
        <v>684</v>
      </c>
      <c r="D19" s="13" t="s">
        <v>685</v>
      </c>
      <c r="E19" s="18">
        <v>70387</v>
      </c>
      <c r="F19" s="19">
        <v>1122.6400000000001</v>
      </c>
      <c r="G19" s="20">
        <v>3.7400000000000003E-2</v>
      </c>
      <c r="H19" s="36"/>
      <c r="I19" s="22"/>
      <c r="J19" s="2"/>
    </row>
    <row r="20" spans="1:10" ht="12.95" customHeight="1">
      <c r="A20" s="16" t="s">
        <v>786</v>
      </c>
      <c r="B20" s="17" t="s">
        <v>787</v>
      </c>
      <c r="C20" s="13" t="s">
        <v>788</v>
      </c>
      <c r="D20" s="13" t="s">
        <v>789</v>
      </c>
      <c r="E20" s="18">
        <v>39472</v>
      </c>
      <c r="F20" s="19">
        <v>1066.45</v>
      </c>
      <c r="G20" s="20">
        <v>3.5499999999999997E-2</v>
      </c>
      <c r="H20" s="36"/>
      <c r="I20" s="22"/>
      <c r="J20" s="2"/>
    </row>
    <row r="21" spans="1:10" ht="12.95" customHeight="1">
      <c r="A21" s="16" t="s">
        <v>724</v>
      </c>
      <c r="B21" s="17" t="s">
        <v>725</v>
      </c>
      <c r="C21" s="13" t="s">
        <v>726</v>
      </c>
      <c r="D21" s="13" t="s">
        <v>727</v>
      </c>
      <c r="E21" s="18">
        <v>42234</v>
      </c>
      <c r="F21" s="19">
        <v>912.42</v>
      </c>
      <c r="G21" s="20">
        <v>3.04E-2</v>
      </c>
      <c r="H21" s="36"/>
      <c r="I21" s="22"/>
      <c r="J21" s="2"/>
    </row>
    <row r="22" spans="1:10" ht="12.95" customHeight="1">
      <c r="A22" s="16" t="s">
        <v>768</v>
      </c>
      <c r="B22" s="17" t="s">
        <v>769</v>
      </c>
      <c r="C22" s="13" t="s">
        <v>770</v>
      </c>
      <c r="D22" s="13" t="s">
        <v>771</v>
      </c>
      <c r="E22" s="18">
        <v>47036</v>
      </c>
      <c r="F22" s="19">
        <v>745.26</v>
      </c>
      <c r="G22" s="20">
        <v>2.4799999999999999E-2</v>
      </c>
      <c r="H22" s="36"/>
      <c r="I22" s="22"/>
      <c r="J22" s="2"/>
    </row>
    <row r="23" spans="1:10" ht="12.95" customHeight="1">
      <c r="A23" s="16" t="s">
        <v>775</v>
      </c>
      <c r="B23" s="17" t="s">
        <v>776</v>
      </c>
      <c r="C23" s="13" t="s">
        <v>777</v>
      </c>
      <c r="D23" s="13" t="s">
        <v>778</v>
      </c>
      <c r="E23" s="18">
        <v>9628</v>
      </c>
      <c r="F23" s="19">
        <v>706.51</v>
      </c>
      <c r="G23" s="20">
        <v>2.35E-2</v>
      </c>
      <c r="H23" s="36"/>
      <c r="I23" s="22"/>
      <c r="J23" s="2"/>
    </row>
    <row r="24" spans="1:10" ht="12.95" customHeight="1">
      <c r="A24" s="16" t="s">
        <v>3164</v>
      </c>
      <c r="B24" s="17" t="s">
        <v>3165</v>
      </c>
      <c r="C24" s="13" t="s">
        <v>3166</v>
      </c>
      <c r="D24" s="13" t="s">
        <v>767</v>
      </c>
      <c r="E24" s="18">
        <v>230414</v>
      </c>
      <c r="F24" s="19">
        <v>594.35</v>
      </c>
      <c r="G24" s="20">
        <v>1.9800000000000002E-2</v>
      </c>
      <c r="H24" s="36"/>
      <c r="I24" s="22"/>
      <c r="J24" s="2"/>
    </row>
    <row r="25" spans="1:10" ht="12.95" customHeight="1">
      <c r="A25" s="16" t="s">
        <v>2528</v>
      </c>
      <c r="B25" s="17" t="s">
        <v>2529</v>
      </c>
      <c r="C25" s="13" t="s">
        <v>2530</v>
      </c>
      <c r="D25" s="13" t="s">
        <v>749</v>
      </c>
      <c r="E25" s="18">
        <v>2890</v>
      </c>
      <c r="F25" s="19">
        <v>592.96</v>
      </c>
      <c r="G25" s="20">
        <v>1.9800000000000002E-2</v>
      </c>
      <c r="H25" s="36"/>
      <c r="I25" s="22"/>
      <c r="J25" s="2"/>
    </row>
    <row r="26" spans="1:10" ht="12.95" customHeight="1">
      <c r="A26" s="16" t="s">
        <v>790</v>
      </c>
      <c r="B26" s="17" t="s">
        <v>791</v>
      </c>
      <c r="C26" s="13" t="s">
        <v>792</v>
      </c>
      <c r="D26" s="13" t="s">
        <v>767</v>
      </c>
      <c r="E26" s="18">
        <v>47690</v>
      </c>
      <c r="F26" s="19">
        <v>510.74</v>
      </c>
      <c r="G26" s="20">
        <v>1.7000000000000001E-2</v>
      </c>
      <c r="H26" s="36"/>
      <c r="I26" s="22"/>
      <c r="J26" s="2"/>
    </row>
    <row r="27" spans="1:10" ht="12.95" customHeight="1">
      <c r="A27" s="2"/>
      <c r="B27" s="12" t="s">
        <v>172</v>
      </c>
      <c r="C27" s="13"/>
      <c r="D27" s="13"/>
      <c r="E27" s="13"/>
      <c r="F27" s="23">
        <v>27456.73</v>
      </c>
      <c r="G27" s="24">
        <v>0.91449999999999998</v>
      </c>
      <c r="H27" s="25"/>
      <c r="I27" s="26"/>
      <c r="J27" s="2"/>
    </row>
    <row r="28" spans="1:10" ht="12.95" customHeight="1">
      <c r="A28" s="2"/>
      <c r="B28" s="27" t="s">
        <v>719</v>
      </c>
      <c r="C28" s="1"/>
      <c r="D28" s="1"/>
      <c r="E28" s="1"/>
      <c r="F28" s="25" t="s">
        <v>204</v>
      </c>
      <c r="G28" s="25" t="s">
        <v>204</v>
      </c>
      <c r="H28" s="25"/>
      <c r="I28" s="26"/>
      <c r="J28" s="2"/>
    </row>
    <row r="29" spans="1:10" ht="12.95" customHeight="1">
      <c r="A29" s="2"/>
      <c r="B29" s="27" t="s">
        <v>172</v>
      </c>
      <c r="C29" s="1"/>
      <c r="D29" s="1"/>
      <c r="E29" s="1"/>
      <c r="F29" s="25" t="s">
        <v>204</v>
      </c>
      <c r="G29" s="25" t="s">
        <v>204</v>
      </c>
      <c r="H29" s="25"/>
      <c r="I29" s="26"/>
      <c r="J29" s="2"/>
    </row>
    <row r="30" spans="1:10" ht="12.95" customHeight="1">
      <c r="A30" s="2"/>
      <c r="B30" s="27" t="s">
        <v>177</v>
      </c>
      <c r="C30" s="28"/>
      <c r="D30" s="1"/>
      <c r="E30" s="28"/>
      <c r="F30" s="23">
        <v>27456.73</v>
      </c>
      <c r="G30" s="24">
        <v>0.91449999999999998</v>
      </c>
      <c r="H30" s="25"/>
      <c r="I30" s="26"/>
      <c r="J30" s="2"/>
    </row>
    <row r="31" spans="1:10" ht="12.95" customHeight="1">
      <c r="A31" s="2"/>
      <c r="B31" s="12" t="s">
        <v>860</v>
      </c>
      <c r="C31" s="13"/>
      <c r="D31" s="13"/>
      <c r="E31" s="13"/>
      <c r="F31" s="13"/>
      <c r="G31" s="13"/>
      <c r="H31" s="14"/>
      <c r="I31" s="15"/>
      <c r="J31" s="2"/>
    </row>
    <row r="32" spans="1:10" ht="12.95" customHeight="1">
      <c r="A32" s="2"/>
      <c r="B32" s="12" t="s">
        <v>861</v>
      </c>
      <c r="C32" s="13"/>
      <c r="D32" s="13"/>
      <c r="E32" s="13"/>
      <c r="F32" s="2"/>
      <c r="G32" s="14"/>
      <c r="H32" s="14"/>
      <c r="I32" s="15"/>
      <c r="J32" s="2"/>
    </row>
    <row r="33" spans="1:10" ht="12.95" customHeight="1">
      <c r="A33" s="16" t="s">
        <v>3194</v>
      </c>
      <c r="B33" s="17" t="s">
        <v>3195</v>
      </c>
      <c r="C33" s="13"/>
      <c r="D33" s="13"/>
      <c r="E33" s="18">
        <v>20000</v>
      </c>
      <c r="F33" s="19">
        <v>48.04</v>
      </c>
      <c r="G33" s="20">
        <v>1.6000000000000001E-3</v>
      </c>
      <c r="H33" s="36"/>
      <c r="I33" s="22"/>
      <c r="J33" s="2"/>
    </row>
    <row r="34" spans="1:10" ht="12.95" customHeight="1">
      <c r="A34" s="16" t="s">
        <v>3196</v>
      </c>
      <c r="B34" s="17" t="s">
        <v>3197</v>
      </c>
      <c r="C34" s="13"/>
      <c r="D34" s="13"/>
      <c r="E34" s="18">
        <v>20000</v>
      </c>
      <c r="F34" s="19">
        <v>4.72</v>
      </c>
      <c r="G34" s="20">
        <v>2.0000000000000001E-4</v>
      </c>
      <c r="H34" s="36"/>
      <c r="I34" s="22"/>
      <c r="J34" s="2"/>
    </row>
    <row r="35" spans="1:10" ht="12.95" customHeight="1">
      <c r="A35" s="2"/>
      <c r="B35" s="12" t="s">
        <v>172</v>
      </c>
      <c r="C35" s="13"/>
      <c r="D35" s="13"/>
      <c r="E35" s="13"/>
      <c r="F35" s="23">
        <v>52.76</v>
      </c>
      <c r="G35" s="24">
        <v>1.8E-3</v>
      </c>
      <c r="H35" s="25"/>
      <c r="I35" s="26"/>
      <c r="J35" s="2"/>
    </row>
    <row r="36" spans="1:10" ht="12.95" customHeight="1">
      <c r="A36" s="2"/>
      <c r="B36" s="27" t="s">
        <v>177</v>
      </c>
      <c r="C36" s="28"/>
      <c r="D36" s="1"/>
      <c r="E36" s="28"/>
      <c r="F36" s="23">
        <v>52.76</v>
      </c>
      <c r="G36" s="24">
        <v>1.8E-3</v>
      </c>
      <c r="H36" s="25"/>
      <c r="I36" s="26"/>
      <c r="J36" s="2"/>
    </row>
    <row r="37" spans="1:10" ht="12.95" customHeight="1">
      <c r="A37" s="2"/>
      <c r="B37" s="12" t="s">
        <v>127</v>
      </c>
      <c r="C37" s="13"/>
      <c r="D37" s="13"/>
      <c r="E37" s="13"/>
      <c r="F37" s="13"/>
      <c r="G37" s="13"/>
      <c r="H37" s="14"/>
      <c r="I37" s="15"/>
      <c r="J37" s="2"/>
    </row>
    <row r="38" spans="1:10" ht="12.95" customHeight="1">
      <c r="A38" s="2"/>
      <c r="B38" s="12" t="s">
        <v>128</v>
      </c>
      <c r="C38" s="13"/>
      <c r="D38" s="13"/>
      <c r="E38" s="13"/>
      <c r="F38" s="2"/>
      <c r="G38" s="14"/>
      <c r="H38" s="14"/>
      <c r="I38" s="15"/>
      <c r="J38" s="2"/>
    </row>
    <row r="39" spans="1:10" ht="12.95" customHeight="1">
      <c r="A39" s="16" t="s">
        <v>3185</v>
      </c>
      <c r="B39" s="17" t="s">
        <v>3186</v>
      </c>
      <c r="C39" s="13" t="s">
        <v>3187</v>
      </c>
      <c r="D39" s="13" t="s">
        <v>196</v>
      </c>
      <c r="E39" s="18">
        <v>50</v>
      </c>
      <c r="F39" s="19">
        <v>523.89</v>
      </c>
      <c r="G39" s="20">
        <v>1.7399999999999999E-2</v>
      </c>
      <c r="H39" s="21">
        <v>7.1507500000000002E-2</v>
      </c>
      <c r="I39" s="37">
        <v>7.0502605999999995E-2</v>
      </c>
      <c r="J39" s="2"/>
    </row>
    <row r="40" spans="1:10" ht="12.95" customHeight="1">
      <c r="A40" s="16" t="s">
        <v>3188</v>
      </c>
      <c r="B40" s="17" t="s">
        <v>3189</v>
      </c>
      <c r="C40" s="13" t="s">
        <v>3190</v>
      </c>
      <c r="D40" s="13" t="s">
        <v>196</v>
      </c>
      <c r="E40" s="18">
        <v>50</v>
      </c>
      <c r="F40" s="19">
        <v>520.39</v>
      </c>
      <c r="G40" s="20">
        <v>1.7299999999999999E-2</v>
      </c>
      <c r="H40" s="21">
        <v>7.1640499999999996E-2</v>
      </c>
      <c r="I40" s="37">
        <v>7.0599332000000001E-2</v>
      </c>
      <c r="J40" s="2"/>
    </row>
    <row r="41" spans="1:10" ht="12.95" customHeight="1">
      <c r="A41" s="2"/>
      <c r="B41" s="12" t="s">
        <v>172</v>
      </c>
      <c r="C41" s="13"/>
      <c r="D41" s="13"/>
      <c r="E41" s="13"/>
      <c r="F41" s="23">
        <v>1044.28</v>
      </c>
      <c r="G41" s="24">
        <v>3.4700000000000002E-2</v>
      </c>
      <c r="H41" s="25"/>
      <c r="I41" s="26"/>
      <c r="J41" s="2"/>
    </row>
    <row r="42" spans="1:10" ht="12.95" customHeight="1">
      <c r="A42" s="2"/>
      <c r="B42" s="27" t="s">
        <v>173</v>
      </c>
      <c r="C42" s="1"/>
      <c r="D42" s="1"/>
      <c r="E42" s="1"/>
      <c r="F42" s="25" t="s">
        <v>204</v>
      </c>
      <c r="G42" s="25" t="s">
        <v>204</v>
      </c>
      <c r="H42" s="25"/>
      <c r="I42" s="26"/>
      <c r="J42" s="2"/>
    </row>
    <row r="43" spans="1:10" ht="12.95" customHeight="1">
      <c r="A43" s="2"/>
      <c r="B43" s="27" t="s">
        <v>172</v>
      </c>
      <c r="C43" s="1"/>
      <c r="D43" s="1"/>
      <c r="E43" s="1"/>
      <c r="F43" s="25" t="s">
        <v>204</v>
      </c>
      <c r="G43" s="25" t="s">
        <v>204</v>
      </c>
      <c r="H43" s="25"/>
      <c r="I43" s="26"/>
      <c r="J43" s="2"/>
    </row>
    <row r="44" spans="1:10" ht="12.95" customHeight="1">
      <c r="A44" s="2"/>
      <c r="B44" s="27" t="s">
        <v>177</v>
      </c>
      <c r="C44" s="28"/>
      <c r="D44" s="1"/>
      <c r="E44" s="28"/>
      <c r="F44" s="23">
        <v>1044.28</v>
      </c>
      <c r="G44" s="24">
        <v>3.4700000000000002E-2</v>
      </c>
      <c r="H44" s="25"/>
      <c r="I44" s="26"/>
      <c r="J44" s="2"/>
    </row>
    <row r="45" spans="1:10" ht="12.95" customHeight="1">
      <c r="A45" s="2"/>
      <c r="B45" s="12" t="s">
        <v>178</v>
      </c>
      <c r="C45" s="13"/>
      <c r="D45" s="13"/>
      <c r="E45" s="13"/>
      <c r="F45" s="13"/>
      <c r="G45" s="13"/>
      <c r="H45" s="14"/>
      <c r="I45" s="15"/>
      <c r="J45" s="2"/>
    </row>
    <row r="46" spans="1:10" ht="12.95" customHeight="1">
      <c r="A46" s="16" t="s">
        <v>179</v>
      </c>
      <c r="B46" s="17" t="s">
        <v>180</v>
      </c>
      <c r="C46" s="13"/>
      <c r="D46" s="13"/>
      <c r="E46" s="18"/>
      <c r="F46" s="19">
        <v>1322.5</v>
      </c>
      <c r="G46" s="20">
        <v>4.41E-2</v>
      </c>
      <c r="H46" s="21">
        <v>3.3047345733283003E-2</v>
      </c>
      <c r="I46" s="37"/>
      <c r="J46" s="2"/>
    </row>
    <row r="47" spans="1:10" ht="12.95" customHeight="1">
      <c r="A47" s="2"/>
      <c r="B47" s="12" t="s">
        <v>172</v>
      </c>
      <c r="C47" s="13"/>
      <c r="D47" s="13"/>
      <c r="E47" s="13"/>
      <c r="F47" s="23">
        <v>1322.5</v>
      </c>
      <c r="G47" s="24">
        <v>4.41E-2</v>
      </c>
      <c r="H47" s="25"/>
      <c r="I47" s="26"/>
      <c r="J47" s="2"/>
    </row>
    <row r="48" spans="1:10" ht="12.95" customHeight="1">
      <c r="A48" s="2"/>
      <c r="B48" s="27" t="s">
        <v>173</v>
      </c>
      <c r="C48" s="1"/>
      <c r="D48" s="1"/>
      <c r="E48" s="1"/>
      <c r="F48" s="25" t="s">
        <v>204</v>
      </c>
      <c r="G48" s="25" t="s">
        <v>204</v>
      </c>
      <c r="H48" s="25"/>
      <c r="I48" s="26"/>
      <c r="J48" s="2"/>
    </row>
    <row r="49" spans="1:10" ht="12.95" customHeight="1">
      <c r="A49" s="2"/>
      <c r="B49" s="27" t="s">
        <v>172</v>
      </c>
      <c r="C49" s="1"/>
      <c r="D49" s="1"/>
      <c r="E49" s="1"/>
      <c r="F49" s="25" t="s">
        <v>204</v>
      </c>
      <c r="G49" s="25" t="s">
        <v>204</v>
      </c>
      <c r="H49" s="25"/>
      <c r="I49" s="26"/>
      <c r="J49" s="2"/>
    </row>
    <row r="50" spans="1:10" ht="12.95" customHeight="1">
      <c r="A50" s="2"/>
      <c r="B50" s="27" t="s">
        <v>177</v>
      </c>
      <c r="C50" s="28"/>
      <c r="D50" s="1"/>
      <c r="E50" s="28"/>
      <c r="F50" s="23">
        <v>1322.5</v>
      </c>
      <c r="G50" s="24">
        <v>4.41E-2</v>
      </c>
      <c r="H50" s="25"/>
      <c r="I50" s="26"/>
      <c r="J50" s="2"/>
    </row>
    <row r="51" spans="1:10" ht="12.95" customHeight="1">
      <c r="A51" s="2"/>
      <c r="B51" s="27" t="s">
        <v>181</v>
      </c>
      <c r="C51" s="13"/>
      <c r="D51" s="1"/>
      <c r="E51" s="13"/>
      <c r="F51" s="29">
        <v>146.41999999999999</v>
      </c>
      <c r="G51" s="24">
        <v>4.8999999999999998E-3</v>
      </c>
      <c r="H51" s="25"/>
      <c r="I51" s="26"/>
      <c r="J51" s="2"/>
    </row>
    <row r="52" spans="1:10" ht="12.95" customHeight="1">
      <c r="A52" s="2"/>
      <c r="B52" s="30" t="s">
        <v>182</v>
      </c>
      <c r="C52" s="31"/>
      <c r="D52" s="31"/>
      <c r="E52" s="31"/>
      <c r="F52" s="32">
        <v>30022.69</v>
      </c>
      <c r="G52" s="33">
        <v>1</v>
      </c>
      <c r="H52" s="34"/>
      <c r="I52" s="35"/>
      <c r="J52" s="2"/>
    </row>
    <row r="53" spans="1:10" ht="12.95" customHeight="1">
      <c r="A53" s="2"/>
      <c r="B53" s="5"/>
      <c r="C53" s="2"/>
      <c r="D53" s="2"/>
      <c r="E53" s="2"/>
      <c r="F53" s="2"/>
      <c r="G53" s="2"/>
      <c r="H53" s="2"/>
      <c r="I53" s="2"/>
      <c r="J53" s="2"/>
    </row>
    <row r="54" spans="1:10" ht="12.95" customHeight="1">
      <c r="A54" s="2"/>
      <c r="B54" s="3" t="s">
        <v>244</v>
      </c>
      <c r="C54" s="2"/>
      <c r="D54" s="2"/>
      <c r="E54" s="2"/>
      <c r="F54" s="2"/>
      <c r="G54" s="2"/>
      <c r="H54" s="2"/>
      <c r="I54" s="2"/>
      <c r="J54" s="2"/>
    </row>
    <row r="55" spans="1:10" ht="12.95" customHeight="1">
      <c r="A55" s="2"/>
      <c r="B55" s="3" t="s">
        <v>184</v>
      </c>
      <c r="C55" s="2"/>
      <c r="D55" s="2"/>
      <c r="E55" s="2"/>
      <c r="F55" s="2"/>
      <c r="G55" s="2"/>
      <c r="H55" s="2"/>
      <c r="I55" s="2"/>
      <c r="J55" s="2"/>
    </row>
    <row r="56" spans="1:10" ht="12.95" customHeight="1">
      <c r="A56" s="2"/>
      <c r="B56" s="3" t="s">
        <v>186</v>
      </c>
      <c r="C56" s="2"/>
      <c r="D56" s="2"/>
      <c r="E56" s="2"/>
      <c r="F56" s="2"/>
      <c r="G56" s="2"/>
      <c r="H56" s="2"/>
      <c r="I56" s="2"/>
      <c r="J56" s="2"/>
    </row>
    <row r="57" spans="1:10" ht="23.25" customHeight="1">
      <c r="A57" s="2"/>
      <c r="B57" s="189" t="s">
        <v>4025</v>
      </c>
      <c r="C57" s="189"/>
      <c r="D57" s="189"/>
      <c r="E57" s="189"/>
      <c r="F57" s="189"/>
      <c r="G57" s="189"/>
      <c r="H57" s="189"/>
      <c r="I57" s="189"/>
      <c r="J57" s="2"/>
    </row>
    <row r="58" spans="1:10" ht="12.95" customHeight="1">
      <c r="A58" s="2"/>
      <c r="B58" s="3"/>
      <c r="C58" s="2"/>
      <c r="D58" s="2"/>
      <c r="E58" s="2"/>
      <c r="F58" s="2"/>
      <c r="G58" s="2"/>
      <c r="H58" s="2"/>
      <c r="I58" s="2"/>
      <c r="J58" s="2"/>
    </row>
    <row r="59" spans="1:10">
      <c r="C59" s="111" t="s">
        <v>3941</v>
      </c>
    </row>
    <row r="60" spans="1:10">
      <c r="B60" s="111" t="s">
        <v>3933</v>
      </c>
      <c r="C60" s="111" t="s">
        <v>3934</v>
      </c>
    </row>
  </sheetData>
  <mergeCells count="2">
    <mergeCell ref="B2:I2"/>
    <mergeCell ref="B57:I57"/>
  </mergeCells>
  <hyperlinks>
    <hyperlink ref="A2" location="Index!A1" display="Index"/>
  </hyperlinks>
  <pageMargins left="0" right="0" top="0" bottom="0" header="0" footer="0"/>
  <pageSetup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
  <sheetViews>
    <sheetView workbookViewId="0"/>
  </sheetViews>
  <sheetFormatPr defaultRowHeight="15"/>
  <cols>
    <col min="1" max="1" width="3.28515625" customWidth="1"/>
    <col min="2" max="2" width="69.140625" customWidth="1"/>
    <col min="3" max="3" width="18.7109375" bestFit="1" customWidth="1"/>
    <col min="4" max="4" width="22.7109375" bestFit="1" customWidth="1"/>
    <col min="5" max="5" width="25.7109375" customWidth="1"/>
    <col min="6" max="6" width="15.28515625" bestFit="1" customWidth="1"/>
    <col min="7" max="9" width="10.7109375" customWidth="1"/>
    <col min="10" max="10" width="10.85546875" customWidth="1"/>
  </cols>
  <sheetData>
    <row r="1" spans="1:13" ht="15.75" thickBot="1">
      <c r="A1" s="108" t="str">
        <f>M2</f>
        <v>AXISS95</v>
      </c>
    </row>
    <row r="2" spans="1:13" ht="34.5" customHeight="1" thickBot="1">
      <c r="A2" s="135" t="str">
        <f>M2</f>
        <v>AXISS95</v>
      </c>
      <c r="B2" s="186" t="s">
        <v>93</v>
      </c>
      <c r="C2" s="187"/>
      <c r="D2" s="187"/>
      <c r="E2" s="187"/>
      <c r="F2" s="187"/>
      <c r="G2" s="187"/>
      <c r="H2" s="187"/>
      <c r="I2" s="188"/>
      <c r="J2" s="2"/>
      <c r="M2" s="108" t="s">
        <v>92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5</v>
      </c>
    </row>
    <row r="6" spans="1:13" ht="12.95" customHeight="1">
      <c r="A6" s="2"/>
      <c r="B6" s="12" t="s">
        <v>178</v>
      </c>
      <c r="C6" s="13"/>
      <c r="D6" s="13"/>
      <c r="E6" s="13"/>
      <c r="F6" s="13"/>
      <c r="G6" s="13"/>
      <c r="H6" s="14"/>
      <c r="I6" s="15"/>
      <c r="J6" s="2"/>
    </row>
    <row r="7" spans="1:13" ht="12.95" customHeight="1">
      <c r="A7" s="16" t="s">
        <v>179</v>
      </c>
      <c r="B7" s="17" t="s">
        <v>180</v>
      </c>
      <c r="C7" s="13"/>
      <c r="D7" s="13"/>
      <c r="E7" s="41"/>
      <c r="F7" s="19">
        <v>11562.26</v>
      </c>
      <c r="G7" s="20">
        <v>0.99539999999999995</v>
      </c>
      <c r="H7" s="21">
        <v>3.304638177334452E-2</v>
      </c>
      <c r="I7" s="22"/>
      <c r="J7" s="2"/>
    </row>
    <row r="8" spans="1:13" ht="12.95" customHeight="1">
      <c r="A8" s="2"/>
      <c r="B8" s="12" t="s">
        <v>172</v>
      </c>
      <c r="C8" s="13"/>
      <c r="D8" s="13"/>
      <c r="E8" s="13"/>
      <c r="F8" s="23">
        <v>11562.26</v>
      </c>
      <c r="G8" s="24">
        <v>0.99539999999999995</v>
      </c>
      <c r="H8" s="25"/>
      <c r="I8" s="26"/>
      <c r="J8" s="2"/>
    </row>
    <row r="9" spans="1:13" ht="12.95" customHeight="1">
      <c r="A9" s="2"/>
      <c r="B9" s="27" t="s">
        <v>177</v>
      </c>
      <c r="C9" s="28"/>
      <c r="D9" s="1"/>
      <c r="E9" s="28"/>
      <c r="F9" s="23">
        <v>11562.26</v>
      </c>
      <c r="G9" s="24">
        <v>0.99539999999999995</v>
      </c>
      <c r="H9" s="25"/>
      <c r="I9" s="26"/>
      <c r="J9" s="2"/>
    </row>
    <row r="10" spans="1:13" ht="12.95" customHeight="1">
      <c r="A10" s="2"/>
      <c r="B10" s="27" t="s">
        <v>181</v>
      </c>
      <c r="C10" s="13"/>
      <c r="D10" s="1"/>
      <c r="E10" s="13"/>
      <c r="F10" s="107">
        <v>53.85</v>
      </c>
      <c r="G10" s="24">
        <v>4.5999999999999999E-3</v>
      </c>
      <c r="H10" s="25"/>
      <c r="I10" s="26"/>
      <c r="J10" s="2"/>
    </row>
    <row r="11" spans="1:13" ht="12.95" customHeight="1">
      <c r="A11" s="2"/>
      <c r="B11" s="30" t="s">
        <v>182</v>
      </c>
      <c r="C11" s="31"/>
      <c r="D11" s="31"/>
      <c r="E11" s="31"/>
      <c r="F11" s="32">
        <v>11616.11</v>
      </c>
      <c r="G11" s="33">
        <v>1</v>
      </c>
      <c r="H11" s="34"/>
      <c r="I11" s="35"/>
      <c r="J11" s="2"/>
    </row>
    <row r="12" spans="1:13" ht="12.95" customHeight="1">
      <c r="A12" s="2"/>
      <c r="B12" s="5"/>
      <c r="C12" s="2"/>
      <c r="D12" s="2"/>
      <c r="E12" s="2"/>
      <c r="F12" s="2"/>
      <c r="G12" s="2"/>
      <c r="H12" s="2"/>
      <c r="I12" s="2"/>
      <c r="J12" s="2"/>
    </row>
    <row r="13" spans="1:13" ht="12.95" customHeight="1">
      <c r="A13" s="2"/>
      <c r="B13" s="3" t="s">
        <v>244</v>
      </c>
      <c r="C13" s="2"/>
      <c r="D13" s="2"/>
      <c r="E13" s="2"/>
      <c r="F13" s="2"/>
      <c r="G13" s="2"/>
      <c r="H13" s="2"/>
      <c r="I13" s="2"/>
      <c r="J13" s="2"/>
    </row>
    <row r="14" spans="1:13" ht="12.95" customHeight="1">
      <c r="A14" s="2"/>
      <c r="B14" s="3" t="s">
        <v>186</v>
      </c>
      <c r="C14" s="2"/>
      <c r="D14" s="2"/>
      <c r="E14" s="2"/>
      <c r="F14" s="2"/>
      <c r="G14" s="2"/>
      <c r="H14" s="2"/>
      <c r="I14" s="2"/>
      <c r="J14" s="2"/>
    </row>
    <row r="15" spans="1:13" ht="23.25" customHeight="1">
      <c r="A15" s="2"/>
      <c r="B15" s="189" t="s">
        <v>4025</v>
      </c>
      <c r="C15" s="189"/>
      <c r="D15" s="189"/>
      <c r="E15" s="189"/>
      <c r="F15" s="189"/>
      <c r="G15" s="189"/>
      <c r="H15" s="189"/>
      <c r="I15" s="189"/>
      <c r="J15" s="2"/>
    </row>
    <row r="16" spans="1:13" ht="12.95" customHeight="1">
      <c r="A16" s="2"/>
      <c r="B16" s="3"/>
      <c r="C16" s="2"/>
      <c r="D16" s="2"/>
      <c r="E16" s="2"/>
      <c r="F16" s="2"/>
      <c r="G16" s="2"/>
      <c r="H16" s="2"/>
      <c r="I16" s="2"/>
      <c r="J16" s="2"/>
    </row>
    <row r="17" spans="2:3">
      <c r="C17" s="111" t="s">
        <v>3969</v>
      </c>
    </row>
    <row r="18" spans="2:3">
      <c r="B18" s="111" t="s">
        <v>3933</v>
      </c>
      <c r="C18" s="111" t="s">
        <v>3934</v>
      </c>
    </row>
  </sheetData>
  <mergeCells count="2">
    <mergeCell ref="B2:I2"/>
    <mergeCell ref="B15:I15"/>
  </mergeCells>
  <hyperlinks>
    <hyperlink ref="A2" location="Index!A1" display="Index"/>
  </hyperlinks>
  <pageMargins left="0" right="0" top="0" bottom="0" header="0" footer="0"/>
  <pageSetup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15.28515625" bestFit="1" customWidth="1"/>
    <col min="7" max="9" width="10.7109375" customWidth="1"/>
    <col min="10" max="10" width="10.85546875" customWidth="1"/>
  </cols>
  <sheetData>
    <row r="1" spans="1:13" ht="15.75" thickBot="1">
      <c r="A1" s="108" t="str">
        <f>M2</f>
        <v>AXISS96</v>
      </c>
    </row>
    <row r="2" spans="1:13" ht="34.5" customHeight="1" thickBot="1">
      <c r="A2" s="135" t="str">
        <f>M2</f>
        <v>AXISS96</v>
      </c>
      <c r="B2" s="186" t="s">
        <v>95</v>
      </c>
      <c r="C2" s="187"/>
      <c r="D2" s="187"/>
      <c r="E2" s="187"/>
      <c r="F2" s="187"/>
      <c r="G2" s="187"/>
      <c r="H2" s="187"/>
      <c r="I2" s="188"/>
      <c r="J2" s="2"/>
      <c r="M2" s="108" t="s">
        <v>94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5</v>
      </c>
    </row>
    <row r="6" spans="1:13" ht="12.95" customHeight="1">
      <c r="A6" s="2"/>
      <c r="B6" s="12" t="s">
        <v>178</v>
      </c>
      <c r="C6" s="13"/>
      <c r="D6" s="13"/>
      <c r="E6" s="13"/>
      <c r="F6" s="13"/>
      <c r="G6" s="13"/>
      <c r="H6" s="14"/>
      <c r="I6" s="15"/>
      <c r="J6" s="2"/>
    </row>
    <row r="7" spans="1:13" ht="12.95" customHeight="1">
      <c r="A7" s="16" t="s">
        <v>179</v>
      </c>
      <c r="B7" s="17" t="s">
        <v>180</v>
      </c>
      <c r="C7" s="13"/>
      <c r="D7" s="13"/>
      <c r="E7" s="41"/>
      <c r="F7" s="19">
        <v>5430.32</v>
      </c>
      <c r="G7" s="20">
        <v>0.99519999999999997</v>
      </c>
      <c r="H7" s="21">
        <v>3.3046006760217024E-2</v>
      </c>
      <c r="I7" s="22"/>
      <c r="J7" s="2"/>
    </row>
    <row r="8" spans="1:13" ht="12.95" customHeight="1">
      <c r="A8" s="2"/>
      <c r="B8" s="12" t="s">
        <v>172</v>
      </c>
      <c r="C8" s="13"/>
      <c r="D8" s="13"/>
      <c r="E8" s="13"/>
      <c r="F8" s="23">
        <v>5430.32</v>
      </c>
      <c r="G8" s="24">
        <v>0.99519999999999997</v>
      </c>
      <c r="H8" s="25"/>
      <c r="I8" s="26"/>
      <c r="J8" s="2"/>
    </row>
    <row r="9" spans="1:13" ht="12.95" customHeight="1">
      <c r="A9" s="2"/>
      <c r="B9" s="27" t="s">
        <v>177</v>
      </c>
      <c r="C9" s="28"/>
      <c r="D9" s="1"/>
      <c r="E9" s="28"/>
      <c r="F9" s="23">
        <v>5430.32</v>
      </c>
      <c r="G9" s="24">
        <v>0.99519999999999997</v>
      </c>
      <c r="H9" s="25"/>
      <c r="I9" s="26"/>
      <c r="J9" s="2"/>
    </row>
    <row r="10" spans="1:13" ht="12.95" customHeight="1">
      <c r="A10" s="2"/>
      <c r="B10" s="27" t="s">
        <v>181</v>
      </c>
      <c r="C10" s="13"/>
      <c r="D10" s="1"/>
      <c r="E10" s="13"/>
      <c r="F10" s="105">
        <f>ROUND((F11-F9),2)</f>
        <v>26.2</v>
      </c>
      <c r="G10" s="24">
        <v>4.7999999999999996E-3</v>
      </c>
      <c r="H10" s="25"/>
      <c r="I10" s="26"/>
      <c r="J10" s="2"/>
    </row>
    <row r="11" spans="1:13" ht="12.95" customHeight="1">
      <c r="A11" s="2"/>
      <c r="B11" s="30" t="s">
        <v>182</v>
      </c>
      <c r="C11" s="31"/>
      <c r="D11" s="31"/>
      <c r="E11" s="31"/>
      <c r="F11" s="32">
        <v>5456.52</v>
      </c>
      <c r="G11" s="33">
        <v>1</v>
      </c>
      <c r="H11" s="34"/>
      <c r="I11" s="35"/>
      <c r="J11" s="2"/>
    </row>
    <row r="12" spans="1:13" ht="12.95" customHeight="1">
      <c r="A12" s="2"/>
      <c r="B12" s="5"/>
      <c r="C12" s="2"/>
      <c r="D12" s="2"/>
      <c r="E12" s="2"/>
      <c r="F12" s="2"/>
      <c r="G12" s="2"/>
      <c r="H12" s="2"/>
      <c r="I12" s="2"/>
      <c r="J12" s="2"/>
    </row>
    <row r="13" spans="1:13" ht="12.95" customHeight="1">
      <c r="A13" s="2"/>
      <c r="B13" s="3" t="s">
        <v>244</v>
      </c>
      <c r="C13" s="2"/>
      <c r="D13" s="2"/>
      <c r="E13" s="2"/>
      <c r="F13" s="2"/>
      <c r="G13" s="2"/>
      <c r="H13" s="2"/>
      <c r="I13" s="2"/>
      <c r="J13" s="2"/>
    </row>
    <row r="14" spans="1:13" ht="12.95" customHeight="1">
      <c r="A14" s="2"/>
      <c r="B14" s="3" t="s">
        <v>186</v>
      </c>
      <c r="C14" s="2"/>
      <c r="D14" s="2"/>
      <c r="E14" s="2"/>
      <c r="F14" s="2"/>
      <c r="G14" s="2"/>
      <c r="H14" s="2"/>
      <c r="I14" s="2"/>
      <c r="J14" s="2"/>
    </row>
    <row r="15" spans="1:13" ht="23.25" customHeight="1">
      <c r="A15" s="2"/>
      <c r="B15" s="189" t="s">
        <v>4025</v>
      </c>
      <c r="C15" s="189"/>
      <c r="D15" s="189"/>
      <c r="E15" s="189"/>
      <c r="F15" s="189"/>
      <c r="G15" s="189"/>
      <c r="H15" s="189"/>
      <c r="I15" s="189"/>
      <c r="J15" s="2"/>
    </row>
    <row r="16" spans="1:13" ht="12.95" customHeight="1">
      <c r="A16" s="2"/>
      <c r="B16" s="3"/>
      <c r="C16" s="2"/>
      <c r="D16" s="2"/>
      <c r="E16" s="2"/>
      <c r="F16" s="2"/>
      <c r="G16" s="2"/>
      <c r="H16" s="2"/>
      <c r="I16" s="2"/>
      <c r="J16" s="2"/>
    </row>
    <row r="17" spans="2:3">
      <c r="C17" s="111" t="s">
        <v>3935</v>
      </c>
    </row>
    <row r="18" spans="2:3">
      <c r="B18" s="111" t="s">
        <v>3933</v>
      </c>
      <c r="C18" s="111" t="s">
        <v>3934</v>
      </c>
    </row>
  </sheetData>
  <mergeCells count="2">
    <mergeCell ref="B2:I2"/>
    <mergeCell ref="B15:I15"/>
  </mergeCells>
  <hyperlinks>
    <hyperlink ref="A2" location="Index!A1" display="Index"/>
  </hyperlinks>
  <pageMargins left="0" right="0" top="0" bottom="0" header="0" footer="0"/>
  <pageSetup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
  <sheetViews>
    <sheetView workbookViewId="0"/>
  </sheetViews>
  <sheetFormatPr defaultRowHeight="15"/>
  <cols>
    <col min="1" max="1" width="3.28515625" customWidth="1"/>
    <col min="2" max="2" width="69.140625" customWidth="1"/>
    <col min="3" max="3" width="18.7109375" bestFit="1" customWidth="1"/>
    <col min="4" max="4" width="22.7109375" bestFit="1" customWidth="1"/>
    <col min="5" max="5" width="25.7109375" customWidth="1"/>
    <col min="6" max="6" width="25" customWidth="1"/>
    <col min="7" max="9" width="10.7109375" customWidth="1"/>
    <col min="10" max="10" width="10.85546875" customWidth="1"/>
  </cols>
  <sheetData>
    <row r="1" spans="1:13" ht="15.75" thickBot="1">
      <c r="A1" s="108" t="str">
        <f>M2</f>
        <v>AXISS97</v>
      </c>
    </row>
    <row r="2" spans="1:13" ht="34.5" customHeight="1" thickBot="1">
      <c r="A2" s="135" t="str">
        <f>M2</f>
        <v>AXISS97</v>
      </c>
      <c r="B2" s="186" t="s">
        <v>97</v>
      </c>
      <c r="C2" s="187"/>
      <c r="D2" s="187"/>
      <c r="E2" s="187"/>
      <c r="F2" s="187"/>
      <c r="G2" s="187"/>
      <c r="H2" s="187"/>
      <c r="I2" s="188"/>
      <c r="J2" s="2"/>
      <c r="M2" s="108" t="s">
        <v>96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5</v>
      </c>
    </row>
    <row r="6" spans="1:13" ht="12.95" customHeight="1">
      <c r="A6" s="2"/>
      <c r="B6" s="12" t="s">
        <v>178</v>
      </c>
      <c r="C6" s="13"/>
      <c r="D6" s="13"/>
      <c r="E6" s="13"/>
      <c r="F6" s="13"/>
      <c r="G6" s="13"/>
      <c r="H6" s="14"/>
      <c r="I6" s="15"/>
      <c r="J6" s="2"/>
    </row>
    <row r="7" spans="1:13" ht="12.95" customHeight="1">
      <c r="A7" s="16" t="s">
        <v>179</v>
      </c>
      <c r="B7" s="17" t="s">
        <v>180</v>
      </c>
      <c r="C7" s="13"/>
      <c r="D7" s="13"/>
      <c r="E7" s="41"/>
      <c r="F7" s="19">
        <v>40802.25</v>
      </c>
      <c r="G7" s="20">
        <v>0.99529999999999996</v>
      </c>
      <c r="H7" s="21">
        <v>3.3046290553705913E-2</v>
      </c>
      <c r="I7" s="22"/>
      <c r="J7" s="2"/>
    </row>
    <row r="8" spans="1:13" ht="12.95" customHeight="1">
      <c r="A8" s="2"/>
      <c r="B8" s="12" t="s">
        <v>172</v>
      </c>
      <c r="C8" s="13"/>
      <c r="D8" s="13"/>
      <c r="E8" s="13"/>
      <c r="F8" s="23">
        <v>40802.25</v>
      </c>
      <c r="G8" s="24">
        <v>0.99529999999999996</v>
      </c>
      <c r="H8" s="25"/>
      <c r="I8" s="26"/>
      <c r="J8" s="2"/>
    </row>
    <row r="9" spans="1:13" ht="12.95" customHeight="1">
      <c r="A9" s="2"/>
      <c r="B9" s="27" t="s">
        <v>177</v>
      </c>
      <c r="C9" s="28"/>
      <c r="D9" s="1"/>
      <c r="E9" s="28"/>
      <c r="F9" s="23">
        <v>40802.25</v>
      </c>
      <c r="G9" s="24">
        <v>0.99529999999999996</v>
      </c>
      <c r="H9" s="25"/>
      <c r="I9" s="26"/>
      <c r="J9" s="2"/>
    </row>
    <row r="10" spans="1:13" ht="12.95" customHeight="1">
      <c r="A10" s="2"/>
      <c r="B10" s="27" t="s">
        <v>181</v>
      </c>
      <c r="C10" s="13"/>
      <c r="D10" s="1"/>
      <c r="E10" s="13"/>
      <c r="F10" s="105">
        <f>ROUND((F11-F9),2)</f>
        <v>193.44</v>
      </c>
      <c r="G10" s="24">
        <v>4.7000000000000002E-3</v>
      </c>
      <c r="H10" s="25"/>
      <c r="I10" s="26"/>
      <c r="J10" s="2"/>
    </row>
    <row r="11" spans="1:13" ht="12.95" customHeight="1">
      <c r="A11" s="2"/>
      <c r="B11" s="30" t="s">
        <v>182</v>
      </c>
      <c r="C11" s="31"/>
      <c r="D11" s="31"/>
      <c r="E11" s="31"/>
      <c r="F11" s="32">
        <v>40995.69</v>
      </c>
      <c r="G11" s="33">
        <v>1</v>
      </c>
      <c r="H11" s="34"/>
      <c r="I11" s="35"/>
      <c r="J11" s="2"/>
    </row>
    <row r="12" spans="1:13" ht="12.95" customHeight="1">
      <c r="A12" s="2"/>
      <c r="B12" s="5"/>
      <c r="C12" s="2"/>
      <c r="D12" s="2"/>
      <c r="E12" s="2"/>
      <c r="F12" s="2"/>
      <c r="G12" s="2"/>
      <c r="H12" s="2"/>
      <c r="I12" s="2"/>
      <c r="J12" s="2"/>
    </row>
    <row r="13" spans="1:13" ht="12.95" customHeight="1">
      <c r="A13" s="2"/>
      <c r="B13" s="3" t="s">
        <v>244</v>
      </c>
      <c r="C13" s="2"/>
      <c r="D13" s="2"/>
      <c r="E13" s="2"/>
      <c r="F13" s="2"/>
      <c r="G13" s="2"/>
      <c r="H13" s="2"/>
      <c r="I13" s="2"/>
      <c r="J13" s="2"/>
    </row>
    <row r="14" spans="1:13" ht="12.95" customHeight="1">
      <c r="A14" s="2"/>
      <c r="B14" s="3" t="s">
        <v>186</v>
      </c>
      <c r="C14" s="2"/>
      <c r="D14" s="2"/>
      <c r="E14" s="2"/>
      <c r="F14" s="2"/>
      <c r="G14" s="2"/>
      <c r="H14" s="2"/>
      <c r="I14" s="2"/>
      <c r="J14" s="2"/>
    </row>
    <row r="15" spans="1:13" ht="23.25" customHeight="1">
      <c r="A15" s="2"/>
      <c r="B15" s="189" t="s">
        <v>4025</v>
      </c>
      <c r="C15" s="189"/>
      <c r="D15" s="189"/>
      <c r="E15" s="189"/>
      <c r="F15" s="189"/>
      <c r="G15" s="189"/>
      <c r="H15" s="189"/>
      <c r="I15" s="189"/>
      <c r="J15" s="2"/>
    </row>
    <row r="16" spans="1:13" ht="12.95" customHeight="1">
      <c r="A16" s="2"/>
      <c r="B16" s="3"/>
      <c r="C16" s="2"/>
      <c r="D16" s="2"/>
      <c r="E16" s="2"/>
      <c r="F16" s="2"/>
      <c r="G16" s="2"/>
      <c r="H16" s="2"/>
      <c r="I16" s="2"/>
      <c r="J16" s="2"/>
    </row>
    <row r="17" spans="2:3">
      <c r="C17" s="111" t="s">
        <v>3935</v>
      </c>
    </row>
    <row r="18" spans="2:3">
      <c r="B18" s="111" t="s">
        <v>3933</v>
      </c>
      <c r="C18" s="111" t="s">
        <v>3934</v>
      </c>
    </row>
  </sheetData>
  <mergeCells count="2">
    <mergeCell ref="B2:I2"/>
    <mergeCell ref="B15:I15"/>
  </mergeCells>
  <hyperlinks>
    <hyperlink ref="A2" location="Index!A1" display="Index"/>
  </hyperlinks>
  <pageMargins left="0" right="0" top="0" bottom="0" header="0" footer="0"/>
  <pageSetup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82"/>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10.85546875" customWidth="1"/>
  </cols>
  <sheetData>
    <row r="1" spans="1:13" ht="15.75" thickBot="1">
      <c r="A1" s="108" t="str">
        <f>M2</f>
        <v>AXISSCF</v>
      </c>
    </row>
    <row r="2" spans="1:13" ht="34.5" customHeight="1" thickBot="1">
      <c r="A2" s="135" t="str">
        <f>M2</f>
        <v>AXISSCF</v>
      </c>
      <c r="B2" s="186" t="s">
        <v>99</v>
      </c>
      <c r="C2" s="187"/>
      <c r="D2" s="187"/>
      <c r="E2" s="187"/>
      <c r="F2" s="187"/>
      <c r="G2" s="187"/>
      <c r="H2" s="187"/>
      <c r="I2" s="188"/>
      <c r="J2" s="2"/>
      <c r="M2" s="108" t="s">
        <v>98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2425</v>
      </c>
      <c r="B8" s="17" t="s">
        <v>2426</v>
      </c>
      <c r="C8" s="13" t="s">
        <v>2427</v>
      </c>
      <c r="D8" s="13" t="s">
        <v>731</v>
      </c>
      <c r="E8" s="18">
        <v>730044</v>
      </c>
      <c r="F8" s="19">
        <v>40839.03</v>
      </c>
      <c r="G8" s="20">
        <v>5.5899999999999998E-2</v>
      </c>
      <c r="H8" s="36"/>
      <c r="I8" s="22"/>
      <c r="J8" s="2"/>
    </row>
    <row r="9" spans="1:13" ht="12.95" customHeight="1">
      <c r="A9" s="16" t="s">
        <v>882</v>
      </c>
      <c r="B9" s="17" t="s">
        <v>883</v>
      </c>
      <c r="C9" s="13" t="s">
        <v>884</v>
      </c>
      <c r="D9" s="13" t="s">
        <v>763</v>
      </c>
      <c r="E9" s="18">
        <v>1176120</v>
      </c>
      <c r="F9" s="19">
        <v>38730.81</v>
      </c>
      <c r="G9" s="20">
        <v>5.2999999999999999E-2</v>
      </c>
      <c r="H9" s="36"/>
      <c r="I9" s="22"/>
      <c r="J9" s="2"/>
    </row>
    <row r="10" spans="1:13" ht="12.95" customHeight="1">
      <c r="A10" s="16" t="s">
        <v>1029</v>
      </c>
      <c r="B10" s="17" t="s">
        <v>1030</v>
      </c>
      <c r="C10" s="13" t="s">
        <v>1031</v>
      </c>
      <c r="D10" s="13" t="s">
        <v>1032</v>
      </c>
      <c r="E10" s="18">
        <v>7281054</v>
      </c>
      <c r="F10" s="19">
        <v>29852.32</v>
      </c>
      <c r="G10" s="20">
        <v>4.0899999999999999E-2</v>
      </c>
      <c r="H10" s="36"/>
      <c r="I10" s="22"/>
      <c r="J10" s="2"/>
    </row>
    <row r="11" spans="1:13" ht="12.95" customHeight="1">
      <c r="A11" s="16" t="s">
        <v>885</v>
      </c>
      <c r="B11" s="17" t="s">
        <v>886</v>
      </c>
      <c r="C11" s="13" t="s">
        <v>887</v>
      </c>
      <c r="D11" s="13" t="s">
        <v>782</v>
      </c>
      <c r="E11" s="18">
        <v>4273826</v>
      </c>
      <c r="F11" s="19">
        <v>26407.97</v>
      </c>
      <c r="G11" s="20">
        <v>3.6200000000000003E-2</v>
      </c>
      <c r="H11" s="36"/>
      <c r="I11" s="22"/>
      <c r="J11" s="2"/>
    </row>
    <row r="12" spans="1:13" ht="12.95" customHeight="1">
      <c r="A12" s="16" t="s">
        <v>933</v>
      </c>
      <c r="B12" s="17" t="s">
        <v>934</v>
      </c>
      <c r="C12" s="13" t="s">
        <v>935</v>
      </c>
      <c r="D12" s="13" t="s">
        <v>789</v>
      </c>
      <c r="E12" s="18">
        <v>6492411</v>
      </c>
      <c r="F12" s="19">
        <v>24966.57</v>
      </c>
      <c r="G12" s="20">
        <v>3.4200000000000001E-2</v>
      </c>
      <c r="H12" s="36"/>
      <c r="I12" s="22"/>
      <c r="J12" s="2"/>
    </row>
    <row r="13" spans="1:13" ht="12.95" customHeight="1">
      <c r="A13" s="16" t="s">
        <v>2979</v>
      </c>
      <c r="B13" s="17" t="s">
        <v>2980</v>
      </c>
      <c r="C13" s="13" t="s">
        <v>2981</v>
      </c>
      <c r="D13" s="13" t="s">
        <v>910</v>
      </c>
      <c r="E13" s="18">
        <v>4952045</v>
      </c>
      <c r="F13" s="19">
        <v>24874.12</v>
      </c>
      <c r="G13" s="20">
        <v>3.4099999999999998E-2</v>
      </c>
      <c r="H13" s="36"/>
      <c r="I13" s="22"/>
      <c r="J13" s="2"/>
    </row>
    <row r="14" spans="1:13" ht="12.95" customHeight="1">
      <c r="A14" s="16" t="s">
        <v>3198</v>
      </c>
      <c r="B14" s="17" t="s">
        <v>3199</v>
      </c>
      <c r="C14" s="13" t="s">
        <v>3200</v>
      </c>
      <c r="D14" s="13" t="s">
        <v>763</v>
      </c>
      <c r="E14" s="18">
        <v>749659</v>
      </c>
      <c r="F14" s="19">
        <v>23056.89</v>
      </c>
      <c r="G14" s="20">
        <v>3.1600000000000003E-2</v>
      </c>
      <c r="H14" s="36"/>
      <c r="I14" s="22"/>
      <c r="J14" s="2"/>
    </row>
    <row r="15" spans="1:13" ht="12.95" customHeight="1">
      <c r="A15" s="16" t="s">
        <v>857</v>
      </c>
      <c r="B15" s="17" t="s">
        <v>858</v>
      </c>
      <c r="C15" s="13" t="s">
        <v>859</v>
      </c>
      <c r="D15" s="13" t="s">
        <v>763</v>
      </c>
      <c r="E15" s="18">
        <v>3593473</v>
      </c>
      <c r="F15" s="19">
        <v>22008.23</v>
      </c>
      <c r="G15" s="20">
        <v>3.0099999999999998E-2</v>
      </c>
      <c r="H15" s="36"/>
      <c r="I15" s="22"/>
      <c r="J15" s="2"/>
    </row>
    <row r="16" spans="1:13" ht="12.95" customHeight="1">
      <c r="A16" s="16" t="s">
        <v>3201</v>
      </c>
      <c r="B16" s="17" t="s">
        <v>3202</v>
      </c>
      <c r="C16" s="13" t="s">
        <v>3203</v>
      </c>
      <c r="D16" s="13" t="s">
        <v>1032</v>
      </c>
      <c r="E16" s="18">
        <v>5416911</v>
      </c>
      <c r="F16" s="19">
        <v>20738.64</v>
      </c>
      <c r="G16" s="20">
        <v>2.8400000000000002E-2</v>
      </c>
      <c r="H16" s="36"/>
      <c r="I16" s="22"/>
      <c r="J16" s="2"/>
    </row>
    <row r="17" spans="1:10" ht="12.95" customHeight="1">
      <c r="A17" s="16" t="s">
        <v>907</v>
      </c>
      <c r="B17" s="17" t="s">
        <v>908</v>
      </c>
      <c r="C17" s="13" t="s">
        <v>909</v>
      </c>
      <c r="D17" s="13" t="s">
        <v>910</v>
      </c>
      <c r="E17" s="18">
        <v>1667175</v>
      </c>
      <c r="F17" s="19">
        <v>20361.21</v>
      </c>
      <c r="G17" s="20">
        <v>2.7900000000000001E-2</v>
      </c>
      <c r="H17" s="36"/>
      <c r="I17" s="22"/>
      <c r="J17" s="2"/>
    </row>
    <row r="18" spans="1:10" ht="12.95" customHeight="1">
      <c r="A18" s="16" t="s">
        <v>894</v>
      </c>
      <c r="B18" s="17" t="s">
        <v>895</v>
      </c>
      <c r="C18" s="13" t="s">
        <v>896</v>
      </c>
      <c r="D18" s="13" t="s">
        <v>731</v>
      </c>
      <c r="E18" s="18">
        <v>388087</v>
      </c>
      <c r="F18" s="19">
        <v>20340.8</v>
      </c>
      <c r="G18" s="20">
        <v>2.7900000000000001E-2</v>
      </c>
      <c r="H18" s="36"/>
      <c r="I18" s="22"/>
      <c r="J18" s="2"/>
    </row>
    <row r="19" spans="1:10" ht="12.95" customHeight="1">
      <c r="A19" s="16" t="s">
        <v>3204</v>
      </c>
      <c r="B19" s="17" t="s">
        <v>3205</v>
      </c>
      <c r="C19" s="13" t="s">
        <v>3206</v>
      </c>
      <c r="D19" s="13" t="s">
        <v>731</v>
      </c>
      <c r="E19" s="18">
        <v>4747863</v>
      </c>
      <c r="F19" s="19">
        <v>19449.62</v>
      </c>
      <c r="G19" s="20">
        <v>2.6599999999999999E-2</v>
      </c>
      <c r="H19" s="36"/>
      <c r="I19" s="22"/>
      <c r="J19" s="2"/>
    </row>
    <row r="20" spans="1:10" ht="12.95" customHeight="1">
      <c r="A20" s="16" t="s">
        <v>1795</v>
      </c>
      <c r="B20" s="17" t="s">
        <v>1796</v>
      </c>
      <c r="C20" s="13" t="s">
        <v>1797</v>
      </c>
      <c r="D20" s="13" t="s">
        <v>723</v>
      </c>
      <c r="E20" s="18">
        <v>2692513</v>
      </c>
      <c r="F20" s="19">
        <v>18492.18</v>
      </c>
      <c r="G20" s="20">
        <v>2.53E-2</v>
      </c>
      <c r="H20" s="36"/>
      <c r="I20" s="22"/>
      <c r="J20" s="2"/>
    </row>
    <row r="21" spans="1:10" ht="12.95" customHeight="1">
      <c r="A21" s="16" t="s">
        <v>2036</v>
      </c>
      <c r="B21" s="17" t="s">
        <v>2037</v>
      </c>
      <c r="C21" s="13" t="s">
        <v>2038</v>
      </c>
      <c r="D21" s="13" t="s">
        <v>727</v>
      </c>
      <c r="E21" s="18">
        <v>1089833</v>
      </c>
      <c r="F21" s="19">
        <v>14959.59</v>
      </c>
      <c r="G21" s="20">
        <v>2.0500000000000001E-2</v>
      </c>
      <c r="H21" s="36"/>
      <c r="I21" s="22"/>
      <c r="J21" s="2"/>
    </row>
    <row r="22" spans="1:10" ht="12.95" customHeight="1">
      <c r="A22" s="16" t="s">
        <v>3207</v>
      </c>
      <c r="B22" s="17" t="s">
        <v>3208</v>
      </c>
      <c r="C22" s="13" t="s">
        <v>3209</v>
      </c>
      <c r="D22" s="13" t="s">
        <v>767</v>
      </c>
      <c r="E22" s="18">
        <v>4423650</v>
      </c>
      <c r="F22" s="19">
        <v>14679.88</v>
      </c>
      <c r="G22" s="20">
        <v>2.01E-2</v>
      </c>
      <c r="H22" s="36"/>
      <c r="I22" s="22"/>
      <c r="J22" s="2"/>
    </row>
    <row r="23" spans="1:10" ht="12.95" customHeight="1">
      <c r="A23" s="16" t="s">
        <v>2944</v>
      </c>
      <c r="B23" s="17" t="s">
        <v>2945</v>
      </c>
      <c r="C23" s="13" t="s">
        <v>2946</v>
      </c>
      <c r="D23" s="13" t="s">
        <v>782</v>
      </c>
      <c r="E23" s="18">
        <v>456245</v>
      </c>
      <c r="F23" s="19">
        <v>14178.95</v>
      </c>
      <c r="G23" s="20">
        <v>1.9400000000000001E-2</v>
      </c>
      <c r="H23" s="36"/>
      <c r="I23" s="22"/>
      <c r="J23" s="2"/>
    </row>
    <row r="24" spans="1:10" ht="12.95" customHeight="1">
      <c r="A24" s="16" t="s">
        <v>3210</v>
      </c>
      <c r="B24" s="17" t="s">
        <v>3211</v>
      </c>
      <c r="C24" s="13" t="s">
        <v>3212</v>
      </c>
      <c r="D24" s="13" t="s">
        <v>727</v>
      </c>
      <c r="E24" s="18">
        <v>3981516</v>
      </c>
      <c r="F24" s="19">
        <v>14126.42</v>
      </c>
      <c r="G24" s="20">
        <v>1.9300000000000001E-2</v>
      </c>
      <c r="H24" s="36"/>
      <c r="I24" s="22"/>
      <c r="J24" s="2"/>
    </row>
    <row r="25" spans="1:10" ht="12.95" customHeight="1">
      <c r="A25" s="16" t="s">
        <v>3213</v>
      </c>
      <c r="B25" s="17" t="s">
        <v>3214</v>
      </c>
      <c r="C25" s="13" t="s">
        <v>3215</v>
      </c>
      <c r="D25" s="13" t="s">
        <v>1032</v>
      </c>
      <c r="E25" s="18">
        <v>3934915</v>
      </c>
      <c r="F25" s="19">
        <v>13984.69</v>
      </c>
      <c r="G25" s="20">
        <v>1.9099999999999999E-2</v>
      </c>
      <c r="H25" s="36"/>
      <c r="I25" s="22"/>
      <c r="J25" s="2"/>
    </row>
    <row r="26" spans="1:10" ht="12.95" customHeight="1">
      <c r="A26" s="16" t="s">
        <v>917</v>
      </c>
      <c r="B26" s="17" t="s">
        <v>918</v>
      </c>
      <c r="C26" s="13" t="s">
        <v>919</v>
      </c>
      <c r="D26" s="13" t="s">
        <v>731</v>
      </c>
      <c r="E26" s="18">
        <v>358486</v>
      </c>
      <c r="F26" s="19">
        <v>13322.42</v>
      </c>
      <c r="G26" s="20">
        <v>1.8200000000000001E-2</v>
      </c>
      <c r="H26" s="36"/>
      <c r="I26" s="22"/>
      <c r="J26" s="2"/>
    </row>
    <row r="27" spans="1:10" ht="12.95" customHeight="1">
      <c r="A27" s="16" t="s">
        <v>3216</v>
      </c>
      <c r="B27" s="17" t="s">
        <v>3217</v>
      </c>
      <c r="C27" s="13" t="s">
        <v>3218</v>
      </c>
      <c r="D27" s="13" t="s">
        <v>767</v>
      </c>
      <c r="E27" s="18">
        <v>1442634</v>
      </c>
      <c r="F27" s="19">
        <v>13131.58</v>
      </c>
      <c r="G27" s="20">
        <v>1.7999999999999999E-2</v>
      </c>
      <c r="H27" s="36"/>
      <c r="I27" s="22"/>
      <c r="J27" s="2"/>
    </row>
    <row r="28" spans="1:10" ht="12.95" customHeight="1">
      <c r="A28" s="16" t="s">
        <v>1019</v>
      </c>
      <c r="B28" s="17" t="s">
        <v>1020</v>
      </c>
      <c r="C28" s="13" t="s">
        <v>1021</v>
      </c>
      <c r="D28" s="13" t="s">
        <v>763</v>
      </c>
      <c r="E28" s="18">
        <v>1023823</v>
      </c>
      <c r="F28" s="19">
        <v>12680.56</v>
      </c>
      <c r="G28" s="20">
        <v>1.7399999999999999E-2</v>
      </c>
      <c r="H28" s="36"/>
      <c r="I28" s="22"/>
      <c r="J28" s="2"/>
    </row>
    <row r="29" spans="1:10" ht="12.95" customHeight="1">
      <c r="A29" s="16" t="s">
        <v>936</v>
      </c>
      <c r="B29" s="17" t="s">
        <v>937</v>
      </c>
      <c r="C29" s="13" t="s">
        <v>938</v>
      </c>
      <c r="D29" s="13" t="s">
        <v>727</v>
      </c>
      <c r="E29" s="18">
        <v>5206479</v>
      </c>
      <c r="F29" s="19">
        <v>12295.1</v>
      </c>
      <c r="G29" s="20">
        <v>1.6799999999999999E-2</v>
      </c>
      <c r="H29" s="36"/>
      <c r="I29" s="22"/>
      <c r="J29" s="2"/>
    </row>
    <row r="30" spans="1:10" ht="12.95" customHeight="1">
      <c r="A30" s="16" t="s">
        <v>1036</v>
      </c>
      <c r="B30" s="17" t="s">
        <v>1037</v>
      </c>
      <c r="C30" s="13" t="s">
        <v>1038</v>
      </c>
      <c r="D30" s="13" t="s">
        <v>763</v>
      </c>
      <c r="E30" s="18">
        <v>1777020</v>
      </c>
      <c r="F30" s="19">
        <v>11695.46</v>
      </c>
      <c r="G30" s="20">
        <v>1.6E-2</v>
      </c>
      <c r="H30" s="36"/>
      <c r="I30" s="22"/>
      <c r="J30" s="2"/>
    </row>
    <row r="31" spans="1:10" ht="12.95" customHeight="1">
      <c r="A31" s="16" t="s">
        <v>927</v>
      </c>
      <c r="B31" s="17" t="s">
        <v>928</v>
      </c>
      <c r="C31" s="13" t="s">
        <v>929</v>
      </c>
      <c r="D31" s="13" t="s">
        <v>685</v>
      </c>
      <c r="E31" s="18">
        <v>7170168</v>
      </c>
      <c r="F31" s="19">
        <v>11303.77</v>
      </c>
      <c r="G31" s="20">
        <v>1.55E-2</v>
      </c>
      <c r="H31" s="36"/>
      <c r="I31" s="22"/>
      <c r="J31" s="2"/>
    </row>
    <row r="32" spans="1:10" ht="12.95" customHeight="1">
      <c r="A32" s="16" t="s">
        <v>3219</v>
      </c>
      <c r="B32" s="17" t="s">
        <v>3220</v>
      </c>
      <c r="C32" s="13" t="s">
        <v>3221</v>
      </c>
      <c r="D32" s="13" t="s">
        <v>1032</v>
      </c>
      <c r="E32" s="18">
        <v>3873356</v>
      </c>
      <c r="F32" s="19">
        <v>11106.85</v>
      </c>
      <c r="G32" s="20">
        <v>1.52E-2</v>
      </c>
      <c r="H32" s="36"/>
      <c r="I32" s="22"/>
      <c r="J32" s="2"/>
    </row>
    <row r="33" spans="1:10" ht="12.95" customHeight="1">
      <c r="A33" s="16" t="s">
        <v>824</v>
      </c>
      <c r="B33" s="17" t="s">
        <v>825</v>
      </c>
      <c r="C33" s="13" t="s">
        <v>826</v>
      </c>
      <c r="D33" s="13" t="s">
        <v>763</v>
      </c>
      <c r="E33" s="18">
        <v>1126060</v>
      </c>
      <c r="F33" s="19">
        <v>10470.67</v>
      </c>
      <c r="G33" s="20">
        <v>1.43E-2</v>
      </c>
      <c r="H33" s="36"/>
      <c r="I33" s="22"/>
      <c r="J33" s="2"/>
    </row>
    <row r="34" spans="1:10" ht="12.95" customHeight="1">
      <c r="A34" s="16" t="s">
        <v>920</v>
      </c>
      <c r="B34" s="17" t="s">
        <v>921</v>
      </c>
      <c r="C34" s="13" t="s">
        <v>922</v>
      </c>
      <c r="D34" s="13" t="s">
        <v>923</v>
      </c>
      <c r="E34" s="18">
        <v>1589158</v>
      </c>
      <c r="F34" s="19">
        <v>10370.85</v>
      </c>
      <c r="G34" s="20">
        <v>1.4200000000000001E-2</v>
      </c>
      <c r="H34" s="36"/>
      <c r="I34" s="22"/>
      <c r="J34" s="2"/>
    </row>
    <row r="35" spans="1:10" ht="12.95" customHeight="1">
      <c r="A35" s="16" t="s">
        <v>3222</v>
      </c>
      <c r="B35" s="17" t="s">
        <v>3223</v>
      </c>
      <c r="C35" s="13" t="s">
        <v>3224</v>
      </c>
      <c r="D35" s="13" t="s">
        <v>723</v>
      </c>
      <c r="E35" s="18">
        <v>1216254</v>
      </c>
      <c r="F35" s="19">
        <v>9486.7800000000007</v>
      </c>
      <c r="G35" s="20">
        <v>1.2999999999999999E-2</v>
      </c>
      <c r="H35" s="36"/>
      <c r="I35" s="22"/>
      <c r="J35" s="2"/>
    </row>
    <row r="36" spans="1:10" ht="12.95" customHeight="1">
      <c r="A36" s="16" t="s">
        <v>3146</v>
      </c>
      <c r="B36" s="17" t="s">
        <v>3147</v>
      </c>
      <c r="C36" s="13" t="s">
        <v>3148</v>
      </c>
      <c r="D36" s="13" t="s">
        <v>731</v>
      </c>
      <c r="E36" s="18">
        <v>2600000</v>
      </c>
      <c r="F36" s="19">
        <v>8885.5</v>
      </c>
      <c r="G36" s="20">
        <v>1.2200000000000001E-2</v>
      </c>
      <c r="H36" s="36"/>
      <c r="I36" s="22"/>
      <c r="J36" s="2"/>
    </row>
    <row r="37" spans="1:10" ht="12.95" customHeight="1">
      <c r="A37" s="16" t="s">
        <v>1544</v>
      </c>
      <c r="B37" s="17" t="s">
        <v>1545</v>
      </c>
      <c r="C37" s="13" t="s">
        <v>1546</v>
      </c>
      <c r="D37" s="13" t="s">
        <v>771</v>
      </c>
      <c r="E37" s="18">
        <v>813562</v>
      </c>
      <c r="F37" s="19">
        <v>8603.42</v>
      </c>
      <c r="G37" s="20">
        <v>1.18E-2</v>
      </c>
      <c r="H37" s="36"/>
      <c r="I37" s="22"/>
      <c r="J37" s="2"/>
    </row>
    <row r="38" spans="1:10" ht="12.95" customHeight="1">
      <c r="A38" s="16" t="s">
        <v>914</v>
      </c>
      <c r="B38" s="17" t="s">
        <v>915</v>
      </c>
      <c r="C38" s="13" t="s">
        <v>916</v>
      </c>
      <c r="D38" s="13" t="s">
        <v>731</v>
      </c>
      <c r="E38" s="18">
        <v>201250</v>
      </c>
      <c r="F38" s="19">
        <v>8452.7000000000007</v>
      </c>
      <c r="G38" s="20">
        <v>1.1599999999999999E-2</v>
      </c>
      <c r="H38" s="36"/>
      <c r="I38" s="22"/>
      <c r="J38" s="2"/>
    </row>
    <row r="39" spans="1:10" ht="12.95" customHeight="1">
      <c r="A39" s="16" t="s">
        <v>3225</v>
      </c>
      <c r="B39" s="17" t="s">
        <v>3226</v>
      </c>
      <c r="C39" s="13" t="s">
        <v>3227</v>
      </c>
      <c r="D39" s="13" t="s">
        <v>727</v>
      </c>
      <c r="E39" s="18">
        <v>690702</v>
      </c>
      <c r="F39" s="19">
        <v>8451.43</v>
      </c>
      <c r="G39" s="20">
        <v>1.1599999999999999E-2</v>
      </c>
      <c r="H39" s="36"/>
      <c r="I39" s="22"/>
      <c r="J39" s="2"/>
    </row>
    <row r="40" spans="1:10" ht="12.95" customHeight="1">
      <c r="A40" s="16" t="s">
        <v>876</v>
      </c>
      <c r="B40" s="17" t="s">
        <v>877</v>
      </c>
      <c r="C40" s="13" t="s">
        <v>878</v>
      </c>
      <c r="D40" s="13" t="s">
        <v>763</v>
      </c>
      <c r="E40" s="18">
        <v>74242</v>
      </c>
      <c r="F40" s="19">
        <v>8373.83</v>
      </c>
      <c r="G40" s="20">
        <v>1.15E-2</v>
      </c>
      <c r="H40" s="36"/>
      <c r="I40" s="22"/>
      <c r="J40" s="2"/>
    </row>
    <row r="41" spans="1:10" ht="12.95" customHeight="1">
      <c r="A41" s="16" t="s">
        <v>3228</v>
      </c>
      <c r="B41" s="17" t="s">
        <v>3229</v>
      </c>
      <c r="C41" s="13" t="s">
        <v>3230</v>
      </c>
      <c r="D41" s="13" t="s">
        <v>771</v>
      </c>
      <c r="E41" s="18">
        <v>1016459</v>
      </c>
      <c r="F41" s="19">
        <v>7772.35</v>
      </c>
      <c r="G41" s="20">
        <v>1.06E-2</v>
      </c>
      <c r="H41" s="36"/>
      <c r="I41" s="22"/>
      <c r="J41" s="2"/>
    </row>
    <row r="42" spans="1:10" ht="12.95" customHeight="1">
      <c r="A42" s="16" t="s">
        <v>3231</v>
      </c>
      <c r="B42" s="17" t="s">
        <v>3232</v>
      </c>
      <c r="C42" s="13" t="s">
        <v>3233</v>
      </c>
      <c r="D42" s="13" t="s">
        <v>782</v>
      </c>
      <c r="E42" s="18">
        <v>2953180</v>
      </c>
      <c r="F42" s="19">
        <v>7583.77</v>
      </c>
      <c r="G42" s="20">
        <v>1.04E-2</v>
      </c>
      <c r="H42" s="36"/>
      <c r="I42" s="22"/>
      <c r="J42" s="2"/>
    </row>
    <row r="43" spans="1:10" ht="12.95" customHeight="1">
      <c r="A43" s="16" t="s">
        <v>3234</v>
      </c>
      <c r="B43" s="17" t="s">
        <v>3235</v>
      </c>
      <c r="C43" s="13" t="s">
        <v>3236</v>
      </c>
      <c r="D43" s="13" t="s">
        <v>723</v>
      </c>
      <c r="E43" s="18">
        <v>7349962</v>
      </c>
      <c r="F43" s="19">
        <v>6802.39</v>
      </c>
      <c r="G43" s="20">
        <v>9.2999999999999992E-3</v>
      </c>
      <c r="H43" s="36"/>
      <c r="I43" s="22"/>
      <c r="J43" s="2"/>
    </row>
    <row r="44" spans="1:10" ht="12.95" customHeight="1">
      <c r="A44" s="16" t="s">
        <v>827</v>
      </c>
      <c r="B44" s="17" t="s">
        <v>828</v>
      </c>
      <c r="C44" s="13" t="s">
        <v>829</v>
      </c>
      <c r="D44" s="13" t="s">
        <v>763</v>
      </c>
      <c r="E44" s="18">
        <v>166140</v>
      </c>
      <c r="F44" s="19">
        <v>6121.84</v>
      </c>
      <c r="G44" s="20">
        <v>8.3999999999999995E-3</v>
      </c>
      <c r="H44" s="36"/>
      <c r="I44" s="22"/>
      <c r="J44" s="2"/>
    </row>
    <row r="45" spans="1:10" ht="12.95" customHeight="1">
      <c r="A45" s="16" t="s">
        <v>3237</v>
      </c>
      <c r="B45" s="17" t="s">
        <v>3238</v>
      </c>
      <c r="C45" s="13" t="s">
        <v>3239</v>
      </c>
      <c r="D45" s="13" t="s">
        <v>789</v>
      </c>
      <c r="E45" s="18">
        <v>172492</v>
      </c>
      <c r="F45" s="19">
        <v>5859.55</v>
      </c>
      <c r="G45" s="20">
        <v>8.0000000000000002E-3</v>
      </c>
      <c r="H45" s="36"/>
      <c r="I45" s="22"/>
      <c r="J45" s="2"/>
    </row>
    <row r="46" spans="1:10" ht="12.95" customHeight="1">
      <c r="A46" s="16" t="s">
        <v>1022</v>
      </c>
      <c r="B46" s="17" t="s">
        <v>3922</v>
      </c>
      <c r="C46" s="13" t="s">
        <v>1024</v>
      </c>
      <c r="D46" s="13" t="s">
        <v>1025</v>
      </c>
      <c r="E46" s="18">
        <v>444444</v>
      </c>
      <c r="F46" s="19">
        <v>5846.62</v>
      </c>
      <c r="G46" s="20">
        <v>8.0000000000000002E-3</v>
      </c>
      <c r="H46" s="36"/>
      <c r="I46" s="22"/>
      <c r="J46" s="2"/>
    </row>
    <row r="47" spans="1:10" ht="12.95" customHeight="1">
      <c r="A47" s="16" t="s">
        <v>783</v>
      </c>
      <c r="B47" s="17" t="s">
        <v>784</v>
      </c>
      <c r="C47" s="13" t="s">
        <v>785</v>
      </c>
      <c r="D47" s="13" t="s">
        <v>749</v>
      </c>
      <c r="E47" s="18">
        <v>226107</v>
      </c>
      <c r="F47" s="19">
        <v>5452.23</v>
      </c>
      <c r="G47" s="20">
        <v>7.4999999999999997E-3</v>
      </c>
      <c r="H47" s="36"/>
      <c r="I47" s="22"/>
      <c r="J47" s="2"/>
    </row>
    <row r="48" spans="1:10" ht="12.95" customHeight="1">
      <c r="A48" s="16" t="s">
        <v>842</v>
      </c>
      <c r="B48" s="17" t="s">
        <v>843</v>
      </c>
      <c r="C48" s="13" t="s">
        <v>844</v>
      </c>
      <c r="D48" s="13" t="s">
        <v>771</v>
      </c>
      <c r="E48" s="18">
        <v>665734</v>
      </c>
      <c r="F48" s="19">
        <v>5366.48</v>
      </c>
      <c r="G48" s="20">
        <v>7.3000000000000001E-3</v>
      </c>
      <c r="H48" s="36"/>
      <c r="I48" s="22"/>
      <c r="J48" s="2"/>
    </row>
    <row r="49" spans="1:10" ht="12.95" customHeight="1">
      <c r="A49" s="16" t="s">
        <v>3240</v>
      </c>
      <c r="B49" s="17" t="s">
        <v>1023</v>
      </c>
      <c r="C49" s="13" t="s">
        <v>1024</v>
      </c>
      <c r="D49" s="13" t="s">
        <v>1025</v>
      </c>
      <c r="E49" s="18">
        <v>352605</v>
      </c>
      <c r="F49" s="19">
        <v>5153.8500000000004</v>
      </c>
      <c r="G49" s="20">
        <v>7.1000000000000004E-3</v>
      </c>
      <c r="H49" s="36"/>
      <c r="I49" s="22"/>
      <c r="J49" s="2"/>
    </row>
    <row r="50" spans="1:10" ht="12.95" customHeight="1">
      <c r="A50" s="16" t="s">
        <v>3241</v>
      </c>
      <c r="B50" s="17" t="s">
        <v>2040</v>
      </c>
      <c r="C50" s="13" t="s">
        <v>2041</v>
      </c>
      <c r="D50" s="13" t="s">
        <v>685</v>
      </c>
      <c r="E50" s="18">
        <v>2784736</v>
      </c>
      <c r="F50" s="19">
        <v>4995.82</v>
      </c>
      <c r="G50" s="20">
        <v>6.7999999999999996E-3</v>
      </c>
      <c r="H50" s="36"/>
      <c r="I50" s="22"/>
      <c r="J50" s="2"/>
    </row>
    <row r="51" spans="1:10" ht="12.95" customHeight="1">
      <c r="A51" s="16" t="s">
        <v>3242</v>
      </c>
      <c r="B51" s="17" t="s">
        <v>3243</v>
      </c>
      <c r="C51" s="13" t="s">
        <v>3244</v>
      </c>
      <c r="D51" s="13" t="s">
        <v>1047</v>
      </c>
      <c r="E51" s="18">
        <v>295141</v>
      </c>
      <c r="F51" s="19">
        <v>4895.3599999999997</v>
      </c>
      <c r="G51" s="20">
        <v>6.7000000000000002E-3</v>
      </c>
      <c r="H51" s="36"/>
      <c r="I51" s="22"/>
      <c r="J51" s="2"/>
    </row>
    <row r="52" spans="1:10" ht="12.95" customHeight="1">
      <c r="A52" s="16" t="s">
        <v>793</v>
      </c>
      <c r="B52" s="17" t="s">
        <v>794</v>
      </c>
      <c r="C52" s="13" t="s">
        <v>795</v>
      </c>
      <c r="D52" s="13" t="s">
        <v>723</v>
      </c>
      <c r="E52" s="18">
        <v>704403</v>
      </c>
      <c r="F52" s="19">
        <v>4848.05</v>
      </c>
      <c r="G52" s="20">
        <v>6.6E-3</v>
      </c>
      <c r="H52" s="36"/>
      <c r="I52" s="22"/>
      <c r="J52" s="2"/>
    </row>
    <row r="53" spans="1:10" ht="12.95" customHeight="1">
      <c r="A53" s="16" t="s">
        <v>790</v>
      </c>
      <c r="B53" s="17" t="s">
        <v>791</v>
      </c>
      <c r="C53" s="13" t="s">
        <v>792</v>
      </c>
      <c r="D53" s="13" t="s">
        <v>767</v>
      </c>
      <c r="E53" s="18">
        <v>432850</v>
      </c>
      <c r="F53" s="19">
        <v>4635.6099999999997</v>
      </c>
      <c r="G53" s="20">
        <v>6.3E-3</v>
      </c>
      <c r="H53" s="36"/>
      <c r="I53" s="22"/>
      <c r="J53" s="2"/>
    </row>
    <row r="54" spans="1:10" ht="12.95" customHeight="1">
      <c r="A54" s="16" t="s">
        <v>851</v>
      </c>
      <c r="B54" s="17" t="s">
        <v>852</v>
      </c>
      <c r="C54" s="13" t="s">
        <v>853</v>
      </c>
      <c r="D54" s="13" t="s">
        <v>771</v>
      </c>
      <c r="E54" s="18">
        <v>617362</v>
      </c>
      <c r="F54" s="19">
        <v>4560.45</v>
      </c>
      <c r="G54" s="20">
        <v>6.1999999999999998E-3</v>
      </c>
      <c r="H54" s="36"/>
      <c r="I54" s="22"/>
      <c r="J54" s="2"/>
    </row>
    <row r="55" spans="1:10" ht="12.95" customHeight="1">
      <c r="A55" s="16" t="s">
        <v>754</v>
      </c>
      <c r="B55" s="17" t="s">
        <v>755</v>
      </c>
      <c r="C55" s="13" t="s">
        <v>756</v>
      </c>
      <c r="D55" s="13" t="s">
        <v>727</v>
      </c>
      <c r="E55" s="18">
        <v>191566</v>
      </c>
      <c r="F55" s="19">
        <v>4472.2</v>
      </c>
      <c r="G55" s="20">
        <v>6.1000000000000004E-3</v>
      </c>
      <c r="H55" s="36"/>
      <c r="I55" s="22"/>
      <c r="J55" s="2"/>
    </row>
    <row r="56" spans="1:10" ht="12.95" customHeight="1">
      <c r="A56" s="16" t="s">
        <v>3245</v>
      </c>
      <c r="B56" s="17" t="s">
        <v>3246</v>
      </c>
      <c r="C56" s="13" t="s">
        <v>3247</v>
      </c>
      <c r="D56" s="13" t="s">
        <v>1047</v>
      </c>
      <c r="E56" s="18">
        <v>142085</v>
      </c>
      <c r="F56" s="19">
        <v>4311.6400000000003</v>
      </c>
      <c r="G56" s="20">
        <v>5.8999999999999999E-3</v>
      </c>
      <c r="H56" s="36"/>
      <c r="I56" s="22"/>
      <c r="J56" s="2"/>
    </row>
    <row r="57" spans="1:10" ht="12.95" customHeight="1">
      <c r="A57" s="16" t="s">
        <v>3248</v>
      </c>
      <c r="B57" s="17" t="s">
        <v>3249</v>
      </c>
      <c r="C57" s="13" t="s">
        <v>3250</v>
      </c>
      <c r="D57" s="13" t="s">
        <v>727</v>
      </c>
      <c r="E57" s="18">
        <v>1762629</v>
      </c>
      <c r="F57" s="19">
        <v>4224.1400000000003</v>
      </c>
      <c r="G57" s="20">
        <v>5.7999999999999996E-3</v>
      </c>
      <c r="H57" s="36"/>
      <c r="I57" s="22"/>
      <c r="J57" s="2"/>
    </row>
    <row r="58" spans="1:10" ht="12.95" customHeight="1">
      <c r="A58" s="16" t="s">
        <v>950</v>
      </c>
      <c r="B58" s="17" t="s">
        <v>951</v>
      </c>
      <c r="C58" s="13" t="s">
        <v>952</v>
      </c>
      <c r="D58" s="13" t="s">
        <v>910</v>
      </c>
      <c r="E58" s="18">
        <v>711172</v>
      </c>
      <c r="F58" s="19">
        <v>4053.32</v>
      </c>
      <c r="G58" s="20">
        <v>5.5999999999999999E-3</v>
      </c>
      <c r="H58" s="36"/>
      <c r="I58" s="22"/>
      <c r="J58" s="2"/>
    </row>
    <row r="59" spans="1:10" ht="12.95" customHeight="1">
      <c r="A59" s="16" t="s">
        <v>2434</v>
      </c>
      <c r="B59" s="17" t="s">
        <v>2435</v>
      </c>
      <c r="C59" s="13" t="s">
        <v>2436</v>
      </c>
      <c r="D59" s="13" t="s">
        <v>2437</v>
      </c>
      <c r="E59" s="18">
        <v>81416</v>
      </c>
      <c r="F59" s="19">
        <v>3654.48</v>
      </c>
      <c r="G59" s="20">
        <v>5.0000000000000001E-3</v>
      </c>
      <c r="H59" s="36"/>
      <c r="I59" s="22"/>
      <c r="J59" s="2"/>
    </row>
    <row r="60" spans="1:10" ht="12.95" customHeight="1">
      <c r="A60" s="16" t="s">
        <v>2442</v>
      </c>
      <c r="B60" s="17" t="s">
        <v>2443</v>
      </c>
      <c r="C60" s="13" t="s">
        <v>2444</v>
      </c>
      <c r="D60" s="13" t="s">
        <v>789</v>
      </c>
      <c r="E60" s="18">
        <v>974580</v>
      </c>
      <c r="F60" s="19">
        <v>3571.84</v>
      </c>
      <c r="G60" s="20">
        <v>4.8999999999999998E-3</v>
      </c>
      <c r="H60" s="36"/>
      <c r="I60" s="22"/>
      <c r="J60" s="2"/>
    </row>
    <row r="61" spans="1:10" ht="12.95" customHeight="1">
      <c r="A61" s="16" t="s">
        <v>811</v>
      </c>
      <c r="B61" s="17" t="s">
        <v>812</v>
      </c>
      <c r="C61" s="13" t="s">
        <v>813</v>
      </c>
      <c r="D61" s="13" t="s">
        <v>814</v>
      </c>
      <c r="E61" s="18">
        <v>473147</v>
      </c>
      <c r="F61" s="19">
        <v>3332.37</v>
      </c>
      <c r="G61" s="20">
        <v>4.5999999999999999E-3</v>
      </c>
      <c r="H61" s="36"/>
      <c r="I61" s="22"/>
      <c r="J61" s="2"/>
    </row>
    <row r="62" spans="1:10" ht="12.95" customHeight="1">
      <c r="A62" s="16" t="s">
        <v>3251</v>
      </c>
      <c r="B62" s="17" t="s">
        <v>3252</v>
      </c>
      <c r="C62" s="13" t="s">
        <v>3253</v>
      </c>
      <c r="D62" s="13" t="s">
        <v>789</v>
      </c>
      <c r="E62" s="18">
        <v>749726</v>
      </c>
      <c r="F62" s="19">
        <v>3089.25</v>
      </c>
      <c r="G62" s="20">
        <v>4.1999999999999997E-3</v>
      </c>
      <c r="H62" s="36"/>
      <c r="I62" s="22"/>
      <c r="J62" s="2"/>
    </row>
    <row r="63" spans="1:10" ht="12.95" customHeight="1">
      <c r="A63" s="16" t="s">
        <v>3254</v>
      </c>
      <c r="B63" s="17" t="s">
        <v>3255</v>
      </c>
      <c r="C63" s="13" t="s">
        <v>3256</v>
      </c>
      <c r="D63" s="13" t="s">
        <v>771</v>
      </c>
      <c r="E63" s="18">
        <v>441448.00001000002</v>
      </c>
      <c r="F63" s="19">
        <v>2301.0500000000002</v>
      </c>
      <c r="G63" s="20">
        <v>3.2000000000000002E-3</v>
      </c>
      <c r="H63" s="36"/>
      <c r="I63" s="22"/>
      <c r="J63" s="2"/>
    </row>
    <row r="64" spans="1:10" ht="12.95" customHeight="1">
      <c r="A64" s="16" t="s">
        <v>3257</v>
      </c>
      <c r="B64" s="17" t="s">
        <v>3258</v>
      </c>
      <c r="C64" s="13" t="s">
        <v>3259</v>
      </c>
      <c r="D64" s="13" t="s">
        <v>771</v>
      </c>
      <c r="E64" s="18">
        <v>1751248</v>
      </c>
      <c r="F64" s="19">
        <v>1564.74</v>
      </c>
      <c r="G64" s="20">
        <v>2.0999999999999999E-3</v>
      </c>
      <c r="H64" s="36"/>
      <c r="I64" s="22"/>
      <c r="J64" s="2"/>
    </row>
    <row r="65" spans="1:10" ht="12.95" customHeight="1">
      <c r="A65" s="16" t="s">
        <v>3260</v>
      </c>
      <c r="B65" s="17" t="s">
        <v>3261</v>
      </c>
      <c r="C65" s="13" t="s">
        <v>3262</v>
      </c>
      <c r="D65" s="13" t="s">
        <v>727</v>
      </c>
      <c r="E65" s="18">
        <v>167461</v>
      </c>
      <c r="F65" s="19">
        <v>1334.83</v>
      </c>
      <c r="G65" s="20">
        <v>1.8E-3</v>
      </c>
      <c r="H65" s="36"/>
      <c r="I65" s="22"/>
      <c r="J65" s="2"/>
    </row>
    <row r="66" spans="1:10" ht="12.95" customHeight="1">
      <c r="A66" s="16" t="s">
        <v>830</v>
      </c>
      <c r="B66" s="17" t="s">
        <v>831</v>
      </c>
      <c r="C66" s="13" t="s">
        <v>832</v>
      </c>
      <c r="D66" s="13" t="s">
        <v>763</v>
      </c>
      <c r="E66" s="18">
        <v>32012</v>
      </c>
      <c r="F66" s="19">
        <v>597.5</v>
      </c>
      <c r="G66" s="20">
        <v>8.0000000000000004E-4</v>
      </c>
      <c r="H66" s="36"/>
      <c r="I66" s="22"/>
      <c r="J66" s="2"/>
    </row>
    <row r="67" spans="1:10" ht="12.95" customHeight="1">
      <c r="A67" s="16" t="s">
        <v>1045</v>
      </c>
      <c r="B67" s="17" t="s">
        <v>3930</v>
      </c>
      <c r="C67" s="13" t="s">
        <v>1046</v>
      </c>
      <c r="D67" s="13" t="s">
        <v>1047</v>
      </c>
      <c r="E67" s="18">
        <v>245780</v>
      </c>
      <c r="F67" s="19">
        <v>1749.95</v>
      </c>
      <c r="G67" s="20">
        <v>2.3999999999999998E-3</v>
      </c>
      <c r="H67" s="36"/>
      <c r="I67" s="22"/>
      <c r="J67" s="2"/>
    </row>
    <row r="68" spans="1:10" ht="12.95" customHeight="1">
      <c r="A68" s="2"/>
      <c r="B68" s="27" t="s">
        <v>177</v>
      </c>
      <c r="C68" s="28"/>
      <c r="D68" s="1"/>
      <c r="E68" s="28"/>
      <c r="F68" s="23">
        <v>678830.52</v>
      </c>
      <c r="G68" s="24">
        <v>0.9294</v>
      </c>
      <c r="H68" s="25"/>
      <c r="I68" s="26"/>
      <c r="J68" s="2"/>
    </row>
    <row r="69" spans="1:10" ht="12.95" customHeight="1">
      <c r="A69" s="2"/>
      <c r="B69" s="12" t="s">
        <v>178</v>
      </c>
      <c r="C69" s="13"/>
      <c r="D69" s="13"/>
      <c r="E69" s="13"/>
      <c r="F69" s="13"/>
      <c r="G69" s="13"/>
      <c r="H69" s="14"/>
      <c r="I69" s="15"/>
      <c r="J69" s="2"/>
    </row>
    <row r="70" spans="1:10" ht="12.95" customHeight="1">
      <c r="A70" s="16" t="s">
        <v>179</v>
      </c>
      <c r="B70" s="17" t="s">
        <v>180</v>
      </c>
      <c r="C70" s="13"/>
      <c r="D70" s="13"/>
      <c r="E70" s="18"/>
      <c r="F70" s="19">
        <v>43541.120000000003</v>
      </c>
      <c r="G70" s="20">
        <v>5.96E-2</v>
      </c>
      <c r="H70" s="21">
        <v>3.3046302567013727E-2</v>
      </c>
      <c r="I70" s="22"/>
      <c r="J70" s="2"/>
    </row>
    <row r="71" spans="1:10" ht="12.95" customHeight="1">
      <c r="A71" s="2"/>
      <c r="B71" s="12" t="s">
        <v>172</v>
      </c>
      <c r="C71" s="13"/>
      <c r="D71" s="13"/>
      <c r="E71" s="13"/>
      <c r="F71" s="23">
        <v>43541.120000000003</v>
      </c>
      <c r="G71" s="24">
        <v>5.96E-2</v>
      </c>
      <c r="H71" s="25"/>
      <c r="I71" s="26"/>
      <c r="J71" s="2"/>
    </row>
    <row r="72" spans="1:10" ht="12.95" customHeight="1">
      <c r="A72" s="2"/>
      <c r="B72" s="27" t="s">
        <v>177</v>
      </c>
      <c r="C72" s="28"/>
      <c r="D72" s="1"/>
      <c r="E72" s="28"/>
      <c r="F72" s="23">
        <v>43541.120000000003</v>
      </c>
      <c r="G72" s="24">
        <v>5.96E-2</v>
      </c>
      <c r="H72" s="25"/>
      <c r="I72" s="26"/>
      <c r="J72" s="2"/>
    </row>
    <row r="73" spans="1:10" ht="12.95" customHeight="1">
      <c r="A73" s="2"/>
      <c r="B73" s="27" t="s">
        <v>181</v>
      </c>
      <c r="C73" s="13"/>
      <c r="D73" s="1"/>
      <c r="E73" s="13"/>
      <c r="F73" s="29">
        <v>7926.29</v>
      </c>
      <c r="G73" s="24">
        <v>1.0999999999999999E-2</v>
      </c>
      <c r="H73" s="25"/>
      <c r="I73" s="26"/>
      <c r="J73" s="2"/>
    </row>
    <row r="74" spans="1:10" ht="12.95" customHeight="1">
      <c r="A74" s="2"/>
      <c r="B74" s="30" t="s">
        <v>182</v>
      </c>
      <c r="C74" s="31"/>
      <c r="D74" s="31"/>
      <c r="E74" s="31"/>
      <c r="F74" s="32">
        <v>730297.93</v>
      </c>
      <c r="G74" s="33">
        <v>1</v>
      </c>
      <c r="H74" s="34"/>
      <c r="I74" s="35"/>
      <c r="J74" s="2"/>
    </row>
    <row r="75" spans="1:10" ht="12.95" customHeight="1">
      <c r="A75" s="2"/>
      <c r="B75" s="5"/>
      <c r="C75" s="2"/>
      <c r="D75" s="2"/>
      <c r="E75" s="2"/>
      <c r="F75" s="2"/>
      <c r="G75" s="2"/>
      <c r="H75" s="2"/>
      <c r="I75" s="2"/>
      <c r="J75" s="2"/>
    </row>
    <row r="76" spans="1:10" ht="12.95" customHeight="1">
      <c r="A76" s="2"/>
      <c r="B76" s="3" t="s">
        <v>244</v>
      </c>
      <c r="C76" s="2"/>
      <c r="D76" s="2"/>
      <c r="E76" s="2"/>
      <c r="F76" s="2"/>
      <c r="G76" s="2"/>
      <c r="H76" s="2"/>
      <c r="I76" s="2"/>
      <c r="J76" s="2"/>
    </row>
    <row r="77" spans="1:10" ht="12.95" customHeight="1">
      <c r="A77" s="2"/>
      <c r="B77" s="3"/>
      <c r="C77" s="2"/>
      <c r="D77" s="2"/>
      <c r="E77" s="2"/>
      <c r="F77" s="2"/>
      <c r="G77" s="2"/>
      <c r="H77" s="2"/>
      <c r="I77" s="2"/>
      <c r="J77" s="2"/>
    </row>
    <row r="78" spans="1:10" ht="12.95" customHeight="1">
      <c r="A78" s="2"/>
      <c r="B78" s="3" t="s">
        <v>186</v>
      </c>
      <c r="C78" s="2"/>
      <c r="D78" s="2"/>
      <c r="E78" s="2"/>
      <c r="F78" s="2"/>
      <c r="G78" s="2"/>
      <c r="H78" s="2"/>
      <c r="I78" s="2"/>
      <c r="J78" s="2"/>
    </row>
    <row r="79" spans="1:10" ht="23.25" customHeight="1">
      <c r="A79" s="2"/>
      <c r="B79" s="189" t="s">
        <v>4025</v>
      </c>
      <c r="C79" s="189"/>
      <c r="D79" s="189"/>
      <c r="E79" s="189"/>
      <c r="F79" s="189"/>
      <c r="G79" s="189"/>
      <c r="H79" s="189"/>
      <c r="I79" s="189"/>
      <c r="J79" s="2"/>
    </row>
    <row r="80" spans="1:10" ht="12.95" customHeight="1">
      <c r="A80" s="2"/>
      <c r="B80" s="3"/>
      <c r="C80" s="2"/>
      <c r="D80" s="2"/>
      <c r="E80" s="2"/>
      <c r="F80" s="2"/>
      <c r="G80" s="2"/>
      <c r="H80" s="2"/>
      <c r="I80" s="2"/>
      <c r="J80" s="2"/>
    </row>
    <row r="81" spans="2:3">
      <c r="C81" s="111" t="s">
        <v>3970</v>
      </c>
    </row>
    <row r="82" spans="2:3">
      <c r="B82" s="111" t="s">
        <v>3933</v>
      </c>
      <c r="C82" s="111" t="s">
        <v>3934</v>
      </c>
    </row>
  </sheetData>
  <mergeCells count="2">
    <mergeCell ref="B2:I2"/>
    <mergeCell ref="B79:I79"/>
  </mergeCells>
  <hyperlinks>
    <hyperlink ref="A2" location="Index!A1" display="Index"/>
  </hyperlinks>
  <pageMargins left="0" right="0" top="0" bottom="0" header="0" footer="0"/>
  <pageSetup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47"/>
  <sheetViews>
    <sheetView showGridLines="0" workbookViewId="0"/>
  </sheetViews>
  <sheetFormatPr defaultRowHeight="12.75"/>
  <cols>
    <col min="1" max="1" width="8.5703125" style="51" bestFit="1" customWidth="1"/>
    <col min="2" max="2" width="69.7109375" style="51" bestFit="1" customWidth="1"/>
    <col min="3" max="3" width="21.140625" style="51" bestFit="1" customWidth="1"/>
    <col min="4" max="4" width="22.7109375" style="51" bestFit="1" customWidth="1"/>
    <col min="5" max="5" width="25.7109375" style="51" customWidth="1"/>
    <col min="6" max="6" width="15.28515625" style="51" bestFit="1" customWidth="1"/>
    <col min="7" max="9" width="10.7109375" style="51" customWidth="1"/>
    <col min="10" max="10" width="10.85546875" style="51" bestFit="1" customWidth="1"/>
    <col min="11" max="255" width="9.140625" style="51"/>
    <col min="256" max="256" width="8.5703125" style="51" bestFit="1" customWidth="1"/>
    <col min="257" max="257" width="69.7109375" style="51" bestFit="1" customWidth="1"/>
    <col min="258" max="258" width="16.85546875" style="51" bestFit="1" customWidth="1"/>
    <col min="259" max="259" width="33.5703125" style="51" bestFit="1" customWidth="1"/>
    <col min="260" max="260" width="16.85546875" style="51" bestFit="1" customWidth="1"/>
    <col min="261" max="262" width="25.140625" style="51" bestFit="1" customWidth="1"/>
    <col min="263" max="263" width="16.85546875" style="51" bestFit="1" customWidth="1"/>
    <col min="264" max="264" width="10.85546875" style="51" bestFit="1" customWidth="1"/>
    <col min="265" max="265" width="5.85546875" style="51" bestFit="1" customWidth="1"/>
    <col min="266" max="266" width="10.85546875" style="51" bestFit="1" customWidth="1"/>
    <col min="267" max="511" width="9.140625" style="51"/>
    <col min="512" max="512" width="8.5703125" style="51" bestFit="1" customWidth="1"/>
    <col min="513" max="513" width="69.7109375" style="51" bestFit="1" customWidth="1"/>
    <col min="514" max="514" width="16.85546875" style="51" bestFit="1" customWidth="1"/>
    <col min="515" max="515" width="33.5703125" style="51" bestFit="1" customWidth="1"/>
    <col min="516" max="516" width="16.85546875" style="51" bestFit="1" customWidth="1"/>
    <col min="517" max="518" width="25.140625" style="51" bestFit="1" customWidth="1"/>
    <col min="519" max="519" width="16.85546875" style="51" bestFit="1" customWidth="1"/>
    <col min="520" max="520" width="10.85546875" style="51" bestFit="1" customWidth="1"/>
    <col min="521" max="521" width="5.85546875" style="51" bestFit="1" customWidth="1"/>
    <col min="522" max="522" width="10.85546875" style="51" bestFit="1" customWidth="1"/>
    <col min="523" max="767" width="9.140625" style="51"/>
    <col min="768" max="768" width="8.5703125" style="51" bestFit="1" customWidth="1"/>
    <col min="769" max="769" width="69.7109375" style="51" bestFit="1" customWidth="1"/>
    <col min="770" max="770" width="16.85546875" style="51" bestFit="1" customWidth="1"/>
    <col min="771" max="771" width="33.5703125" style="51" bestFit="1" customWidth="1"/>
    <col min="772" max="772" width="16.85546875" style="51" bestFit="1" customWidth="1"/>
    <col min="773" max="774" width="25.140625" style="51" bestFit="1" customWidth="1"/>
    <col min="775" max="775" width="16.85546875" style="51" bestFit="1" customWidth="1"/>
    <col min="776" max="776" width="10.85546875" style="51" bestFit="1" customWidth="1"/>
    <col min="777" max="777" width="5.85546875" style="51" bestFit="1" customWidth="1"/>
    <col min="778" max="778" width="10.85546875" style="51" bestFit="1" customWidth="1"/>
    <col min="779" max="1023" width="9.140625" style="51"/>
    <col min="1024" max="1024" width="8.5703125" style="51" bestFit="1" customWidth="1"/>
    <col min="1025" max="1025" width="69.7109375" style="51" bestFit="1" customWidth="1"/>
    <col min="1026" max="1026" width="16.85546875" style="51" bestFit="1" customWidth="1"/>
    <col min="1027" max="1027" width="33.5703125" style="51" bestFit="1" customWidth="1"/>
    <col min="1028" max="1028" width="16.85546875" style="51" bestFit="1" customWidth="1"/>
    <col min="1029" max="1030" width="25.140625" style="51" bestFit="1" customWidth="1"/>
    <col min="1031" max="1031" width="16.85546875" style="51" bestFit="1" customWidth="1"/>
    <col min="1032" max="1032" width="10.85546875" style="51" bestFit="1" customWidth="1"/>
    <col min="1033" max="1033" width="5.85546875" style="51" bestFit="1" customWidth="1"/>
    <col min="1034" max="1034" width="10.85546875" style="51" bestFit="1" customWidth="1"/>
    <col min="1035" max="1279" width="9.140625" style="51"/>
    <col min="1280" max="1280" width="8.5703125" style="51" bestFit="1" customWidth="1"/>
    <col min="1281" max="1281" width="69.7109375" style="51" bestFit="1" customWidth="1"/>
    <col min="1282" max="1282" width="16.85546875" style="51" bestFit="1" customWidth="1"/>
    <col min="1283" max="1283" width="33.5703125" style="51" bestFit="1" customWidth="1"/>
    <col min="1284" max="1284" width="16.85546875" style="51" bestFit="1" customWidth="1"/>
    <col min="1285" max="1286" width="25.140625" style="51" bestFit="1" customWidth="1"/>
    <col min="1287" max="1287" width="16.85546875" style="51" bestFit="1" customWidth="1"/>
    <col min="1288" max="1288" width="10.85546875" style="51" bestFit="1" customWidth="1"/>
    <col min="1289" max="1289" width="5.85546875" style="51" bestFit="1" customWidth="1"/>
    <col min="1290" max="1290" width="10.85546875" style="51" bestFit="1" customWidth="1"/>
    <col min="1291" max="1535" width="9.140625" style="51"/>
    <col min="1536" max="1536" width="8.5703125" style="51" bestFit="1" customWidth="1"/>
    <col min="1537" max="1537" width="69.7109375" style="51" bestFit="1" customWidth="1"/>
    <col min="1538" max="1538" width="16.85546875" style="51" bestFit="1" customWidth="1"/>
    <col min="1539" max="1539" width="33.5703125" style="51" bestFit="1" customWidth="1"/>
    <col min="1540" max="1540" width="16.85546875" style="51" bestFit="1" customWidth="1"/>
    <col min="1541" max="1542" width="25.140625" style="51" bestFit="1" customWidth="1"/>
    <col min="1543" max="1543" width="16.85546875" style="51" bestFit="1" customWidth="1"/>
    <col min="1544" max="1544" width="10.85546875" style="51" bestFit="1" customWidth="1"/>
    <col min="1545" max="1545" width="5.85546875" style="51" bestFit="1" customWidth="1"/>
    <col min="1546" max="1546" width="10.85546875" style="51" bestFit="1" customWidth="1"/>
    <col min="1547" max="1791" width="9.140625" style="51"/>
    <col min="1792" max="1792" width="8.5703125" style="51" bestFit="1" customWidth="1"/>
    <col min="1793" max="1793" width="69.7109375" style="51" bestFit="1" customWidth="1"/>
    <col min="1794" max="1794" width="16.85546875" style="51" bestFit="1" customWidth="1"/>
    <col min="1795" max="1795" width="33.5703125" style="51" bestFit="1" customWidth="1"/>
    <col min="1796" max="1796" width="16.85546875" style="51" bestFit="1" customWidth="1"/>
    <col min="1797" max="1798" width="25.140625" style="51" bestFit="1" customWidth="1"/>
    <col min="1799" max="1799" width="16.85546875" style="51" bestFit="1" customWidth="1"/>
    <col min="1800" max="1800" width="10.85546875" style="51" bestFit="1" customWidth="1"/>
    <col min="1801" max="1801" width="5.85546875" style="51" bestFit="1" customWidth="1"/>
    <col min="1802" max="1802" width="10.85546875" style="51" bestFit="1" customWidth="1"/>
    <col min="1803" max="2047" width="9.140625" style="51"/>
    <col min="2048" max="2048" width="8.5703125" style="51" bestFit="1" customWidth="1"/>
    <col min="2049" max="2049" width="69.7109375" style="51" bestFit="1" customWidth="1"/>
    <col min="2050" max="2050" width="16.85546875" style="51" bestFit="1" customWidth="1"/>
    <col min="2051" max="2051" width="33.5703125" style="51" bestFit="1" customWidth="1"/>
    <col min="2052" max="2052" width="16.85546875" style="51" bestFit="1" customWidth="1"/>
    <col min="2053" max="2054" width="25.140625" style="51" bestFit="1" customWidth="1"/>
    <col min="2055" max="2055" width="16.85546875" style="51" bestFit="1" customWidth="1"/>
    <col min="2056" max="2056" width="10.85546875" style="51" bestFit="1" customWidth="1"/>
    <col min="2057" max="2057" width="5.85546875" style="51" bestFit="1" customWidth="1"/>
    <col min="2058" max="2058" width="10.85546875" style="51" bestFit="1" customWidth="1"/>
    <col min="2059" max="2303" width="9.140625" style="51"/>
    <col min="2304" max="2304" width="8.5703125" style="51" bestFit="1" customWidth="1"/>
    <col min="2305" max="2305" width="69.7109375" style="51" bestFit="1" customWidth="1"/>
    <col min="2306" max="2306" width="16.85546875" style="51" bestFit="1" customWidth="1"/>
    <col min="2307" max="2307" width="33.5703125" style="51" bestFit="1" customWidth="1"/>
    <col min="2308" max="2308" width="16.85546875" style="51" bestFit="1" customWidth="1"/>
    <col min="2309" max="2310" width="25.140625" style="51" bestFit="1" customWidth="1"/>
    <col min="2311" max="2311" width="16.85546875" style="51" bestFit="1" customWidth="1"/>
    <col min="2312" max="2312" width="10.85546875" style="51" bestFit="1" customWidth="1"/>
    <col min="2313" max="2313" width="5.85546875" style="51" bestFit="1" customWidth="1"/>
    <col min="2314" max="2314" width="10.85546875" style="51" bestFit="1" customWidth="1"/>
    <col min="2315" max="2559" width="9.140625" style="51"/>
    <col min="2560" max="2560" width="8.5703125" style="51" bestFit="1" customWidth="1"/>
    <col min="2561" max="2561" width="69.7109375" style="51" bestFit="1" customWidth="1"/>
    <col min="2562" max="2562" width="16.85546875" style="51" bestFit="1" customWidth="1"/>
    <col min="2563" max="2563" width="33.5703125" style="51" bestFit="1" customWidth="1"/>
    <col min="2564" max="2564" width="16.85546875" style="51" bestFit="1" customWidth="1"/>
    <col min="2565" max="2566" width="25.140625" style="51" bestFit="1" customWidth="1"/>
    <col min="2567" max="2567" width="16.85546875" style="51" bestFit="1" customWidth="1"/>
    <col min="2568" max="2568" width="10.85546875" style="51" bestFit="1" customWidth="1"/>
    <col min="2569" max="2569" width="5.85546875" style="51" bestFit="1" customWidth="1"/>
    <col min="2570" max="2570" width="10.85546875" style="51" bestFit="1" customWidth="1"/>
    <col min="2571" max="2815" width="9.140625" style="51"/>
    <col min="2816" max="2816" width="8.5703125" style="51" bestFit="1" customWidth="1"/>
    <col min="2817" max="2817" width="69.7109375" style="51" bestFit="1" customWidth="1"/>
    <col min="2818" max="2818" width="16.85546875" style="51" bestFit="1" customWidth="1"/>
    <col min="2819" max="2819" width="33.5703125" style="51" bestFit="1" customWidth="1"/>
    <col min="2820" max="2820" width="16.85546875" style="51" bestFit="1" customWidth="1"/>
    <col min="2821" max="2822" width="25.140625" style="51" bestFit="1" customWidth="1"/>
    <col min="2823" max="2823" width="16.85546875" style="51" bestFit="1" customWidth="1"/>
    <col min="2824" max="2824" width="10.85546875" style="51" bestFit="1" customWidth="1"/>
    <col min="2825" max="2825" width="5.85546875" style="51" bestFit="1" customWidth="1"/>
    <col min="2826" max="2826" width="10.85546875" style="51" bestFit="1" customWidth="1"/>
    <col min="2827" max="3071" width="9.140625" style="51"/>
    <col min="3072" max="3072" width="8.5703125" style="51" bestFit="1" customWidth="1"/>
    <col min="3073" max="3073" width="69.7109375" style="51" bestFit="1" customWidth="1"/>
    <col min="3074" max="3074" width="16.85546875" style="51" bestFit="1" customWidth="1"/>
    <col min="3075" max="3075" width="33.5703125" style="51" bestFit="1" customWidth="1"/>
    <col min="3076" max="3076" width="16.85546875" style="51" bestFit="1" customWidth="1"/>
    <col min="3077" max="3078" width="25.140625" style="51" bestFit="1" customWidth="1"/>
    <col min="3079" max="3079" width="16.85546875" style="51" bestFit="1" customWidth="1"/>
    <col min="3080" max="3080" width="10.85546875" style="51" bestFit="1" customWidth="1"/>
    <col min="3081" max="3081" width="5.85546875" style="51" bestFit="1" customWidth="1"/>
    <col min="3082" max="3082" width="10.85546875" style="51" bestFit="1" customWidth="1"/>
    <col min="3083" max="3327" width="9.140625" style="51"/>
    <col min="3328" max="3328" width="8.5703125" style="51" bestFit="1" customWidth="1"/>
    <col min="3329" max="3329" width="69.7109375" style="51" bestFit="1" customWidth="1"/>
    <col min="3330" max="3330" width="16.85546875" style="51" bestFit="1" customWidth="1"/>
    <col min="3331" max="3331" width="33.5703125" style="51" bestFit="1" customWidth="1"/>
    <col min="3332" max="3332" width="16.85546875" style="51" bestFit="1" customWidth="1"/>
    <col min="3333" max="3334" width="25.140625" style="51" bestFit="1" customWidth="1"/>
    <col min="3335" max="3335" width="16.85546875" style="51" bestFit="1" customWidth="1"/>
    <col min="3336" max="3336" width="10.85546875" style="51" bestFit="1" customWidth="1"/>
    <col min="3337" max="3337" width="5.85546875" style="51" bestFit="1" customWidth="1"/>
    <col min="3338" max="3338" width="10.85546875" style="51" bestFit="1" customWidth="1"/>
    <col min="3339" max="3583" width="9.140625" style="51"/>
    <col min="3584" max="3584" width="8.5703125" style="51" bestFit="1" customWidth="1"/>
    <col min="3585" max="3585" width="69.7109375" style="51" bestFit="1" customWidth="1"/>
    <col min="3586" max="3586" width="16.85546875" style="51" bestFit="1" customWidth="1"/>
    <col min="3587" max="3587" width="33.5703125" style="51" bestFit="1" customWidth="1"/>
    <col min="3588" max="3588" width="16.85546875" style="51" bestFit="1" customWidth="1"/>
    <col min="3589" max="3590" width="25.140625" style="51" bestFit="1" customWidth="1"/>
    <col min="3591" max="3591" width="16.85546875" style="51" bestFit="1" customWidth="1"/>
    <col min="3592" max="3592" width="10.85546875" style="51" bestFit="1" customWidth="1"/>
    <col min="3593" max="3593" width="5.85546875" style="51" bestFit="1" customWidth="1"/>
    <col min="3594" max="3594" width="10.85546875" style="51" bestFit="1" customWidth="1"/>
    <col min="3595" max="3839" width="9.140625" style="51"/>
    <col min="3840" max="3840" width="8.5703125" style="51" bestFit="1" customWidth="1"/>
    <col min="3841" max="3841" width="69.7109375" style="51" bestFit="1" customWidth="1"/>
    <col min="3842" max="3842" width="16.85546875" style="51" bestFit="1" customWidth="1"/>
    <col min="3843" max="3843" width="33.5703125" style="51" bestFit="1" customWidth="1"/>
    <col min="3844" max="3844" width="16.85546875" style="51" bestFit="1" customWidth="1"/>
    <col min="3845" max="3846" width="25.140625" style="51" bestFit="1" customWidth="1"/>
    <col min="3847" max="3847" width="16.85546875" style="51" bestFit="1" customWidth="1"/>
    <col min="3848" max="3848" width="10.85546875" style="51" bestFit="1" customWidth="1"/>
    <col min="3849" max="3849" width="5.85546875" style="51" bestFit="1" customWidth="1"/>
    <col min="3850" max="3850" width="10.85546875" style="51" bestFit="1" customWidth="1"/>
    <col min="3851" max="4095" width="9.140625" style="51"/>
    <col min="4096" max="4096" width="8.5703125" style="51" bestFit="1" customWidth="1"/>
    <col min="4097" max="4097" width="69.7109375" style="51" bestFit="1" customWidth="1"/>
    <col min="4098" max="4098" width="16.85546875" style="51" bestFit="1" customWidth="1"/>
    <col min="4099" max="4099" width="33.5703125" style="51" bestFit="1" customWidth="1"/>
    <col min="4100" max="4100" width="16.85546875" style="51" bestFit="1" customWidth="1"/>
    <col min="4101" max="4102" width="25.140625" style="51" bestFit="1" customWidth="1"/>
    <col min="4103" max="4103" width="16.85546875" style="51" bestFit="1" customWidth="1"/>
    <col min="4104" max="4104" width="10.85546875" style="51" bestFit="1" customWidth="1"/>
    <col min="4105" max="4105" width="5.85546875" style="51" bestFit="1" customWidth="1"/>
    <col min="4106" max="4106" width="10.85546875" style="51" bestFit="1" customWidth="1"/>
    <col min="4107" max="4351" width="9.140625" style="51"/>
    <col min="4352" max="4352" width="8.5703125" style="51" bestFit="1" customWidth="1"/>
    <col min="4353" max="4353" width="69.7109375" style="51" bestFit="1" customWidth="1"/>
    <col min="4354" max="4354" width="16.85546875" style="51" bestFit="1" customWidth="1"/>
    <col min="4355" max="4355" width="33.5703125" style="51" bestFit="1" customWidth="1"/>
    <col min="4356" max="4356" width="16.85546875" style="51" bestFit="1" customWidth="1"/>
    <col min="4357" max="4358" width="25.140625" style="51" bestFit="1" customWidth="1"/>
    <col min="4359" max="4359" width="16.85546875" style="51" bestFit="1" customWidth="1"/>
    <col min="4360" max="4360" width="10.85546875" style="51" bestFit="1" customWidth="1"/>
    <col min="4361" max="4361" width="5.85546875" style="51" bestFit="1" customWidth="1"/>
    <col min="4362" max="4362" width="10.85546875" style="51" bestFit="1" customWidth="1"/>
    <col min="4363" max="4607" width="9.140625" style="51"/>
    <col min="4608" max="4608" width="8.5703125" style="51" bestFit="1" customWidth="1"/>
    <col min="4609" max="4609" width="69.7109375" style="51" bestFit="1" customWidth="1"/>
    <col min="4610" max="4610" width="16.85546875" style="51" bestFit="1" customWidth="1"/>
    <col min="4611" max="4611" width="33.5703125" style="51" bestFit="1" customWidth="1"/>
    <col min="4612" max="4612" width="16.85546875" style="51" bestFit="1" customWidth="1"/>
    <col min="4613" max="4614" width="25.140625" style="51" bestFit="1" customWidth="1"/>
    <col min="4615" max="4615" width="16.85546875" style="51" bestFit="1" customWidth="1"/>
    <col min="4616" max="4616" width="10.85546875" style="51" bestFit="1" customWidth="1"/>
    <col min="4617" max="4617" width="5.85546875" style="51" bestFit="1" customWidth="1"/>
    <col min="4618" max="4618" width="10.85546875" style="51" bestFit="1" customWidth="1"/>
    <col min="4619" max="4863" width="9.140625" style="51"/>
    <col min="4864" max="4864" width="8.5703125" style="51" bestFit="1" customWidth="1"/>
    <col min="4865" max="4865" width="69.7109375" style="51" bestFit="1" customWidth="1"/>
    <col min="4866" max="4866" width="16.85546875" style="51" bestFit="1" customWidth="1"/>
    <col min="4867" max="4867" width="33.5703125" style="51" bestFit="1" customWidth="1"/>
    <col min="4868" max="4868" width="16.85546875" style="51" bestFit="1" customWidth="1"/>
    <col min="4869" max="4870" width="25.140625" style="51" bestFit="1" customWidth="1"/>
    <col min="4871" max="4871" width="16.85546875" style="51" bestFit="1" customWidth="1"/>
    <col min="4872" max="4872" width="10.85546875" style="51" bestFit="1" customWidth="1"/>
    <col min="4873" max="4873" width="5.85546875" style="51" bestFit="1" customWidth="1"/>
    <col min="4874" max="4874" width="10.85546875" style="51" bestFit="1" customWidth="1"/>
    <col min="4875" max="5119" width="9.140625" style="51"/>
    <col min="5120" max="5120" width="8.5703125" style="51" bestFit="1" customWidth="1"/>
    <col min="5121" max="5121" width="69.7109375" style="51" bestFit="1" customWidth="1"/>
    <col min="5122" max="5122" width="16.85546875" style="51" bestFit="1" customWidth="1"/>
    <col min="5123" max="5123" width="33.5703125" style="51" bestFit="1" customWidth="1"/>
    <col min="5124" max="5124" width="16.85546875" style="51" bestFit="1" customWidth="1"/>
    <col min="5125" max="5126" width="25.140625" style="51" bestFit="1" customWidth="1"/>
    <col min="5127" max="5127" width="16.85546875" style="51" bestFit="1" customWidth="1"/>
    <col min="5128" max="5128" width="10.85546875" style="51" bestFit="1" customWidth="1"/>
    <col min="5129" max="5129" width="5.85546875" style="51" bestFit="1" customWidth="1"/>
    <col min="5130" max="5130" width="10.85546875" style="51" bestFit="1" customWidth="1"/>
    <col min="5131" max="5375" width="9.140625" style="51"/>
    <col min="5376" max="5376" width="8.5703125" style="51" bestFit="1" customWidth="1"/>
    <col min="5377" max="5377" width="69.7109375" style="51" bestFit="1" customWidth="1"/>
    <col min="5378" max="5378" width="16.85546875" style="51" bestFit="1" customWidth="1"/>
    <col min="5379" max="5379" width="33.5703125" style="51" bestFit="1" customWidth="1"/>
    <col min="5380" max="5380" width="16.85546875" style="51" bestFit="1" customWidth="1"/>
    <col min="5381" max="5382" width="25.140625" style="51" bestFit="1" customWidth="1"/>
    <col min="5383" max="5383" width="16.85546875" style="51" bestFit="1" customWidth="1"/>
    <col min="5384" max="5384" width="10.85546875" style="51" bestFit="1" customWidth="1"/>
    <col min="5385" max="5385" width="5.85546875" style="51" bestFit="1" customWidth="1"/>
    <col min="5386" max="5386" width="10.85546875" style="51" bestFit="1" customWidth="1"/>
    <col min="5387" max="5631" width="9.140625" style="51"/>
    <col min="5632" max="5632" width="8.5703125" style="51" bestFit="1" customWidth="1"/>
    <col min="5633" max="5633" width="69.7109375" style="51" bestFit="1" customWidth="1"/>
    <col min="5634" max="5634" width="16.85546875" style="51" bestFit="1" customWidth="1"/>
    <col min="5635" max="5635" width="33.5703125" style="51" bestFit="1" customWidth="1"/>
    <col min="5636" max="5636" width="16.85546875" style="51" bestFit="1" customWidth="1"/>
    <col min="5637" max="5638" width="25.140625" style="51" bestFit="1" customWidth="1"/>
    <col min="5639" max="5639" width="16.85546875" style="51" bestFit="1" customWidth="1"/>
    <col min="5640" max="5640" width="10.85546875" style="51" bestFit="1" customWidth="1"/>
    <col min="5641" max="5641" width="5.85546875" style="51" bestFit="1" customWidth="1"/>
    <col min="5642" max="5642" width="10.85546875" style="51" bestFit="1" customWidth="1"/>
    <col min="5643" max="5887" width="9.140625" style="51"/>
    <col min="5888" max="5888" width="8.5703125" style="51" bestFit="1" customWidth="1"/>
    <col min="5889" max="5889" width="69.7109375" style="51" bestFit="1" customWidth="1"/>
    <col min="5890" max="5890" width="16.85546875" style="51" bestFit="1" customWidth="1"/>
    <col min="5891" max="5891" width="33.5703125" style="51" bestFit="1" customWidth="1"/>
    <col min="5892" max="5892" width="16.85546875" style="51" bestFit="1" customWidth="1"/>
    <col min="5893" max="5894" width="25.140625" style="51" bestFit="1" customWidth="1"/>
    <col min="5895" max="5895" width="16.85546875" style="51" bestFit="1" customWidth="1"/>
    <col min="5896" max="5896" width="10.85546875" style="51" bestFit="1" customWidth="1"/>
    <col min="5897" max="5897" width="5.85546875" style="51" bestFit="1" customWidth="1"/>
    <col min="5898" max="5898" width="10.85546875" style="51" bestFit="1" customWidth="1"/>
    <col min="5899" max="6143" width="9.140625" style="51"/>
    <col min="6144" max="6144" width="8.5703125" style="51" bestFit="1" customWidth="1"/>
    <col min="6145" max="6145" width="69.7109375" style="51" bestFit="1" customWidth="1"/>
    <col min="6146" max="6146" width="16.85546875" style="51" bestFit="1" customWidth="1"/>
    <col min="6147" max="6147" width="33.5703125" style="51" bestFit="1" customWidth="1"/>
    <col min="6148" max="6148" width="16.85546875" style="51" bestFit="1" customWidth="1"/>
    <col min="6149" max="6150" width="25.140625" style="51" bestFit="1" customWidth="1"/>
    <col min="6151" max="6151" width="16.85546875" style="51" bestFit="1" customWidth="1"/>
    <col min="6152" max="6152" width="10.85546875" style="51" bestFit="1" customWidth="1"/>
    <col min="6153" max="6153" width="5.85546875" style="51" bestFit="1" customWidth="1"/>
    <col min="6154" max="6154" width="10.85546875" style="51" bestFit="1" customWidth="1"/>
    <col min="6155" max="6399" width="9.140625" style="51"/>
    <col min="6400" max="6400" width="8.5703125" style="51" bestFit="1" customWidth="1"/>
    <col min="6401" max="6401" width="69.7109375" style="51" bestFit="1" customWidth="1"/>
    <col min="6402" max="6402" width="16.85546875" style="51" bestFit="1" customWidth="1"/>
    <col min="6403" max="6403" width="33.5703125" style="51" bestFit="1" customWidth="1"/>
    <col min="6404" max="6404" width="16.85546875" style="51" bestFit="1" customWidth="1"/>
    <col min="6405" max="6406" width="25.140625" style="51" bestFit="1" customWidth="1"/>
    <col min="6407" max="6407" width="16.85546875" style="51" bestFit="1" customWidth="1"/>
    <col min="6408" max="6408" width="10.85546875" style="51" bestFit="1" customWidth="1"/>
    <col min="6409" max="6409" width="5.85546875" style="51" bestFit="1" customWidth="1"/>
    <col min="6410" max="6410" width="10.85546875" style="51" bestFit="1" customWidth="1"/>
    <col min="6411" max="6655" width="9.140625" style="51"/>
    <col min="6656" max="6656" width="8.5703125" style="51" bestFit="1" customWidth="1"/>
    <col min="6657" max="6657" width="69.7109375" style="51" bestFit="1" customWidth="1"/>
    <col min="6658" max="6658" width="16.85546875" style="51" bestFit="1" customWidth="1"/>
    <col min="6659" max="6659" width="33.5703125" style="51" bestFit="1" customWidth="1"/>
    <col min="6660" max="6660" width="16.85546875" style="51" bestFit="1" customWidth="1"/>
    <col min="6661" max="6662" width="25.140625" style="51" bestFit="1" customWidth="1"/>
    <col min="6663" max="6663" width="16.85546875" style="51" bestFit="1" customWidth="1"/>
    <col min="6664" max="6664" width="10.85546875" style="51" bestFit="1" customWidth="1"/>
    <col min="6665" max="6665" width="5.85546875" style="51" bestFit="1" customWidth="1"/>
    <col min="6666" max="6666" width="10.85546875" style="51" bestFit="1" customWidth="1"/>
    <col min="6667" max="6911" width="9.140625" style="51"/>
    <col min="6912" max="6912" width="8.5703125" style="51" bestFit="1" customWidth="1"/>
    <col min="6913" max="6913" width="69.7109375" style="51" bestFit="1" customWidth="1"/>
    <col min="6914" max="6914" width="16.85546875" style="51" bestFit="1" customWidth="1"/>
    <col min="6915" max="6915" width="33.5703125" style="51" bestFit="1" customWidth="1"/>
    <col min="6916" max="6916" width="16.85546875" style="51" bestFit="1" customWidth="1"/>
    <col min="6917" max="6918" width="25.140625" style="51" bestFit="1" customWidth="1"/>
    <col min="6919" max="6919" width="16.85546875" style="51" bestFit="1" customWidth="1"/>
    <col min="6920" max="6920" width="10.85546875" style="51" bestFit="1" customWidth="1"/>
    <col min="6921" max="6921" width="5.85546875" style="51" bestFit="1" customWidth="1"/>
    <col min="6922" max="6922" width="10.85546875" style="51" bestFit="1" customWidth="1"/>
    <col min="6923" max="7167" width="9.140625" style="51"/>
    <col min="7168" max="7168" width="8.5703125" style="51" bestFit="1" customWidth="1"/>
    <col min="7169" max="7169" width="69.7109375" style="51" bestFit="1" customWidth="1"/>
    <col min="7170" max="7170" width="16.85546875" style="51" bestFit="1" customWidth="1"/>
    <col min="7171" max="7171" width="33.5703125" style="51" bestFit="1" customWidth="1"/>
    <col min="7172" max="7172" width="16.85546875" style="51" bestFit="1" customWidth="1"/>
    <col min="7173" max="7174" width="25.140625" style="51" bestFit="1" customWidth="1"/>
    <col min="7175" max="7175" width="16.85546875" style="51" bestFit="1" customWidth="1"/>
    <col min="7176" max="7176" width="10.85546875" style="51" bestFit="1" customWidth="1"/>
    <col min="7177" max="7177" width="5.85546875" style="51" bestFit="1" customWidth="1"/>
    <col min="7178" max="7178" width="10.85546875" style="51" bestFit="1" customWidth="1"/>
    <col min="7179" max="7423" width="9.140625" style="51"/>
    <col min="7424" max="7424" width="8.5703125" style="51" bestFit="1" customWidth="1"/>
    <col min="7425" max="7425" width="69.7109375" style="51" bestFit="1" customWidth="1"/>
    <col min="7426" max="7426" width="16.85546875" style="51" bestFit="1" customWidth="1"/>
    <col min="7427" max="7427" width="33.5703125" style="51" bestFit="1" customWidth="1"/>
    <col min="7428" max="7428" width="16.85546875" style="51" bestFit="1" customWidth="1"/>
    <col min="7429" max="7430" width="25.140625" style="51" bestFit="1" customWidth="1"/>
    <col min="7431" max="7431" width="16.85546875" style="51" bestFit="1" customWidth="1"/>
    <col min="7432" max="7432" width="10.85546875" style="51" bestFit="1" customWidth="1"/>
    <col min="7433" max="7433" width="5.85546875" style="51" bestFit="1" customWidth="1"/>
    <col min="7434" max="7434" width="10.85546875" style="51" bestFit="1" customWidth="1"/>
    <col min="7435" max="7679" width="9.140625" style="51"/>
    <col min="7680" max="7680" width="8.5703125" style="51" bestFit="1" customWidth="1"/>
    <col min="7681" max="7681" width="69.7109375" style="51" bestFit="1" customWidth="1"/>
    <col min="7682" max="7682" width="16.85546875" style="51" bestFit="1" customWidth="1"/>
    <col min="7683" max="7683" width="33.5703125" style="51" bestFit="1" customWidth="1"/>
    <col min="7684" max="7684" width="16.85546875" style="51" bestFit="1" customWidth="1"/>
    <col min="7685" max="7686" width="25.140625" style="51" bestFit="1" customWidth="1"/>
    <col min="7687" max="7687" width="16.85546875" style="51" bestFit="1" customWidth="1"/>
    <col min="7688" max="7688" width="10.85546875" style="51" bestFit="1" customWidth="1"/>
    <col min="7689" max="7689" width="5.85546875" style="51" bestFit="1" customWidth="1"/>
    <col min="7690" max="7690" width="10.85546875" style="51" bestFit="1" customWidth="1"/>
    <col min="7691" max="7935" width="9.140625" style="51"/>
    <col min="7936" max="7936" width="8.5703125" style="51" bestFit="1" customWidth="1"/>
    <col min="7937" max="7937" width="69.7109375" style="51" bestFit="1" customWidth="1"/>
    <col min="7938" max="7938" width="16.85546875" style="51" bestFit="1" customWidth="1"/>
    <col min="7939" max="7939" width="33.5703125" style="51" bestFit="1" customWidth="1"/>
    <col min="7940" max="7940" width="16.85546875" style="51" bestFit="1" customWidth="1"/>
    <col min="7941" max="7942" width="25.140625" style="51" bestFit="1" customWidth="1"/>
    <col min="7943" max="7943" width="16.85546875" style="51" bestFit="1" customWidth="1"/>
    <col min="7944" max="7944" width="10.85546875" style="51" bestFit="1" customWidth="1"/>
    <col min="7945" max="7945" width="5.85546875" style="51" bestFit="1" customWidth="1"/>
    <col min="7946" max="7946" width="10.85546875" style="51" bestFit="1" customWidth="1"/>
    <col min="7947" max="8191" width="9.140625" style="51"/>
    <col min="8192" max="8192" width="8.5703125" style="51" bestFit="1" customWidth="1"/>
    <col min="8193" max="8193" width="69.7109375" style="51" bestFit="1" customWidth="1"/>
    <col min="8194" max="8194" width="16.85546875" style="51" bestFit="1" customWidth="1"/>
    <col min="8195" max="8195" width="33.5703125" style="51" bestFit="1" customWidth="1"/>
    <col min="8196" max="8196" width="16.85546875" style="51" bestFit="1" customWidth="1"/>
    <col min="8197" max="8198" width="25.140625" style="51" bestFit="1" customWidth="1"/>
    <col min="8199" max="8199" width="16.85546875" style="51" bestFit="1" customWidth="1"/>
    <col min="8200" max="8200" width="10.85546875" style="51" bestFit="1" customWidth="1"/>
    <col min="8201" max="8201" width="5.85546875" style="51" bestFit="1" customWidth="1"/>
    <col min="8202" max="8202" width="10.85546875" style="51" bestFit="1" customWidth="1"/>
    <col min="8203" max="8447" width="9.140625" style="51"/>
    <col min="8448" max="8448" width="8.5703125" style="51" bestFit="1" customWidth="1"/>
    <col min="8449" max="8449" width="69.7109375" style="51" bestFit="1" customWidth="1"/>
    <col min="8450" max="8450" width="16.85546875" style="51" bestFit="1" customWidth="1"/>
    <col min="8451" max="8451" width="33.5703125" style="51" bestFit="1" customWidth="1"/>
    <col min="8452" max="8452" width="16.85546875" style="51" bestFit="1" customWidth="1"/>
    <col min="8453" max="8454" width="25.140625" style="51" bestFit="1" customWidth="1"/>
    <col min="8455" max="8455" width="16.85546875" style="51" bestFit="1" customWidth="1"/>
    <col min="8456" max="8456" width="10.85546875" style="51" bestFit="1" customWidth="1"/>
    <col min="8457" max="8457" width="5.85546875" style="51" bestFit="1" customWidth="1"/>
    <col min="8458" max="8458" width="10.85546875" style="51" bestFit="1" customWidth="1"/>
    <col min="8459" max="8703" width="9.140625" style="51"/>
    <col min="8704" max="8704" width="8.5703125" style="51" bestFit="1" customWidth="1"/>
    <col min="8705" max="8705" width="69.7109375" style="51" bestFit="1" customWidth="1"/>
    <col min="8706" max="8706" width="16.85546875" style="51" bestFit="1" customWidth="1"/>
    <col min="8707" max="8707" width="33.5703125" style="51" bestFit="1" customWidth="1"/>
    <col min="8708" max="8708" width="16.85546875" style="51" bestFit="1" customWidth="1"/>
    <col min="8709" max="8710" width="25.140625" style="51" bestFit="1" customWidth="1"/>
    <col min="8711" max="8711" width="16.85546875" style="51" bestFit="1" customWidth="1"/>
    <col min="8712" max="8712" width="10.85546875" style="51" bestFit="1" customWidth="1"/>
    <col min="8713" max="8713" width="5.85546875" style="51" bestFit="1" customWidth="1"/>
    <col min="8714" max="8714" width="10.85546875" style="51" bestFit="1" customWidth="1"/>
    <col min="8715" max="8959" width="9.140625" style="51"/>
    <col min="8960" max="8960" width="8.5703125" style="51" bestFit="1" customWidth="1"/>
    <col min="8961" max="8961" width="69.7109375" style="51" bestFit="1" customWidth="1"/>
    <col min="8962" max="8962" width="16.85546875" style="51" bestFit="1" customWidth="1"/>
    <col min="8963" max="8963" width="33.5703125" style="51" bestFit="1" customWidth="1"/>
    <col min="8964" max="8964" width="16.85546875" style="51" bestFit="1" customWidth="1"/>
    <col min="8965" max="8966" width="25.140625" style="51" bestFit="1" customWidth="1"/>
    <col min="8967" max="8967" width="16.85546875" style="51" bestFit="1" customWidth="1"/>
    <col min="8968" max="8968" width="10.85546875" style="51" bestFit="1" customWidth="1"/>
    <col min="8969" max="8969" width="5.85546875" style="51" bestFit="1" customWidth="1"/>
    <col min="8970" max="8970" width="10.85546875" style="51" bestFit="1" customWidth="1"/>
    <col min="8971" max="9215" width="9.140625" style="51"/>
    <col min="9216" max="9216" width="8.5703125" style="51" bestFit="1" customWidth="1"/>
    <col min="9217" max="9217" width="69.7109375" style="51" bestFit="1" customWidth="1"/>
    <col min="9218" max="9218" width="16.85546875" style="51" bestFit="1" customWidth="1"/>
    <col min="9219" max="9219" width="33.5703125" style="51" bestFit="1" customWidth="1"/>
    <col min="9220" max="9220" width="16.85546875" style="51" bestFit="1" customWidth="1"/>
    <col min="9221" max="9222" width="25.140625" style="51" bestFit="1" customWidth="1"/>
    <col min="9223" max="9223" width="16.85546875" style="51" bestFit="1" customWidth="1"/>
    <col min="9224" max="9224" width="10.85546875" style="51" bestFit="1" customWidth="1"/>
    <col min="9225" max="9225" width="5.85546875" style="51" bestFit="1" customWidth="1"/>
    <col min="9226" max="9226" width="10.85546875" style="51" bestFit="1" customWidth="1"/>
    <col min="9227" max="9471" width="9.140625" style="51"/>
    <col min="9472" max="9472" width="8.5703125" style="51" bestFit="1" customWidth="1"/>
    <col min="9473" max="9473" width="69.7109375" style="51" bestFit="1" customWidth="1"/>
    <col min="9474" max="9474" width="16.85546875" style="51" bestFit="1" customWidth="1"/>
    <col min="9475" max="9475" width="33.5703125" style="51" bestFit="1" customWidth="1"/>
    <col min="9476" max="9476" width="16.85546875" style="51" bestFit="1" customWidth="1"/>
    <col min="9477" max="9478" width="25.140625" style="51" bestFit="1" customWidth="1"/>
    <col min="9479" max="9479" width="16.85546875" style="51" bestFit="1" customWidth="1"/>
    <col min="9480" max="9480" width="10.85546875" style="51" bestFit="1" customWidth="1"/>
    <col min="9481" max="9481" width="5.85546875" style="51" bestFit="1" customWidth="1"/>
    <col min="9482" max="9482" width="10.85546875" style="51" bestFit="1" customWidth="1"/>
    <col min="9483" max="9727" width="9.140625" style="51"/>
    <col min="9728" max="9728" width="8.5703125" style="51" bestFit="1" customWidth="1"/>
    <col min="9729" max="9729" width="69.7109375" style="51" bestFit="1" customWidth="1"/>
    <col min="9730" max="9730" width="16.85546875" style="51" bestFit="1" customWidth="1"/>
    <col min="9731" max="9731" width="33.5703125" style="51" bestFit="1" customWidth="1"/>
    <col min="9732" max="9732" width="16.85546875" style="51" bestFit="1" customWidth="1"/>
    <col min="9733" max="9734" width="25.140625" style="51" bestFit="1" customWidth="1"/>
    <col min="9735" max="9735" width="16.85546875" style="51" bestFit="1" customWidth="1"/>
    <col min="9736" max="9736" width="10.85546875" style="51" bestFit="1" customWidth="1"/>
    <col min="9737" max="9737" width="5.85546875" style="51" bestFit="1" customWidth="1"/>
    <col min="9738" max="9738" width="10.85546875" style="51" bestFit="1" customWidth="1"/>
    <col min="9739" max="9983" width="9.140625" style="51"/>
    <col min="9984" max="9984" width="8.5703125" style="51" bestFit="1" customWidth="1"/>
    <col min="9985" max="9985" width="69.7109375" style="51" bestFit="1" customWidth="1"/>
    <col min="9986" max="9986" width="16.85546875" style="51" bestFit="1" customWidth="1"/>
    <col min="9987" max="9987" width="33.5703125" style="51" bestFit="1" customWidth="1"/>
    <col min="9988" max="9988" width="16.85546875" style="51" bestFit="1" customWidth="1"/>
    <col min="9989" max="9990" width="25.140625" style="51" bestFit="1" customWidth="1"/>
    <col min="9991" max="9991" width="16.85546875" style="51" bestFit="1" customWidth="1"/>
    <col min="9992" max="9992" width="10.85546875" style="51" bestFit="1" customWidth="1"/>
    <col min="9993" max="9993" width="5.85546875" style="51" bestFit="1" customWidth="1"/>
    <col min="9994" max="9994" width="10.85546875" style="51" bestFit="1" customWidth="1"/>
    <col min="9995" max="10239" width="9.140625" style="51"/>
    <col min="10240" max="10240" width="8.5703125" style="51" bestFit="1" customWidth="1"/>
    <col min="10241" max="10241" width="69.7109375" style="51" bestFit="1" customWidth="1"/>
    <col min="10242" max="10242" width="16.85546875" style="51" bestFit="1" customWidth="1"/>
    <col min="10243" max="10243" width="33.5703125" style="51" bestFit="1" customWidth="1"/>
    <col min="10244" max="10244" width="16.85546875" style="51" bestFit="1" customWidth="1"/>
    <col min="10245" max="10246" width="25.140625" style="51" bestFit="1" customWidth="1"/>
    <col min="10247" max="10247" width="16.85546875" style="51" bestFit="1" customWidth="1"/>
    <col min="10248" max="10248" width="10.85546875" style="51" bestFit="1" customWidth="1"/>
    <col min="10249" max="10249" width="5.85546875" style="51" bestFit="1" customWidth="1"/>
    <col min="10250" max="10250" width="10.85546875" style="51" bestFit="1" customWidth="1"/>
    <col min="10251" max="10495" width="9.140625" style="51"/>
    <col min="10496" max="10496" width="8.5703125" style="51" bestFit="1" customWidth="1"/>
    <col min="10497" max="10497" width="69.7109375" style="51" bestFit="1" customWidth="1"/>
    <col min="10498" max="10498" width="16.85546875" style="51" bestFit="1" customWidth="1"/>
    <col min="10499" max="10499" width="33.5703125" style="51" bestFit="1" customWidth="1"/>
    <col min="10500" max="10500" width="16.85546875" style="51" bestFit="1" customWidth="1"/>
    <col min="10501" max="10502" width="25.140625" style="51" bestFit="1" customWidth="1"/>
    <col min="10503" max="10503" width="16.85546875" style="51" bestFit="1" customWidth="1"/>
    <col min="10504" max="10504" width="10.85546875" style="51" bestFit="1" customWidth="1"/>
    <col min="10505" max="10505" width="5.85546875" style="51" bestFit="1" customWidth="1"/>
    <col min="10506" max="10506" width="10.85546875" style="51" bestFit="1" customWidth="1"/>
    <col min="10507" max="10751" width="9.140625" style="51"/>
    <col min="10752" max="10752" width="8.5703125" style="51" bestFit="1" customWidth="1"/>
    <col min="10753" max="10753" width="69.7109375" style="51" bestFit="1" customWidth="1"/>
    <col min="10754" max="10754" width="16.85546875" style="51" bestFit="1" customWidth="1"/>
    <col min="10755" max="10755" width="33.5703125" style="51" bestFit="1" customWidth="1"/>
    <col min="10756" max="10756" width="16.85546875" style="51" bestFit="1" customWidth="1"/>
    <col min="10757" max="10758" width="25.140625" style="51" bestFit="1" customWidth="1"/>
    <col min="10759" max="10759" width="16.85546875" style="51" bestFit="1" customWidth="1"/>
    <col min="10760" max="10760" width="10.85546875" style="51" bestFit="1" customWidth="1"/>
    <col min="10761" max="10761" width="5.85546875" style="51" bestFit="1" customWidth="1"/>
    <col min="10762" max="10762" width="10.85546875" style="51" bestFit="1" customWidth="1"/>
    <col min="10763" max="11007" width="9.140625" style="51"/>
    <col min="11008" max="11008" width="8.5703125" style="51" bestFit="1" customWidth="1"/>
    <col min="11009" max="11009" width="69.7109375" style="51" bestFit="1" customWidth="1"/>
    <col min="11010" max="11010" width="16.85546875" style="51" bestFit="1" customWidth="1"/>
    <col min="11011" max="11011" width="33.5703125" style="51" bestFit="1" customWidth="1"/>
    <col min="11012" max="11012" width="16.85546875" style="51" bestFit="1" customWidth="1"/>
    <col min="11013" max="11014" width="25.140625" style="51" bestFit="1" customWidth="1"/>
    <col min="11015" max="11015" width="16.85546875" style="51" bestFit="1" customWidth="1"/>
    <col min="11016" max="11016" width="10.85546875" style="51" bestFit="1" customWidth="1"/>
    <col min="11017" max="11017" width="5.85546875" style="51" bestFit="1" customWidth="1"/>
    <col min="11018" max="11018" width="10.85546875" style="51" bestFit="1" customWidth="1"/>
    <col min="11019" max="11263" width="9.140625" style="51"/>
    <col min="11264" max="11264" width="8.5703125" style="51" bestFit="1" customWidth="1"/>
    <col min="11265" max="11265" width="69.7109375" style="51" bestFit="1" customWidth="1"/>
    <col min="11266" max="11266" width="16.85546875" style="51" bestFit="1" customWidth="1"/>
    <col min="11267" max="11267" width="33.5703125" style="51" bestFit="1" customWidth="1"/>
    <col min="11268" max="11268" width="16.85546875" style="51" bestFit="1" customWidth="1"/>
    <col min="11269" max="11270" width="25.140625" style="51" bestFit="1" customWidth="1"/>
    <col min="11271" max="11271" width="16.85546875" style="51" bestFit="1" customWidth="1"/>
    <col min="11272" max="11272" width="10.85546875" style="51" bestFit="1" customWidth="1"/>
    <col min="11273" max="11273" width="5.85546875" style="51" bestFit="1" customWidth="1"/>
    <col min="11274" max="11274" width="10.85546875" style="51" bestFit="1" customWidth="1"/>
    <col min="11275" max="11519" width="9.140625" style="51"/>
    <col min="11520" max="11520" width="8.5703125" style="51" bestFit="1" customWidth="1"/>
    <col min="11521" max="11521" width="69.7109375" style="51" bestFit="1" customWidth="1"/>
    <col min="11522" max="11522" width="16.85546875" style="51" bestFit="1" customWidth="1"/>
    <col min="11523" max="11523" width="33.5703125" style="51" bestFit="1" customWidth="1"/>
    <col min="11524" max="11524" width="16.85546875" style="51" bestFit="1" customWidth="1"/>
    <col min="11525" max="11526" width="25.140625" style="51" bestFit="1" customWidth="1"/>
    <col min="11527" max="11527" width="16.85546875" style="51" bestFit="1" customWidth="1"/>
    <col min="11528" max="11528" width="10.85546875" style="51" bestFit="1" customWidth="1"/>
    <col min="11529" max="11529" width="5.85546875" style="51" bestFit="1" customWidth="1"/>
    <col min="11530" max="11530" width="10.85546875" style="51" bestFit="1" customWidth="1"/>
    <col min="11531" max="11775" width="9.140625" style="51"/>
    <col min="11776" max="11776" width="8.5703125" style="51" bestFit="1" customWidth="1"/>
    <col min="11777" max="11777" width="69.7109375" style="51" bestFit="1" customWidth="1"/>
    <col min="11778" max="11778" width="16.85546875" style="51" bestFit="1" customWidth="1"/>
    <col min="11779" max="11779" width="33.5703125" style="51" bestFit="1" customWidth="1"/>
    <col min="11780" max="11780" width="16.85546875" style="51" bestFit="1" customWidth="1"/>
    <col min="11781" max="11782" width="25.140625" style="51" bestFit="1" customWidth="1"/>
    <col min="11783" max="11783" width="16.85546875" style="51" bestFit="1" customWidth="1"/>
    <col min="11784" max="11784" width="10.85546875" style="51" bestFit="1" customWidth="1"/>
    <col min="11785" max="11785" width="5.85546875" style="51" bestFit="1" customWidth="1"/>
    <col min="11786" max="11786" width="10.85546875" style="51" bestFit="1" customWidth="1"/>
    <col min="11787" max="12031" width="9.140625" style="51"/>
    <col min="12032" max="12032" width="8.5703125" style="51" bestFit="1" customWidth="1"/>
    <col min="12033" max="12033" width="69.7109375" style="51" bestFit="1" customWidth="1"/>
    <col min="12034" max="12034" width="16.85546875" style="51" bestFit="1" customWidth="1"/>
    <col min="12035" max="12035" width="33.5703125" style="51" bestFit="1" customWidth="1"/>
    <col min="12036" max="12036" width="16.85546875" style="51" bestFit="1" customWidth="1"/>
    <col min="12037" max="12038" width="25.140625" style="51" bestFit="1" customWidth="1"/>
    <col min="12039" max="12039" width="16.85546875" style="51" bestFit="1" customWidth="1"/>
    <col min="12040" max="12040" width="10.85546875" style="51" bestFit="1" customWidth="1"/>
    <col min="12041" max="12041" width="5.85546875" style="51" bestFit="1" customWidth="1"/>
    <col min="12042" max="12042" width="10.85546875" style="51" bestFit="1" customWidth="1"/>
    <col min="12043" max="12287" width="9.140625" style="51"/>
    <col min="12288" max="12288" width="8.5703125" style="51" bestFit="1" customWidth="1"/>
    <col min="12289" max="12289" width="69.7109375" style="51" bestFit="1" customWidth="1"/>
    <col min="12290" max="12290" width="16.85546875" style="51" bestFit="1" customWidth="1"/>
    <col min="12291" max="12291" width="33.5703125" style="51" bestFit="1" customWidth="1"/>
    <col min="12292" max="12292" width="16.85546875" style="51" bestFit="1" customWidth="1"/>
    <col min="12293" max="12294" width="25.140625" style="51" bestFit="1" customWidth="1"/>
    <col min="12295" max="12295" width="16.85546875" style="51" bestFit="1" customWidth="1"/>
    <col min="12296" max="12296" width="10.85546875" style="51" bestFit="1" customWidth="1"/>
    <col min="12297" max="12297" width="5.85546875" style="51" bestFit="1" customWidth="1"/>
    <col min="12298" max="12298" width="10.85546875" style="51" bestFit="1" customWidth="1"/>
    <col min="12299" max="12543" width="9.140625" style="51"/>
    <col min="12544" max="12544" width="8.5703125" style="51" bestFit="1" customWidth="1"/>
    <col min="12545" max="12545" width="69.7109375" style="51" bestFit="1" customWidth="1"/>
    <col min="12546" max="12546" width="16.85546875" style="51" bestFit="1" customWidth="1"/>
    <col min="12547" max="12547" width="33.5703125" style="51" bestFit="1" customWidth="1"/>
    <col min="12548" max="12548" width="16.85546875" style="51" bestFit="1" customWidth="1"/>
    <col min="12549" max="12550" width="25.140625" style="51" bestFit="1" customWidth="1"/>
    <col min="12551" max="12551" width="16.85546875" style="51" bestFit="1" customWidth="1"/>
    <col min="12552" max="12552" width="10.85546875" style="51" bestFit="1" customWidth="1"/>
    <col min="12553" max="12553" width="5.85546875" style="51" bestFit="1" customWidth="1"/>
    <col min="12554" max="12554" width="10.85546875" style="51" bestFit="1" customWidth="1"/>
    <col min="12555" max="12799" width="9.140625" style="51"/>
    <col min="12800" max="12800" width="8.5703125" style="51" bestFit="1" customWidth="1"/>
    <col min="12801" max="12801" width="69.7109375" style="51" bestFit="1" customWidth="1"/>
    <col min="12802" max="12802" width="16.85546875" style="51" bestFit="1" customWidth="1"/>
    <col min="12803" max="12803" width="33.5703125" style="51" bestFit="1" customWidth="1"/>
    <col min="12804" max="12804" width="16.85546875" style="51" bestFit="1" customWidth="1"/>
    <col min="12805" max="12806" width="25.140625" style="51" bestFit="1" customWidth="1"/>
    <col min="12807" max="12807" width="16.85546875" style="51" bestFit="1" customWidth="1"/>
    <col min="12808" max="12808" width="10.85546875" style="51" bestFit="1" customWidth="1"/>
    <col min="12809" max="12809" width="5.85546875" style="51" bestFit="1" customWidth="1"/>
    <col min="12810" max="12810" width="10.85546875" style="51" bestFit="1" customWidth="1"/>
    <col min="12811" max="13055" width="9.140625" style="51"/>
    <col min="13056" max="13056" width="8.5703125" style="51" bestFit="1" customWidth="1"/>
    <col min="13057" max="13057" width="69.7109375" style="51" bestFit="1" customWidth="1"/>
    <col min="13058" max="13058" width="16.85546875" style="51" bestFit="1" customWidth="1"/>
    <col min="13059" max="13059" width="33.5703125" style="51" bestFit="1" customWidth="1"/>
    <col min="13060" max="13060" width="16.85546875" style="51" bestFit="1" customWidth="1"/>
    <col min="13061" max="13062" width="25.140625" style="51" bestFit="1" customWidth="1"/>
    <col min="13063" max="13063" width="16.85546875" style="51" bestFit="1" customWidth="1"/>
    <col min="13064" max="13064" width="10.85546875" style="51" bestFit="1" customWidth="1"/>
    <col min="13065" max="13065" width="5.85546875" style="51" bestFit="1" customWidth="1"/>
    <col min="13066" max="13066" width="10.85546875" style="51" bestFit="1" customWidth="1"/>
    <col min="13067" max="13311" width="9.140625" style="51"/>
    <col min="13312" max="13312" width="8.5703125" style="51" bestFit="1" customWidth="1"/>
    <col min="13313" max="13313" width="69.7109375" style="51" bestFit="1" customWidth="1"/>
    <col min="13314" max="13314" width="16.85546875" style="51" bestFit="1" customWidth="1"/>
    <col min="13315" max="13315" width="33.5703125" style="51" bestFit="1" customWidth="1"/>
    <col min="13316" max="13316" width="16.85546875" style="51" bestFit="1" customWidth="1"/>
    <col min="13317" max="13318" width="25.140625" style="51" bestFit="1" customWidth="1"/>
    <col min="13319" max="13319" width="16.85546875" style="51" bestFit="1" customWidth="1"/>
    <col min="13320" max="13320" width="10.85546875" style="51" bestFit="1" customWidth="1"/>
    <col min="13321" max="13321" width="5.85546875" style="51" bestFit="1" customWidth="1"/>
    <col min="13322" max="13322" width="10.85546875" style="51" bestFit="1" customWidth="1"/>
    <col min="13323" max="13567" width="9.140625" style="51"/>
    <col min="13568" max="13568" width="8.5703125" style="51" bestFit="1" customWidth="1"/>
    <col min="13569" max="13569" width="69.7109375" style="51" bestFit="1" customWidth="1"/>
    <col min="13570" max="13570" width="16.85546875" style="51" bestFit="1" customWidth="1"/>
    <col min="13571" max="13571" width="33.5703125" style="51" bestFit="1" customWidth="1"/>
    <col min="13572" max="13572" width="16.85546875" style="51" bestFit="1" customWidth="1"/>
    <col min="13573" max="13574" width="25.140625" style="51" bestFit="1" customWidth="1"/>
    <col min="13575" max="13575" width="16.85546875" style="51" bestFit="1" customWidth="1"/>
    <col min="13576" max="13576" width="10.85546875" style="51" bestFit="1" customWidth="1"/>
    <col min="13577" max="13577" width="5.85546875" style="51" bestFit="1" customWidth="1"/>
    <col min="13578" max="13578" width="10.85546875" style="51" bestFit="1" customWidth="1"/>
    <col min="13579" max="13823" width="9.140625" style="51"/>
    <col min="13824" max="13824" width="8.5703125" style="51" bestFit="1" customWidth="1"/>
    <col min="13825" max="13825" width="69.7109375" style="51" bestFit="1" customWidth="1"/>
    <col min="13826" max="13826" width="16.85546875" style="51" bestFit="1" customWidth="1"/>
    <col min="13827" max="13827" width="33.5703125" style="51" bestFit="1" customWidth="1"/>
    <col min="13828" max="13828" width="16.85546875" style="51" bestFit="1" customWidth="1"/>
    <col min="13829" max="13830" width="25.140625" style="51" bestFit="1" customWidth="1"/>
    <col min="13831" max="13831" width="16.85546875" style="51" bestFit="1" customWidth="1"/>
    <col min="13832" max="13832" width="10.85546875" style="51" bestFit="1" customWidth="1"/>
    <col min="13833" max="13833" width="5.85546875" style="51" bestFit="1" customWidth="1"/>
    <col min="13834" max="13834" width="10.85546875" style="51" bestFit="1" customWidth="1"/>
    <col min="13835" max="14079" width="9.140625" style="51"/>
    <col min="14080" max="14080" width="8.5703125" style="51" bestFit="1" customWidth="1"/>
    <col min="14081" max="14081" width="69.7109375" style="51" bestFit="1" customWidth="1"/>
    <col min="14082" max="14082" width="16.85546875" style="51" bestFit="1" customWidth="1"/>
    <col min="14083" max="14083" width="33.5703125" style="51" bestFit="1" customWidth="1"/>
    <col min="14084" max="14084" width="16.85546875" style="51" bestFit="1" customWidth="1"/>
    <col min="14085" max="14086" width="25.140625" style="51" bestFit="1" customWidth="1"/>
    <col min="14087" max="14087" width="16.85546875" style="51" bestFit="1" customWidth="1"/>
    <col min="14088" max="14088" width="10.85546875" style="51" bestFit="1" customWidth="1"/>
    <col min="14089" max="14089" width="5.85546875" style="51" bestFit="1" customWidth="1"/>
    <col min="14090" max="14090" width="10.85546875" style="51" bestFit="1" customWidth="1"/>
    <col min="14091" max="14335" width="9.140625" style="51"/>
    <col min="14336" max="14336" width="8.5703125" style="51" bestFit="1" customWidth="1"/>
    <col min="14337" max="14337" width="69.7109375" style="51" bestFit="1" customWidth="1"/>
    <col min="14338" max="14338" width="16.85546875" style="51" bestFit="1" customWidth="1"/>
    <col min="14339" max="14339" width="33.5703125" style="51" bestFit="1" customWidth="1"/>
    <col min="14340" max="14340" width="16.85546875" style="51" bestFit="1" customWidth="1"/>
    <col min="14341" max="14342" width="25.140625" style="51" bestFit="1" customWidth="1"/>
    <col min="14343" max="14343" width="16.85546875" style="51" bestFit="1" customWidth="1"/>
    <col min="14344" max="14344" width="10.85546875" style="51" bestFit="1" customWidth="1"/>
    <col min="14345" max="14345" width="5.85546875" style="51" bestFit="1" customWidth="1"/>
    <col min="14346" max="14346" width="10.85546875" style="51" bestFit="1" customWidth="1"/>
    <col min="14347" max="14591" width="9.140625" style="51"/>
    <col min="14592" max="14592" width="8.5703125" style="51" bestFit="1" customWidth="1"/>
    <col min="14593" max="14593" width="69.7109375" style="51" bestFit="1" customWidth="1"/>
    <col min="14594" max="14594" width="16.85546875" style="51" bestFit="1" customWidth="1"/>
    <col min="14595" max="14595" width="33.5703125" style="51" bestFit="1" customWidth="1"/>
    <col min="14596" max="14596" width="16.85546875" style="51" bestFit="1" customWidth="1"/>
    <col min="14597" max="14598" width="25.140625" style="51" bestFit="1" customWidth="1"/>
    <col min="14599" max="14599" width="16.85546875" style="51" bestFit="1" customWidth="1"/>
    <col min="14600" max="14600" width="10.85546875" style="51" bestFit="1" customWidth="1"/>
    <col min="14601" max="14601" width="5.85546875" style="51" bestFit="1" customWidth="1"/>
    <col min="14602" max="14602" width="10.85546875" style="51" bestFit="1" customWidth="1"/>
    <col min="14603" max="14847" width="9.140625" style="51"/>
    <col min="14848" max="14848" width="8.5703125" style="51" bestFit="1" customWidth="1"/>
    <col min="14849" max="14849" width="69.7109375" style="51" bestFit="1" customWidth="1"/>
    <col min="14850" max="14850" width="16.85546875" style="51" bestFit="1" customWidth="1"/>
    <col min="14851" max="14851" width="33.5703125" style="51" bestFit="1" customWidth="1"/>
    <col min="14852" max="14852" width="16.85546875" style="51" bestFit="1" customWidth="1"/>
    <col min="14853" max="14854" width="25.140625" style="51" bestFit="1" customWidth="1"/>
    <col min="14855" max="14855" width="16.85546875" style="51" bestFit="1" customWidth="1"/>
    <col min="14856" max="14856" width="10.85546875" style="51" bestFit="1" customWidth="1"/>
    <col min="14857" max="14857" width="5.85546875" style="51" bestFit="1" customWidth="1"/>
    <col min="14858" max="14858" width="10.85546875" style="51" bestFit="1" customWidth="1"/>
    <col min="14859" max="15103" width="9.140625" style="51"/>
    <col min="15104" max="15104" width="8.5703125" style="51" bestFit="1" customWidth="1"/>
    <col min="15105" max="15105" width="69.7109375" style="51" bestFit="1" customWidth="1"/>
    <col min="15106" max="15106" width="16.85546875" style="51" bestFit="1" customWidth="1"/>
    <col min="15107" max="15107" width="33.5703125" style="51" bestFit="1" customWidth="1"/>
    <col min="15108" max="15108" width="16.85546875" style="51" bestFit="1" customWidth="1"/>
    <col min="15109" max="15110" width="25.140625" style="51" bestFit="1" customWidth="1"/>
    <col min="15111" max="15111" width="16.85546875" style="51" bestFit="1" customWidth="1"/>
    <col min="15112" max="15112" width="10.85546875" style="51" bestFit="1" customWidth="1"/>
    <col min="15113" max="15113" width="5.85546875" style="51" bestFit="1" customWidth="1"/>
    <col min="15114" max="15114" width="10.85546875" style="51" bestFit="1" customWidth="1"/>
    <col min="15115" max="15359" width="9.140625" style="51"/>
    <col min="15360" max="15360" width="8.5703125" style="51" bestFit="1" customWidth="1"/>
    <col min="15361" max="15361" width="69.7109375" style="51" bestFit="1" customWidth="1"/>
    <col min="15362" max="15362" width="16.85546875" style="51" bestFit="1" customWidth="1"/>
    <col min="15363" max="15363" width="33.5703125" style="51" bestFit="1" customWidth="1"/>
    <col min="15364" max="15364" width="16.85546875" style="51" bestFit="1" customWidth="1"/>
    <col min="15365" max="15366" width="25.140625" style="51" bestFit="1" customWidth="1"/>
    <col min="15367" max="15367" width="16.85546875" style="51" bestFit="1" customWidth="1"/>
    <col min="15368" max="15368" width="10.85546875" style="51" bestFit="1" customWidth="1"/>
    <col min="15369" max="15369" width="5.85546875" style="51" bestFit="1" customWidth="1"/>
    <col min="15370" max="15370" width="10.85546875" style="51" bestFit="1" customWidth="1"/>
    <col min="15371" max="15615" width="9.140625" style="51"/>
    <col min="15616" max="15616" width="8.5703125" style="51" bestFit="1" customWidth="1"/>
    <col min="15617" max="15617" width="69.7109375" style="51" bestFit="1" customWidth="1"/>
    <col min="15618" max="15618" width="16.85546875" style="51" bestFit="1" customWidth="1"/>
    <col min="15619" max="15619" width="33.5703125" style="51" bestFit="1" customWidth="1"/>
    <col min="15620" max="15620" width="16.85546875" style="51" bestFit="1" customWidth="1"/>
    <col min="15621" max="15622" width="25.140625" style="51" bestFit="1" customWidth="1"/>
    <col min="15623" max="15623" width="16.85546875" style="51" bestFit="1" customWidth="1"/>
    <col min="15624" max="15624" width="10.85546875" style="51" bestFit="1" customWidth="1"/>
    <col min="15625" max="15625" width="5.85546875" style="51" bestFit="1" customWidth="1"/>
    <col min="15626" max="15626" width="10.85546875" style="51" bestFit="1" customWidth="1"/>
    <col min="15627" max="15871" width="9.140625" style="51"/>
    <col min="15872" max="15872" width="8.5703125" style="51" bestFit="1" customWidth="1"/>
    <col min="15873" max="15873" width="69.7109375" style="51" bestFit="1" customWidth="1"/>
    <col min="15874" max="15874" width="16.85546875" style="51" bestFit="1" customWidth="1"/>
    <col min="15875" max="15875" width="33.5703125" style="51" bestFit="1" customWidth="1"/>
    <col min="15876" max="15876" width="16.85546875" style="51" bestFit="1" customWidth="1"/>
    <col min="15877" max="15878" width="25.140625" style="51" bestFit="1" customWidth="1"/>
    <col min="15879" max="15879" width="16.85546875" style="51" bestFit="1" customWidth="1"/>
    <col min="15880" max="15880" width="10.85546875" style="51" bestFit="1" customWidth="1"/>
    <col min="15881" max="15881" width="5.85546875" style="51" bestFit="1" customWidth="1"/>
    <col min="15882" max="15882" width="10.85546875" style="51" bestFit="1" customWidth="1"/>
    <col min="15883" max="16127" width="9.140625" style="51"/>
    <col min="16128" max="16128" width="8.5703125" style="51" bestFit="1" customWidth="1"/>
    <col min="16129" max="16129" width="69.7109375" style="51" bestFit="1" customWidth="1"/>
    <col min="16130" max="16130" width="16.85546875" style="51" bestFit="1" customWidth="1"/>
    <col min="16131" max="16131" width="33.5703125" style="51" bestFit="1" customWidth="1"/>
    <col min="16132" max="16132" width="16.85546875" style="51" bestFit="1" customWidth="1"/>
    <col min="16133" max="16134" width="25.140625" style="51" bestFit="1" customWidth="1"/>
    <col min="16135" max="16135" width="16.85546875" style="51" bestFit="1" customWidth="1"/>
    <col min="16136" max="16136" width="10.85546875" style="51" bestFit="1" customWidth="1"/>
    <col min="16137" max="16137" width="5.85546875" style="51" bestFit="1" customWidth="1"/>
    <col min="16138" max="16138" width="10.85546875" style="51" bestFit="1" customWidth="1"/>
    <col min="16139" max="16384" width="9.140625" style="51"/>
  </cols>
  <sheetData>
    <row r="1" spans="1:12" ht="15.75" thickBot="1">
      <c r="A1" s="109" t="str">
        <f>L2</f>
        <v>AXISSETF</v>
      </c>
    </row>
    <row r="2" spans="1:12" ht="34.5" customHeight="1" thickBot="1">
      <c r="A2" s="135" t="str">
        <f>L2</f>
        <v>AXISSETF</v>
      </c>
      <c r="B2" s="194" t="s">
        <v>101</v>
      </c>
      <c r="C2" s="195"/>
      <c r="D2" s="195"/>
      <c r="E2" s="195"/>
      <c r="F2" s="195"/>
      <c r="G2" s="195"/>
      <c r="H2" s="195"/>
      <c r="I2" s="196"/>
      <c r="J2" s="50"/>
      <c r="L2" s="109" t="s">
        <v>100</v>
      </c>
    </row>
    <row r="3" spans="1:12" ht="12.95" customHeight="1">
      <c r="A3" s="50"/>
      <c r="B3" s="52" t="s">
        <v>3894</v>
      </c>
      <c r="C3" s="50"/>
      <c r="D3" s="50"/>
      <c r="E3" s="50"/>
      <c r="F3" s="50"/>
      <c r="G3" s="50"/>
      <c r="H3" s="50"/>
      <c r="I3" s="50"/>
      <c r="J3" s="50"/>
    </row>
    <row r="4" spans="1:12" ht="12.95" customHeight="1" thickBot="1">
      <c r="A4" s="53" t="s">
        <v>118</v>
      </c>
      <c r="B4" s="6" t="s">
        <v>4035</v>
      </c>
      <c r="C4" s="50"/>
      <c r="D4" s="50"/>
      <c r="E4" s="50"/>
      <c r="F4" s="50"/>
      <c r="G4" s="50"/>
      <c r="H4" s="50"/>
      <c r="I4" s="50"/>
      <c r="J4" s="50"/>
    </row>
    <row r="5" spans="1:12" ht="27.95" customHeight="1">
      <c r="A5" s="50"/>
      <c r="B5" s="117" t="s">
        <v>119</v>
      </c>
      <c r="C5" s="118" t="s">
        <v>120</v>
      </c>
      <c r="D5" s="119" t="s">
        <v>121</v>
      </c>
      <c r="E5" s="119" t="s">
        <v>122</v>
      </c>
      <c r="F5" s="119" t="s">
        <v>123</v>
      </c>
      <c r="G5" s="119" t="s">
        <v>124</v>
      </c>
      <c r="H5" s="119" t="s">
        <v>125</v>
      </c>
      <c r="I5" s="120" t="s">
        <v>126</v>
      </c>
      <c r="J5" s="54" t="s">
        <v>218</v>
      </c>
    </row>
    <row r="6" spans="1:12" ht="12.95" customHeight="1">
      <c r="A6" s="50"/>
      <c r="B6" s="121" t="s">
        <v>127</v>
      </c>
      <c r="C6" s="55" t="s">
        <v>3894</v>
      </c>
      <c r="D6" s="55" t="s">
        <v>3894</v>
      </c>
      <c r="E6" s="55" t="s">
        <v>3894</v>
      </c>
      <c r="F6" s="55" t="s">
        <v>3894</v>
      </c>
      <c r="G6" s="55" t="s">
        <v>3894</v>
      </c>
      <c r="H6" s="56" t="s">
        <v>3894</v>
      </c>
      <c r="I6" s="122" t="s">
        <v>3894</v>
      </c>
      <c r="J6" s="50"/>
    </row>
    <row r="7" spans="1:12" ht="12.95" customHeight="1">
      <c r="A7" s="50"/>
      <c r="B7" s="121" t="s">
        <v>128</v>
      </c>
      <c r="C7" s="55" t="s">
        <v>3894</v>
      </c>
      <c r="D7" s="55" t="s">
        <v>3894</v>
      </c>
      <c r="E7" s="55" t="s">
        <v>3894</v>
      </c>
      <c r="F7" s="50"/>
      <c r="G7" s="56" t="s">
        <v>3894</v>
      </c>
      <c r="H7" s="56"/>
      <c r="I7" s="123"/>
      <c r="J7" s="50"/>
    </row>
    <row r="8" spans="1:12" ht="12.95" customHeight="1">
      <c r="A8" s="57" t="s">
        <v>1250</v>
      </c>
      <c r="B8" s="124" t="s">
        <v>1251</v>
      </c>
      <c r="C8" s="55" t="s">
        <v>1252</v>
      </c>
      <c r="D8" s="55" t="s">
        <v>132</v>
      </c>
      <c r="E8" s="58">
        <v>405</v>
      </c>
      <c r="F8" s="59">
        <v>4149.3505500000001</v>
      </c>
      <c r="G8" s="60">
        <f t="shared" ref="G8:G27" si="0">ROUND(F8/$F$39,4)</f>
        <v>0.10979999999999999</v>
      </c>
      <c r="H8" s="61">
        <v>5.7875000000000003E-2</v>
      </c>
      <c r="I8" s="123"/>
      <c r="J8" s="50"/>
    </row>
    <row r="9" spans="1:12" ht="12.95" customHeight="1">
      <c r="A9" s="57" t="s">
        <v>3895</v>
      </c>
      <c r="B9" s="124" t="s">
        <v>3896</v>
      </c>
      <c r="C9" s="55" t="s">
        <v>3897</v>
      </c>
      <c r="D9" s="55" t="s">
        <v>200</v>
      </c>
      <c r="E9" s="58">
        <v>3500000</v>
      </c>
      <c r="F9" s="59">
        <v>3864.2869999999998</v>
      </c>
      <c r="G9" s="60">
        <f t="shared" si="0"/>
        <v>0.1023</v>
      </c>
      <c r="H9" s="61">
        <v>5.8707000000000002E-2</v>
      </c>
      <c r="I9" s="123"/>
      <c r="J9" s="50"/>
    </row>
    <row r="10" spans="1:12" ht="12.95" customHeight="1">
      <c r="A10" s="57" t="s">
        <v>3575</v>
      </c>
      <c r="B10" s="124" t="s">
        <v>3576</v>
      </c>
      <c r="C10" s="55" t="s">
        <v>3577</v>
      </c>
      <c r="D10" s="55" t="s">
        <v>132</v>
      </c>
      <c r="E10" s="58">
        <v>341</v>
      </c>
      <c r="F10" s="59">
        <v>3402.5082299999999</v>
      </c>
      <c r="G10" s="60">
        <f t="shared" si="0"/>
        <v>9.01E-2</v>
      </c>
      <c r="H10" s="61">
        <v>5.5599999999999997E-2</v>
      </c>
      <c r="I10" s="123"/>
      <c r="J10" s="50"/>
    </row>
    <row r="11" spans="1:12" ht="12.95" customHeight="1">
      <c r="A11" s="57" t="s">
        <v>3904</v>
      </c>
      <c r="B11" s="124" t="s">
        <v>3905</v>
      </c>
      <c r="C11" s="55" t="s">
        <v>3906</v>
      </c>
      <c r="D11" s="55" t="s">
        <v>200</v>
      </c>
      <c r="E11" s="58">
        <v>3000000</v>
      </c>
      <c r="F11" s="59">
        <v>3250.1669999999999</v>
      </c>
      <c r="G11" s="60">
        <f t="shared" si="0"/>
        <v>8.5999999999999993E-2</v>
      </c>
      <c r="H11" s="61">
        <v>5.9150000000000001E-2</v>
      </c>
      <c r="I11" s="123"/>
      <c r="J11" s="50"/>
    </row>
    <row r="12" spans="1:12" ht="12.95" customHeight="1">
      <c r="A12" s="57" t="s">
        <v>3569</v>
      </c>
      <c r="B12" s="124" t="s">
        <v>3570</v>
      </c>
      <c r="C12" s="55" t="s">
        <v>3571</v>
      </c>
      <c r="D12" s="55" t="s">
        <v>132</v>
      </c>
      <c r="E12" s="58">
        <v>280</v>
      </c>
      <c r="F12" s="59">
        <v>3058.7647999999999</v>
      </c>
      <c r="G12" s="60">
        <f t="shared" si="0"/>
        <v>8.1000000000000003E-2</v>
      </c>
      <c r="H12" s="61">
        <v>5.6300000000000003E-2</v>
      </c>
      <c r="I12" s="123"/>
      <c r="J12" s="50"/>
    </row>
    <row r="13" spans="1:12" ht="12.95" customHeight="1">
      <c r="A13" s="57" t="s">
        <v>2744</v>
      </c>
      <c r="B13" s="124" t="s">
        <v>2745</v>
      </c>
      <c r="C13" s="55" t="s">
        <v>2746</v>
      </c>
      <c r="D13" s="55" t="s">
        <v>132</v>
      </c>
      <c r="E13" s="58">
        <v>300</v>
      </c>
      <c r="F13" s="59">
        <v>2998.2930000000001</v>
      </c>
      <c r="G13" s="60">
        <f t="shared" si="0"/>
        <v>7.9399999999999998E-2</v>
      </c>
      <c r="H13" s="61">
        <v>5.79E-2</v>
      </c>
      <c r="I13" s="123"/>
      <c r="J13" s="50"/>
    </row>
    <row r="14" spans="1:12" ht="12.95" customHeight="1">
      <c r="A14" s="57" t="s">
        <v>3898</v>
      </c>
      <c r="B14" s="124" t="s">
        <v>3899</v>
      </c>
      <c r="C14" s="55" t="s">
        <v>3900</v>
      </c>
      <c r="D14" s="55" t="s">
        <v>200</v>
      </c>
      <c r="E14" s="58">
        <v>2500000</v>
      </c>
      <c r="F14" s="59">
        <v>2719.7024999999999</v>
      </c>
      <c r="G14" s="60">
        <f t="shared" si="0"/>
        <v>7.1999999999999995E-2</v>
      </c>
      <c r="H14" s="61">
        <v>5.7149999999999999E-2</v>
      </c>
      <c r="I14" s="123"/>
      <c r="J14" s="50"/>
    </row>
    <row r="15" spans="1:12" ht="12.95" customHeight="1">
      <c r="A15" s="57" t="s">
        <v>3901</v>
      </c>
      <c r="B15" s="124" t="s">
        <v>3902</v>
      </c>
      <c r="C15" s="55" t="s">
        <v>3903</v>
      </c>
      <c r="D15" s="55" t="s">
        <v>200</v>
      </c>
      <c r="E15" s="58">
        <v>2500000</v>
      </c>
      <c r="F15" s="59">
        <v>2706.7075</v>
      </c>
      <c r="G15" s="60">
        <f t="shared" si="0"/>
        <v>7.17E-2</v>
      </c>
      <c r="H15" s="61">
        <v>5.9506999999999997E-2</v>
      </c>
      <c r="I15" s="123"/>
      <c r="J15" s="50"/>
    </row>
    <row r="16" spans="1:12" ht="12.95" customHeight="1">
      <c r="A16" s="57" t="s">
        <v>3619</v>
      </c>
      <c r="B16" s="124" t="s">
        <v>3620</v>
      </c>
      <c r="C16" s="55" t="s">
        <v>3621</v>
      </c>
      <c r="D16" s="55" t="s">
        <v>200</v>
      </c>
      <c r="E16" s="58">
        <v>2384500</v>
      </c>
      <c r="F16" s="59">
        <v>2581.8960634999999</v>
      </c>
      <c r="G16" s="60">
        <f t="shared" si="0"/>
        <v>6.8400000000000002E-2</v>
      </c>
      <c r="H16" s="61">
        <v>5.9006999999999997E-2</v>
      </c>
      <c r="I16" s="123"/>
      <c r="J16" s="50"/>
    </row>
    <row r="17" spans="1:10" ht="12.95" customHeight="1">
      <c r="A17" s="57" t="s">
        <v>1283</v>
      </c>
      <c r="B17" s="124" t="s">
        <v>1284</v>
      </c>
      <c r="C17" s="55" t="s">
        <v>1285</v>
      </c>
      <c r="D17" s="55" t="s">
        <v>132</v>
      </c>
      <c r="E17" s="58">
        <v>219</v>
      </c>
      <c r="F17" s="59">
        <v>2187.9939599999998</v>
      </c>
      <c r="G17" s="60">
        <f t="shared" si="0"/>
        <v>5.79E-2</v>
      </c>
      <c r="H17" s="61">
        <v>5.8644500000000002E-2</v>
      </c>
      <c r="I17" s="123"/>
      <c r="J17" s="50"/>
    </row>
    <row r="18" spans="1:10" ht="12.95" customHeight="1">
      <c r="A18" s="57" t="s">
        <v>3907</v>
      </c>
      <c r="B18" s="124" t="s">
        <v>3908</v>
      </c>
      <c r="C18" s="55" t="s">
        <v>3909</v>
      </c>
      <c r="D18" s="55" t="s">
        <v>200</v>
      </c>
      <c r="E18" s="58">
        <v>1000000</v>
      </c>
      <c r="F18" s="59">
        <v>1112.278</v>
      </c>
      <c r="G18" s="60">
        <f t="shared" si="0"/>
        <v>2.9399999999999999E-2</v>
      </c>
      <c r="H18" s="61">
        <v>5.8916499999999997E-2</v>
      </c>
      <c r="I18" s="123"/>
      <c r="J18" s="50"/>
    </row>
    <row r="19" spans="1:10" ht="12.95" customHeight="1">
      <c r="A19" s="57" t="s">
        <v>3528</v>
      </c>
      <c r="B19" s="124" t="s">
        <v>3529</v>
      </c>
      <c r="C19" s="55" t="s">
        <v>3530</v>
      </c>
      <c r="D19" s="55" t="s">
        <v>200</v>
      </c>
      <c r="E19" s="58">
        <v>1000000</v>
      </c>
      <c r="F19" s="59">
        <v>1085.4949999999999</v>
      </c>
      <c r="G19" s="60">
        <f t="shared" si="0"/>
        <v>2.87E-2</v>
      </c>
      <c r="H19" s="61">
        <v>5.5739999999999998E-2</v>
      </c>
      <c r="I19" s="123"/>
      <c r="J19" s="50"/>
    </row>
    <row r="20" spans="1:10" ht="12.95" customHeight="1">
      <c r="A20" s="57" t="s">
        <v>3578</v>
      </c>
      <c r="B20" s="124" t="s">
        <v>3579</v>
      </c>
      <c r="C20" s="55" t="s">
        <v>3580</v>
      </c>
      <c r="D20" s="55" t="s">
        <v>132</v>
      </c>
      <c r="E20" s="58">
        <v>93</v>
      </c>
      <c r="F20" s="59">
        <v>927.80147999999997</v>
      </c>
      <c r="G20" s="60">
        <f t="shared" si="0"/>
        <v>2.46E-2</v>
      </c>
      <c r="H20" s="61">
        <v>5.8650000000000001E-2</v>
      </c>
      <c r="I20" s="123"/>
      <c r="J20" s="50"/>
    </row>
    <row r="21" spans="1:10" ht="12.95" customHeight="1">
      <c r="A21" s="57" t="s">
        <v>3622</v>
      </c>
      <c r="B21" s="124" t="s">
        <v>3623</v>
      </c>
      <c r="C21" s="55" t="s">
        <v>3624</v>
      </c>
      <c r="D21" s="55" t="s">
        <v>132</v>
      </c>
      <c r="E21" s="58">
        <v>75</v>
      </c>
      <c r="F21" s="59">
        <v>746.78625</v>
      </c>
      <c r="G21" s="60">
        <f t="shared" si="0"/>
        <v>1.9800000000000002E-2</v>
      </c>
      <c r="H21" s="61">
        <v>5.57E-2</v>
      </c>
      <c r="I21" s="123"/>
      <c r="J21" s="50"/>
    </row>
    <row r="22" spans="1:10" ht="12.95" customHeight="1">
      <c r="A22" s="57" t="s">
        <v>3616</v>
      </c>
      <c r="B22" s="124" t="s">
        <v>3617</v>
      </c>
      <c r="C22" s="55" t="s">
        <v>3618</v>
      </c>
      <c r="D22" s="55" t="s">
        <v>200</v>
      </c>
      <c r="E22" s="58">
        <v>412500</v>
      </c>
      <c r="F22" s="59">
        <v>446.89012500000001</v>
      </c>
      <c r="G22" s="60">
        <f t="shared" si="0"/>
        <v>1.18E-2</v>
      </c>
      <c r="H22" s="61">
        <v>5.9006999999999997E-2</v>
      </c>
      <c r="I22" s="123"/>
      <c r="J22" s="50"/>
    </row>
    <row r="23" spans="1:10" ht="12.95" customHeight="1">
      <c r="A23" s="57" t="s">
        <v>3634</v>
      </c>
      <c r="B23" s="124" t="s">
        <v>3635</v>
      </c>
      <c r="C23" s="55" t="s">
        <v>3636</v>
      </c>
      <c r="D23" s="55" t="s">
        <v>132</v>
      </c>
      <c r="E23" s="58">
        <v>40</v>
      </c>
      <c r="F23" s="59">
        <v>399.89960000000002</v>
      </c>
      <c r="G23" s="60">
        <f t="shared" si="0"/>
        <v>1.06E-2</v>
      </c>
      <c r="H23" s="61">
        <v>5.935E-2</v>
      </c>
      <c r="I23" s="123" t="s">
        <v>3894</v>
      </c>
      <c r="J23" s="50"/>
    </row>
    <row r="24" spans="1:10" ht="12.95" customHeight="1">
      <c r="A24" s="57" t="s">
        <v>3613</v>
      </c>
      <c r="B24" s="124" t="s">
        <v>3614</v>
      </c>
      <c r="C24" s="55" t="s">
        <v>3615</v>
      </c>
      <c r="D24" s="55" t="s">
        <v>200</v>
      </c>
      <c r="E24" s="58">
        <v>250000</v>
      </c>
      <c r="F24" s="59">
        <v>253.26750000000001</v>
      </c>
      <c r="G24" s="60">
        <f t="shared" si="0"/>
        <v>6.7000000000000002E-3</v>
      </c>
      <c r="H24" s="61">
        <v>5.5440000000000003E-2</v>
      </c>
      <c r="I24" s="123" t="s">
        <v>3894</v>
      </c>
      <c r="J24" s="50"/>
    </row>
    <row r="25" spans="1:10" ht="12.95" customHeight="1">
      <c r="A25" s="57" t="s">
        <v>3910</v>
      </c>
      <c r="B25" s="124" t="s">
        <v>3911</v>
      </c>
      <c r="C25" s="55" t="s">
        <v>3912</v>
      </c>
      <c r="D25" s="55" t="s">
        <v>200</v>
      </c>
      <c r="E25" s="58">
        <v>215000</v>
      </c>
      <c r="F25" s="59">
        <v>239.73532</v>
      </c>
      <c r="G25" s="60">
        <f t="shared" si="0"/>
        <v>6.3E-3</v>
      </c>
      <c r="H25" s="61">
        <v>5.8707000000000002E-2</v>
      </c>
      <c r="I25" s="123"/>
      <c r="J25" s="50"/>
    </row>
    <row r="26" spans="1:10" ht="12.95" customHeight="1">
      <c r="A26" s="57" t="s">
        <v>3913</v>
      </c>
      <c r="B26" s="124" t="s">
        <v>3914</v>
      </c>
      <c r="C26" s="55" t="s">
        <v>3915</v>
      </c>
      <c r="D26" s="55" t="s">
        <v>200</v>
      </c>
      <c r="E26" s="58">
        <v>179800</v>
      </c>
      <c r="F26" s="59">
        <v>195.45338799999999</v>
      </c>
      <c r="G26" s="60">
        <f t="shared" si="0"/>
        <v>5.1999999999999998E-3</v>
      </c>
      <c r="H26" s="61">
        <v>5.8606999999999999E-2</v>
      </c>
      <c r="I26" s="123"/>
      <c r="J26" s="50"/>
    </row>
    <row r="27" spans="1:10" ht="12.95" customHeight="1">
      <c r="A27" s="57" t="s">
        <v>3916</v>
      </c>
      <c r="B27" s="124" t="s">
        <v>3917</v>
      </c>
      <c r="C27" s="55" t="s">
        <v>3918</v>
      </c>
      <c r="D27" s="55" t="s">
        <v>200</v>
      </c>
      <c r="E27" s="58">
        <v>145000</v>
      </c>
      <c r="F27" s="59">
        <v>160.69378499999999</v>
      </c>
      <c r="G27" s="60">
        <f t="shared" si="0"/>
        <v>4.3E-3</v>
      </c>
      <c r="H27" s="61">
        <v>5.8408000000000002E-2</v>
      </c>
      <c r="I27" s="123"/>
      <c r="J27" s="50"/>
    </row>
    <row r="28" spans="1:10" ht="12.95" customHeight="1">
      <c r="A28" s="50"/>
      <c r="B28" s="121" t="s">
        <v>172</v>
      </c>
      <c r="C28" s="55" t="s">
        <v>3894</v>
      </c>
      <c r="D28" s="55" t="s">
        <v>3894</v>
      </c>
      <c r="E28" s="55" t="s">
        <v>3894</v>
      </c>
      <c r="F28" s="62">
        <f>SUM(F8:F27)</f>
        <v>36487.971051499997</v>
      </c>
      <c r="G28" s="63">
        <f>SUM(G8:G27)</f>
        <v>0.96599999999999986</v>
      </c>
      <c r="H28" s="64" t="s">
        <v>3894</v>
      </c>
      <c r="I28" s="125" t="s">
        <v>3894</v>
      </c>
      <c r="J28" s="50"/>
    </row>
    <row r="29" spans="1:10" ht="12.95" customHeight="1">
      <c r="A29" s="50"/>
      <c r="B29" s="126" t="s">
        <v>173</v>
      </c>
      <c r="C29" s="45" t="s">
        <v>3894</v>
      </c>
      <c r="D29" s="45" t="s">
        <v>3894</v>
      </c>
      <c r="E29" s="45" t="s">
        <v>3894</v>
      </c>
      <c r="F29" s="64" t="s">
        <v>204</v>
      </c>
      <c r="G29" s="64" t="s">
        <v>204</v>
      </c>
      <c r="H29" s="64" t="s">
        <v>3894</v>
      </c>
      <c r="I29" s="125" t="s">
        <v>3894</v>
      </c>
      <c r="J29" s="50"/>
    </row>
    <row r="30" spans="1:10" ht="12.95" customHeight="1">
      <c r="A30" s="50"/>
      <c r="B30" s="126" t="s">
        <v>172</v>
      </c>
      <c r="C30" s="45" t="s">
        <v>3894</v>
      </c>
      <c r="D30" s="45" t="s">
        <v>3894</v>
      </c>
      <c r="E30" s="45" t="s">
        <v>3894</v>
      </c>
      <c r="F30" s="64" t="s">
        <v>204</v>
      </c>
      <c r="G30" s="64" t="s">
        <v>204</v>
      </c>
      <c r="H30" s="64" t="s">
        <v>3894</v>
      </c>
      <c r="I30" s="125" t="s">
        <v>3894</v>
      </c>
      <c r="J30" s="50"/>
    </row>
    <row r="31" spans="1:10" ht="12.95" customHeight="1">
      <c r="A31" s="50"/>
      <c r="B31" s="126" t="s">
        <v>177</v>
      </c>
      <c r="C31" s="65" t="s">
        <v>3894</v>
      </c>
      <c r="D31" s="45" t="s">
        <v>3894</v>
      </c>
      <c r="E31" s="65" t="s">
        <v>3894</v>
      </c>
      <c r="F31" s="62">
        <f>F28</f>
        <v>36487.971051499997</v>
      </c>
      <c r="G31" s="63">
        <f>G28</f>
        <v>0.96599999999999986</v>
      </c>
      <c r="H31" s="64" t="s">
        <v>3894</v>
      </c>
      <c r="I31" s="125" t="s">
        <v>3894</v>
      </c>
      <c r="J31" s="50"/>
    </row>
    <row r="32" spans="1:10" ht="12.95" customHeight="1">
      <c r="A32" s="50"/>
      <c r="B32" s="121" t="s">
        <v>178</v>
      </c>
      <c r="C32" s="55" t="s">
        <v>3894</v>
      </c>
      <c r="D32" s="55" t="s">
        <v>3894</v>
      </c>
      <c r="E32" s="55" t="s">
        <v>3894</v>
      </c>
      <c r="F32" s="55" t="s">
        <v>3894</v>
      </c>
      <c r="G32" s="55" t="s">
        <v>3894</v>
      </c>
      <c r="H32" s="56" t="s">
        <v>3894</v>
      </c>
      <c r="I32" s="122" t="s">
        <v>3894</v>
      </c>
      <c r="J32" s="50"/>
    </row>
    <row r="33" spans="1:10" ht="12.95" customHeight="1">
      <c r="A33" s="57" t="s">
        <v>179</v>
      </c>
      <c r="B33" s="124" t="s">
        <v>180</v>
      </c>
      <c r="C33" s="55" t="s">
        <v>3894</v>
      </c>
      <c r="D33" s="55" t="s">
        <v>3894</v>
      </c>
      <c r="E33" s="58"/>
      <c r="F33" s="59">
        <v>32.58</v>
      </c>
      <c r="G33" s="60">
        <f>ROUND(F33/$F$39,4)</f>
        <v>8.9999999999999998E-4</v>
      </c>
      <c r="H33" s="61">
        <v>3.3064735338872268E-2</v>
      </c>
      <c r="I33" s="123" t="s">
        <v>3894</v>
      </c>
      <c r="J33" s="50"/>
    </row>
    <row r="34" spans="1:10" ht="12.95" customHeight="1">
      <c r="A34" s="50"/>
      <c r="B34" s="121" t="s">
        <v>172</v>
      </c>
      <c r="C34" s="55" t="s">
        <v>3894</v>
      </c>
      <c r="D34" s="55" t="s">
        <v>3894</v>
      </c>
      <c r="E34" s="55" t="s">
        <v>3894</v>
      </c>
      <c r="F34" s="62">
        <f>F33</f>
        <v>32.58</v>
      </c>
      <c r="G34" s="63">
        <f>G33</f>
        <v>8.9999999999999998E-4</v>
      </c>
      <c r="H34" s="64" t="s">
        <v>3894</v>
      </c>
      <c r="I34" s="125" t="s">
        <v>3894</v>
      </c>
      <c r="J34" s="50"/>
    </row>
    <row r="35" spans="1:10" ht="12.95" customHeight="1">
      <c r="A35" s="50"/>
      <c r="B35" s="126" t="s">
        <v>173</v>
      </c>
      <c r="C35" s="45" t="s">
        <v>3894</v>
      </c>
      <c r="D35" s="45" t="s">
        <v>3894</v>
      </c>
      <c r="E35" s="45" t="s">
        <v>3894</v>
      </c>
      <c r="F35" s="64" t="s">
        <v>204</v>
      </c>
      <c r="G35" s="64" t="s">
        <v>204</v>
      </c>
      <c r="H35" s="64" t="s">
        <v>3894</v>
      </c>
      <c r="I35" s="125" t="s">
        <v>3894</v>
      </c>
      <c r="J35" s="50"/>
    </row>
    <row r="36" spans="1:10" ht="12.95" customHeight="1">
      <c r="A36" s="50"/>
      <c r="B36" s="126" t="s">
        <v>172</v>
      </c>
      <c r="C36" s="45" t="s">
        <v>3894</v>
      </c>
      <c r="D36" s="45" t="s">
        <v>3894</v>
      </c>
      <c r="E36" s="45" t="s">
        <v>3894</v>
      </c>
      <c r="F36" s="64" t="s">
        <v>204</v>
      </c>
      <c r="G36" s="64" t="s">
        <v>204</v>
      </c>
      <c r="H36" s="64" t="s">
        <v>3894</v>
      </c>
      <c r="I36" s="125" t="s">
        <v>3894</v>
      </c>
      <c r="J36" s="50"/>
    </row>
    <row r="37" spans="1:10" ht="12.95" customHeight="1">
      <c r="A37" s="50"/>
      <c r="B37" s="126" t="s">
        <v>177</v>
      </c>
      <c r="C37" s="65" t="s">
        <v>3894</v>
      </c>
      <c r="D37" s="45" t="s">
        <v>3894</v>
      </c>
      <c r="E37" s="65" t="s">
        <v>3894</v>
      </c>
      <c r="F37" s="62">
        <f>F34</f>
        <v>32.58</v>
      </c>
      <c r="G37" s="63">
        <f>G34</f>
        <v>8.9999999999999998E-4</v>
      </c>
      <c r="H37" s="64" t="s">
        <v>3894</v>
      </c>
      <c r="I37" s="125" t="s">
        <v>3894</v>
      </c>
      <c r="J37" s="50"/>
    </row>
    <row r="38" spans="1:10" ht="12.95" customHeight="1">
      <c r="A38" s="50"/>
      <c r="B38" s="126" t="s">
        <v>181</v>
      </c>
      <c r="C38" s="55" t="s">
        <v>3894</v>
      </c>
      <c r="D38" s="45" t="s">
        <v>3894</v>
      </c>
      <c r="E38" s="55" t="s">
        <v>3894</v>
      </c>
      <c r="F38" s="66">
        <f>F39-F28-F33</f>
        <v>1252.4389485000011</v>
      </c>
      <c r="G38" s="63">
        <f>G39-G28-G37</f>
        <v>3.3100000000000143E-2</v>
      </c>
      <c r="H38" s="64" t="s">
        <v>3894</v>
      </c>
      <c r="I38" s="125" t="s">
        <v>3894</v>
      </c>
      <c r="J38" s="50"/>
    </row>
    <row r="39" spans="1:10" ht="12.95" customHeight="1" thickBot="1">
      <c r="A39" s="50"/>
      <c r="B39" s="127" t="s">
        <v>182</v>
      </c>
      <c r="C39" s="128" t="s">
        <v>3894</v>
      </c>
      <c r="D39" s="128" t="s">
        <v>3894</v>
      </c>
      <c r="E39" s="128" t="s">
        <v>3894</v>
      </c>
      <c r="F39" s="129">
        <v>37772.99</v>
      </c>
      <c r="G39" s="130">
        <v>1</v>
      </c>
      <c r="H39" s="131" t="s">
        <v>3894</v>
      </c>
      <c r="I39" s="132" t="s">
        <v>3894</v>
      </c>
      <c r="J39" s="50"/>
    </row>
    <row r="40" spans="1:10" ht="12.95" customHeight="1">
      <c r="A40" s="50"/>
      <c r="B40" s="53" t="s">
        <v>3894</v>
      </c>
      <c r="C40" s="50"/>
      <c r="D40" s="50"/>
      <c r="E40" s="50"/>
      <c r="F40" s="50"/>
      <c r="G40" s="50"/>
      <c r="H40" s="50"/>
      <c r="I40" s="50"/>
      <c r="J40" s="50"/>
    </row>
    <row r="41" spans="1:10" ht="12.95" customHeight="1">
      <c r="A41" s="50"/>
      <c r="B41" s="49" t="s">
        <v>244</v>
      </c>
      <c r="C41" s="50"/>
      <c r="D41" s="50"/>
      <c r="E41" s="50"/>
      <c r="F41" s="50"/>
      <c r="G41" s="50"/>
      <c r="H41" s="50"/>
      <c r="I41" s="50"/>
      <c r="J41" s="50"/>
    </row>
    <row r="42" spans="1:10" ht="12.95" customHeight="1">
      <c r="A42" s="50"/>
      <c r="B42" s="49" t="s">
        <v>184</v>
      </c>
      <c r="C42" s="50"/>
      <c r="D42" s="50"/>
      <c r="E42" s="50"/>
      <c r="F42" s="50"/>
      <c r="G42" s="50"/>
      <c r="H42" s="50"/>
      <c r="I42" s="50"/>
      <c r="J42" s="50"/>
    </row>
    <row r="43" spans="1:10" ht="12.95" customHeight="1">
      <c r="A43" s="50"/>
      <c r="B43" s="42" t="s">
        <v>186</v>
      </c>
      <c r="C43" s="2"/>
      <c r="D43" s="2"/>
      <c r="E43" s="50"/>
      <c r="F43" s="50"/>
      <c r="G43" s="50"/>
      <c r="H43" s="50"/>
      <c r="I43" s="50"/>
      <c r="J43" s="50"/>
    </row>
    <row r="44" spans="1:10" customFormat="1" ht="23.25" customHeight="1">
      <c r="A44" s="2"/>
      <c r="B44" s="189" t="s">
        <v>4025</v>
      </c>
      <c r="C44" s="189"/>
      <c r="D44" s="189"/>
      <c r="E44" s="189"/>
      <c r="F44" s="189"/>
      <c r="G44" s="189"/>
      <c r="H44" s="189"/>
      <c r="I44" s="189"/>
      <c r="J44" s="2"/>
    </row>
    <row r="45" spans="1:10" ht="12.95" customHeight="1">
      <c r="A45" s="50"/>
      <c r="B45" s="49"/>
      <c r="E45" s="50"/>
      <c r="F45" s="50"/>
      <c r="G45" s="50"/>
      <c r="H45" s="50"/>
      <c r="I45" s="50"/>
      <c r="J45" s="50"/>
    </row>
    <row r="46" spans="1:10">
      <c r="C46" s="112" t="s">
        <v>3971</v>
      </c>
    </row>
    <row r="47" spans="1:10">
      <c r="B47" s="112" t="s">
        <v>3933</v>
      </c>
      <c r="C47" s="112" t="s">
        <v>3934</v>
      </c>
    </row>
  </sheetData>
  <mergeCells count="2">
    <mergeCell ref="B2:I2"/>
    <mergeCell ref="B44:I44"/>
  </mergeCells>
  <hyperlinks>
    <hyperlink ref="A2" location="Index!A1" display="Index"/>
  </hyperlinks>
  <pageMargins left="0" right="0" top="0" bottom="0" header="0" footer="0"/>
  <pageSetup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11"/>
  <sheetViews>
    <sheetView workbookViewId="0"/>
  </sheetViews>
  <sheetFormatPr defaultRowHeight="15"/>
  <cols>
    <col min="1" max="1" width="3.28515625" style="137" customWidth="1"/>
    <col min="2" max="2" width="69.140625" style="137" customWidth="1"/>
    <col min="3" max="3" width="18.7109375" style="137" bestFit="1" customWidth="1"/>
    <col min="4" max="4" width="37.140625" style="137" bestFit="1" customWidth="1"/>
    <col min="5" max="5" width="25.7109375" style="137" customWidth="1"/>
    <col min="6" max="6" width="20.85546875" style="137" bestFit="1" customWidth="1"/>
    <col min="7" max="9" width="10.7109375" style="137" customWidth="1"/>
    <col min="10" max="10" width="10.85546875" style="137" customWidth="1"/>
    <col min="11" max="16384" width="9.140625" style="137"/>
  </cols>
  <sheetData>
    <row r="1" spans="1:13" ht="15.75" thickBot="1">
      <c r="A1" s="136" t="str">
        <f>M2</f>
        <v>AXISSSF</v>
      </c>
    </row>
    <row r="2" spans="1:13" ht="34.5" customHeight="1" thickBot="1">
      <c r="A2" s="138" t="str">
        <f>M2</f>
        <v>AXISSSF</v>
      </c>
      <c r="B2" s="190" t="s">
        <v>103</v>
      </c>
      <c r="C2" s="191"/>
      <c r="D2" s="191"/>
      <c r="E2" s="191"/>
      <c r="F2" s="191"/>
      <c r="G2" s="191"/>
      <c r="H2" s="191"/>
      <c r="I2" s="192"/>
      <c r="J2" s="139"/>
      <c r="M2" s="136" t="s">
        <v>102</v>
      </c>
    </row>
    <row r="3" spans="1:13" ht="12.95" customHeight="1">
      <c r="A3" s="139"/>
      <c r="B3" s="140"/>
      <c r="C3" s="139"/>
      <c r="D3" s="139"/>
      <c r="E3" s="139"/>
      <c r="F3" s="139"/>
      <c r="G3" s="139"/>
      <c r="H3" s="139"/>
      <c r="I3" s="139"/>
      <c r="J3" s="139"/>
    </row>
    <row r="4" spans="1:13" ht="12.95" customHeight="1">
      <c r="A4" s="141" t="s">
        <v>118</v>
      </c>
      <c r="B4" s="142" t="s">
        <v>4035</v>
      </c>
      <c r="C4" s="139"/>
      <c r="D4" s="139"/>
      <c r="E4" s="139"/>
      <c r="F4" s="139"/>
      <c r="G4" s="139"/>
      <c r="H4" s="139"/>
      <c r="I4" s="139"/>
      <c r="J4" s="139"/>
    </row>
    <row r="5" spans="1:13" ht="27.95" customHeight="1">
      <c r="A5" s="139"/>
      <c r="B5" s="143" t="s">
        <v>119</v>
      </c>
      <c r="C5" s="144" t="s">
        <v>120</v>
      </c>
      <c r="D5" s="145" t="s">
        <v>679</v>
      </c>
      <c r="E5" s="145" t="s">
        <v>122</v>
      </c>
      <c r="F5" s="145" t="s">
        <v>123</v>
      </c>
      <c r="G5" s="145" t="s">
        <v>124</v>
      </c>
      <c r="H5" s="145" t="s">
        <v>125</v>
      </c>
      <c r="I5" s="146" t="s">
        <v>126</v>
      </c>
      <c r="J5" s="147" t="s">
        <v>218</v>
      </c>
    </row>
    <row r="6" spans="1:13" ht="12.95" customHeight="1">
      <c r="A6" s="139"/>
      <c r="B6" s="148" t="s">
        <v>680</v>
      </c>
      <c r="C6" s="149"/>
      <c r="D6" s="149"/>
      <c r="E6" s="149"/>
      <c r="F6" s="149"/>
      <c r="G6" s="149"/>
      <c r="H6" s="150"/>
      <c r="I6" s="151"/>
      <c r="J6" s="139"/>
    </row>
    <row r="7" spans="1:13" ht="12.95" customHeight="1">
      <c r="A7" s="139"/>
      <c r="B7" s="148" t="s">
        <v>681</v>
      </c>
      <c r="C7" s="149"/>
      <c r="D7" s="149"/>
      <c r="E7" s="149"/>
      <c r="F7" s="139"/>
      <c r="G7" s="150"/>
      <c r="H7" s="150"/>
      <c r="I7" s="151"/>
      <c r="J7" s="139"/>
    </row>
    <row r="8" spans="1:13" ht="12.95" customHeight="1">
      <c r="A8" s="152" t="s">
        <v>720</v>
      </c>
      <c r="B8" s="153" t="s">
        <v>721</v>
      </c>
      <c r="C8" s="149" t="s">
        <v>722</v>
      </c>
      <c r="D8" s="149" t="s">
        <v>723</v>
      </c>
      <c r="E8" s="154">
        <v>218389</v>
      </c>
      <c r="F8" s="155">
        <v>16746.29</v>
      </c>
      <c r="G8" s="156">
        <v>6.5299999999999997E-2</v>
      </c>
      <c r="H8" s="157"/>
      <c r="I8" s="158"/>
      <c r="J8" s="139"/>
    </row>
    <row r="9" spans="1:13" ht="12.95" customHeight="1">
      <c r="A9" s="152" t="s">
        <v>686</v>
      </c>
      <c r="B9" s="153" t="s">
        <v>687</v>
      </c>
      <c r="C9" s="149" t="s">
        <v>688</v>
      </c>
      <c r="D9" s="149" t="s">
        <v>685</v>
      </c>
      <c r="E9" s="154">
        <v>2110153</v>
      </c>
      <c r="F9" s="155">
        <v>14789.01</v>
      </c>
      <c r="G9" s="156">
        <v>5.7599999999999998E-2</v>
      </c>
      <c r="H9" s="157"/>
      <c r="I9" s="158"/>
      <c r="J9" s="139"/>
    </row>
    <row r="10" spans="1:13" ht="12.95" customHeight="1">
      <c r="A10" s="152" t="s">
        <v>682</v>
      </c>
      <c r="B10" s="153" t="s">
        <v>683</v>
      </c>
      <c r="C10" s="149" t="s">
        <v>684</v>
      </c>
      <c r="D10" s="149" t="s">
        <v>685</v>
      </c>
      <c r="E10" s="154">
        <v>704206</v>
      </c>
      <c r="F10" s="155">
        <v>11231.73</v>
      </c>
      <c r="G10" s="156">
        <v>4.3799999999999999E-2</v>
      </c>
      <c r="H10" s="157"/>
      <c r="I10" s="158"/>
      <c r="J10" s="139"/>
    </row>
    <row r="11" spans="1:13" ht="12.95" customHeight="1">
      <c r="A11" s="152" t="s">
        <v>736</v>
      </c>
      <c r="B11" s="153" t="s">
        <v>737</v>
      </c>
      <c r="C11" s="149" t="s">
        <v>738</v>
      </c>
      <c r="D11" s="149" t="s">
        <v>739</v>
      </c>
      <c r="E11" s="154">
        <v>242447</v>
      </c>
      <c r="F11" s="155">
        <v>10304.48</v>
      </c>
      <c r="G11" s="156">
        <v>4.02E-2</v>
      </c>
      <c r="H11" s="157"/>
      <c r="I11" s="158"/>
      <c r="J11" s="139"/>
    </row>
    <row r="12" spans="1:13" ht="12.95" customHeight="1">
      <c r="A12" s="152" t="s">
        <v>732</v>
      </c>
      <c r="B12" s="153" t="s">
        <v>733</v>
      </c>
      <c r="C12" s="149" t="s">
        <v>734</v>
      </c>
      <c r="D12" s="149" t="s">
        <v>735</v>
      </c>
      <c r="E12" s="154">
        <v>385347</v>
      </c>
      <c r="F12" s="155">
        <v>9707.85</v>
      </c>
      <c r="G12" s="156">
        <v>3.78E-2</v>
      </c>
      <c r="H12" s="157"/>
      <c r="I12" s="158"/>
      <c r="J12" s="139"/>
    </row>
    <row r="13" spans="1:13" ht="12.95" customHeight="1">
      <c r="A13" s="152" t="s">
        <v>833</v>
      </c>
      <c r="B13" s="153" t="s">
        <v>834</v>
      </c>
      <c r="C13" s="149" t="s">
        <v>835</v>
      </c>
      <c r="D13" s="149" t="s">
        <v>836</v>
      </c>
      <c r="E13" s="154">
        <v>15309</v>
      </c>
      <c r="F13" s="155">
        <v>6998.43</v>
      </c>
      <c r="G13" s="156">
        <v>2.7300000000000001E-2</v>
      </c>
      <c r="H13" s="157"/>
      <c r="I13" s="158"/>
      <c r="J13" s="139"/>
    </row>
    <row r="14" spans="1:13" ht="12.95" customHeight="1">
      <c r="A14" s="152" t="s">
        <v>963</v>
      </c>
      <c r="B14" s="153" t="s">
        <v>964</v>
      </c>
      <c r="C14" s="149" t="s">
        <v>965</v>
      </c>
      <c r="D14" s="149" t="s">
        <v>739</v>
      </c>
      <c r="E14" s="154">
        <v>106423</v>
      </c>
      <c r="F14" s="155">
        <v>6844.49</v>
      </c>
      <c r="G14" s="156">
        <v>2.6700000000000002E-2</v>
      </c>
      <c r="H14" s="157"/>
      <c r="I14" s="158"/>
      <c r="J14" s="139"/>
    </row>
    <row r="15" spans="1:13" ht="12.95" customHeight="1">
      <c r="A15" s="152" t="s">
        <v>2425</v>
      </c>
      <c r="B15" s="153" t="s">
        <v>2426</v>
      </c>
      <c r="C15" s="149" t="s">
        <v>2427</v>
      </c>
      <c r="D15" s="149" t="s">
        <v>731</v>
      </c>
      <c r="E15" s="154">
        <v>120803</v>
      </c>
      <c r="F15" s="155">
        <v>6757.78</v>
      </c>
      <c r="G15" s="156">
        <v>2.63E-2</v>
      </c>
      <c r="H15" s="157"/>
      <c r="I15" s="158"/>
      <c r="J15" s="139"/>
    </row>
    <row r="16" spans="1:13" ht="12.95" customHeight="1">
      <c r="A16" s="152" t="s">
        <v>1861</v>
      </c>
      <c r="B16" s="153" t="s">
        <v>1862</v>
      </c>
      <c r="C16" s="149" t="s">
        <v>1863</v>
      </c>
      <c r="D16" s="149" t="s">
        <v>836</v>
      </c>
      <c r="E16" s="154">
        <v>277441</v>
      </c>
      <c r="F16" s="155">
        <v>5907.83</v>
      </c>
      <c r="G16" s="156">
        <v>2.3E-2</v>
      </c>
      <c r="H16" s="157"/>
      <c r="I16" s="158"/>
      <c r="J16" s="139"/>
    </row>
    <row r="17" spans="1:10" ht="12.95" customHeight="1">
      <c r="A17" s="152" t="s">
        <v>1033</v>
      </c>
      <c r="B17" s="153" t="s">
        <v>1034</v>
      </c>
      <c r="C17" s="149" t="s">
        <v>1035</v>
      </c>
      <c r="D17" s="149" t="s">
        <v>814</v>
      </c>
      <c r="E17" s="154">
        <v>153429</v>
      </c>
      <c r="F17" s="155">
        <v>5828</v>
      </c>
      <c r="G17" s="156">
        <v>2.2700000000000001E-2</v>
      </c>
      <c r="H17" s="157"/>
      <c r="I17" s="158"/>
      <c r="J17" s="139"/>
    </row>
    <row r="18" spans="1:10" ht="12.95" customHeight="1">
      <c r="A18" s="152" t="s">
        <v>692</v>
      </c>
      <c r="B18" s="153" t="s">
        <v>693</v>
      </c>
      <c r="C18" s="149" t="s">
        <v>694</v>
      </c>
      <c r="D18" s="149" t="s">
        <v>685</v>
      </c>
      <c r="E18" s="154">
        <v>288124</v>
      </c>
      <c r="F18" s="155">
        <v>5778.33</v>
      </c>
      <c r="G18" s="156">
        <v>2.2499999999999999E-2</v>
      </c>
      <c r="H18" s="157"/>
      <c r="I18" s="158"/>
      <c r="J18" s="139"/>
    </row>
    <row r="19" spans="1:10" ht="12.95" customHeight="1">
      <c r="A19" s="152" t="s">
        <v>802</v>
      </c>
      <c r="B19" s="153" t="s">
        <v>803</v>
      </c>
      <c r="C19" s="149" t="s">
        <v>804</v>
      </c>
      <c r="D19" s="149" t="s">
        <v>731</v>
      </c>
      <c r="E19" s="154">
        <v>113432</v>
      </c>
      <c r="F19" s="155">
        <v>5328.52</v>
      </c>
      <c r="G19" s="156">
        <v>2.0799999999999999E-2</v>
      </c>
      <c r="H19" s="157"/>
      <c r="I19" s="158"/>
      <c r="J19" s="139"/>
    </row>
    <row r="20" spans="1:10" ht="12.95" customHeight="1">
      <c r="A20" s="152" t="s">
        <v>728</v>
      </c>
      <c r="B20" s="153" t="s">
        <v>729</v>
      </c>
      <c r="C20" s="149" t="s">
        <v>730</v>
      </c>
      <c r="D20" s="149" t="s">
        <v>731</v>
      </c>
      <c r="E20" s="154">
        <v>131045</v>
      </c>
      <c r="F20" s="155">
        <v>4947.67</v>
      </c>
      <c r="G20" s="156">
        <v>1.9300000000000001E-2</v>
      </c>
      <c r="H20" s="157"/>
      <c r="I20" s="158"/>
      <c r="J20" s="139"/>
    </row>
    <row r="21" spans="1:10" ht="12.95" customHeight="1">
      <c r="A21" s="152" t="s">
        <v>1726</v>
      </c>
      <c r="B21" s="153" t="s">
        <v>1727</v>
      </c>
      <c r="C21" s="149" t="s">
        <v>1728</v>
      </c>
      <c r="D21" s="149" t="s">
        <v>763</v>
      </c>
      <c r="E21" s="154">
        <v>198668</v>
      </c>
      <c r="F21" s="155">
        <v>4732.17</v>
      </c>
      <c r="G21" s="156">
        <v>1.84E-2</v>
      </c>
      <c r="H21" s="157"/>
      <c r="I21" s="158"/>
      <c r="J21" s="139"/>
    </row>
    <row r="22" spans="1:10" ht="12.95" customHeight="1">
      <c r="A22" s="152" t="s">
        <v>3263</v>
      </c>
      <c r="B22" s="153" t="s">
        <v>3264</v>
      </c>
      <c r="C22" s="149" t="s">
        <v>3265</v>
      </c>
      <c r="D22" s="149" t="s">
        <v>836</v>
      </c>
      <c r="E22" s="154">
        <v>252848</v>
      </c>
      <c r="F22" s="155">
        <v>4729.7700000000004</v>
      </c>
      <c r="G22" s="156">
        <v>1.84E-2</v>
      </c>
      <c r="H22" s="157"/>
      <c r="I22" s="158"/>
      <c r="J22" s="139"/>
    </row>
    <row r="23" spans="1:10" ht="12.95" customHeight="1">
      <c r="A23" s="152" t="s">
        <v>796</v>
      </c>
      <c r="B23" s="153" t="s">
        <v>797</v>
      </c>
      <c r="C23" s="149" t="s">
        <v>798</v>
      </c>
      <c r="D23" s="149" t="s">
        <v>771</v>
      </c>
      <c r="E23" s="154">
        <v>2073679</v>
      </c>
      <c r="F23" s="155">
        <v>4685.4799999999996</v>
      </c>
      <c r="G23" s="156">
        <v>1.83E-2</v>
      </c>
      <c r="H23" s="157"/>
      <c r="I23" s="158"/>
      <c r="J23" s="139"/>
    </row>
    <row r="24" spans="1:10" ht="12.95" customHeight="1">
      <c r="A24" s="152" t="s">
        <v>746</v>
      </c>
      <c r="B24" s="153" t="s">
        <v>747</v>
      </c>
      <c r="C24" s="149" t="s">
        <v>748</v>
      </c>
      <c r="D24" s="149" t="s">
        <v>749</v>
      </c>
      <c r="E24" s="154">
        <v>97418</v>
      </c>
      <c r="F24" s="155">
        <v>4674.8</v>
      </c>
      <c r="G24" s="156">
        <v>1.8200000000000001E-2</v>
      </c>
      <c r="H24" s="157"/>
      <c r="I24" s="158"/>
      <c r="J24" s="139"/>
    </row>
    <row r="25" spans="1:10" ht="12.95" customHeight="1">
      <c r="A25" s="152" t="s">
        <v>2078</v>
      </c>
      <c r="B25" s="153" t="s">
        <v>2079</v>
      </c>
      <c r="C25" s="149" t="s">
        <v>2080</v>
      </c>
      <c r="D25" s="149" t="s">
        <v>731</v>
      </c>
      <c r="E25" s="154">
        <v>655505</v>
      </c>
      <c r="F25" s="155">
        <v>4156.5600000000004</v>
      </c>
      <c r="G25" s="156">
        <v>1.6199999999999999E-2</v>
      </c>
      <c r="H25" s="157"/>
      <c r="I25" s="158"/>
      <c r="J25" s="139"/>
    </row>
    <row r="26" spans="1:10" ht="12.95" customHeight="1">
      <c r="A26" s="152" t="s">
        <v>894</v>
      </c>
      <c r="B26" s="153" t="s">
        <v>895</v>
      </c>
      <c r="C26" s="149" t="s">
        <v>896</v>
      </c>
      <c r="D26" s="149" t="s">
        <v>731</v>
      </c>
      <c r="E26" s="154">
        <v>79160</v>
      </c>
      <c r="F26" s="155">
        <v>4149.01</v>
      </c>
      <c r="G26" s="156">
        <v>1.6199999999999999E-2</v>
      </c>
      <c r="H26" s="157"/>
      <c r="I26" s="158"/>
      <c r="J26" s="139"/>
    </row>
    <row r="27" spans="1:10" ht="12.95" customHeight="1">
      <c r="A27" s="152" t="s">
        <v>924</v>
      </c>
      <c r="B27" s="153" t="s">
        <v>925</v>
      </c>
      <c r="C27" s="149" t="s">
        <v>926</v>
      </c>
      <c r="D27" s="149" t="s">
        <v>771</v>
      </c>
      <c r="E27" s="154">
        <v>739151</v>
      </c>
      <c r="F27" s="155">
        <v>4108.57</v>
      </c>
      <c r="G27" s="156">
        <v>1.6E-2</v>
      </c>
      <c r="H27" s="157"/>
      <c r="I27" s="158"/>
      <c r="J27" s="139"/>
    </row>
    <row r="28" spans="1:10" ht="12.95" customHeight="1">
      <c r="A28" s="152" t="s">
        <v>897</v>
      </c>
      <c r="B28" s="153" t="s">
        <v>898</v>
      </c>
      <c r="C28" s="149" t="s">
        <v>899</v>
      </c>
      <c r="D28" s="149" t="s">
        <v>900</v>
      </c>
      <c r="E28" s="154">
        <v>23088</v>
      </c>
      <c r="F28" s="155">
        <v>4106.6000000000004</v>
      </c>
      <c r="G28" s="156">
        <v>1.6E-2</v>
      </c>
      <c r="H28" s="157"/>
      <c r="I28" s="158"/>
      <c r="J28" s="139"/>
    </row>
    <row r="29" spans="1:10" ht="12.95" customHeight="1">
      <c r="A29" s="152" t="s">
        <v>891</v>
      </c>
      <c r="B29" s="153" t="s">
        <v>892</v>
      </c>
      <c r="C29" s="149" t="s">
        <v>893</v>
      </c>
      <c r="D29" s="149" t="s">
        <v>782</v>
      </c>
      <c r="E29" s="154">
        <v>52186</v>
      </c>
      <c r="F29" s="155">
        <v>3859.73</v>
      </c>
      <c r="G29" s="156">
        <v>1.4999999999999999E-2</v>
      </c>
      <c r="H29" s="157"/>
      <c r="I29" s="158"/>
      <c r="J29" s="139"/>
    </row>
    <row r="30" spans="1:10" ht="12.95" customHeight="1">
      <c r="A30" s="152" t="s">
        <v>942</v>
      </c>
      <c r="B30" s="153" t="s">
        <v>943</v>
      </c>
      <c r="C30" s="149" t="s">
        <v>944</v>
      </c>
      <c r="D30" s="149" t="s">
        <v>945</v>
      </c>
      <c r="E30" s="154">
        <v>212883</v>
      </c>
      <c r="F30" s="155">
        <v>3625.29</v>
      </c>
      <c r="G30" s="156">
        <v>1.41E-2</v>
      </c>
      <c r="H30" s="157"/>
      <c r="I30" s="158"/>
      <c r="J30" s="139"/>
    </row>
    <row r="31" spans="1:10" ht="12.95" customHeight="1">
      <c r="A31" s="152" t="s">
        <v>757</v>
      </c>
      <c r="B31" s="153" t="s">
        <v>758</v>
      </c>
      <c r="C31" s="149" t="s">
        <v>759</v>
      </c>
      <c r="D31" s="149" t="s">
        <v>749</v>
      </c>
      <c r="E31" s="154">
        <v>95000</v>
      </c>
      <c r="F31" s="155">
        <v>3533.91</v>
      </c>
      <c r="G31" s="156">
        <v>1.38E-2</v>
      </c>
      <c r="H31" s="157"/>
      <c r="I31" s="158"/>
      <c r="J31" s="139"/>
    </row>
    <row r="32" spans="1:10" ht="12.95" customHeight="1">
      <c r="A32" s="152" t="s">
        <v>775</v>
      </c>
      <c r="B32" s="153" t="s">
        <v>776</v>
      </c>
      <c r="C32" s="149" t="s">
        <v>777</v>
      </c>
      <c r="D32" s="149" t="s">
        <v>778</v>
      </c>
      <c r="E32" s="154">
        <v>45109</v>
      </c>
      <c r="F32" s="155">
        <v>3310.12</v>
      </c>
      <c r="G32" s="156">
        <v>1.29E-2</v>
      </c>
      <c r="H32" s="157"/>
      <c r="I32" s="158"/>
      <c r="J32" s="139"/>
    </row>
    <row r="33" spans="1:10" ht="12.95" customHeight="1">
      <c r="A33" s="152" t="s">
        <v>1858</v>
      </c>
      <c r="B33" s="153" t="s">
        <v>1859</v>
      </c>
      <c r="C33" s="149" t="s">
        <v>1860</v>
      </c>
      <c r="D33" s="149" t="s">
        <v>1556</v>
      </c>
      <c r="E33" s="154">
        <v>648960</v>
      </c>
      <c r="F33" s="155">
        <v>3277.57</v>
      </c>
      <c r="G33" s="156">
        <v>1.2800000000000001E-2</v>
      </c>
      <c r="H33" s="157"/>
      <c r="I33" s="158"/>
      <c r="J33" s="139"/>
    </row>
    <row r="34" spans="1:10" ht="12.95" customHeight="1">
      <c r="A34" s="152" t="s">
        <v>818</v>
      </c>
      <c r="B34" s="153" t="s">
        <v>819</v>
      </c>
      <c r="C34" s="149" t="s">
        <v>820</v>
      </c>
      <c r="D34" s="149" t="s">
        <v>739</v>
      </c>
      <c r="E34" s="154">
        <v>37765</v>
      </c>
      <c r="F34" s="155">
        <v>3164.29</v>
      </c>
      <c r="G34" s="156">
        <v>1.23E-2</v>
      </c>
      <c r="H34" s="157"/>
      <c r="I34" s="158"/>
      <c r="J34" s="139"/>
    </row>
    <row r="35" spans="1:10" ht="12.95" customHeight="1">
      <c r="A35" s="152" t="s">
        <v>991</v>
      </c>
      <c r="B35" s="153" t="s">
        <v>992</v>
      </c>
      <c r="C35" s="149" t="s">
        <v>993</v>
      </c>
      <c r="D35" s="149" t="s">
        <v>767</v>
      </c>
      <c r="E35" s="154">
        <v>253651</v>
      </c>
      <c r="F35" s="155">
        <v>3089.6</v>
      </c>
      <c r="G35" s="156">
        <v>1.2E-2</v>
      </c>
      <c r="H35" s="157"/>
      <c r="I35" s="158"/>
      <c r="J35" s="139"/>
    </row>
    <row r="36" spans="1:10" ht="12.95" customHeight="1">
      <c r="A36" s="152" t="s">
        <v>966</v>
      </c>
      <c r="B36" s="153" t="s">
        <v>967</v>
      </c>
      <c r="C36" s="149" t="s">
        <v>968</v>
      </c>
      <c r="D36" s="149" t="s">
        <v>789</v>
      </c>
      <c r="E36" s="154">
        <v>378870</v>
      </c>
      <c r="F36" s="155">
        <v>3082.49</v>
      </c>
      <c r="G36" s="156">
        <v>1.2E-2</v>
      </c>
      <c r="H36" s="157"/>
      <c r="I36" s="158"/>
      <c r="J36" s="139"/>
    </row>
    <row r="37" spans="1:10" ht="12.95" customHeight="1">
      <c r="A37" s="152" t="s">
        <v>2979</v>
      </c>
      <c r="B37" s="153" t="s">
        <v>2980</v>
      </c>
      <c r="C37" s="149" t="s">
        <v>2981</v>
      </c>
      <c r="D37" s="149" t="s">
        <v>910</v>
      </c>
      <c r="E37" s="154">
        <v>599143</v>
      </c>
      <c r="F37" s="155">
        <v>3009.5</v>
      </c>
      <c r="G37" s="156">
        <v>1.17E-2</v>
      </c>
      <c r="H37" s="157"/>
      <c r="I37" s="158"/>
      <c r="J37" s="139"/>
    </row>
    <row r="38" spans="1:10" ht="12.95" customHeight="1">
      <c r="A38" s="152" t="s">
        <v>911</v>
      </c>
      <c r="B38" s="153" t="s">
        <v>912</v>
      </c>
      <c r="C38" s="149" t="s">
        <v>913</v>
      </c>
      <c r="D38" s="149" t="s">
        <v>789</v>
      </c>
      <c r="E38" s="154">
        <v>291680</v>
      </c>
      <c r="F38" s="155">
        <v>3004.01</v>
      </c>
      <c r="G38" s="156">
        <v>1.17E-2</v>
      </c>
      <c r="H38" s="157"/>
      <c r="I38" s="158"/>
      <c r="J38" s="139"/>
    </row>
    <row r="39" spans="1:10" ht="12.95" customHeight="1">
      <c r="A39" s="152" t="s">
        <v>848</v>
      </c>
      <c r="B39" s="153" t="s">
        <v>849</v>
      </c>
      <c r="C39" s="149" t="s">
        <v>850</v>
      </c>
      <c r="D39" s="149" t="s">
        <v>739</v>
      </c>
      <c r="E39" s="154">
        <v>2178809</v>
      </c>
      <c r="F39" s="155">
        <v>2976.25</v>
      </c>
      <c r="G39" s="156">
        <v>1.1599999999999999E-2</v>
      </c>
      <c r="H39" s="157"/>
      <c r="I39" s="158"/>
      <c r="J39" s="139"/>
    </row>
    <row r="40" spans="1:10" ht="12.95" customHeight="1">
      <c r="A40" s="152" t="s">
        <v>3266</v>
      </c>
      <c r="B40" s="153" t="s">
        <v>3267</v>
      </c>
      <c r="C40" s="149" t="s">
        <v>3268</v>
      </c>
      <c r="D40" s="149" t="s">
        <v>1000</v>
      </c>
      <c r="E40" s="154">
        <v>121618</v>
      </c>
      <c r="F40" s="155">
        <v>2787.61</v>
      </c>
      <c r="G40" s="156">
        <v>1.09E-2</v>
      </c>
      <c r="H40" s="157"/>
      <c r="I40" s="158"/>
      <c r="J40" s="139"/>
    </row>
    <row r="41" spans="1:10" ht="12.95" customHeight="1">
      <c r="A41" s="152" t="s">
        <v>845</v>
      </c>
      <c r="B41" s="153" t="s">
        <v>846</v>
      </c>
      <c r="C41" s="149" t="s">
        <v>847</v>
      </c>
      <c r="D41" s="149" t="s">
        <v>739</v>
      </c>
      <c r="E41" s="154">
        <v>185409</v>
      </c>
      <c r="F41" s="155">
        <v>2291.84</v>
      </c>
      <c r="G41" s="156">
        <v>8.8999999999999999E-3</v>
      </c>
      <c r="H41" s="157"/>
      <c r="I41" s="158"/>
      <c r="J41" s="139"/>
    </row>
    <row r="42" spans="1:10" ht="12.95" customHeight="1">
      <c r="A42" s="152" t="s">
        <v>1039</v>
      </c>
      <c r="B42" s="153" t="s">
        <v>1040</v>
      </c>
      <c r="C42" s="149" t="s">
        <v>1041</v>
      </c>
      <c r="D42" s="149" t="s">
        <v>900</v>
      </c>
      <c r="E42" s="154">
        <v>183437</v>
      </c>
      <c r="F42" s="155">
        <v>2228.94</v>
      </c>
      <c r="G42" s="156">
        <v>8.6999999999999994E-3</v>
      </c>
      <c r="H42" s="157"/>
      <c r="I42" s="158"/>
      <c r="J42" s="139"/>
    </row>
    <row r="43" spans="1:10" ht="12.95" customHeight="1">
      <c r="A43" s="152" t="s">
        <v>1735</v>
      </c>
      <c r="B43" s="153" t="s">
        <v>1736</v>
      </c>
      <c r="C43" s="149" t="s">
        <v>1737</v>
      </c>
      <c r="D43" s="149" t="s">
        <v>900</v>
      </c>
      <c r="E43" s="154">
        <v>307527</v>
      </c>
      <c r="F43" s="155">
        <v>2221.58</v>
      </c>
      <c r="G43" s="156">
        <v>8.6999999999999994E-3</v>
      </c>
      <c r="H43" s="157"/>
      <c r="I43" s="158"/>
      <c r="J43" s="139"/>
    </row>
    <row r="44" spans="1:10" ht="12.95" customHeight="1">
      <c r="A44" s="152" t="s">
        <v>743</v>
      </c>
      <c r="B44" s="153" t="s">
        <v>744</v>
      </c>
      <c r="C44" s="149" t="s">
        <v>745</v>
      </c>
      <c r="D44" s="149" t="s">
        <v>723</v>
      </c>
      <c r="E44" s="154">
        <v>42500</v>
      </c>
      <c r="F44" s="155">
        <v>1170.58</v>
      </c>
      <c r="G44" s="156">
        <v>4.5999999999999999E-3</v>
      </c>
      <c r="H44" s="157"/>
      <c r="I44" s="158"/>
      <c r="J44" s="139"/>
    </row>
    <row r="45" spans="1:10" ht="12.95" customHeight="1">
      <c r="A45" s="139"/>
      <c r="B45" s="148" t="s">
        <v>172</v>
      </c>
      <c r="C45" s="149"/>
      <c r="D45" s="149"/>
      <c r="E45" s="149"/>
      <c r="F45" s="159">
        <v>193146.68</v>
      </c>
      <c r="G45" s="160">
        <v>0.75270000000000004</v>
      </c>
      <c r="H45" s="161"/>
      <c r="I45" s="162"/>
      <c r="J45" s="139"/>
    </row>
    <row r="46" spans="1:10" ht="12.95" customHeight="1">
      <c r="A46" s="139"/>
      <c r="B46" s="163" t="s">
        <v>719</v>
      </c>
      <c r="C46" s="164"/>
      <c r="D46" s="164"/>
      <c r="E46" s="164"/>
      <c r="F46" s="161" t="s">
        <v>204</v>
      </c>
      <c r="G46" s="161" t="s">
        <v>204</v>
      </c>
      <c r="H46" s="161"/>
      <c r="I46" s="162"/>
      <c r="J46" s="139"/>
    </row>
    <row r="47" spans="1:10" ht="12.95" customHeight="1">
      <c r="A47" s="139"/>
      <c r="B47" s="163" t="s">
        <v>172</v>
      </c>
      <c r="C47" s="164"/>
      <c r="D47" s="164"/>
      <c r="E47" s="164"/>
      <c r="F47" s="161" t="s">
        <v>204</v>
      </c>
      <c r="G47" s="161" t="s">
        <v>204</v>
      </c>
      <c r="H47" s="161"/>
      <c r="I47" s="162"/>
      <c r="J47" s="139"/>
    </row>
    <row r="48" spans="1:10" ht="12.95" customHeight="1">
      <c r="A48" s="139"/>
      <c r="B48" s="163" t="s">
        <v>177</v>
      </c>
      <c r="C48" s="165"/>
      <c r="D48" s="164"/>
      <c r="E48" s="165"/>
      <c r="F48" s="159">
        <v>193146.68</v>
      </c>
      <c r="G48" s="160">
        <v>0.75270000000000004</v>
      </c>
      <c r="H48" s="161"/>
      <c r="I48" s="162"/>
      <c r="J48" s="139"/>
    </row>
    <row r="49" spans="1:10" ht="12.95" customHeight="1">
      <c r="A49" s="139"/>
      <c r="B49" s="148" t="s">
        <v>2150</v>
      </c>
      <c r="C49" s="149"/>
      <c r="D49" s="149"/>
      <c r="E49" s="149"/>
      <c r="F49" s="149"/>
      <c r="G49" s="149"/>
      <c r="H49" s="150"/>
      <c r="I49" s="151"/>
      <c r="J49" s="139"/>
    </row>
    <row r="50" spans="1:10" ht="12.95" customHeight="1">
      <c r="A50" s="139"/>
      <c r="B50" s="148" t="s">
        <v>681</v>
      </c>
      <c r="C50" s="149"/>
      <c r="D50" s="149"/>
      <c r="E50" s="149"/>
      <c r="F50" s="139"/>
      <c r="G50" s="150"/>
      <c r="H50" s="150"/>
      <c r="I50" s="151"/>
      <c r="J50" s="139"/>
    </row>
    <row r="51" spans="1:10" ht="12.95" customHeight="1">
      <c r="A51" s="152" t="s">
        <v>2155</v>
      </c>
      <c r="B51" s="153" t="s">
        <v>2156</v>
      </c>
      <c r="C51" s="149" t="s">
        <v>2157</v>
      </c>
      <c r="D51" s="149" t="s">
        <v>2158</v>
      </c>
      <c r="E51" s="154">
        <v>1741</v>
      </c>
      <c r="F51" s="155">
        <v>3473.79</v>
      </c>
      <c r="G51" s="156">
        <v>1.35E-2</v>
      </c>
      <c r="H51" s="157"/>
      <c r="I51" s="158"/>
      <c r="J51" s="139"/>
    </row>
    <row r="52" spans="1:10" ht="12.95" customHeight="1">
      <c r="A52" s="152" t="s">
        <v>2151</v>
      </c>
      <c r="B52" s="153" t="s">
        <v>2152</v>
      </c>
      <c r="C52" s="149" t="s">
        <v>2153</v>
      </c>
      <c r="D52" s="149" t="s">
        <v>2154</v>
      </c>
      <c r="E52" s="154">
        <v>15675</v>
      </c>
      <c r="F52" s="155">
        <v>3305.61</v>
      </c>
      <c r="G52" s="156">
        <v>1.29E-2</v>
      </c>
      <c r="H52" s="157"/>
      <c r="I52" s="158"/>
      <c r="J52" s="139"/>
    </row>
    <row r="53" spans="1:10" ht="12.95" customHeight="1">
      <c r="A53" s="152" t="s">
        <v>2463</v>
      </c>
      <c r="B53" s="153" t="s">
        <v>2464</v>
      </c>
      <c r="C53" s="149" t="s">
        <v>2465</v>
      </c>
      <c r="D53" s="149" t="s">
        <v>2466</v>
      </c>
      <c r="E53" s="154">
        <v>1022</v>
      </c>
      <c r="F53" s="155">
        <v>2505.1799999999998</v>
      </c>
      <c r="G53" s="156">
        <v>9.7999999999999997E-3</v>
      </c>
      <c r="H53" s="157"/>
      <c r="I53" s="158"/>
      <c r="J53" s="139"/>
    </row>
    <row r="54" spans="1:10" ht="12.95" customHeight="1">
      <c r="A54" s="152" t="s">
        <v>2201</v>
      </c>
      <c r="B54" s="153" t="s">
        <v>2202</v>
      </c>
      <c r="C54" s="149" t="s">
        <v>2203</v>
      </c>
      <c r="D54" s="149" t="s">
        <v>2204</v>
      </c>
      <c r="E54" s="154">
        <v>13882</v>
      </c>
      <c r="F54" s="155">
        <v>2336.64</v>
      </c>
      <c r="G54" s="156">
        <v>9.1000000000000004E-3</v>
      </c>
      <c r="H54" s="157"/>
      <c r="I54" s="158"/>
      <c r="J54" s="139"/>
    </row>
    <row r="55" spans="1:10" ht="12.95" customHeight="1">
      <c r="A55" s="152" t="s">
        <v>2175</v>
      </c>
      <c r="B55" s="153" t="s">
        <v>2176</v>
      </c>
      <c r="C55" s="149" t="s">
        <v>2177</v>
      </c>
      <c r="D55" s="149" t="s">
        <v>2170</v>
      </c>
      <c r="E55" s="154">
        <v>23724</v>
      </c>
      <c r="F55" s="155">
        <v>1966.33</v>
      </c>
      <c r="G55" s="156">
        <v>7.7000000000000002E-3</v>
      </c>
      <c r="H55" s="157"/>
      <c r="I55" s="158"/>
      <c r="J55" s="139"/>
    </row>
    <row r="56" spans="1:10" ht="12.95" customHeight="1">
      <c r="A56" s="152" t="s">
        <v>3269</v>
      </c>
      <c r="B56" s="153" t="s">
        <v>3270</v>
      </c>
      <c r="C56" s="149" t="s">
        <v>3271</v>
      </c>
      <c r="D56" s="149" t="s">
        <v>3272</v>
      </c>
      <c r="E56" s="154">
        <v>5837</v>
      </c>
      <c r="F56" s="155">
        <v>1958.18</v>
      </c>
      <c r="G56" s="156">
        <v>7.6E-3</v>
      </c>
      <c r="H56" s="157"/>
      <c r="I56" s="158"/>
      <c r="J56" s="139"/>
    </row>
    <row r="57" spans="1:10" ht="12.95" customHeight="1">
      <c r="A57" s="152" t="s">
        <v>3273</v>
      </c>
      <c r="B57" s="153" t="s">
        <v>3274</v>
      </c>
      <c r="C57" s="149" t="s">
        <v>3275</v>
      </c>
      <c r="D57" s="149" t="s">
        <v>3276</v>
      </c>
      <c r="E57" s="154">
        <v>3056</v>
      </c>
      <c r="F57" s="155">
        <v>1943.76</v>
      </c>
      <c r="G57" s="156">
        <v>7.6E-3</v>
      </c>
      <c r="H57" s="157"/>
      <c r="I57" s="158"/>
      <c r="J57" s="139"/>
    </row>
    <row r="58" spans="1:10" ht="12.95" customHeight="1">
      <c r="A58" s="152" t="s">
        <v>2240</v>
      </c>
      <c r="B58" s="153" t="s">
        <v>2241</v>
      </c>
      <c r="C58" s="149" t="s">
        <v>2242</v>
      </c>
      <c r="D58" s="149" t="s">
        <v>2243</v>
      </c>
      <c r="E58" s="154">
        <v>3488</v>
      </c>
      <c r="F58" s="155">
        <v>1943.6</v>
      </c>
      <c r="G58" s="156">
        <v>7.6E-3</v>
      </c>
      <c r="H58" s="157"/>
      <c r="I58" s="158"/>
      <c r="J58" s="139"/>
    </row>
    <row r="59" spans="1:10" ht="12.95" customHeight="1">
      <c r="A59" s="152" t="s">
        <v>2233</v>
      </c>
      <c r="B59" s="153" t="s">
        <v>2234</v>
      </c>
      <c r="C59" s="149" t="s">
        <v>2235</v>
      </c>
      <c r="D59" s="149" t="s">
        <v>2236</v>
      </c>
      <c r="E59" s="154">
        <v>4272</v>
      </c>
      <c r="F59" s="155">
        <v>1832.57</v>
      </c>
      <c r="G59" s="156">
        <v>7.1000000000000004E-3</v>
      </c>
      <c r="H59" s="157"/>
      <c r="I59" s="158"/>
      <c r="J59" s="139"/>
    </row>
    <row r="60" spans="1:10" ht="12.95" customHeight="1">
      <c r="A60" s="152" t="s">
        <v>2163</v>
      </c>
      <c r="B60" s="153" t="s">
        <v>2164</v>
      </c>
      <c r="C60" s="149" t="s">
        <v>2165</v>
      </c>
      <c r="D60" s="149" t="s">
        <v>2166</v>
      </c>
      <c r="E60" s="154">
        <v>951</v>
      </c>
      <c r="F60" s="155">
        <v>1679.14</v>
      </c>
      <c r="G60" s="156">
        <v>6.4999999999999997E-3</v>
      </c>
      <c r="H60" s="157"/>
      <c r="I60" s="158"/>
      <c r="J60" s="139"/>
    </row>
    <row r="61" spans="1:10" ht="12.95" customHeight="1">
      <c r="A61" s="152" t="s">
        <v>2467</v>
      </c>
      <c r="B61" s="153" t="s">
        <v>2468</v>
      </c>
      <c r="C61" s="149" t="s">
        <v>2469</v>
      </c>
      <c r="D61" s="149" t="s">
        <v>2158</v>
      </c>
      <c r="E61" s="154">
        <v>6569</v>
      </c>
      <c r="F61" s="155">
        <v>1656.56</v>
      </c>
      <c r="G61" s="156">
        <v>6.4999999999999997E-3</v>
      </c>
      <c r="H61" s="157"/>
      <c r="I61" s="158"/>
      <c r="J61" s="139"/>
    </row>
    <row r="62" spans="1:10" ht="12.95" customHeight="1">
      <c r="A62" s="152" t="s">
        <v>3277</v>
      </c>
      <c r="B62" s="153" t="s">
        <v>3278</v>
      </c>
      <c r="C62" s="149" t="s">
        <v>3279</v>
      </c>
      <c r="D62" s="149" t="s">
        <v>3280</v>
      </c>
      <c r="E62" s="154">
        <v>7411</v>
      </c>
      <c r="F62" s="155">
        <v>1646.18</v>
      </c>
      <c r="G62" s="156">
        <v>6.4000000000000003E-3</v>
      </c>
      <c r="H62" s="157"/>
      <c r="I62" s="158"/>
      <c r="J62" s="139"/>
    </row>
    <row r="63" spans="1:10" ht="12.95" customHeight="1">
      <c r="A63" s="152" t="s">
        <v>3281</v>
      </c>
      <c r="B63" s="153" t="s">
        <v>3282</v>
      </c>
      <c r="C63" s="149" t="s">
        <v>3283</v>
      </c>
      <c r="D63" s="149" t="s">
        <v>3284</v>
      </c>
      <c r="E63" s="154">
        <v>28972</v>
      </c>
      <c r="F63" s="155">
        <v>1603.59</v>
      </c>
      <c r="G63" s="156">
        <v>6.1999999999999998E-3</v>
      </c>
      <c r="H63" s="157"/>
      <c r="I63" s="158"/>
      <c r="J63" s="139"/>
    </row>
    <row r="64" spans="1:10" ht="12.95" customHeight="1">
      <c r="A64" s="152" t="s">
        <v>3285</v>
      </c>
      <c r="B64" s="153" t="s">
        <v>3286</v>
      </c>
      <c r="C64" s="149" t="s">
        <v>3287</v>
      </c>
      <c r="D64" s="149" t="s">
        <v>3288</v>
      </c>
      <c r="E64" s="154">
        <v>4994</v>
      </c>
      <c r="F64" s="155">
        <v>1603.51</v>
      </c>
      <c r="G64" s="156">
        <v>6.1999999999999998E-3</v>
      </c>
      <c r="H64" s="157"/>
      <c r="I64" s="158"/>
      <c r="J64" s="139"/>
    </row>
    <row r="65" spans="1:10" ht="12.95" customHeight="1">
      <c r="A65" s="152" t="s">
        <v>3289</v>
      </c>
      <c r="B65" s="153" t="s">
        <v>3290</v>
      </c>
      <c r="C65" s="149" t="s">
        <v>3291</v>
      </c>
      <c r="D65" s="149" t="s">
        <v>3292</v>
      </c>
      <c r="E65" s="154">
        <v>14767</v>
      </c>
      <c r="F65" s="155">
        <v>1566.17</v>
      </c>
      <c r="G65" s="156">
        <v>6.1000000000000004E-3</v>
      </c>
      <c r="H65" s="157"/>
      <c r="I65" s="158"/>
      <c r="J65" s="139"/>
    </row>
    <row r="66" spans="1:10" ht="12.95" customHeight="1">
      <c r="A66" s="152" t="s">
        <v>3293</v>
      </c>
      <c r="B66" s="153" t="s">
        <v>3294</v>
      </c>
      <c r="C66" s="149" t="s">
        <v>3295</v>
      </c>
      <c r="D66" s="149" t="s">
        <v>3296</v>
      </c>
      <c r="E66" s="154">
        <v>25588</v>
      </c>
      <c r="F66" s="155">
        <v>1488.68</v>
      </c>
      <c r="G66" s="156">
        <v>5.7999999999999996E-3</v>
      </c>
      <c r="H66" s="157"/>
      <c r="I66" s="158"/>
      <c r="J66" s="139"/>
    </row>
    <row r="67" spans="1:10" ht="12.95" customHeight="1">
      <c r="A67" s="152" t="s">
        <v>3297</v>
      </c>
      <c r="B67" s="153" t="s">
        <v>3298</v>
      </c>
      <c r="C67" s="149" t="s">
        <v>3299</v>
      </c>
      <c r="D67" s="149" t="s">
        <v>3300</v>
      </c>
      <c r="E67" s="154">
        <v>6367</v>
      </c>
      <c r="F67" s="155">
        <v>1474.04</v>
      </c>
      <c r="G67" s="156">
        <v>5.7000000000000002E-3</v>
      </c>
      <c r="H67" s="157"/>
      <c r="I67" s="158"/>
      <c r="J67" s="139"/>
    </row>
    <row r="68" spans="1:10" ht="12.95" customHeight="1">
      <c r="A68" s="152" t="s">
        <v>3301</v>
      </c>
      <c r="B68" s="153" t="s">
        <v>3302</v>
      </c>
      <c r="C68" s="149" t="s">
        <v>3303</v>
      </c>
      <c r="D68" s="149" t="s">
        <v>3304</v>
      </c>
      <c r="E68" s="154">
        <v>3090</v>
      </c>
      <c r="F68" s="155">
        <v>1401.24</v>
      </c>
      <c r="G68" s="156">
        <v>5.4999999999999997E-3</v>
      </c>
      <c r="H68" s="157"/>
      <c r="I68" s="158"/>
      <c r="J68" s="139"/>
    </row>
    <row r="69" spans="1:10" ht="12.95" customHeight="1">
      <c r="A69" s="152" t="s">
        <v>3305</v>
      </c>
      <c r="B69" s="153" t="s">
        <v>3306</v>
      </c>
      <c r="C69" s="149" t="s">
        <v>3307</v>
      </c>
      <c r="D69" s="149" t="s">
        <v>2166</v>
      </c>
      <c r="E69" s="154">
        <v>11185</v>
      </c>
      <c r="F69" s="155">
        <v>1395.89</v>
      </c>
      <c r="G69" s="156">
        <v>5.4000000000000003E-3</v>
      </c>
      <c r="H69" s="157"/>
      <c r="I69" s="158"/>
      <c r="J69" s="139"/>
    </row>
    <row r="70" spans="1:10" ht="12.95" customHeight="1">
      <c r="A70" s="152" t="s">
        <v>3308</v>
      </c>
      <c r="B70" s="153" t="s">
        <v>3309</v>
      </c>
      <c r="C70" s="149" t="s">
        <v>3310</v>
      </c>
      <c r="D70" s="149" t="s">
        <v>2236</v>
      </c>
      <c r="E70" s="154">
        <v>3261</v>
      </c>
      <c r="F70" s="155">
        <v>1324.37</v>
      </c>
      <c r="G70" s="156">
        <v>5.1999999999999998E-3</v>
      </c>
      <c r="H70" s="157"/>
      <c r="I70" s="158"/>
      <c r="J70" s="139"/>
    </row>
    <row r="71" spans="1:10" ht="12.95" customHeight="1">
      <c r="A71" s="152" t="s">
        <v>2492</v>
      </c>
      <c r="B71" s="153" t="s">
        <v>2493</v>
      </c>
      <c r="C71" s="149" t="s">
        <v>2494</v>
      </c>
      <c r="D71" s="149" t="s">
        <v>2258</v>
      </c>
      <c r="E71" s="154">
        <v>15617</v>
      </c>
      <c r="F71" s="155">
        <v>1316.43</v>
      </c>
      <c r="G71" s="156">
        <v>5.1000000000000004E-3</v>
      </c>
      <c r="H71" s="157"/>
      <c r="I71" s="158"/>
      <c r="J71" s="139"/>
    </row>
    <row r="72" spans="1:10" ht="12.95" customHeight="1">
      <c r="A72" s="152" t="s">
        <v>3311</v>
      </c>
      <c r="B72" s="153" t="s">
        <v>3312</v>
      </c>
      <c r="C72" s="149" t="s">
        <v>3313</v>
      </c>
      <c r="D72" s="149" t="s">
        <v>3314</v>
      </c>
      <c r="E72" s="154">
        <v>57623</v>
      </c>
      <c r="F72" s="155">
        <v>1297.76</v>
      </c>
      <c r="G72" s="156">
        <v>5.1000000000000004E-3</v>
      </c>
      <c r="H72" s="157"/>
      <c r="I72" s="158"/>
      <c r="J72" s="139"/>
    </row>
    <row r="73" spans="1:10" ht="12.95" customHeight="1">
      <c r="A73" s="152" t="s">
        <v>3315</v>
      </c>
      <c r="B73" s="153" t="s">
        <v>3316</v>
      </c>
      <c r="C73" s="149" t="s">
        <v>3317</v>
      </c>
      <c r="D73" s="149" t="s">
        <v>2258</v>
      </c>
      <c r="E73" s="154">
        <v>5496</v>
      </c>
      <c r="F73" s="155">
        <v>1251.29</v>
      </c>
      <c r="G73" s="156">
        <v>4.8999999999999998E-3</v>
      </c>
      <c r="H73" s="157"/>
      <c r="I73" s="158"/>
      <c r="J73" s="139"/>
    </row>
    <row r="74" spans="1:10" ht="12.95" customHeight="1">
      <c r="A74" s="152" t="s">
        <v>3318</v>
      </c>
      <c r="B74" s="153" t="s">
        <v>3319</v>
      </c>
      <c r="C74" s="149" t="s">
        <v>3320</v>
      </c>
      <c r="D74" s="149" t="s">
        <v>2197</v>
      </c>
      <c r="E74" s="154">
        <v>30325</v>
      </c>
      <c r="F74" s="155">
        <v>1248.1600000000001</v>
      </c>
      <c r="G74" s="156">
        <v>4.8999999999999998E-3</v>
      </c>
      <c r="H74" s="157"/>
      <c r="I74" s="158"/>
      <c r="J74" s="139"/>
    </row>
    <row r="75" spans="1:10" ht="12.95" customHeight="1">
      <c r="A75" s="152" t="s">
        <v>3321</v>
      </c>
      <c r="B75" s="153" t="s">
        <v>3322</v>
      </c>
      <c r="C75" s="149" t="s">
        <v>3323</v>
      </c>
      <c r="D75" s="149" t="s">
        <v>2258</v>
      </c>
      <c r="E75" s="154">
        <v>2657</v>
      </c>
      <c r="F75" s="155">
        <v>1242.08</v>
      </c>
      <c r="G75" s="156">
        <v>4.7999999999999996E-3</v>
      </c>
      <c r="H75" s="157"/>
      <c r="I75" s="158"/>
      <c r="J75" s="139"/>
    </row>
    <row r="76" spans="1:10" ht="12.95" customHeight="1">
      <c r="A76" s="152" t="s">
        <v>3324</v>
      </c>
      <c r="B76" s="153" t="s">
        <v>3325</v>
      </c>
      <c r="C76" s="149" t="s">
        <v>3326</v>
      </c>
      <c r="D76" s="149" t="s">
        <v>3327</v>
      </c>
      <c r="E76" s="154">
        <v>5882</v>
      </c>
      <c r="F76" s="155">
        <v>1231.08</v>
      </c>
      <c r="G76" s="156">
        <v>4.7999999999999996E-3</v>
      </c>
      <c r="H76" s="157"/>
      <c r="I76" s="158"/>
      <c r="J76" s="139"/>
    </row>
    <row r="77" spans="1:10" ht="12.95" customHeight="1">
      <c r="A77" s="152" t="s">
        <v>2488</v>
      </c>
      <c r="B77" s="153" t="s">
        <v>2489</v>
      </c>
      <c r="C77" s="149" t="s">
        <v>2490</v>
      </c>
      <c r="D77" s="149" t="s">
        <v>2491</v>
      </c>
      <c r="E77" s="154">
        <v>29460</v>
      </c>
      <c r="F77" s="155">
        <v>1223.5</v>
      </c>
      <c r="G77" s="156">
        <v>4.7999999999999996E-3</v>
      </c>
      <c r="H77" s="157"/>
      <c r="I77" s="158"/>
      <c r="J77" s="139"/>
    </row>
    <row r="78" spans="1:10" ht="12.95" customHeight="1">
      <c r="A78" s="152" t="s">
        <v>3328</v>
      </c>
      <c r="B78" s="153" t="s">
        <v>3329</v>
      </c>
      <c r="C78" s="149" t="s">
        <v>3330</v>
      </c>
      <c r="D78" s="149" t="s">
        <v>749</v>
      </c>
      <c r="E78" s="154">
        <v>7128</v>
      </c>
      <c r="F78" s="155">
        <v>1219.27</v>
      </c>
      <c r="G78" s="156">
        <v>4.7999999999999996E-3</v>
      </c>
      <c r="H78" s="157"/>
      <c r="I78" s="158"/>
      <c r="J78" s="139"/>
    </row>
    <row r="79" spans="1:10" ht="12.95" customHeight="1">
      <c r="A79" s="152" t="s">
        <v>3331</v>
      </c>
      <c r="B79" s="153" t="s">
        <v>3332</v>
      </c>
      <c r="C79" s="149" t="s">
        <v>3333</v>
      </c>
      <c r="D79" s="149" t="s">
        <v>2174</v>
      </c>
      <c r="E79" s="154">
        <v>3902</v>
      </c>
      <c r="F79" s="155">
        <v>1192.6099999999999</v>
      </c>
      <c r="G79" s="156">
        <v>4.5999999999999999E-3</v>
      </c>
      <c r="H79" s="157"/>
      <c r="I79" s="158"/>
      <c r="J79" s="139"/>
    </row>
    <row r="80" spans="1:10" ht="12.95" customHeight="1">
      <c r="A80" s="152" t="s">
        <v>3334</v>
      </c>
      <c r="B80" s="153" t="s">
        <v>3335</v>
      </c>
      <c r="C80" s="149" t="s">
        <v>3336</v>
      </c>
      <c r="D80" s="149" t="s">
        <v>2204</v>
      </c>
      <c r="E80" s="154">
        <v>6661</v>
      </c>
      <c r="F80" s="155">
        <v>1167.49</v>
      </c>
      <c r="G80" s="156">
        <v>4.5999999999999999E-3</v>
      </c>
      <c r="H80" s="157"/>
      <c r="I80" s="158"/>
      <c r="J80" s="139"/>
    </row>
    <row r="81" spans="1:10" ht="12.95" customHeight="1">
      <c r="A81" s="152" t="s">
        <v>3337</v>
      </c>
      <c r="B81" s="153" t="s">
        <v>3338</v>
      </c>
      <c r="C81" s="149" t="s">
        <v>3339</v>
      </c>
      <c r="D81" s="149" t="s">
        <v>2154</v>
      </c>
      <c r="E81" s="154">
        <v>6069</v>
      </c>
      <c r="F81" s="155">
        <v>1166.6500000000001</v>
      </c>
      <c r="G81" s="156">
        <v>4.4999999999999997E-3</v>
      </c>
      <c r="H81" s="157"/>
      <c r="I81" s="158"/>
      <c r="J81" s="139"/>
    </row>
    <row r="82" spans="1:10" ht="12.95" customHeight="1">
      <c r="A82" s="152" t="s">
        <v>3340</v>
      </c>
      <c r="B82" s="153" t="s">
        <v>3341</v>
      </c>
      <c r="C82" s="149" t="s">
        <v>3342</v>
      </c>
      <c r="D82" s="149" t="s">
        <v>2243</v>
      </c>
      <c r="E82" s="154">
        <v>5861</v>
      </c>
      <c r="F82" s="155">
        <v>1139.68</v>
      </c>
      <c r="G82" s="156">
        <v>4.4000000000000003E-3</v>
      </c>
      <c r="H82" s="157"/>
      <c r="I82" s="158"/>
      <c r="J82" s="139"/>
    </row>
    <row r="83" spans="1:10" ht="12.95" customHeight="1">
      <c r="A83" s="152" t="s">
        <v>3343</v>
      </c>
      <c r="B83" s="153" t="s">
        <v>3344</v>
      </c>
      <c r="C83" s="149" t="s">
        <v>3345</v>
      </c>
      <c r="D83" s="149" t="s">
        <v>2204</v>
      </c>
      <c r="E83" s="154">
        <v>5763</v>
      </c>
      <c r="F83" s="155">
        <v>1108.3399999999999</v>
      </c>
      <c r="G83" s="156">
        <v>4.3E-3</v>
      </c>
      <c r="H83" s="157"/>
      <c r="I83" s="158"/>
      <c r="J83" s="139"/>
    </row>
    <row r="84" spans="1:10" ht="12.95" customHeight="1">
      <c r="A84" s="152" t="s">
        <v>3346</v>
      </c>
      <c r="B84" s="153" t="s">
        <v>3347</v>
      </c>
      <c r="C84" s="149" t="s">
        <v>3348</v>
      </c>
      <c r="D84" s="149" t="s">
        <v>3300</v>
      </c>
      <c r="E84" s="154">
        <v>17773</v>
      </c>
      <c r="F84" s="155">
        <v>1021.21</v>
      </c>
      <c r="G84" s="156">
        <v>4.0000000000000001E-3</v>
      </c>
      <c r="H84" s="157"/>
      <c r="I84" s="158"/>
      <c r="J84" s="139"/>
    </row>
    <row r="85" spans="1:10" ht="12.95" customHeight="1">
      <c r="A85" s="152" t="s">
        <v>3349</v>
      </c>
      <c r="B85" s="153" t="s">
        <v>3350</v>
      </c>
      <c r="C85" s="149" t="s">
        <v>3351</v>
      </c>
      <c r="D85" s="149" t="s">
        <v>3304</v>
      </c>
      <c r="E85" s="154">
        <v>11177</v>
      </c>
      <c r="F85" s="155">
        <v>970.21</v>
      </c>
      <c r="G85" s="156">
        <v>3.8E-3</v>
      </c>
      <c r="H85" s="157"/>
      <c r="I85" s="158"/>
      <c r="J85" s="139"/>
    </row>
    <row r="86" spans="1:10" ht="12.95" customHeight="1">
      <c r="A86" s="152" t="s">
        <v>2263</v>
      </c>
      <c r="B86" s="153" t="s">
        <v>2264</v>
      </c>
      <c r="C86" s="149" t="s">
        <v>2265</v>
      </c>
      <c r="D86" s="149" t="s">
        <v>2266</v>
      </c>
      <c r="E86" s="154">
        <v>6575</v>
      </c>
      <c r="F86" s="155">
        <v>951.21</v>
      </c>
      <c r="G86" s="156">
        <v>3.7000000000000002E-3</v>
      </c>
      <c r="H86" s="157"/>
      <c r="I86" s="158"/>
      <c r="J86" s="139"/>
    </row>
    <row r="87" spans="1:10" ht="12.95" customHeight="1">
      <c r="A87" s="152" t="s">
        <v>3352</v>
      </c>
      <c r="B87" s="153" t="s">
        <v>3353</v>
      </c>
      <c r="C87" s="149" t="s">
        <v>3354</v>
      </c>
      <c r="D87" s="149" t="s">
        <v>2170</v>
      </c>
      <c r="E87" s="154">
        <v>6141</v>
      </c>
      <c r="F87" s="155">
        <v>935.58</v>
      </c>
      <c r="G87" s="156">
        <v>3.5999999999999999E-3</v>
      </c>
      <c r="H87" s="157"/>
      <c r="I87" s="158"/>
      <c r="J87" s="139"/>
    </row>
    <row r="88" spans="1:10" ht="12.95" customHeight="1">
      <c r="A88" s="152" t="s">
        <v>3355</v>
      </c>
      <c r="B88" s="153" t="s">
        <v>3356</v>
      </c>
      <c r="C88" s="149" t="s">
        <v>3357</v>
      </c>
      <c r="D88" s="149" t="s">
        <v>2211</v>
      </c>
      <c r="E88" s="154">
        <v>13336</v>
      </c>
      <c r="F88" s="155">
        <v>908.87</v>
      </c>
      <c r="G88" s="156">
        <v>3.5000000000000001E-3</v>
      </c>
      <c r="H88" s="157"/>
      <c r="I88" s="158"/>
      <c r="J88" s="139"/>
    </row>
    <row r="89" spans="1:10" ht="12.95" customHeight="1">
      <c r="A89" s="152" t="s">
        <v>3358</v>
      </c>
      <c r="B89" s="153" t="s">
        <v>3359</v>
      </c>
      <c r="C89" s="149" t="s">
        <v>3360</v>
      </c>
      <c r="D89" s="149" t="s">
        <v>2166</v>
      </c>
      <c r="E89" s="154">
        <v>10500</v>
      </c>
      <c r="F89" s="155">
        <v>610.17999999999995</v>
      </c>
      <c r="G89" s="156">
        <v>2.3999999999999998E-3</v>
      </c>
      <c r="H89" s="157"/>
      <c r="I89" s="158"/>
      <c r="J89" s="139"/>
    </row>
    <row r="90" spans="1:10" ht="12.95" customHeight="1">
      <c r="A90" s="139"/>
      <c r="B90" s="148" t="s">
        <v>172</v>
      </c>
      <c r="C90" s="149"/>
      <c r="D90" s="149"/>
      <c r="E90" s="149"/>
      <c r="F90" s="159">
        <v>59306.63</v>
      </c>
      <c r="G90" s="160">
        <v>0.23100000000000001</v>
      </c>
      <c r="H90" s="161"/>
      <c r="I90" s="162"/>
      <c r="J90" s="139"/>
    </row>
    <row r="91" spans="1:10" ht="12.95" customHeight="1">
      <c r="A91" s="139"/>
      <c r="B91" s="163" t="s">
        <v>719</v>
      </c>
      <c r="C91" s="164"/>
      <c r="D91" s="164"/>
      <c r="E91" s="164"/>
      <c r="F91" s="161" t="s">
        <v>204</v>
      </c>
      <c r="G91" s="161" t="s">
        <v>204</v>
      </c>
      <c r="H91" s="161"/>
      <c r="I91" s="162"/>
      <c r="J91" s="139"/>
    </row>
    <row r="92" spans="1:10" ht="12.95" customHeight="1">
      <c r="A92" s="139"/>
      <c r="B92" s="163" t="s">
        <v>172</v>
      </c>
      <c r="C92" s="164"/>
      <c r="D92" s="164"/>
      <c r="E92" s="164"/>
      <c r="F92" s="161" t="s">
        <v>204</v>
      </c>
      <c r="G92" s="161" t="s">
        <v>204</v>
      </c>
      <c r="H92" s="161"/>
      <c r="I92" s="162"/>
      <c r="J92" s="139"/>
    </row>
    <row r="93" spans="1:10" ht="12.95" customHeight="1">
      <c r="A93" s="139"/>
      <c r="B93" s="163" t="s">
        <v>177</v>
      </c>
      <c r="C93" s="165"/>
      <c r="D93" s="164"/>
      <c r="E93" s="165"/>
      <c r="F93" s="159">
        <v>59306.63</v>
      </c>
      <c r="G93" s="160">
        <v>0.23100000000000001</v>
      </c>
      <c r="H93" s="161"/>
      <c r="I93" s="162"/>
      <c r="J93" s="139"/>
    </row>
    <row r="94" spans="1:10" ht="12.95" customHeight="1">
      <c r="A94" s="139"/>
      <c r="B94" s="148" t="s">
        <v>219</v>
      </c>
      <c r="C94" s="149"/>
      <c r="D94" s="149"/>
      <c r="E94" s="149"/>
      <c r="F94" s="149"/>
      <c r="G94" s="149"/>
      <c r="H94" s="150"/>
      <c r="I94" s="151"/>
      <c r="J94" s="139"/>
    </row>
    <row r="95" spans="1:10" ht="12.95" customHeight="1">
      <c r="A95" s="139"/>
      <c r="B95" s="148" t="s">
        <v>1106</v>
      </c>
      <c r="C95" s="149"/>
      <c r="D95" s="168" t="s">
        <v>1107</v>
      </c>
      <c r="E95" s="149"/>
      <c r="F95" s="139"/>
      <c r="G95" s="150"/>
      <c r="H95" s="150"/>
      <c r="I95" s="151"/>
      <c r="J95" s="139"/>
    </row>
    <row r="96" spans="1:10" ht="12.95" customHeight="1">
      <c r="A96" s="152" t="s">
        <v>3361</v>
      </c>
      <c r="B96" s="153" t="s">
        <v>3362</v>
      </c>
      <c r="C96" s="149"/>
      <c r="D96" s="169" t="s">
        <v>1714</v>
      </c>
      <c r="E96" s="170"/>
      <c r="F96" s="155">
        <v>982</v>
      </c>
      <c r="G96" s="156">
        <v>3.8E-3</v>
      </c>
      <c r="H96" s="166">
        <v>3.030803571E-2</v>
      </c>
      <c r="I96" s="158"/>
      <c r="J96" s="139"/>
    </row>
    <row r="97" spans="1:10" ht="12.95" customHeight="1">
      <c r="A97" s="139"/>
      <c r="B97" s="148" t="s">
        <v>172</v>
      </c>
      <c r="C97" s="149"/>
      <c r="D97" s="149"/>
      <c r="E97" s="149"/>
      <c r="F97" s="159">
        <v>982</v>
      </c>
      <c r="G97" s="160">
        <v>3.8E-3</v>
      </c>
      <c r="H97" s="161"/>
      <c r="I97" s="162"/>
      <c r="J97" s="139"/>
    </row>
    <row r="98" spans="1:10" ht="12.95" customHeight="1">
      <c r="A98" s="139"/>
      <c r="B98" s="163" t="s">
        <v>177</v>
      </c>
      <c r="C98" s="165"/>
      <c r="D98" s="164"/>
      <c r="E98" s="165"/>
      <c r="F98" s="159">
        <v>982</v>
      </c>
      <c r="G98" s="160">
        <v>3.8E-3</v>
      </c>
      <c r="H98" s="161"/>
      <c r="I98" s="162"/>
      <c r="J98" s="139"/>
    </row>
    <row r="99" spans="1:10" ht="12.95" customHeight="1">
      <c r="A99" s="139"/>
      <c r="B99" s="148" t="s">
        <v>178</v>
      </c>
      <c r="C99" s="149"/>
      <c r="D99" s="149"/>
      <c r="E99" s="149"/>
      <c r="F99" s="149"/>
      <c r="G99" s="149"/>
      <c r="H99" s="150"/>
      <c r="I99" s="151"/>
      <c r="J99" s="139"/>
    </row>
    <row r="100" spans="1:10" ht="12.95" customHeight="1">
      <c r="A100" s="152" t="s">
        <v>179</v>
      </c>
      <c r="B100" s="153" t="s">
        <v>180</v>
      </c>
      <c r="C100" s="149"/>
      <c r="D100" s="149"/>
      <c r="E100" s="154"/>
      <c r="F100" s="155">
        <v>3239.1</v>
      </c>
      <c r="G100" s="156">
        <v>1.26E-2</v>
      </c>
      <c r="H100" s="166">
        <v>3.3046360207908236E-2</v>
      </c>
      <c r="I100" s="158"/>
      <c r="J100" s="139"/>
    </row>
    <row r="101" spans="1:10" ht="12.95" customHeight="1">
      <c r="A101" s="139"/>
      <c r="B101" s="148" t="s">
        <v>172</v>
      </c>
      <c r="C101" s="149"/>
      <c r="D101" s="149"/>
      <c r="E101" s="149"/>
      <c r="F101" s="159">
        <v>3239.1</v>
      </c>
      <c r="G101" s="160">
        <v>1.26E-2</v>
      </c>
      <c r="H101" s="161"/>
      <c r="I101" s="162"/>
      <c r="J101" s="139"/>
    </row>
    <row r="102" spans="1:10" ht="12.95" customHeight="1">
      <c r="A102" s="139"/>
      <c r="B102" s="163" t="s">
        <v>177</v>
      </c>
      <c r="C102" s="165"/>
      <c r="D102" s="164"/>
      <c r="E102" s="165"/>
      <c r="F102" s="159">
        <v>3239.1</v>
      </c>
      <c r="G102" s="160">
        <v>1.26E-2</v>
      </c>
      <c r="H102" s="161"/>
      <c r="I102" s="162"/>
      <c r="J102" s="139"/>
    </row>
    <row r="103" spans="1:10" ht="12.95" customHeight="1">
      <c r="A103" s="139"/>
      <c r="B103" s="163" t="s">
        <v>181</v>
      </c>
      <c r="C103" s="149"/>
      <c r="D103" s="164"/>
      <c r="E103" s="149"/>
      <c r="F103" s="171">
        <v>-93.4</v>
      </c>
      <c r="G103" s="160">
        <v>-1E-4</v>
      </c>
      <c r="H103" s="161"/>
      <c r="I103" s="162"/>
      <c r="J103" s="139"/>
    </row>
    <row r="104" spans="1:10" ht="12.95" customHeight="1">
      <c r="A104" s="139"/>
      <c r="B104" s="172" t="s">
        <v>182</v>
      </c>
      <c r="C104" s="173"/>
      <c r="D104" s="173"/>
      <c r="E104" s="173"/>
      <c r="F104" s="174">
        <v>256581.01</v>
      </c>
      <c r="G104" s="175">
        <v>1</v>
      </c>
      <c r="H104" s="176"/>
      <c r="I104" s="177"/>
      <c r="J104" s="139"/>
    </row>
    <row r="105" spans="1:10" ht="12.95" customHeight="1">
      <c r="A105" s="139"/>
      <c r="B105" s="141"/>
      <c r="C105" s="139"/>
      <c r="D105" s="139"/>
      <c r="E105" s="139"/>
      <c r="F105" s="139"/>
      <c r="G105" s="139"/>
      <c r="H105" s="139"/>
      <c r="I105" s="139"/>
      <c r="J105" s="139"/>
    </row>
    <row r="106" spans="1:10" ht="12.95" customHeight="1">
      <c r="A106" s="139"/>
      <c r="B106" s="178" t="s">
        <v>244</v>
      </c>
      <c r="C106" s="139"/>
      <c r="D106" s="139"/>
      <c r="E106" s="139"/>
      <c r="F106" s="139"/>
      <c r="G106" s="139"/>
      <c r="H106" s="139"/>
      <c r="I106" s="139"/>
      <c r="J106" s="139"/>
    </row>
    <row r="107" spans="1:10" ht="12.95" customHeight="1">
      <c r="A107" s="139"/>
      <c r="B107" s="178" t="s">
        <v>186</v>
      </c>
      <c r="C107" s="139"/>
      <c r="D107" s="139"/>
      <c r="E107" s="139"/>
      <c r="F107" s="139"/>
      <c r="G107" s="139"/>
      <c r="H107" s="139"/>
      <c r="I107" s="139"/>
      <c r="J107" s="139"/>
    </row>
    <row r="108" spans="1:10" customFormat="1" ht="23.25" customHeight="1">
      <c r="A108" s="2"/>
      <c r="B108" s="189" t="s">
        <v>4025</v>
      </c>
      <c r="C108" s="189"/>
      <c r="D108" s="189"/>
      <c r="E108" s="189"/>
      <c r="F108" s="189"/>
      <c r="G108" s="189"/>
      <c r="H108" s="189"/>
      <c r="I108" s="189"/>
      <c r="J108" s="2"/>
    </row>
    <row r="109" spans="1:10" ht="12.95" customHeight="1">
      <c r="A109" s="139"/>
      <c r="B109" s="178"/>
      <c r="C109" s="139"/>
      <c r="D109" s="139"/>
      <c r="E109" s="139"/>
      <c r="F109" s="139"/>
      <c r="G109" s="139"/>
      <c r="H109" s="139"/>
      <c r="I109" s="139"/>
      <c r="J109" s="139"/>
    </row>
    <row r="110" spans="1:10">
      <c r="C110" s="182" t="s">
        <v>3963</v>
      </c>
    </row>
    <row r="111" spans="1:10">
      <c r="B111" s="182" t="s">
        <v>3933</v>
      </c>
      <c r="C111" s="182" t="s">
        <v>3934</v>
      </c>
    </row>
  </sheetData>
  <mergeCells count="2">
    <mergeCell ref="B2:I2"/>
    <mergeCell ref="B108:I108"/>
  </mergeCells>
  <hyperlinks>
    <hyperlink ref="A2" location="Index!A1" display="Index"/>
  </hyperlinks>
  <pageMargins left="0" right="0" top="0" bottom="0" header="0" footer="0"/>
  <pageSetup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97"/>
  <sheetViews>
    <sheetView workbookViewId="0"/>
  </sheetViews>
  <sheetFormatPr defaultRowHeight="15"/>
  <cols>
    <col min="1" max="1" width="3.28515625" customWidth="1"/>
    <col min="2" max="2" width="71.5703125" customWidth="1"/>
    <col min="3" max="3" width="29.7109375" customWidth="1"/>
    <col min="4" max="4" width="25.5703125" bestFit="1" customWidth="1"/>
    <col min="5" max="5" width="25.7109375" customWidth="1"/>
    <col min="6" max="6" width="20.85546875" bestFit="1" customWidth="1"/>
    <col min="7" max="9" width="10.7109375" customWidth="1"/>
    <col min="10" max="10" width="3.85546875" bestFit="1" customWidth="1"/>
  </cols>
  <sheetData>
    <row r="1" spans="1:13" ht="15.75" thickBot="1">
      <c r="A1" s="108" t="str">
        <f>M2</f>
        <v>AXISSTF</v>
      </c>
    </row>
    <row r="2" spans="1:13" ht="34.5" customHeight="1" thickBot="1">
      <c r="A2" s="135" t="str">
        <f>M2</f>
        <v>AXISSTF</v>
      </c>
      <c r="B2" s="186" t="s">
        <v>105</v>
      </c>
      <c r="C2" s="187"/>
      <c r="D2" s="187"/>
      <c r="E2" s="187"/>
      <c r="F2" s="187"/>
      <c r="G2" s="187"/>
      <c r="H2" s="187"/>
      <c r="I2" s="188"/>
      <c r="J2" s="2"/>
      <c r="M2" s="108" t="s">
        <v>104</v>
      </c>
    </row>
    <row r="3" spans="1:13" ht="12.95" customHeight="1">
      <c r="A3" s="2"/>
      <c r="B3" s="4"/>
      <c r="C3" s="2"/>
      <c r="D3" s="2"/>
      <c r="E3" s="2"/>
      <c r="F3" s="2"/>
      <c r="G3" s="2"/>
      <c r="H3" s="2"/>
      <c r="I3" s="2"/>
      <c r="J3" s="2"/>
    </row>
    <row r="4" spans="1:13" ht="12.95" customHeight="1" thickBot="1">
      <c r="A4" s="5" t="s">
        <v>118</v>
      </c>
      <c r="B4" s="6" t="s">
        <v>4035</v>
      </c>
      <c r="C4" s="2"/>
      <c r="D4" s="2"/>
      <c r="E4" s="2"/>
      <c r="F4" s="2"/>
      <c r="G4" s="2"/>
      <c r="H4" s="2"/>
      <c r="I4" s="2"/>
      <c r="J4" s="2"/>
    </row>
    <row r="5" spans="1:13" ht="27.95" customHeight="1">
      <c r="A5" s="2"/>
      <c r="B5" s="7" t="s">
        <v>119</v>
      </c>
      <c r="C5" s="185" t="s">
        <v>120</v>
      </c>
      <c r="D5" s="9" t="s">
        <v>121</v>
      </c>
      <c r="E5" s="9" t="s">
        <v>122</v>
      </c>
      <c r="F5" s="9" t="s">
        <v>123</v>
      </c>
      <c r="G5" s="9" t="s">
        <v>124</v>
      </c>
      <c r="H5" s="9" t="s">
        <v>125</v>
      </c>
      <c r="I5" s="10" t="s">
        <v>126</v>
      </c>
      <c r="J5" s="11" t="s">
        <v>218</v>
      </c>
    </row>
    <row r="6" spans="1:13" ht="12.95" customHeight="1">
      <c r="A6" s="2"/>
      <c r="B6" s="12" t="s">
        <v>860</v>
      </c>
      <c r="C6" s="13"/>
      <c r="D6" s="13"/>
      <c r="E6" s="13"/>
      <c r="F6" s="13"/>
      <c r="G6" s="13"/>
      <c r="H6" s="14"/>
      <c r="I6" s="15"/>
      <c r="J6" s="2"/>
    </row>
    <row r="7" spans="1:13" ht="12.95" customHeight="1">
      <c r="A7" s="2"/>
      <c r="B7" s="12" t="s">
        <v>3920</v>
      </c>
      <c r="C7" s="13"/>
      <c r="D7" s="13"/>
      <c r="E7" s="13"/>
      <c r="F7" s="2"/>
      <c r="G7" s="14"/>
      <c r="H7" s="14"/>
      <c r="I7" s="15"/>
      <c r="J7" s="2"/>
    </row>
    <row r="8" spans="1:13" ht="12.95" customHeight="1">
      <c r="A8" s="16" t="s">
        <v>3363</v>
      </c>
      <c r="B8" s="17" t="s">
        <v>3992</v>
      </c>
      <c r="C8" s="13"/>
      <c r="D8" s="13"/>
      <c r="E8" s="18"/>
      <c r="F8" s="19">
        <f>-2496.78+2500</f>
        <v>3.2199999999997999</v>
      </c>
      <c r="G8" s="20">
        <v>0</v>
      </c>
      <c r="H8" s="21">
        <v>4.437E-2</v>
      </c>
      <c r="I8" s="22"/>
      <c r="J8" s="2"/>
    </row>
    <row r="9" spans="1:13" ht="12.95" customHeight="1">
      <c r="A9" s="16" t="s">
        <v>3364</v>
      </c>
      <c r="B9" s="17" t="s">
        <v>4010</v>
      </c>
      <c r="C9" s="13"/>
      <c r="D9" s="13"/>
      <c r="E9" s="18"/>
      <c r="F9" s="19">
        <f>-2504.94+2500</f>
        <v>-4.9400000000000546</v>
      </c>
      <c r="G9" s="20">
        <v>0</v>
      </c>
      <c r="H9" s="21">
        <v>4.3587000000000001E-2</v>
      </c>
      <c r="I9" s="22"/>
      <c r="J9" s="2"/>
    </row>
    <row r="10" spans="1:13" ht="12.95" customHeight="1">
      <c r="A10" s="16" t="s">
        <v>3365</v>
      </c>
      <c r="B10" s="17" t="s">
        <v>4011</v>
      </c>
      <c r="C10" s="13"/>
      <c r="D10" s="13"/>
      <c r="E10" s="18"/>
      <c r="F10" s="19">
        <f>-2506.55+2500</f>
        <v>-6.5500000000001819</v>
      </c>
      <c r="G10" s="20">
        <v>0</v>
      </c>
      <c r="H10" s="21">
        <v>4.36E-2</v>
      </c>
      <c r="I10" s="22"/>
      <c r="J10" s="2"/>
    </row>
    <row r="11" spans="1:13" ht="12.95" customHeight="1">
      <c r="A11" s="16" t="s">
        <v>3366</v>
      </c>
      <c r="B11" s="17" t="s">
        <v>4012</v>
      </c>
      <c r="C11" s="13"/>
      <c r="D11" s="13"/>
      <c r="E11" s="18"/>
      <c r="F11" s="19">
        <f>-4978.7+2500+2500</f>
        <v>21.300000000000182</v>
      </c>
      <c r="G11" s="20">
        <v>1E-4</v>
      </c>
      <c r="H11" s="21">
        <v>5.3688E-2</v>
      </c>
      <c r="I11" s="22"/>
      <c r="J11" s="2"/>
    </row>
    <row r="12" spans="1:13" ht="12.95" customHeight="1">
      <c r="A12" s="16" t="s">
        <v>3367</v>
      </c>
      <c r="B12" s="17" t="s">
        <v>4013</v>
      </c>
      <c r="C12" s="13"/>
      <c r="D12" s="13"/>
      <c r="E12" s="18"/>
      <c r="F12" s="19">
        <f>-4985.42+2500+2500</f>
        <v>14.579999999999927</v>
      </c>
      <c r="G12" s="20">
        <v>1E-4</v>
      </c>
      <c r="H12" s="21">
        <v>5.3671999999999997E-2</v>
      </c>
      <c r="I12" s="22"/>
      <c r="J12" s="2"/>
    </row>
    <row r="13" spans="1:13" ht="12.95" customHeight="1">
      <c r="A13" s="16" t="s">
        <v>3368</v>
      </c>
      <c r="B13" s="17" t="s">
        <v>4014</v>
      </c>
      <c r="C13" s="13"/>
      <c r="D13" s="13"/>
      <c r="E13" s="18"/>
      <c r="F13" s="19">
        <f>-4997.86+2500+2500</f>
        <v>2.1400000000003274</v>
      </c>
      <c r="G13" s="20">
        <v>0</v>
      </c>
      <c r="H13" s="21">
        <v>5.3634000000000001E-2</v>
      </c>
      <c r="I13" s="22"/>
      <c r="J13" s="2"/>
    </row>
    <row r="14" spans="1:13" ht="12.95" customHeight="1">
      <c r="A14" s="16" t="s">
        <v>3369</v>
      </c>
      <c r="B14" s="17" t="s">
        <v>4015</v>
      </c>
      <c r="C14" s="13"/>
      <c r="D14" s="13"/>
      <c r="E14" s="18"/>
      <c r="F14" s="19">
        <f>-5005.28+2500+2500</f>
        <v>-5.2799999999997453</v>
      </c>
      <c r="G14" s="20">
        <v>0</v>
      </c>
      <c r="H14" s="21">
        <v>5.3634000000000001E-2</v>
      </c>
      <c r="I14" s="22"/>
      <c r="J14" s="2"/>
    </row>
    <row r="15" spans="1:13" ht="12.95" customHeight="1">
      <c r="A15" s="16" t="s">
        <v>3370</v>
      </c>
      <c r="B15" s="17" t="s">
        <v>4016</v>
      </c>
      <c r="C15" s="13"/>
      <c r="D15" s="13"/>
      <c r="E15" s="18"/>
      <c r="F15" s="19">
        <f>-5008.95+2500+2500</f>
        <v>-8.9499999999998181</v>
      </c>
      <c r="G15" s="20">
        <v>0</v>
      </c>
      <c r="H15" s="21">
        <v>4.3686999999999997E-2</v>
      </c>
      <c r="I15" s="22"/>
      <c r="J15" s="2"/>
    </row>
    <row r="16" spans="1:13" ht="12.95" customHeight="1">
      <c r="A16" s="16" t="s">
        <v>3371</v>
      </c>
      <c r="B16" s="17" t="s">
        <v>4017</v>
      </c>
      <c r="C16" s="13"/>
      <c r="D16" s="13"/>
      <c r="E16" s="18"/>
      <c r="F16" s="19">
        <f>-9994.97+10000</f>
        <v>5.0300000000006548</v>
      </c>
      <c r="G16" s="20">
        <v>0</v>
      </c>
      <c r="H16" s="21">
        <v>3.9697000000000003E-2</v>
      </c>
      <c r="I16" s="22"/>
      <c r="J16" s="2"/>
    </row>
    <row r="17" spans="1:10" ht="12.95" customHeight="1">
      <c r="A17" s="16" t="s">
        <v>3372</v>
      </c>
      <c r="B17" s="17" t="s">
        <v>4018</v>
      </c>
      <c r="C17" s="13"/>
      <c r="D17" s="13"/>
      <c r="E17" s="18"/>
      <c r="F17" s="19">
        <f>-19984.32+20000</f>
        <v>15.680000000000291</v>
      </c>
      <c r="G17" s="20">
        <v>0</v>
      </c>
      <c r="H17" s="21">
        <v>3.9260000000000003E-2</v>
      </c>
      <c r="I17" s="22"/>
      <c r="J17" s="2"/>
    </row>
    <row r="18" spans="1:10" ht="12.95" customHeight="1">
      <c r="A18" s="16" t="s">
        <v>3373</v>
      </c>
      <c r="B18" s="17" t="s">
        <v>4019</v>
      </c>
      <c r="C18" s="13"/>
      <c r="D18" s="13"/>
      <c r="E18" s="18"/>
      <c r="F18" s="19">
        <f>-19985.38+20000</f>
        <v>14.619999999998981</v>
      </c>
      <c r="G18" s="20">
        <v>0</v>
      </c>
      <c r="H18" s="21">
        <v>3.9683999999999997E-2</v>
      </c>
      <c r="I18" s="22"/>
      <c r="J18" s="2"/>
    </row>
    <row r="19" spans="1:10" ht="12.95" customHeight="1">
      <c r="A19" s="16" t="s">
        <v>3374</v>
      </c>
      <c r="B19" s="17" t="s">
        <v>4020</v>
      </c>
      <c r="C19" s="13"/>
      <c r="D19" s="13"/>
      <c r="E19" s="18"/>
      <c r="F19" s="19">
        <f>-19991.24+20000</f>
        <v>8.7599999999983993</v>
      </c>
      <c r="G19" s="20">
        <v>0</v>
      </c>
      <c r="H19" s="21">
        <v>3.9696000000000002E-2</v>
      </c>
      <c r="I19" s="22"/>
      <c r="J19" s="2"/>
    </row>
    <row r="20" spans="1:10" ht="12.95" customHeight="1">
      <c r="A20" s="2"/>
      <c r="B20" s="12" t="s">
        <v>172</v>
      </c>
      <c r="C20" s="13"/>
      <c r="D20" s="13"/>
      <c r="E20" s="13"/>
      <c r="F20" s="23">
        <v>59.61</v>
      </c>
      <c r="G20" s="24">
        <v>2.0000000000000001E-4</v>
      </c>
      <c r="H20" s="25"/>
      <c r="I20" s="26"/>
      <c r="J20" s="2"/>
    </row>
    <row r="21" spans="1:10" ht="12.95" customHeight="1">
      <c r="A21" s="2"/>
      <c r="B21" s="27" t="s">
        <v>177</v>
      </c>
      <c r="C21" s="28"/>
      <c r="D21" s="1"/>
      <c r="E21" s="28"/>
      <c r="F21" s="23">
        <v>59.61</v>
      </c>
      <c r="G21" s="24">
        <v>2.0000000000000001E-4</v>
      </c>
      <c r="H21" s="25"/>
      <c r="I21" s="26"/>
      <c r="J21" s="2"/>
    </row>
    <row r="22" spans="1:10" ht="12.95" customHeight="1">
      <c r="A22" s="2"/>
      <c r="B22" s="12" t="s">
        <v>127</v>
      </c>
      <c r="C22" s="13"/>
      <c r="D22" s="13"/>
      <c r="E22" s="13"/>
      <c r="F22" s="13"/>
      <c r="G22" s="13"/>
      <c r="H22" s="14"/>
      <c r="I22" s="15"/>
      <c r="J22" s="2"/>
    </row>
    <row r="23" spans="1:10" ht="12.95" customHeight="1">
      <c r="A23" s="2"/>
      <c r="B23" s="12" t="s">
        <v>128</v>
      </c>
      <c r="C23" s="13"/>
      <c r="D23" s="13"/>
      <c r="E23" s="13"/>
      <c r="F23" s="2"/>
      <c r="G23" s="14"/>
      <c r="H23" s="14"/>
      <c r="I23" s="15"/>
      <c r="J23" s="2"/>
    </row>
    <row r="24" spans="1:10" ht="12.95" customHeight="1">
      <c r="A24" s="16" t="s">
        <v>1115</v>
      </c>
      <c r="B24" s="17" t="s">
        <v>1116</v>
      </c>
      <c r="C24" s="13" t="s">
        <v>1117</v>
      </c>
      <c r="D24" s="13" t="s">
        <v>200</v>
      </c>
      <c r="E24" s="18">
        <v>59000000</v>
      </c>
      <c r="F24" s="19">
        <v>58920.35</v>
      </c>
      <c r="G24" s="20">
        <v>4.7800000000000002E-2</v>
      </c>
      <c r="H24" s="21">
        <v>5.6635999999999999E-2</v>
      </c>
      <c r="I24" s="22"/>
      <c r="J24" s="2"/>
    </row>
    <row r="25" spans="1:10" ht="12.95" customHeight="1">
      <c r="A25" s="16" t="s">
        <v>332</v>
      </c>
      <c r="B25" s="17" t="s">
        <v>333</v>
      </c>
      <c r="C25" s="13" t="s">
        <v>334</v>
      </c>
      <c r="D25" s="13" t="s">
        <v>171</v>
      </c>
      <c r="E25" s="18">
        <v>5350</v>
      </c>
      <c r="F25" s="19">
        <v>53632.47</v>
      </c>
      <c r="G25" s="20">
        <v>4.3499999999999997E-2</v>
      </c>
      <c r="H25" s="21">
        <v>4.2549999999999998E-2</v>
      </c>
      <c r="I25" s="22"/>
      <c r="J25" s="2"/>
    </row>
    <row r="26" spans="1:10" ht="12.95" customHeight="1">
      <c r="A26" s="16" t="s">
        <v>1048</v>
      </c>
      <c r="B26" s="17" t="s">
        <v>1049</v>
      </c>
      <c r="C26" s="13" t="s">
        <v>1050</v>
      </c>
      <c r="D26" s="13" t="s">
        <v>200</v>
      </c>
      <c r="E26" s="18">
        <v>49662000</v>
      </c>
      <c r="F26" s="19">
        <v>50568.68</v>
      </c>
      <c r="G26" s="20">
        <v>4.1000000000000002E-2</v>
      </c>
      <c r="H26" s="21"/>
      <c r="I26" s="22"/>
      <c r="J26" s="2"/>
    </row>
    <row r="27" spans="1:10" ht="12.95" customHeight="1">
      <c r="A27" s="16" t="s">
        <v>158</v>
      </c>
      <c r="B27" s="17" t="s">
        <v>159</v>
      </c>
      <c r="C27" s="13" t="s">
        <v>160</v>
      </c>
      <c r="D27" s="13" t="s">
        <v>161</v>
      </c>
      <c r="E27" s="18">
        <v>3550</v>
      </c>
      <c r="F27" s="19">
        <v>36396.660000000003</v>
      </c>
      <c r="G27" s="20">
        <v>2.9499999999999998E-2</v>
      </c>
      <c r="H27" s="21">
        <v>3.7691000000000002E-2</v>
      </c>
      <c r="I27" s="22"/>
      <c r="J27" s="2"/>
    </row>
    <row r="28" spans="1:10" ht="12.95" customHeight="1">
      <c r="A28" s="16" t="s">
        <v>1118</v>
      </c>
      <c r="B28" s="17" t="s">
        <v>1119</v>
      </c>
      <c r="C28" s="13" t="s">
        <v>1120</v>
      </c>
      <c r="D28" s="13" t="s">
        <v>132</v>
      </c>
      <c r="E28" s="18">
        <v>2255</v>
      </c>
      <c r="F28" s="19">
        <v>28137.69</v>
      </c>
      <c r="G28" s="20">
        <v>2.2800000000000001E-2</v>
      </c>
      <c r="H28" s="21">
        <v>6.7150000000000001E-2</v>
      </c>
      <c r="I28" s="22"/>
      <c r="J28" s="2"/>
    </row>
    <row r="29" spans="1:10" ht="12.95" customHeight="1">
      <c r="A29" s="16" t="s">
        <v>1054</v>
      </c>
      <c r="B29" s="17" t="s">
        <v>1055</v>
      </c>
      <c r="C29" s="13" t="s">
        <v>1056</v>
      </c>
      <c r="D29" s="13" t="s">
        <v>161</v>
      </c>
      <c r="E29" s="18">
        <v>2700</v>
      </c>
      <c r="F29" s="19">
        <v>27294.14</v>
      </c>
      <c r="G29" s="20">
        <v>2.2100000000000002E-2</v>
      </c>
      <c r="H29" s="21">
        <v>6.93E-2</v>
      </c>
      <c r="I29" s="22"/>
      <c r="J29" s="2"/>
    </row>
    <row r="30" spans="1:10" ht="12.95" customHeight="1">
      <c r="A30" s="16" t="s">
        <v>1160</v>
      </c>
      <c r="B30" s="17" t="s">
        <v>1161</v>
      </c>
      <c r="C30" s="13" t="s">
        <v>1162</v>
      </c>
      <c r="D30" s="13" t="s">
        <v>132</v>
      </c>
      <c r="E30" s="18">
        <v>2680</v>
      </c>
      <c r="F30" s="19">
        <v>27249.62</v>
      </c>
      <c r="G30" s="20">
        <v>2.2100000000000002E-2</v>
      </c>
      <c r="H30" s="21">
        <v>4.1600999999999999E-2</v>
      </c>
      <c r="I30" s="22"/>
      <c r="J30" s="2"/>
    </row>
    <row r="31" spans="1:10" ht="12.95" customHeight="1">
      <c r="A31" s="16" t="s">
        <v>3375</v>
      </c>
      <c r="B31" s="17" t="s">
        <v>3376</v>
      </c>
      <c r="C31" s="13" t="s">
        <v>3377</v>
      </c>
      <c r="D31" s="13" t="s">
        <v>1069</v>
      </c>
      <c r="E31" s="18">
        <v>2500</v>
      </c>
      <c r="F31" s="19">
        <v>24919.88</v>
      </c>
      <c r="G31" s="20">
        <v>2.0199999999999999E-2</v>
      </c>
      <c r="H31" s="21">
        <v>6.8149000000000001E-2</v>
      </c>
      <c r="I31" s="22"/>
      <c r="J31" s="2"/>
    </row>
    <row r="32" spans="1:10" ht="12.95" customHeight="1">
      <c r="A32" s="16" t="s">
        <v>2548</v>
      </c>
      <c r="B32" s="17" t="s">
        <v>2549</v>
      </c>
      <c r="C32" s="13" t="s">
        <v>2550</v>
      </c>
      <c r="D32" s="13" t="s">
        <v>1073</v>
      </c>
      <c r="E32" s="18">
        <v>2350</v>
      </c>
      <c r="F32" s="19">
        <v>23588.31</v>
      </c>
      <c r="G32" s="20">
        <v>1.9099999999999999E-2</v>
      </c>
      <c r="H32" s="21">
        <v>5.0999999999999997E-2</v>
      </c>
      <c r="I32" s="22"/>
      <c r="J32" s="2"/>
    </row>
    <row r="33" spans="1:10" ht="12.95" customHeight="1">
      <c r="A33" s="16" t="s">
        <v>272</v>
      </c>
      <c r="B33" s="17" t="s">
        <v>273</v>
      </c>
      <c r="C33" s="13" t="s">
        <v>274</v>
      </c>
      <c r="D33" s="13" t="s">
        <v>132</v>
      </c>
      <c r="E33" s="18">
        <v>2100</v>
      </c>
      <c r="F33" s="19">
        <v>21603.69</v>
      </c>
      <c r="G33" s="20">
        <v>1.7500000000000002E-2</v>
      </c>
      <c r="H33" s="21">
        <v>4.4499999999999998E-2</v>
      </c>
      <c r="I33" s="22"/>
      <c r="J33" s="2"/>
    </row>
    <row r="34" spans="1:10" ht="12.95" customHeight="1">
      <c r="A34" s="16" t="s">
        <v>433</v>
      </c>
      <c r="B34" s="17" t="s">
        <v>434</v>
      </c>
      <c r="C34" s="13" t="s">
        <v>435</v>
      </c>
      <c r="D34" s="13" t="s">
        <v>171</v>
      </c>
      <c r="E34" s="18">
        <v>2000</v>
      </c>
      <c r="F34" s="19">
        <v>20130.48</v>
      </c>
      <c r="G34" s="20">
        <v>1.6299999999999999E-2</v>
      </c>
      <c r="H34" s="21">
        <v>4.5650000000000003E-2</v>
      </c>
      <c r="I34" s="22"/>
      <c r="J34" s="2"/>
    </row>
    <row r="35" spans="1:10" ht="12.95" customHeight="1">
      <c r="A35" s="16" t="s">
        <v>3378</v>
      </c>
      <c r="B35" s="17" t="s">
        <v>3379</v>
      </c>
      <c r="C35" s="13" t="s">
        <v>3380</v>
      </c>
      <c r="D35" s="13" t="s">
        <v>1073</v>
      </c>
      <c r="E35" s="18">
        <v>2000</v>
      </c>
      <c r="F35" s="19">
        <v>19988.46</v>
      </c>
      <c r="G35" s="20">
        <v>1.6199999999999999E-2</v>
      </c>
      <c r="H35" s="21">
        <v>6.1085500000000001E-2</v>
      </c>
      <c r="I35" s="22"/>
      <c r="J35" s="2"/>
    </row>
    <row r="36" spans="1:10" ht="12.95" customHeight="1">
      <c r="A36" s="16" t="s">
        <v>1074</v>
      </c>
      <c r="B36" s="17" t="s">
        <v>1075</v>
      </c>
      <c r="C36" s="13" t="s">
        <v>1076</v>
      </c>
      <c r="D36" s="13" t="s">
        <v>200</v>
      </c>
      <c r="E36" s="18">
        <v>19500000</v>
      </c>
      <c r="F36" s="19">
        <v>19332.439999999999</v>
      </c>
      <c r="G36" s="20">
        <v>1.5699999999999999E-2</v>
      </c>
      <c r="H36" s="21">
        <v>6.2170000000000003E-2</v>
      </c>
      <c r="I36" s="22"/>
      <c r="J36" s="2"/>
    </row>
    <row r="37" spans="1:10" ht="12.95" customHeight="1">
      <c r="A37" s="16" t="s">
        <v>1063</v>
      </c>
      <c r="B37" s="17" t="s">
        <v>1064</v>
      </c>
      <c r="C37" s="13" t="s">
        <v>1065</v>
      </c>
      <c r="D37" s="13" t="s">
        <v>132</v>
      </c>
      <c r="E37" s="18">
        <v>1850</v>
      </c>
      <c r="F37" s="19">
        <v>18946.52</v>
      </c>
      <c r="G37" s="20">
        <v>1.54E-2</v>
      </c>
      <c r="H37" s="21">
        <v>4.2349999999999999E-2</v>
      </c>
      <c r="I37" s="22"/>
      <c r="J37" s="2"/>
    </row>
    <row r="38" spans="1:10" ht="12.95" customHeight="1">
      <c r="A38" s="16" t="s">
        <v>1232</v>
      </c>
      <c r="B38" s="17" t="s">
        <v>1233</v>
      </c>
      <c r="C38" s="13" t="s">
        <v>1234</v>
      </c>
      <c r="D38" s="13" t="s">
        <v>196</v>
      </c>
      <c r="E38" s="18">
        <v>1850</v>
      </c>
      <c r="F38" s="19">
        <v>18823.07</v>
      </c>
      <c r="G38" s="20">
        <v>1.5299999999999999E-2</v>
      </c>
      <c r="H38" s="21">
        <v>4.7199999999999999E-2</v>
      </c>
      <c r="I38" s="22"/>
      <c r="J38" s="2"/>
    </row>
    <row r="39" spans="1:10" ht="12.95" customHeight="1">
      <c r="A39" s="16" t="s">
        <v>1169</v>
      </c>
      <c r="B39" s="17" t="s">
        <v>1170</v>
      </c>
      <c r="C39" s="13" t="s">
        <v>1171</v>
      </c>
      <c r="D39" s="13" t="s">
        <v>132</v>
      </c>
      <c r="E39" s="18">
        <v>1750</v>
      </c>
      <c r="F39" s="19">
        <v>17884.830000000002</v>
      </c>
      <c r="G39" s="20">
        <v>1.4500000000000001E-2</v>
      </c>
      <c r="H39" s="21">
        <v>4.4600000000000001E-2</v>
      </c>
      <c r="I39" s="22"/>
      <c r="J39" s="2"/>
    </row>
    <row r="40" spans="1:10" ht="12.95" customHeight="1">
      <c r="A40" s="16" t="s">
        <v>1196</v>
      </c>
      <c r="B40" s="17" t="s">
        <v>1197</v>
      </c>
      <c r="C40" s="13" t="s">
        <v>1198</v>
      </c>
      <c r="D40" s="13" t="s">
        <v>132</v>
      </c>
      <c r="E40" s="18">
        <v>1640</v>
      </c>
      <c r="F40" s="19">
        <v>16896.64</v>
      </c>
      <c r="G40" s="20">
        <v>1.37E-2</v>
      </c>
      <c r="H40" s="21">
        <v>4.5749999999999999E-2</v>
      </c>
      <c r="I40" s="22"/>
      <c r="J40" s="2"/>
    </row>
    <row r="41" spans="1:10" ht="12.95" customHeight="1">
      <c r="A41" s="16" t="s">
        <v>3381</v>
      </c>
      <c r="B41" s="17" t="s">
        <v>3382</v>
      </c>
      <c r="C41" s="13" t="s">
        <v>3383</v>
      </c>
      <c r="D41" s="13" t="s">
        <v>1704</v>
      </c>
      <c r="E41" s="18">
        <v>1500</v>
      </c>
      <c r="F41" s="19">
        <v>15032.9</v>
      </c>
      <c r="G41" s="20">
        <v>1.2200000000000001E-2</v>
      </c>
      <c r="H41" s="21">
        <v>5.5294999999999997E-2</v>
      </c>
      <c r="I41" s="22"/>
      <c r="J41" s="2"/>
    </row>
    <row r="42" spans="1:10" ht="12.95" customHeight="1">
      <c r="A42" s="16" t="s">
        <v>3384</v>
      </c>
      <c r="B42" s="17" t="s">
        <v>3385</v>
      </c>
      <c r="C42" s="13" t="s">
        <v>3386</v>
      </c>
      <c r="D42" s="13" t="s">
        <v>1073</v>
      </c>
      <c r="E42" s="18">
        <v>1500</v>
      </c>
      <c r="F42" s="19">
        <v>14952.66</v>
      </c>
      <c r="G42" s="20">
        <v>1.21E-2</v>
      </c>
      <c r="H42" s="21">
        <v>6.4435500000000007E-2</v>
      </c>
      <c r="I42" s="22"/>
      <c r="J42" s="2"/>
    </row>
    <row r="43" spans="1:10" ht="12.95" customHeight="1">
      <c r="A43" s="16" t="s">
        <v>436</v>
      </c>
      <c r="B43" s="17" t="s">
        <v>437</v>
      </c>
      <c r="C43" s="13" t="s">
        <v>438</v>
      </c>
      <c r="D43" s="13" t="s">
        <v>132</v>
      </c>
      <c r="E43" s="18">
        <v>1400</v>
      </c>
      <c r="F43" s="19">
        <v>13764.1</v>
      </c>
      <c r="G43" s="20">
        <v>1.12E-2</v>
      </c>
      <c r="H43" s="21">
        <v>6.0761000000000003E-2</v>
      </c>
      <c r="I43" s="37">
        <v>6.3109437000000004E-2</v>
      </c>
      <c r="J43" s="2"/>
    </row>
    <row r="44" spans="1:10" ht="12.95" customHeight="1">
      <c r="A44" s="16" t="s">
        <v>529</v>
      </c>
      <c r="B44" s="17" t="s">
        <v>530</v>
      </c>
      <c r="C44" s="13" t="s">
        <v>531</v>
      </c>
      <c r="D44" s="13" t="s">
        <v>132</v>
      </c>
      <c r="E44" s="18">
        <v>1300</v>
      </c>
      <c r="F44" s="19">
        <v>13330.63</v>
      </c>
      <c r="G44" s="20">
        <v>1.0800000000000001E-2</v>
      </c>
      <c r="H44" s="21">
        <v>4.4600000000000001E-2</v>
      </c>
      <c r="I44" s="37"/>
      <c r="J44" s="2"/>
    </row>
    <row r="45" spans="1:10" ht="12.95" customHeight="1">
      <c r="A45" s="16" t="s">
        <v>3387</v>
      </c>
      <c r="B45" s="17" t="s">
        <v>3388</v>
      </c>
      <c r="C45" s="13" t="s">
        <v>3389</v>
      </c>
      <c r="D45" s="13" t="s">
        <v>148</v>
      </c>
      <c r="E45" s="18">
        <v>1000</v>
      </c>
      <c r="F45" s="19">
        <v>10072.969999999999</v>
      </c>
      <c r="G45" s="20">
        <v>8.2000000000000007E-3</v>
      </c>
      <c r="H45" s="21">
        <v>4.8000000000000001E-2</v>
      </c>
      <c r="I45" s="37"/>
      <c r="J45" s="2"/>
    </row>
    <row r="46" spans="1:10" ht="12.95" customHeight="1">
      <c r="A46" s="16" t="s">
        <v>2571</v>
      </c>
      <c r="B46" s="17" t="s">
        <v>2572</v>
      </c>
      <c r="C46" s="13" t="s">
        <v>2573</v>
      </c>
      <c r="D46" s="13" t="s">
        <v>1073</v>
      </c>
      <c r="E46" s="18">
        <v>1000</v>
      </c>
      <c r="F46" s="19">
        <v>10061.49</v>
      </c>
      <c r="G46" s="20">
        <v>8.2000000000000007E-3</v>
      </c>
      <c r="H46" s="21">
        <v>6.8747000000000003E-2</v>
      </c>
      <c r="I46" s="37"/>
      <c r="J46" s="2"/>
    </row>
    <row r="47" spans="1:10" ht="12.95" customHeight="1">
      <c r="A47" s="16" t="s">
        <v>1184</v>
      </c>
      <c r="B47" s="17" t="s">
        <v>1185</v>
      </c>
      <c r="C47" s="13" t="s">
        <v>1186</v>
      </c>
      <c r="D47" s="13" t="s">
        <v>200</v>
      </c>
      <c r="E47" s="18">
        <v>10000000</v>
      </c>
      <c r="F47" s="19">
        <v>10040.61</v>
      </c>
      <c r="G47" s="20">
        <v>8.0999999999999996E-3</v>
      </c>
      <c r="H47" s="21">
        <v>3.9144999999999999E-2</v>
      </c>
      <c r="I47" s="37"/>
      <c r="J47" s="2"/>
    </row>
    <row r="48" spans="1:10" ht="12.95" customHeight="1">
      <c r="A48" s="16" t="s">
        <v>1127</v>
      </c>
      <c r="B48" s="17" t="s">
        <v>1128</v>
      </c>
      <c r="C48" s="13" t="s">
        <v>1129</v>
      </c>
      <c r="D48" s="13" t="s">
        <v>132</v>
      </c>
      <c r="E48" s="18">
        <v>1000</v>
      </c>
      <c r="F48" s="19">
        <v>10005.719999999999</v>
      </c>
      <c r="G48" s="20">
        <v>8.0999999999999996E-3</v>
      </c>
      <c r="H48" s="21">
        <v>3.9749E-2</v>
      </c>
      <c r="I48" s="37"/>
      <c r="J48" s="2"/>
    </row>
    <row r="49" spans="1:10" ht="12.95" customHeight="1">
      <c r="A49" s="16" t="s">
        <v>3390</v>
      </c>
      <c r="B49" s="17" t="s">
        <v>3391</v>
      </c>
      <c r="C49" s="13" t="s">
        <v>3392</v>
      </c>
      <c r="D49" s="13" t="s">
        <v>200</v>
      </c>
      <c r="E49" s="18">
        <v>9247500</v>
      </c>
      <c r="F49" s="19">
        <v>9438.5400000000009</v>
      </c>
      <c r="G49" s="20">
        <v>7.6E-3</v>
      </c>
      <c r="H49" s="21">
        <v>3.9545999999999998E-2</v>
      </c>
      <c r="I49" s="37"/>
      <c r="J49" s="2"/>
    </row>
    <row r="50" spans="1:10" ht="12.95" customHeight="1">
      <c r="A50" s="16" t="s">
        <v>1217</v>
      </c>
      <c r="B50" s="17" t="s">
        <v>1218</v>
      </c>
      <c r="C50" s="13" t="s">
        <v>1219</v>
      </c>
      <c r="D50" s="13" t="s">
        <v>132</v>
      </c>
      <c r="E50" s="18">
        <v>890</v>
      </c>
      <c r="F50" s="19">
        <v>9323.7199999999993</v>
      </c>
      <c r="G50" s="20">
        <v>7.6E-3</v>
      </c>
      <c r="H50" s="21">
        <v>5.5898999999999997E-2</v>
      </c>
      <c r="I50" s="37"/>
      <c r="J50" s="2"/>
    </row>
    <row r="51" spans="1:10" ht="12.95" customHeight="1">
      <c r="A51" s="16" t="s">
        <v>152</v>
      </c>
      <c r="B51" s="17" t="s">
        <v>153</v>
      </c>
      <c r="C51" s="13" t="s">
        <v>154</v>
      </c>
      <c r="D51" s="13" t="s">
        <v>132</v>
      </c>
      <c r="E51" s="18">
        <v>900</v>
      </c>
      <c r="F51" s="19">
        <v>9165.6200000000008</v>
      </c>
      <c r="G51" s="20">
        <v>7.4000000000000003E-3</v>
      </c>
      <c r="H51" s="21">
        <v>3.7999999999999999E-2</v>
      </c>
      <c r="I51" s="37"/>
      <c r="J51" s="2"/>
    </row>
    <row r="52" spans="1:10" ht="12.95" customHeight="1">
      <c r="A52" s="16" t="s">
        <v>1051</v>
      </c>
      <c r="B52" s="17" t="s">
        <v>1052</v>
      </c>
      <c r="C52" s="13" t="s">
        <v>1053</v>
      </c>
      <c r="D52" s="13" t="s">
        <v>200</v>
      </c>
      <c r="E52" s="18">
        <v>9000000</v>
      </c>
      <c r="F52" s="19">
        <v>9155.09</v>
      </c>
      <c r="G52" s="20">
        <v>7.4000000000000003E-3</v>
      </c>
      <c r="H52" s="21">
        <v>6.4994999999999997E-2</v>
      </c>
      <c r="I52" s="37"/>
      <c r="J52" s="2"/>
    </row>
    <row r="53" spans="1:10" ht="12.95" customHeight="1">
      <c r="A53" s="16" t="s">
        <v>460</v>
      </c>
      <c r="B53" s="17" t="s">
        <v>461</v>
      </c>
      <c r="C53" s="13" t="s">
        <v>462</v>
      </c>
      <c r="D53" s="13" t="s">
        <v>200</v>
      </c>
      <c r="E53" s="18">
        <v>7567000</v>
      </c>
      <c r="F53" s="19">
        <v>7992.12</v>
      </c>
      <c r="G53" s="20">
        <v>6.4999999999999997E-3</v>
      </c>
      <c r="H53" s="21">
        <v>4.8341000000000002E-2</v>
      </c>
      <c r="I53" s="37"/>
      <c r="J53" s="2"/>
    </row>
    <row r="54" spans="1:10" ht="12.95" customHeight="1">
      <c r="A54" s="16" t="s">
        <v>3393</v>
      </c>
      <c r="B54" s="17" t="s">
        <v>3394</v>
      </c>
      <c r="C54" s="13" t="s">
        <v>3395</v>
      </c>
      <c r="D54" s="13" t="s">
        <v>132</v>
      </c>
      <c r="E54" s="18">
        <v>750</v>
      </c>
      <c r="F54" s="19">
        <v>7729.78</v>
      </c>
      <c r="G54" s="20">
        <v>6.3E-3</v>
      </c>
      <c r="H54" s="21">
        <v>4.5699999999999998E-2</v>
      </c>
      <c r="I54" s="37"/>
      <c r="J54" s="2"/>
    </row>
    <row r="55" spans="1:10" ht="12.95" customHeight="1">
      <c r="A55" s="16" t="s">
        <v>3396</v>
      </c>
      <c r="B55" s="17" t="s">
        <v>3397</v>
      </c>
      <c r="C55" s="13" t="s">
        <v>3398</v>
      </c>
      <c r="D55" s="13" t="s">
        <v>200</v>
      </c>
      <c r="E55" s="18">
        <v>7000000</v>
      </c>
      <c r="F55" s="19">
        <v>7696.56</v>
      </c>
      <c r="G55" s="20">
        <v>6.1999999999999998E-3</v>
      </c>
      <c r="H55" s="21">
        <v>5.885E-2</v>
      </c>
      <c r="I55" s="37"/>
      <c r="J55" s="2"/>
    </row>
    <row r="56" spans="1:10" ht="12.95" customHeight="1">
      <c r="A56" s="16" t="s">
        <v>493</v>
      </c>
      <c r="B56" s="17" t="s">
        <v>494</v>
      </c>
      <c r="C56" s="13" t="s">
        <v>495</v>
      </c>
      <c r="D56" s="13" t="s">
        <v>196</v>
      </c>
      <c r="E56" s="18">
        <v>750</v>
      </c>
      <c r="F56" s="19">
        <v>7679.83</v>
      </c>
      <c r="G56" s="20">
        <v>6.1999999999999998E-3</v>
      </c>
      <c r="H56" s="21">
        <v>4.2200000000000001E-2</v>
      </c>
      <c r="I56" s="37"/>
      <c r="J56" s="2"/>
    </row>
    <row r="57" spans="1:10" ht="12.95" customHeight="1">
      <c r="A57" s="16" t="s">
        <v>1187</v>
      </c>
      <c r="B57" s="17" t="s">
        <v>1188</v>
      </c>
      <c r="C57" s="13" t="s">
        <v>1189</v>
      </c>
      <c r="D57" s="13" t="s">
        <v>132</v>
      </c>
      <c r="E57" s="18">
        <v>750</v>
      </c>
      <c r="F57" s="19">
        <v>7513.01</v>
      </c>
      <c r="G57" s="20">
        <v>6.1000000000000004E-3</v>
      </c>
      <c r="H57" s="21">
        <v>6.8469000000000002E-2</v>
      </c>
      <c r="I57" s="37"/>
      <c r="J57" s="2"/>
    </row>
    <row r="58" spans="1:10" ht="12.95" customHeight="1">
      <c r="A58" s="16" t="s">
        <v>3399</v>
      </c>
      <c r="B58" s="17" t="s">
        <v>3400</v>
      </c>
      <c r="C58" s="13" t="s">
        <v>3401</v>
      </c>
      <c r="D58" s="13" t="s">
        <v>132</v>
      </c>
      <c r="E58" s="18">
        <v>750</v>
      </c>
      <c r="F58" s="19">
        <v>7498.79</v>
      </c>
      <c r="G58" s="20">
        <v>6.1000000000000004E-3</v>
      </c>
      <c r="H58" s="21">
        <v>4.4999999999999998E-2</v>
      </c>
      <c r="I58" s="37"/>
      <c r="J58" s="2"/>
    </row>
    <row r="59" spans="1:10" ht="12.95" customHeight="1">
      <c r="A59" s="16" t="s">
        <v>293</v>
      </c>
      <c r="B59" s="17" t="s">
        <v>294</v>
      </c>
      <c r="C59" s="13" t="s">
        <v>295</v>
      </c>
      <c r="D59" s="13" t="s">
        <v>132</v>
      </c>
      <c r="E59" s="18">
        <v>700</v>
      </c>
      <c r="F59" s="19">
        <v>7221.89</v>
      </c>
      <c r="G59" s="20">
        <v>5.8999999999999999E-3</v>
      </c>
      <c r="H59" s="21">
        <v>4.4600000000000001E-2</v>
      </c>
      <c r="I59" s="37"/>
      <c r="J59" s="2"/>
    </row>
    <row r="60" spans="1:10" ht="12.95" customHeight="1">
      <c r="A60" s="16" t="s">
        <v>3402</v>
      </c>
      <c r="B60" s="17" t="s">
        <v>3403</v>
      </c>
      <c r="C60" s="13" t="s">
        <v>3404</v>
      </c>
      <c r="D60" s="13" t="s">
        <v>132</v>
      </c>
      <c r="E60" s="18">
        <v>650</v>
      </c>
      <c r="F60" s="19">
        <v>6690.68</v>
      </c>
      <c r="G60" s="20">
        <v>5.4000000000000003E-3</v>
      </c>
      <c r="H60" s="21">
        <v>4.7E-2</v>
      </c>
      <c r="I60" s="37"/>
      <c r="J60" s="2"/>
    </row>
    <row r="61" spans="1:10" ht="12.95" customHeight="1">
      <c r="A61" s="16" t="s">
        <v>371</v>
      </c>
      <c r="B61" s="17" t="s">
        <v>372</v>
      </c>
      <c r="C61" s="13" t="s">
        <v>373</v>
      </c>
      <c r="D61" s="13" t="s">
        <v>132</v>
      </c>
      <c r="E61" s="18">
        <v>648</v>
      </c>
      <c r="F61" s="19">
        <v>6604.22</v>
      </c>
      <c r="G61" s="20">
        <v>5.4000000000000003E-3</v>
      </c>
      <c r="H61" s="21">
        <v>4.1549999999999997E-2</v>
      </c>
      <c r="I61" s="37"/>
      <c r="J61" s="2"/>
    </row>
    <row r="62" spans="1:10" ht="12.95" customHeight="1">
      <c r="A62" s="16" t="s">
        <v>314</v>
      </c>
      <c r="B62" s="17" t="s">
        <v>315</v>
      </c>
      <c r="C62" s="13" t="s">
        <v>316</v>
      </c>
      <c r="D62" s="13" t="s">
        <v>132</v>
      </c>
      <c r="E62" s="18">
        <v>600</v>
      </c>
      <c r="F62" s="19">
        <v>6197.38</v>
      </c>
      <c r="G62" s="20">
        <v>5.0000000000000001E-3</v>
      </c>
      <c r="H62" s="21">
        <v>4.4499999999999998E-2</v>
      </c>
      <c r="I62" s="37"/>
      <c r="J62" s="2"/>
    </row>
    <row r="63" spans="1:10" ht="12.95" customHeight="1">
      <c r="A63" s="16" t="s">
        <v>1208</v>
      </c>
      <c r="B63" s="17" t="s">
        <v>1209</v>
      </c>
      <c r="C63" s="13" t="s">
        <v>1210</v>
      </c>
      <c r="D63" s="13" t="s">
        <v>132</v>
      </c>
      <c r="E63" s="18">
        <v>600</v>
      </c>
      <c r="F63" s="19">
        <v>6191.15</v>
      </c>
      <c r="G63" s="20">
        <v>5.0000000000000001E-3</v>
      </c>
      <c r="H63" s="21">
        <v>4.4999999999999998E-2</v>
      </c>
      <c r="I63" s="37"/>
      <c r="J63" s="2"/>
    </row>
    <row r="64" spans="1:10" ht="12.95" customHeight="1">
      <c r="A64" s="16" t="s">
        <v>2596</v>
      </c>
      <c r="B64" s="17" t="s">
        <v>2597</v>
      </c>
      <c r="C64" s="13" t="s">
        <v>2598</v>
      </c>
      <c r="D64" s="13" t="s">
        <v>2062</v>
      </c>
      <c r="E64" s="18">
        <v>600</v>
      </c>
      <c r="F64" s="19">
        <v>6145.87</v>
      </c>
      <c r="G64" s="20">
        <v>5.0000000000000001E-3</v>
      </c>
      <c r="H64" s="21">
        <v>6.1346999999999999E-2</v>
      </c>
      <c r="I64" s="37"/>
      <c r="J64" s="2"/>
    </row>
    <row r="65" spans="1:10" ht="12.95" customHeight="1">
      <c r="A65" s="16" t="s">
        <v>3405</v>
      </c>
      <c r="B65" s="17" t="s">
        <v>3406</v>
      </c>
      <c r="C65" s="13" t="s">
        <v>3407</v>
      </c>
      <c r="D65" s="13" t="s">
        <v>200</v>
      </c>
      <c r="E65" s="18">
        <v>6000000</v>
      </c>
      <c r="F65" s="19">
        <v>6011.54</v>
      </c>
      <c r="G65" s="20">
        <v>4.8999999999999998E-3</v>
      </c>
      <c r="H65" s="21">
        <v>3.4292000000000003E-2</v>
      </c>
      <c r="I65" s="37"/>
      <c r="J65" s="2"/>
    </row>
    <row r="66" spans="1:10" ht="12.95" customHeight="1">
      <c r="A66" s="16" t="s">
        <v>2352</v>
      </c>
      <c r="B66" s="17" t="s">
        <v>2353</v>
      </c>
      <c r="C66" s="13" t="s">
        <v>2354</v>
      </c>
      <c r="D66" s="13" t="s">
        <v>1069</v>
      </c>
      <c r="E66" s="18">
        <v>600</v>
      </c>
      <c r="F66" s="19">
        <v>5902.66</v>
      </c>
      <c r="G66" s="20">
        <v>4.7999999999999996E-3</v>
      </c>
      <c r="H66" s="21">
        <v>7.3371000000000006E-2</v>
      </c>
      <c r="I66" s="37"/>
      <c r="J66" s="2"/>
    </row>
    <row r="67" spans="1:10" ht="12.95" customHeight="1">
      <c r="A67" s="16" t="s">
        <v>311</v>
      </c>
      <c r="B67" s="17" t="s">
        <v>312</v>
      </c>
      <c r="C67" s="13" t="s">
        <v>313</v>
      </c>
      <c r="D67" s="13" t="s">
        <v>132</v>
      </c>
      <c r="E67" s="18">
        <v>550</v>
      </c>
      <c r="F67" s="19">
        <v>5679.73</v>
      </c>
      <c r="G67" s="20">
        <v>4.5999999999999999E-3</v>
      </c>
      <c r="H67" s="21">
        <v>4.58E-2</v>
      </c>
      <c r="I67" s="37"/>
      <c r="J67" s="2"/>
    </row>
    <row r="68" spans="1:10" ht="12.95" customHeight="1">
      <c r="A68" s="16" t="s">
        <v>3408</v>
      </c>
      <c r="B68" s="17" t="s">
        <v>3409</v>
      </c>
      <c r="C68" s="13" t="s">
        <v>3410</v>
      </c>
      <c r="D68" s="13" t="s">
        <v>200</v>
      </c>
      <c r="E68" s="18">
        <v>5000000</v>
      </c>
      <c r="F68" s="19">
        <v>5565.52</v>
      </c>
      <c r="G68" s="20">
        <v>4.4999999999999997E-3</v>
      </c>
      <c r="H68" s="21">
        <v>6.4964999999999995E-2</v>
      </c>
      <c r="I68" s="37"/>
      <c r="J68" s="2"/>
    </row>
    <row r="69" spans="1:10" ht="12.95" customHeight="1">
      <c r="A69" s="16" t="s">
        <v>1226</v>
      </c>
      <c r="B69" s="17" t="s">
        <v>1227</v>
      </c>
      <c r="C69" s="13" t="s">
        <v>1228</v>
      </c>
      <c r="D69" s="13" t="s">
        <v>200</v>
      </c>
      <c r="E69" s="18">
        <v>5000000</v>
      </c>
      <c r="F69" s="19">
        <v>5453.31</v>
      </c>
      <c r="G69" s="20">
        <v>4.4000000000000003E-3</v>
      </c>
      <c r="H69" s="21">
        <v>5.7500000000000002E-2</v>
      </c>
      <c r="I69" s="37"/>
      <c r="J69" s="2"/>
    </row>
    <row r="70" spans="1:10" ht="12.95" customHeight="1">
      <c r="A70" s="16" t="s">
        <v>3411</v>
      </c>
      <c r="B70" s="17" t="s">
        <v>3412</v>
      </c>
      <c r="C70" s="13" t="s">
        <v>3413</v>
      </c>
      <c r="D70" s="13" t="s">
        <v>200</v>
      </c>
      <c r="E70" s="18">
        <v>5000000</v>
      </c>
      <c r="F70" s="19">
        <v>5425.81</v>
      </c>
      <c r="G70" s="20">
        <v>4.4000000000000003E-3</v>
      </c>
      <c r="H70" s="21">
        <v>5.7827999999999997E-2</v>
      </c>
      <c r="I70" s="37"/>
      <c r="J70" s="2"/>
    </row>
    <row r="71" spans="1:10" ht="12.95" customHeight="1">
      <c r="A71" s="16" t="s">
        <v>1229</v>
      </c>
      <c r="B71" s="17" t="s">
        <v>1230</v>
      </c>
      <c r="C71" s="13" t="s">
        <v>1231</v>
      </c>
      <c r="D71" s="13" t="s">
        <v>200</v>
      </c>
      <c r="E71" s="18">
        <v>5000000</v>
      </c>
      <c r="F71" s="19">
        <v>5266.11</v>
      </c>
      <c r="G71" s="20">
        <v>4.3E-3</v>
      </c>
      <c r="H71" s="21">
        <v>4.5350000000000001E-2</v>
      </c>
      <c r="I71" s="37"/>
      <c r="J71" s="2"/>
    </row>
    <row r="72" spans="1:10" ht="12.95" customHeight="1">
      <c r="A72" s="16" t="s">
        <v>3414</v>
      </c>
      <c r="B72" s="17" t="s">
        <v>3415</v>
      </c>
      <c r="C72" s="13" t="s">
        <v>3416</v>
      </c>
      <c r="D72" s="13" t="s">
        <v>200</v>
      </c>
      <c r="E72" s="18">
        <v>5000000</v>
      </c>
      <c r="F72" s="19">
        <v>5217.21</v>
      </c>
      <c r="G72" s="20">
        <v>4.1999999999999997E-3</v>
      </c>
      <c r="H72" s="21">
        <v>4.1445000000000003E-2</v>
      </c>
      <c r="I72" s="37"/>
      <c r="J72" s="2"/>
    </row>
    <row r="73" spans="1:10" ht="12.95" customHeight="1">
      <c r="A73" s="16" t="s">
        <v>412</v>
      </c>
      <c r="B73" s="17" t="s">
        <v>413</v>
      </c>
      <c r="C73" s="13" t="s">
        <v>414</v>
      </c>
      <c r="D73" s="13" t="s">
        <v>132</v>
      </c>
      <c r="E73" s="18">
        <v>500</v>
      </c>
      <c r="F73" s="19">
        <v>5195.16</v>
      </c>
      <c r="G73" s="20">
        <v>4.1999999999999997E-3</v>
      </c>
      <c r="H73" s="21">
        <v>4.9748000000000001E-2</v>
      </c>
      <c r="I73" s="37"/>
      <c r="J73" s="2"/>
    </row>
    <row r="74" spans="1:10" ht="12.95" customHeight="1">
      <c r="A74" s="16" t="s">
        <v>2331</v>
      </c>
      <c r="B74" s="17" t="s">
        <v>2332</v>
      </c>
      <c r="C74" s="13" t="s">
        <v>2333</v>
      </c>
      <c r="D74" s="13" t="s">
        <v>132</v>
      </c>
      <c r="E74" s="18">
        <v>500</v>
      </c>
      <c r="F74" s="19">
        <v>5168.7</v>
      </c>
      <c r="G74" s="20">
        <v>4.1999999999999997E-3</v>
      </c>
      <c r="H74" s="21">
        <v>4.8000000000000001E-2</v>
      </c>
      <c r="I74" s="37"/>
      <c r="J74" s="2"/>
    </row>
    <row r="75" spans="1:10" ht="12.95" customHeight="1">
      <c r="A75" s="16" t="s">
        <v>3417</v>
      </c>
      <c r="B75" s="17" t="s">
        <v>3418</v>
      </c>
      <c r="C75" s="13" t="s">
        <v>3419</v>
      </c>
      <c r="D75" s="13" t="s">
        <v>132</v>
      </c>
      <c r="E75" s="18">
        <v>500</v>
      </c>
      <c r="F75" s="19">
        <v>5142.74</v>
      </c>
      <c r="G75" s="20">
        <v>4.1999999999999997E-3</v>
      </c>
      <c r="H75" s="21">
        <v>4.58E-2</v>
      </c>
      <c r="I75" s="37"/>
      <c r="J75" s="2"/>
    </row>
    <row r="76" spans="1:10" ht="12.95" customHeight="1">
      <c r="A76" s="16" t="s">
        <v>260</v>
      </c>
      <c r="B76" s="17" t="s">
        <v>261</v>
      </c>
      <c r="C76" s="13" t="s">
        <v>262</v>
      </c>
      <c r="D76" s="13" t="s">
        <v>132</v>
      </c>
      <c r="E76" s="18">
        <v>500</v>
      </c>
      <c r="F76" s="19">
        <v>5137.68</v>
      </c>
      <c r="G76" s="20">
        <v>4.1999999999999997E-3</v>
      </c>
      <c r="H76" s="21">
        <v>4.2200000000000001E-2</v>
      </c>
      <c r="I76" s="37"/>
      <c r="J76" s="2"/>
    </row>
    <row r="77" spans="1:10" ht="12.95" customHeight="1">
      <c r="A77" s="16" t="s">
        <v>532</v>
      </c>
      <c r="B77" s="17" t="s">
        <v>533</v>
      </c>
      <c r="C77" s="13" t="s">
        <v>534</v>
      </c>
      <c r="D77" s="13" t="s">
        <v>132</v>
      </c>
      <c r="E77" s="18">
        <v>500</v>
      </c>
      <c r="F77" s="19">
        <v>5114.79</v>
      </c>
      <c r="G77" s="20">
        <v>4.1000000000000003E-3</v>
      </c>
      <c r="H77" s="21">
        <v>4.4499999999999998E-2</v>
      </c>
      <c r="I77" s="37"/>
      <c r="J77" s="2"/>
    </row>
    <row r="78" spans="1:10" ht="12.95" customHeight="1">
      <c r="A78" s="16" t="s">
        <v>326</v>
      </c>
      <c r="B78" s="17" t="s">
        <v>327</v>
      </c>
      <c r="C78" s="13" t="s">
        <v>328</v>
      </c>
      <c r="D78" s="13" t="s">
        <v>132</v>
      </c>
      <c r="E78" s="18">
        <v>500</v>
      </c>
      <c r="F78" s="19">
        <v>5111.3900000000003</v>
      </c>
      <c r="G78" s="20">
        <v>4.1000000000000003E-3</v>
      </c>
      <c r="H78" s="21">
        <v>4.165E-2</v>
      </c>
      <c r="I78" s="37"/>
      <c r="J78" s="2"/>
    </row>
    <row r="79" spans="1:10" ht="12.95" customHeight="1">
      <c r="A79" s="16" t="s">
        <v>2989</v>
      </c>
      <c r="B79" s="17" t="s">
        <v>2990</v>
      </c>
      <c r="C79" s="13" t="s">
        <v>2991</v>
      </c>
      <c r="D79" s="13" t="s">
        <v>200</v>
      </c>
      <c r="E79" s="18">
        <v>5024000</v>
      </c>
      <c r="F79" s="19">
        <v>5107.3999999999996</v>
      </c>
      <c r="G79" s="20">
        <v>4.1000000000000003E-3</v>
      </c>
      <c r="H79" s="21">
        <v>3.6114E-2</v>
      </c>
      <c r="I79" s="37"/>
      <c r="J79" s="2"/>
    </row>
    <row r="80" spans="1:10" ht="12.95" customHeight="1">
      <c r="A80" s="16" t="s">
        <v>3420</v>
      </c>
      <c r="B80" s="17" t="s">
        <v>3421</v>
      </c>
      <c r="C80" s="13" t="s">
        <v>3422</v>
      </c>
      <c r="D80" s="13" t="s">
        <v>200</v>
      </c>
      <c r="E80" s="18">
        <v>5000000</v>
      </c>
      <c r="F80" s="19">
        <v>5079.71</v>
      </c>
      <c r="G80" s="20">
        <v>4.1000000000000003E-3</v>
      </c>
      <c r="H80" s="21">
        <v>6.4920000000000005E-2</v>
      </c>
      <c r="I80" s="37"/>
      <c r="J80" s="2"/>
    </row>
    <row r="81" spans="1:10" ht="12.95" customHeight="1">
      <c r="A81" s="16" t="s">
        <v>3423</v>
      </c>
      <c r="B81" s="17" t="s">
        <v>3424</v>
      </c>
      <c r="C81" s="13" t="s">
        <v>3425</v>
      </c>
      <c r="D81" s="13" t="s">
        <v>196</v>
      </c>
      <c r="E81" s="18">
        <v>500</v>
      </c>
      <c r="F81" s="19">
        <v>5069.38</v>
      </c>
      <c r="G81" s="20">
        <v>4.1000000000000003E-3</v>
      </c>
      <c r="H81" s="21">
        <v>4.5350000000000001E-2</v>
      </c>
      <c r="I81" s="37"/>
      <c r="J81" s="2"/>
    </row>
    <row r="82" spans="1:10" ht="12.95" customHeight="1">
      <c r="A82" s="16" t="s">
        <v>3426</v>
      </c>
      <c r="B82" s="17" t="s">
        <v>3427</v>
      </c>
      <c r="C82" s="13" t="s">
        <v>3428</v>
      </c>
      <c r="D82" s="13" t="s">
        <v>200</v>
      </c>
      <c r="E82" s="18">
        <v>5000000</v>
      </c>
      <c r="F82" s="19">
        <v>5059.54</v>
      </c>
      <c r="G82" s="20">
        <v>4.1000000000000003E-3</v>
      </c>
      <c r="H82" s="21">
        <v>6.8000000000000005E-2</v>
      </c>
      <c r="I82" s="37"/>
      <c r="J82" s="2"/>
    </row>
    <row r="83" spans="1:10" ht="12.95" customHeight="1">
      <c r="A83" s="16" t="s">
        <v>3429</v>
      </c>
      <c r="B83" s="17" t="s">
        <v>3430</v>
      </c>
      <c r="C83" s="13" t="s">
        <v>3431</v>
      </c>
      <c r="D83" s="13" t="s">
        <v>200</v>
      </c>
      <c r="E83" s="18">
        <v>5000000</v>
      </c>
      <c r="F83" s="19">
        <v>5052.33</v>
      </c>
      <c r="G83" s="20">
        <v>4.1000000000000003E-3</v>
      </c>
      <c r="H83" s="21">
        <v>6.0131999999999998E-2</v>
      </c>
      <c r="I83" s="37"/>
      <c r="J83" s="2"/>
    </row>
    <row r="84" spans="1:10" ht="12.95" customHeight="1">
      <c r="A84" s="16" t="s">
        <v>3432</v>
      </c>
      <c r="B84" s="17" t="s">
        <v>3433</v>
      </c>
      <c r="C84" s="13" t="s">
        <v>3434</v>
      </c>
      <c r="D84" s="13" t="s">
        <v>132</v>
      </c>
      <c r="E84" s="18">
        <v>500</v>
      </c>
      <c r="F84" s="19">
        <v>5009.88</v>
      </c>
      <c r="G84" s="20">
        <v>4.1000000000000003E-3</v>
      </c>
      <c r="H84" s="21">
        <v>4.9000000000000002E-2</v>
      </c>
      <c r="I84" s="37"/>
      <c r="J84" s="2"/>
    </row>
    <row r="85" spans="1:10" ht="12.95" customHeight="1">
      <c r="A85" s="16" t="s">
        <v>1214</v>
      </c>
      <c r="B85" s="17" t="s">
        <v>1215</v>
      </c>
      <c r="C85" s="13" t="s">
        <v>1216</v>
      </c>
      <c r="D85" s="13" t="s">
        <v>132</v>
      </c>
      <c r="E85" s="18">
        <v>500</v>
      </c>
      <c r="F85" s="19">
        <v>5001.79</v>
      </c>
      <c r="G85" s="20">
        <v>4.1000000000000003E-3</v>
      </c>
      <c r="H85" s="21">
        <v>7.6019000000000003E-2</v>
      </c>
      <c r="I85" s="37"/>
      <c r="J85" s="2"/>
    </row>
    <row r="86" spans="1:10" ht="12.95" customHeight="1">
      <c r="A86" s="16" t="s">
        <v>3435</v>
      </c>
      <c r="B86" s="17" t="s">
        <v>3436</v>
      </c>
      <c r="C86" s="13" t="s">
        <v>3437</v>
      </c>
      <c r="D86" s="13" t="s">
        <v>200</v>
      </c>
      <c r="E86" s="18">
        <v>4500000</v>
      </c>
      <c r="F86" s="19">
        <v>4969.7</v>
      </c>
      <c r="G86" s="20">
        <v>4.0000000000000001E-3</v>
      </c>
      <c r="H86" s="21">
        <v>6.4223000000000002E-2</v>
      </c>
      <c r="I86" s="37"/>
      <c r="J86" s="2"/>
    </row>
    <row r="87" spans="1:10" ht="12.95" customHeight="1">
      <c r="A87" s="16" t="s">
        <v>1145</v>
      </c>
      <c r="B87" s="17" t="s">
        <v>1146</v>
      </c>
      <c r="C87" s="13" t="s">
        <v>1147</v>
      </c>
      <c r="D87" s="13" t="s">
        <v>196</v>
      </c>
      <c r="E87" s="18">
        <v>500</v>
      </c>
      <c r="F87" s="19">
        <v>4968.7</v>
      </c>
      <c r="G87" s="20">
        <v>4.0000000000000001E-3</v>
      </c>
      <c r="H87" s="21">
        <v>6.275E-2</v>
      </c>
      <c r="I87" s="37"/>
      <c r="J87" s="2"/>
    </row>
    <row r="88" spans="1:10" ht="12.95" customHeight="1">
      <c r="A88" s="16" t="s">
        <v>3438</v>
      </c>
      <c r="B88" s="17" t="s">
        <v>3439</v>
      </c>
      <c r="C88" s="13" t="s">
        <v>3440</v>
      </c>
      <c r="D88" s="13" t="s">
        <v>171</v>
      </c>
      <c r="E88" s="18">
        <v>500</v>
      </c>
      <c r="F88" s="19">
        <v>4855.8500000000004</v>
      </c>
      <c r="G88" s="20">
        <v>3.8999999999999998E-3</v>
      </c>
      <c r="H88" s="21">
        <v>4.2999999999999997E-2</v>
      </c>
      <c r="I88" s="37"/>
      <c r="J88" s="2"/>
    </row>
    <row r="89" spans="1:10" ht="12.95" customHeight="1">
      <c r="A89" s="16" t="s">
        <v>190</v>
      </c>
      <c r="B89" s="17" t="s">
        <v>191</v>
      </c>
      <c r="C89" s="13" t="s">
        <v>192</v>
      </c>
      <c r="D89" s="13" t="s">
        <v>132</v>
      </c>
      <c r="E89" s="18">
        <v>470</v>
      </c>
      <c r="F89" s="19">
        <v>4801.8999999999996</v>
      </c>
      <c r="G89" s="20">
        <v>3.8999999999999998E-3</v>
      </c>
      <c r="H89" s="21">
        <v>3.7600000000000001E-2</v>
      </c>
      <c r="I89" s="37"/>
      <c r="J89" s="2"/>
    </row>
    <row r="90" spans="1:10" ht="12.95" customHeight="1">
      <c r="A90" s="16" t="s">
        <v>442</v>
      </c>
      <c r="B90" s="17" t="s">
        <v>443</v>
      </c>
      <c r="C90" s="13" t="s">
        <v>444</v>
      </c>
      <c r="D90" s="13" t="s">
        <v>132</v>
      </c>
      <c r="E90" s="18">
        <v>450</v>
      </c>
      <c r="F90" s="19">
        <v>4601.99</v>
      </c>
      <c r="G90" s="20">
        <v>3.7000000000000002E-3</v>
      </c>
      <c r="H90" s="21">
        <v>4.2500000000000003E-2</v>
      </c>
      <c r="I90" s="37"/>
      <c r="J90" s="2"/>
    </row>
    <row r="91" spans="1:10" ht="12.95" customHeight="1">
      <c r="A91" s="16" t="s">
        <v>3441</v>
      </c>
      <c r="B91" s="17" t="s">
        <v>3442</v>
      </c>
      <c r="C91" s="13" t="s">
        <v>3443</v>
      </c>
      <c r="D91" s="13" t="s">
        <v>200</v>
      </c>
      <c r="E91" s="18">
        <v>4500000</v>
      </c>
      <c r="F91" s="19">
        <v>4575.99</v>
      </c>
      <c r="G91" s="20">
        <v>3.7000000000000002E-3</v>
      </c>
      <c r="H91" s="21">
        <v>3.6913000000000001E-2</v>
      </c>
      <c r="I91" s="37"/>
      <c r="J91" s="2"/>
    </row>
    <row r="92" spans="1:10" ht="12.95" customHeight="1">
      <c r="A92" s="16" t="s">
        <v>3444</v>
      </c>
      <c r="B92" s="17" t="s">
        <v>3445</v>
      </c>
      <c r="C92" s="13" t="s">
        <v>3446</v>
      </c>
      <c r="D92" s="13" t="s">
        <v>200</v>
      </c>
      <c r="E92" s="18">
        <v>4000000</v>
      </c>
      <c r="F92" s="19">
        <v>4429.7700000000004</v>
      </c>
      <c r="G92" s="20">
        <v>3.5999999999999999E-3</v>
      </c>
      <c r="H92" s="21">
        <v>5.8789500000000001E-2</v>
      </c>
      <c r="I92" s="37"/>
      <c r="J92" s="2"/>
    </row>
    <row r="93" spans="1:10" ht="12.95" customHeight="1">
      <c r="A93" s="16" t="s">
        <v>1220</v>
      </c>
      <c r="B93" s="17" t="s">
        <v>1221</v>
      </c>
      <c r="C93" s="13" t="s">
        <v>1222</v>
      </c>
      <c r="D93" s="13" t="s">
        <v>132</v>
      </c>
      <c r="E93" s="18">
        <v>400</v>
      </c>
      <c r="F93" s="19">
        <v>4173.6099999999997</v>
      </c>
      <c r="G93" s="20">
        <v>3.3999999999999998E-3</v>
      </c>
      <c r="H93" s="21">
        <v>5.4269499999999998E-2</v>
      </c>
      <c r="I93" s="37"/>
      <c r="J93" s="2"/>
    </row>
    <row r="94" spans="1:10" ht="12.95" customHeight="1">
      <c r="A94" s="16" t="s">
        <v>3447</v>
      </c>
      <c r="B94" s="17" t="s">
        <v>3448</v>
      </c>
      <c r="C94" s="13" t="s">
        <v>3449</v>
      </c>
      <c r="D94" s="13" t="s">
        <v>132</v>
      </c>
      <c r="E94" s="18">
        <v>350</v>
      </c>
      <c r="F94" s="19">
        <v>3659.9</v>
      </c>
      <c r="G94" s="20">
        <v>3.0000000000000001E-3</v>
      </c>
      <c r="H94" s="21">
        <v>4.9061E-2</v>
      </c>
      <c r="I94" s="37"/>
      <c r="J94" s="2"/>
    </row>
    <row r="95" spans="1:10" ht="12.95" customHeight="1">
      <c r="A95" s="16" t="s">
        <v>535</v>
      </c>
      <c r="B95" s="17" t="s">
        <v>536</v>
      </c>
      <c r="C95" s="13" t="s">
        <v>537</v>
      </c>
      <c r="D95" s="13" t="s">
        <v>132</v>
      </c>
      <c r="E95" s="18">
        <v>350</v>
      </c>
      <c r="F95" s="19">
        <v>3497.41</v>
      </c>
      <c r="G95" s="20">
        <v>2.8E-3</v>
      </c>
      <c r="H95" s="21">
        <v>6.2503500000000004E-2</v>
      </c>
      <c r="I95" s="37">
        <v>6.2604106000000007E-2</v>
      </c>
      <c r="J95" s="2"/>
    </row>
    <row r="96" spans="1:10" ht="12.95" customHeight="1">
      <c r="A96" s="16" t="s">
        <v>3450</v>
      </c>
      <c r="B96" s="17" t="s">
        <v>3451</v>
      </c>
      <c r="C96" s="13" t="s">
        <v>3452</v>
      </c>
      <c r="D96" s="13" t="s">
        <v>132</v>
      </c>
      <c r="E96" s="18">
        <v>250</v>
      </c>
      <c r="F96" s="19">
        <v>3274.67</v>
      </c>
      <c r="G96" s="20">
        <v>2.7000000000000001E-3</v>
      </c>
      <c r="H96" s="21">
        <v>3.7802000000000002E-2</v>
      </c>
      <c r="I96" s="37"/>
      <c r="J96" s="2"/>
    </row>
    <row r="97" spans="1:10" ht="12.95" customHeight="1">
      <c r="A97" s="16" t="s">
        <v>3453</v>
      </c>
      <c r="B97" s="17" t="s">
        <v>3454</v>
      </c>
      <c r="C97" s="13" t="s">
        <v>3455</v>
      </c>
      <c r="D97" s="13" t="s">
        <v>200</v>
      </c>
      <c r="E97" s="18">
        <v>3000000</v>
      </c>
      <c r="F97" s="19">
        <v>3272.26</v>
      </c>
      <c r="G97" s="20">
        <v>2.7000000000000001E-3</v>
      </c>
      <c r="H97" s="21">
        <v>5.8407000000000001E-2</v>
      </c>
      <c r="I97" s="37"/>
      <c r="J97" s="2"/>
    </row>
    <row r="98" spans="1:10" ht="12.95" customHeight="1">
      <c r="A98" s="16" t="s">
        <v>3456</v>
      </c>
      <c r="B98" s="17" t="s">
        <v>3457</v>
      </c>
      <c r="C98" s="13" t="s">
        <v>3458</v>
      </c>
      <c r="D98" s="13" t="s">
        <v>132</v>
      </c>
      <c r="E98" s="18">
        <v>33000</v>
      </c>
      <c r="F98" s="19">
        <v>3264.51</v>
      </c>
      <c r="G98" s="20">
        <v>2.5999999999999999E-3</v>
      </c>
      <c r="H98" s="21">
        <v>6.5600000000000006E-2</v>
      </c>
      <c r="I98" s="37"/>
      <c r="J98" s="2"/>
    </row>
    <row r="99" spans="1:10" ht="12.95" customHeight="1">
      <c r="A99" s="16" t="s">
        <v>2723</v>
      </c>
      <c r="B99" s="17" t="s">
        <v>2724</v>
      </c>
      <c r="C99" s="13" t="s">
        <v>2725</v>
      </c>
      <c r="D99" s="13" t="s">
        <v>1073</v>
      </c>
      <c r="E99" s="18">
        <v>300</v>
      </c>
      <c r="F99" s="19">
        <v>3190.45</v>
      </c>
      <c r="G99" s="20">
        <v>2.5999999999999999E-3</v>
      </c>
      <c r="H99" s="21">
        <v>8.0377000000000004E-2</v>
      </c>
      <c r="I99" s="37">
        <v>6.7116634999999994E-2</v>
      </c>
      <c r="J99" s="2"/>
    </row>
    <row r="100" spans="1:10" ht="12.95" customHeight="1">
      <c r="A100" s="16" t="s">
        <v>2118</v>
      </c>
      <c r="B100" s="17" t="s">
        <v>2119</v>
      </c>
      <c r="C100" s="13" t="s">
        <v>2120</v>
      </c>
      <c r="D100" s="13" t="s">
        <v>200</v>
      </c>
      <c r="E100" s="18">
        <v>3000000</v>
      </c>
      <c r="F100" s="19">
        <v>3183.5</v>
      </c>
      <c r="G100" s="20">
        <v>2.5999999999999999E-3</v>
      </c>
      <c r="H100" s="21">
        <v>6.2015000000000001E-2</v>
      </c>
      <c r="I100" s="37"/>
      <c r="J100" s="2"/>
    </row>
    <row r="101" spans="1:10" ht="12.95" customHeight="1">
      <c r="A101" s="16" t="s">
        <v>392</v>
      </c>
      <c r="B101" s="17" t="s">
        <v>393</v>
      </c>
      <c r="C101" s="13" t="s">
        <v>394</v>
      </c>
      <c r="D101" s="13" t="s">
        <v>132</v>
      </c>
      <c r="E101" s="18">
        <v>300</v>
      </c>
      <c r="F101" s="19">
        <v>3101.03</v>
      </c>
      <c r="G101" s="20">
        <v>2.5000000000000001E-3</v>
      </c>
      <c r="H101" s="21">
        <v>4.3999999999999997E-2</v>
      </c>
      <c r="I101" s="37"/>
      <c r="J101" s="2"/>
    </row>
    <row r="102" spans="1:10" ht="12.95" customHeight="1">
      <c r="A102" s="16" t="s">
        <v>2334</v>
      </c>
      <c r="B102" s="17" t="s">
        <v>2335</v>
      </c>
      <c r="C102" s="13" t="s">
        <v>2336</v>
      </c>
      <c r="D102" s="13" t="s">
        <v>132</v>
      </c>
      <c r="E102" s="18">
        <v>300</v>
      </c>
      <c r="F102" s="19">
        <v>3097.95</v>
      </c>
      <c r="G102" s="20">
        <v>2.5000000000000001E-3</v>
      </c>
      <c r="H102" s="21">
        <v>4.7199999999999999E-2</v>
      </c>
      <c r="I102" s="37"/>
      <c r="J102" s="2"/>
    </row>
    <row r="103" spans="1:10" ht="12.95" customHeight="1">
      <c r="A103" s="16" t="s">
        <v>3459</v>
      </c>
      <c r="B103" s="17" t="s">
        <v>3460</v>
      </c>
      <c r="C103" s="13" t="s">
        <v>3461</v>
      </c>
      <c r="D103" s="13" t="s">
        <v>132</v>
      </c>
      <c r="E103" s="18">
        <v>300</v>
      </c>
      <c r="F103" s="19">
        <v>3039.4</v>
      </c>
      <c r="G103" s="20">
        <v>2.5000000000000001E-3</v>
      </c>
      <c r="H103" s="21">
        <v>6.0150000000000002E-2</v>
      </c>
      <c r="I103" s="37"/>
      <c r="J103" s="2"/>
    </row>
    <row r="104" spans="1:10" ht="12.95" customHeight="1">
      <c r="A104" s="16" t="s">
        <v>2587</v>
      </c>
      <c r="B104" s="17" t="s">
        <v>2588</v>
      </c>
      <c r="C104" s="13" t="s">
        <v>2589</v>
      </c>
      <c r="D104" s="13" t="s">
        <v>200</v>
      </c>
      <c r="E104" s="18">
        <v>2919400</v>
      </c>
      <c r="F104" s="19">
        <v>2897.53</v>
      </c>
      <c r="G104" s="20">
        <v>2.3E-3</v>
      </c>
      <c r="H104" s="21">
        <v>6.7229999999999998E-2</v>
      </c>
      <c r="I104" s="37"/>
      <c r="J104" s="2"/>
    </row>
    <row r="105" spans="1:10" ht="12.95" customHeight="1">
      <c r="A105" s="16" t="s">
        <v>427</v>
      </c>
      <c r="B105" s="17" t="s">
        <v>428</v>
      </c>
      <c r="C105" s="13" t="s">
        <v>429</v>
      </c>
      <c r="D105" s="13" t="s">
        <v>132</v>
      </c>
      <c r="E105" s="18">
        <v>280</v>
      </c>
      <c r="F105" s="19">
        <v>2871.23</v>
      </c>
      <c r="G105" s="20">
        <v>2.3E-3</v>
      </c>
      <c r="H105" s="21">
        <v>4.2500000000000003E-2</v>
      </c>
      <c r="I105" s="37"/>
      <c r="J105" s="2"/>
    </row>
    <row r="106" spans="1:10" ht="12.95" customHeight="1">
      <c r="A106" s="16" t="s">
        <v>1238</v>
      </c>
      <c r="B106" s="17" t="s">
        <v>1239</v>
      </c>
      <c r="C106" s="13" t="s">
        <v>1240</v>
      </c>
      <c r="D106" s="13" t="s">
        <v>200</v>
      </c>
      <c r="E106" s="18">
        <v>2500000</v>
      </c>
      <c r="F106" s="19">
        <v>2786.33</v>
      </c>
      <c r="G106" s="20">
        <v>2.3E-3</v>
      </c>
      <c r="H106" s="21">
        <v>6.4964999999999995E-2</v>
      </c>
      <c r="I106" s="37"/>
      <c r="J106" s="2"/>
    </row>
    <row r="107" spans="1:10" ht="12.95" customHeight="1">
      <c r="A107" s="16" t="s">
        <v>1223</v>
      </c>
      <c r="B107" s="17" t="s">
        <v>1224</v>
      </c>
      <c r="C107" s="13" t="s">
        <v>1225</v>
      </c>
      <c r="D107" s="13" t="s">
        <v>200</v>
      </c>
      <c r="E107" s="18">
        <v>2590400</v>
      </c>
      <c r="F107" s="19">
        <v>2694.08</v>
      </c>
      <c r="G107" s="20">
        <v>2.2000000000000001E-3</v>
      </c>
      <c r="H107" s="21">
        <v>5.9402000000000003E-2</v>
      </c>
      <c r="I107" s="37"/>
      <c r="J107" s="2"/>
    </row>
    <row r="108" spans="1:10" ht="12.95" customHeight="1">
      <c r="A108" s="16" t="s">
        <v>350</v>
      </c>
      <c r="B108" s="17" t="s">
        <v>351</v>
      </c>
      <c r="C108" s="13" t="s">
        <v>352</v>
      </c>
      <c r="D108" s="13" t="s">
        <v>132</v>
      </c>
      <c r="E108" s="18">
        <v>250</v>
      </c>
      <c r="F108" s="19">
        <v>2676.88</v>
      </c>
      <c r="G108" s="20">
        <v>2.2000000000000001E-3</v>
      </c>
      <c r="H108" s="21">
        <v>6.77735E-2</v>
      </c>
      <c r="I108" s="37">
        <v>5.1417850000000001E-2</v>
      </c>
      <c r="J108" s="2"/>
    </row>
    <row r="109" spans="1:10" ht="12.95" customHeight="1">
      <c r="A109" s="16" t="s">
        <v>1166</v>
      </c>
      <c r="B109" s="17" t="s">
        <v>1167</v>
      </c>
      <c r="C109" s="13" t="s">
        <v>1168</v>
      </c>
      <c r="D109" s="13" t="s">
        <v>132</v>
      </c>
      <c r="E109" s="18">
        <v>259</v>
      </c>
      <c r="F109" s="19">
        <v>2671.71</v>
      </c>
      <c r="G109" s="20">
        <v>2.2000000000000001E-3</v>
      </c>
      <c r="H109" s="21">
        <v>6.5099000000000004E-2</v>
      </c>
      <c r="I109" s="37"/>
      <c r="J109" s="2"/>
    </row>
    <row r="110" spans="1:10" ht="12.95" customHeight="1">
      <c r="A110" s="16" t="s">
        <v>3462</v>
      </c>
      <c r="B110" s="17" t="s">
        <v>3463</v>
      </c>
      <c r="C110" s="13" t="s">
        <v>3464</v>
      </c>
      <c r="D110" s="13" t="s">
        <v>132</v>
      </c>
      <c r="E110" s="18">
        <v>250</v>
      </c>
      <c r="F110" s="19">
        <v>2667.65</v>
      </c>
      <c r="G110" s="20">
        <v>2.2000000000000001E-3</v>
      </c>
      <c r="H110" s="21">
        <v>4.9500000000000002E-2</v>
      </c>
      <c r="I110" s="37"/>
      <c r="J110" s="2"/>
    </row>
    <row r="111" spans="1:10" ht="12.95" customHeight="1">
      <c r="A111" s="16" t="s">
        <v>3465</v>
      </c>
      <c r="B111" s="17" t="s">
        <v>3466</v>
      </c>
      <c r="C111" s="13" t="s">
        <v>3467</v>
      </c>
      <c r="D111" s="13" t="s">
        <v>132</v>
      </c>
      <c r="E111" s="18">
        <v>250</v>
      </c>
      <c r="F111" s="19">
        <v>2627.67</v>
      </c>
      <c r="G111" s="20">
        <v>2.0999999999999999E-3</v>
      </c>
      <c r="H111" s="21">
        <v>5.5800000000000002E-2</v>
      </c>
      <c r="I111" s="37"/>
      <c r="J111" s="2"/>
    </row>
    <row r="112" spans="1:10" ht="12.95" customHeight="1">
      <c r="A112" s="16" t="s">
        <v>3468</v>
      </c>
      <c r="B112" s="17" t="s">
        <v>3469</v>
      </c>
      <c r="C112" s="13" t="s">
        <v>3470</v>
      </c>
      <c r="D112" s="13" t="s">
        <v>132</v>
      </c>
      <c r="E112" s="18">
        <v>250</v>
      </c>
      <c r="F112" s="19">
        <v>2627.28</v>
      </c>
      <c r="G112" s="20">
        <v>2.0999999999999999E-3</v>
      </c>
      <c r="H112" s="21">
        <v>5.6300000000000003E-2</v>
      </c>
      <c r="I112" s="37"/>
      <c r="J112" s="2"/>
    </row>
    <row r="113" spans="1:10" ht="12.95" customHeight="1">
      <c r="A113" s="16" t="s">
        <v>245</v>
      </c>
      <c r="B113" s="17" t="s">
        <v>246</v>
      </c>
      <c r="C113" s="13" t="s">
        <v>247</v>
      </c>
      <c r="D113" s="13" t="s">
        <v>132</v>
      </c>
      <c r="E113" s="18">
        <v>250</v>
      </c>
      <c r="F113" s="19">
        <v>2624.38</v>
      </c>
      <c r="G113" s="20">
        <v>2.0999999999999999E-3</v>
      </c>
      <c r="H113" s="21">
        <v>4.5400000000000003E-2</v>
      </c>
      <c r="I113" s="37"/>
      <c r="J113" s="2"/>
    </row>
    <row r="114" spans="1:10" ht="12.95" customHeight="1">
      <c r="A114" s="16" t="s">
        <v>502</v>
      </c>
      <c r="B114" s="17" t="s">
        <v>503</v>
      </c>
      <c r="C114" s="13" t="s">
        <v>504</v>
      </c>
      <c r="D114" s="13" t="s">
        <v>171</v>
      </c>
      <c r="E114" s="18">
        <v>250</v>
      </c>
      <c r="F114" s="19">
        <v>2586.29</v>
      </c>
      <c r="G114" s="20">
        <v>2.0999999999999999E-3</v>
      </c>
      <c r="H114" s="21">
        <v>6.5435499999999994E-2</v>
      </c>
      <c r="I114" s="37">
        <v>5.9274424999999999E-2</v>
      </c>
      <c r="J114" s="2"/>
    </row>
    <row r="115" spans="1:10" ht="12.95" customHeight="1">
      <c r="A115" s="16" t="s">
        <v>3471</v>
      </c>
      <c r="B115" s="17" t="s">
        <v>3472</v>
      </c>
      <c r="C115" s="13" t="s">
        <v>3473</v>
      </c>
      <c r="D115" s="13" t="s">
        <v>1704</v>
      </c>
      <c r="E115" s="18">
        <v>250</v>
      </c>
      <c r="F115" s="19">
        <v>2583.86</v>
      </c>
      <c r="G115" s="20">
        <v>2.0999999999999999E-3</v>
      </c>
      <c r="H115" s="21">
        <v>8.0488000000000004E-2</v>
      </c>
      <c r="I115" s="37">
        <v>5.0527529000000002E-2</v>
      </c>
      <c r="J115" s="2"/>
    </row>
    <row r="116" spans="1:10" ht="12.95" customHeight="1">
      <c r="A116" s="16" t="s">
        <v>3474</v>
      </c>
      <c r="B116" s="17" t="s">
        <v>3475</v>
      </c>
      <c r="C116" s="13" t="s">
        <v>3476</v>
      </c>
      <c r="D116" s="13" t="s">
        <v>196</v>
      </c>
      <c r="E116" s="18">
        <v>250</v>
      </c>
      <c r="F116" s="19">
        <v>2579.52</v>
      </c>
      <c r="G116" s="20">
        <v>2.0999999999999999E-3</v>
      </c>
      <c r="H116" s="21">
        <v>5.2299999999999999E-2</v>
      </c>
      <c r="I116" s="37"/>
      <c r="J116" s="2"/>
    </row>
    <row r="117" spans="1:10" ht="12.95" customHeight="1">
      <c r="A117" s="16" t="s">
        <v>2362</v>
      </c>
      <c r="B117" s="17" t="s">
        <v>2363</v>
      </c>
      <c r="C117" s="13" t="s">
        <v>2364</v>
      </c>
      <c r="D117" s="13" t="s">
        <v>132</v>
      </c>
      <c r="E117" s="18">
        <v>250</v>
      </c>
      <c r="F117" s="19">
        <v>2576.69</v>
      </c>
      <c r="G117" s="20">
        <v>2.0999999999999999E-3</v>
      </c>
      <c r="H117" s="21">
        <v>4.7199999999999999E-2</v>
      </c>
      <c r="I117" s="37"/>
      <c r="J117" s="2"/>
    </row>
    <row r="118" spans="1:10" ht="12.95" customHeight="1">
      <c r="A118" s="16" t="s">
        <v>2732</v>
      </c>
      <c r="B118" s="17" t="s">
        <v>2733</v>
      </c>
      <c r="C118" s="13" t="s">
        <v>2734</v>
      </c>
      <c r="D118" s="13" t="s">
        <v>132</v>
      </c>
      <c r="E118" s="18">
        <v>250</v>
      </c>
      <c r="F118" s="19">
        <v>2566.14</v>
      </c>
      <c r="G118" s="20">
        <v>2.0999999999999999E-3</v>
      </c>
      <c r="H118" s="21">
        <v>4.1599999999999998E-2</v>
      </c>
      <c r="I118" s="37"/>
      <c r="J118" s="2"/>
    </row>
    <row r="119" spans="1:10" ht="12.95" customHeight="1">
      <c r="A119" s="16" t="s">
        <v>165</v>
      </c>
      <c r="B119" s="17" t="s">
        <v>166</v>
      </c>
      <c r="C119" s="13" t="s">
        <v>167</v>
      </c>
      <c r="D119" s="13" t="s">
        <v>132</v>
      </c>
      <c r="E119" s="18">
        <v>250</v>
      </c>
      <c r="F119" s="19">
        <v>2549.96</v>
      </c>
      <c r="G119" s="20">
        <v>2.0999999999999999E-3</v>
      </c>
      <c r="H119" s="21">
        <v>3.9751000000000002E-2</v>
      </c>
      <c r="I119" s="37"/>
      <c r="J119" s="2"/>
    </row>
    <row r="120" spans="1:10" ht="12.95" customHeight="1">
      <c r="A120" s="16" t="s">
        <v>3477</v>
      </c>
      <c r="B120" s="17" t="s">
        <v>3478</v>
      </c>
      <c r="C120" s="13" t="s">
        <v>3479</v>
      </c>
      <c r="D120" s="13" t="s">
        <v>132</v>
      </c>
      <c r="E120" s="18">
        <v>250</v>
      </c>
      <c r="F120" s="19">
        <v>2540.02</v>
      </c>
      <c r="G120" s="20">
        <v>2.0999999999999999E-3</v>
      </c>
      <c r="H120" s="21">
        <v>4.8299000000000002E-2</v>
      </c>
      <c r="I120" s="37"/>
      <c r="J120" s="2"/>
    </row>
    <row r="121" spans="1:10" ht="12.95" customHeight="1">
      <c r="A121" s="16" t="s">
        <v>430</v>
      </c>
      <c r="B121" s="17" t="s">
        <v>431</v>
      </c>
      <c r="C121" s="13" t="s">
        <v>432</v>
      </c>
      <c r="D121" s="13" t="s">
        <v>171</v>
      </c>
      <c r="E121" s="18">
        <v>250</v>
      </c>
      <c r="F121" s="19">
        <v>2538.58</v>
      </c>
      <c r="G121" s="20">
        <v>2.0999999999999999E-3</v>
      </c>
      <c r="H121" s="21">
        <v>5.1499999999999997E-2</v>
      </c>
      <c r="I121" s="37"/>
      <c r="J121" s="2"/>
    </row>
    <row r="122" spans="1:10" ht="12.95" customHeight="1">
      <c r="A122" s="16" t="s">
        <v>3480</v>
      </c>
      <c r="B122" s="17" t="s">
        <v>3481</v>
      </c>
      <c r="C122" s="13" t="s">
        <v>3482</v>
      </c>
      <c r="D122" s="13" t="s">
        <v>200</v>
      </c>
      <c r="E122" s="18">
        <v>2500000</v>
      </c>
      <c r="F122" s="19">
        <v>2538.44</v>
      </c>
      <c r="G122" s="20">
        <v>2.0999999999999999E-3</v>
      </c>
      <c r="H122" s="21">
        <v>3.7245E-2</v>
      </c>
      <c r="I122" s="37"/>
      <c r="J122" s="2"/>
    </row>
    <row r="123" spans="1:10" ht="12.95" customHeight="1">
      <c r="A123" s="16" t="s">
        <v>3483</v>
      </c>
      <c r="B123" s="17" t="s">
        <v>3484</v>
      </c>
      <c r="C123" s="13" t="s">
        <v>3485</v>
      </c>
      <c r="D123" s="13" t="s">
        <v>132</v>
      </c>
      <c r="E123" s="18">
        <v>250</v>
      </c>
      <c r="F123" s="19">
        <v>2538.21</v>
      </c>
      <c r="G123" s="20">
        <v>2.0999999999999999E-3</v>
      </c>
      <c r="H123" s="21">
        <v>4.2049999999999997E-2</v>
      </c>
      <c r="I123" s="37"/>
      <c r="J123" s="2"/>
    </row>
    <row r="124" spans="1:10" ht="12.95" customHeight="1">
      <c r="A124" s="16" t="s">
        <v>3486</v>
      </c>
      <c r="B124" s="17" t="s">
        <v>3487</v>
      </c>
      <c r="C124" s="13" t="s">
        <v>3488</v>
      </c>
      <c r="D124" s="13" t="s">
        <v>132</v>
      </c>
      <c r="E124" s="18">
        <v>250</v>
      </c>
      <c r="F124" s="19">
        <v>2536.09</v>
      </c>
      <c r="G124" s="20">
        <v>2.0999999999999999E-3</v>
      </c>
      <c r="H124" s="21">
        <v>4.2500000000000003E-2</v>
      </c>
      <c r="I124" s="37"/>
      <c r="J124" s="2"/>
    </row>
    <row r="125" spans="1:10" ht="12.95" customHeight="1">
      <c r="A125" s="16" t="s">
        <v>302</v>
      </c>
      <c r="B125" s="17" t="s">
        <v>303</v>
      </c>
      <c r="C125" s="13" t="s">
        <v>304</v>
      </c>
      <c r="D125" s="13" t="s">
        <v>132</v>
      </c>
      <c r="E125" s="18">
        <v>250</v>
      </c>
      <c r="F125" s="19">
        <v>2529.38</v>
      </c>
      <c r="G125" s="20">
        <v>2.0999999999999999E-3</v>
      </c>
      <c r="H125" s="21">
        <v>4.795E-2</v>
      </c>
      <c r="I125" s="37"/>
      <c r="J125" s="2"/>
    </row>
    <row r="126" spans="1:10" ht="12.95" customHeight="1">
      <c r="A126" s="16" t="s">
        <v>1178</v>
      </c>
      <c r="B126" s="17" t="s">
        <v>1179</v>
      </c>
      <c r="C126" s="13" t="s">
        <v>1180</v>
      </c>
      <c r="D126" s="13" t="s">
        <v>132</v>
      </c>
      <c r="E126" s="18">
        <v>250</v>
      </c>
      <c r="F126" s="19">
        <v>2519.58</v>
      </c>
      <c r="G126" s="20">
        <v>2E-3</v>
      </c>
      <c r="H126" s="21">
        <v>4.7E-2</v>
      </c>
      <c r="I126" s="37"/>
      <c r="J126" s="2"/>
    </row>
    <row r="127" spans="1:10" ht="12.95" customHeight="1">
      <c r="A127" s="16" t="s">
        <v>2012</v>
      </c>
      <c r="B127" s="17" t="s">
        <v>2013</v>
      </c>
      <c r="C127" s="13" t="s">
        <v>2014</v>
      </c>
      <c r="D127" s="13" t="s">
        <v>132</v>
      </c>
      <c r="E127" s="18">
        <v>250</v>
      </c>
      <c r="F127" s="19">
        <v>2519.0300000000002</v>
      </c>
      <c r="G127" s="20">
        <v>2E-3</v>
      </c>
      <c r="H127" s="21">
        <v>4.0100999999999998E-2</v>
      </c>
      <c r="I127" s="37"/>
      <c r="J127" s="2"/>
    </row>
    <row r="128" spans="1:10" ht="12.95" customHeight="1">
      <c r="A128" s="16" t="s">
        <v>1142</v>
      </c>
      <c r="B128" s="17" t="s">
        <v>1143</v>
      </c>
      <c r="C128" s="13" t="s">
        <v>1144</v>
      </c>
      <c r="D128" s="13" t="s">
        <v>132</v>
      </c>
      <c r="E128" s="18">
        <v>250</v>
      </c>
      <c r="F128" s="19">
        <v>2519.02</v>
      </c>
      <c r="G128" s="20">
        <v>2E-3</v>
      </c>
      <c r="H128" s="21">
        <v>6.8207000000000004E-2</v>
      </c>
      <c r="I128" s="37"/>
      <c r="J128" s="2"/>
    </row>
    <row r="129" spans="1:10" ht="12.95" customHeight="1">
      <c r="A129" s="16" t="s">
        <v>3489</v>
      </c>
      <c r="B129" s="17" t="s">
        <v>3490</v>
      </c>
      <c r="C129" s="13" t="s">
        <v>3491</v>
      </c>
      <c r="D129" s="13" t="s">
        <v>132</v>
      </c>
      <c r="E129" s="18">
        <v>250</v>
      </c>
      <c r="F129" s="19">
        <v>2511.6</v>
      </c>
      <c r="G129" s="20">
        <v>2E-3</v>
      </c>
      <c r="H129" s="21">
        <v>3.6201999999999998E-2</v>
      </c>
      <c r="I129" s="37"/>
      <c r="J129" s="2"/>
    </row>
    <row r="130" spans="1:10" ht="12.95" customHeight="1">
      <c r="A130" s="16" t="s">
        <v>2577</v>
      </c>
      <c r="B130" s="17" t="s">
        <v>2578</v>
      </c>
      <c r="C130" s="13" t="s">
        <v>2579</v>
      </c>
      <c r="D130" s="13" t="s">
        <v>132</v>
      </c>
      <c r="E130" s="18">
        <v>250</v>
      </c>
      <c r="F130" s="19">
        <v>2510.59</v>
      </c>
      <c r="G130" s="20">
        <v>2E-3</v>
      </c>
      <c r="H130" s="21">
        <v>5.7750000000000003E-2</v>
      </c>
      <c r="I130" s="37"/>
      <c r="J130" s="2"/>
    </row>
    <row r="131" spans="1:10" ht="12.95" customHeight="1">
      <c r="A131" s="16" t="s">
        <v>3492</v>
      </c>
      <c r="B131" s="17" t="s">
        <v>3493</v>
      </c>
      <c r="C131" s="13" t="s">
        <v>3494</v>
      </c>
      <c r="D131" s="13" t="s">
        <v>148</v>
      </c>
      <c r="E131" s="18">
        <v>250</v>
      </c>
      <c r="F131" s="19">
        <v>2508.4299999999998</v>
      </c>
      <c r="G131" s="20">
        <v>2E-3</v>
      </c>
      <c r="H131" s="21">
        <v>5.0200000000000002E-2</v>
      </c>
      <c r="I131" s="37"/>
      <c r="J131" s="2"/>
    </row>
    <row r="132" spans="1:10" ht="12.95" customHeight="1">
      <c r="A132" s="16" t="s">
        <v>2340</v>
      </c>
      <c r="B132" s="17" t="s">
        <v>2341</v>
      </c>
      <c r="C132" s="13" t="s">
        <v>2342</v>
      </c>
      <c r="D132" s="13" t="s">
        <v>200</v>
      </c>
      <c r="E132" s="18">
        <v>2500000</v>
      </c>
      <c r="F132" s="19">
        <v>2495.5700000000002</v>
      </c>
      <c r="G132" s="20">
        <v>2E-3</v>
      </c>
      <c r="H132" s="21"/>
      <c r="I132" s="37"/>
      <c r="J132" s="2"/>
    </row>
    <row r="133" spans="1:10" ht="12.95" customHeight="1">
      <c r="A133" s="16" t="s">
        <v>1154</v>
      </c>
      <c r="B133" s="17" t="s">
        <v>1155</v>
      </c>
      <c r="C133" s="13" t="s">
        <v>1156</v>
      </c>
      <c r="D133" s="13" t="s">
        <v>132</v>
      </c>
      <c r="E133" s="18">
        <v>250</v>
      </c>
      <c r="F133" s="19">
        <v>2494.27</v>
      </c>
      <c r="G133" s="20">
        <v>2E-3</v>
      </c>
      <c r="H133" s="21">
        <v>6.8150000000000002E-2</v>
      </c>
      <c r="I133" s="37"/>
      <c r="J133" s="2"/>
    </row>
    <row r="134" spans="1:10" ht="12.95" customHeight="1">
      <c r="A134" s="16" t="s">
        <v>3495</v>
      </c>
      <c r="B134" s="17" t="s">
        <v>3496</v>
      </c>
      <c r="C134" s="13" t="s">
        <v>3497</v>
      </c>
      <c r="D134" s="13" t="s">
        <v>1069</v>
      </c>
      <c r="E134" s="18">
        <v>250</v>
      </c>
      <c r="F134" s="19">
        <v>2477.61</v>
      </c>
      <c r="G134" s="20">
        <v>2E-3</v>
      </c>
      <c r="H134" s="21">
        <v>7.2695999999999997E-2</v>
      </c>
      <c r="I134" s="37"/>
      <c r="J134" s="2"/>
    </row>
    <row r="135" spans="1:10" ht="12.95" customHeight="1">
      <c r="A135" s="16" t="s">
        <v>3498</v>
      </c>
      <c r="B135" s="17" t="s">
        <v>3499</v>
      </c>
      <c r="C135" s="13" t="s">
        <v>3500</v>
      </c>
      <c r="D135" s="13" t="s">
        <v>200</v>
      </c>
      <c r="E135" s="18">
        <v>2516000</v>
      </c>
      <c r="F135" s="19">
        <v>2394.44</v>
      </c>
      <c r="G135" s="20">
        <v>1.9E-3</v>
      </c>
      <c r="H135" s="21">
        <v>4.1503999999999999E-2</v>
      </c>
      <c r="I135" s="37"/>
      <c r="J135" s="2"/>
    </row>
    <row r="136" spans="1:10" ht="12.95" customHeight="1">
      <c r="A136" s="16" t="s">
        <v>3501</v>
      </c>
      <c r="B136" s="17" t="s">
        <v>3502</v>
      </c>
      <c r="C136" s="13" t="s">
        <v>3503</v>
      </c>
      <c r="D136" s="13" t="s">
        <v>132</v>
      </c>
      <c r="E136" s="18">
        <v>225</v>
      </c>
      <c r="F136" s="19">
        <v>2294.73</v>
      </c>
      <c r="G136" s="20">
        <v>1.9E-3</v>
      </c>
      <c r="H136" s="21">
        <v>5.7349999999999998E-2</v>
      </c>
      <c r="I136" s="37"/>
      <c r="J136" s="2"/>
    </row>
    <row r="137" spans="1:10" ht="12.95" customHeight="1">
      <c r="A137" s="16" t="s">
        <v>3504</v>
      </c>
      <c r="B137" s="17" t="s">
        <v>3505</v>
      </c>
      <c r="C137" s="13" t="s">
        <v>3506</v>
      </c>
      <c r="D137" s="13" t="s">
        <v>132</v>
      </c>
      <c r="E137" s="18">
        <v>250</v>
      </c>
      <c r="F137" s="19">
        <v>2251.5700000000002</v>
      </c>
      <c r="G137" s="20">
        <v>1.8E-3</v>
      </c>
      <c r="H137" s="21">
        <v>5.2400000000000002E-2</v>
      </c>
      <c r="I137" s="37"/>
      <c r="J137" s="2"/>
    </row>
    <row r="138" spans="1:10" ht="12.95" customHeight="1">
      <c r="A138" s="16" t="s">
        <v>3507</v>
      </c>
      <c r="B138" s="17" t="s">
        <v>3508</v>
      </c>
      <c r="C138" s="13" t="s">
        <v>3509</v>
      </c>
      <c r="D138" s="13" t="s">
        <v>132</v>
      </c>
      <c r="E138" s="18">
        <v>225</v>
      </c>
      <c r="F138" s="19">
        <v>2249.17</v>
      </c>
      <c r="G138" s="20">
        <v>1.8E-3</v>
      </c>
      <c r="H138" s="21">
        <v>6.3500000000000001E-2</v>
      </c>
      <c r="I138" s="37"/>
      <c r="J138" s="2"/>
    </row>
    <row r="139" spans="1:10" ht="12.95" customHeight="1">
      <c r="A139" s="16" t="s">
        <v>1268</v>
      </c>
      <c r="B139" s="17" t="s">
        <v>1269</v>
      </c>
      <c r="C139" s="13" t="s">
        <v>1270</v>
      </c>
      <c r="D139" s="13" t="s">
        <v>132</v>
      </c>
      <c r="E139" s="18">
        <v>200</v>
      </c>
      <c r="F139" s="19">
        <v>2207.5100000000002</v>
      </c>
      <c r="G139" s="20">
        <v>1.8E-3</v>
      </c>
      <c r="H139" s="21">
        <v>6.6309999999999994E-2</v>
      </c>
      <c r="I139" s="37"/>
      <c r="J139" s="2"/>
    </row>
    <row r="140" spans="1:10" ht="12.95" customHeight="1">
      <c r="A140" s="16" t="s">
        <v>3510</v>
      </c>
      <c r="B140" s="17" t="s">
        <v>3511</v>
      </c>
      <c r="C140" s="13" t="s">
        <v>3512</v>
      </c>
      <c r="D140" s="13" t="s">
        <v>200</v>
      </c>
      <c r="E140" s="18">
        <v>2000000</v>
      </c>
      <c r="F140" s="19">
        <v>2200.37</v>
      </c>
      <c r="G140" s="20">
        <v>1.8E-3</v>
      </c>
      <c r="H140" s="21">
        <v>6.4074000000000006E-2</v>
      </c>
      <c r="I140" s="37"/>
      <c r="J140" s="2"/>
    </row>
    <row r="141" spans="1:10" ht="12.95" customHeight="1">
      <c r="A141" s="16" t="s">
        <v>3513</v>
      </c>
      <c r="B141" s="17" t="s">
        <v>3514</v>
      </c>
      <c r="C141" s="13" t="s">
        <v>3515</v>
      </c>
      <c r="D141" s="13" t="s">
        <v>200</v>
      </c>
      <c r="E141" s="18">
        <v>2000000</v>
      </c>
      <c r="F141" s="19">
        <v>2175.2600000000002</v>
      </c>
      <c r="G141" s="20">
        <v>1.8E-3</v>
      </c>
      <c r="H141" s="21">
        <v>6.4742999999999995E-2</v>
      </c>
      <c r="I141" s="37"/>
      <c r="J141" s="2"/>
    </row>
    <row r="142" spans="1:10" ht="12.95" customHeight="1">
      <c r="A142" s="16" t="s">
        <v>2328</v>
      </c>
      <c r="B142" s="17" t="s">
        <v>2329</v>
      </c>
      <c r="C142" s="13" t="s">
        <v>2330</v>
      </c>
      <c r="D142" s="13" t="s">
        <v>200</v>
      </c>
      <c r="E142" s="18">
        <v>2011400</v>
      </c>
      <c r="F142" s="19">
        <v>2099.0100000000002</v>
      </c>
      <c r="G142" s="20">
        <v>1.6999999999999999E-3</v>
      </c>
      <c r="H142" s="21">
        <v>4.4144999999999997E-2</v>
      </c>
      <c r="I142" s="37"/>
      <c r="J142" s="2"/>
    </row>
    <row r="143" spans="1:10" ht="12.95" customHeight="1">
      <c r="A143" s="16" t="s">
        <v>1259</v>
      </c>
      <c r="B143" s="17" t="s">
        <v>1260</v>
      </c>
      <c r="C143" s="13" t="s">
        <v>1261</v>
      </c>
      <c r="D143" s="13" t="s">
        <v>200</v>
      </c>
      <c r="E143" s="18">
        <v>2078900</v>
      </c>
      <c r="F143" s="19">
        <v>2078.63</v>
      </c>
      <c r="G143" s="20">
        <v>1.6999999999999999E-3</v>
      </c>
      <c r="H143" s="21">
        <v>6.2324999999999998E-2</v>
      </c>
      <c r="I143" s="37"/>
      <c r="J143" s="2"/>
    </row>
    <row r="144" spans="1:10" ht="12.95" customHeight="1">
      <c r="A144" s="16" t="s">
        <v>3516</v>
      </c>
      <c r="B144" s="17" t="s">
        <v>3517</v>
      </c>
      <c r="C144" s="13" t="s">
        <v>3518</v>
      </c>
      <c r="D144" s="13" t="s">
        <v>200</v>
      </c>
      <c r="E144" s="18">
        <v>2516000</v>
      </c>
      <c r="F144" s="19">
        <v>2065.62</v>
      </c>
      <c r="G144" s="20">
        <v>1.6999999999999999E-3</v>
      </c>
      <c r="H144" s="21">
        <v>5.4670000000000003E-2</v>
      </c>
      <c r="I144" s="37"/>
      <c r="J144" s="2"/>
    </row>
    <row r="145" spans="1:10" ht="12.95" customHeight="1">
      <c r="A145" s="16" t="s">
        <v>3519</v>
      </c>
      <c r="B145" s="17" t="s">
        <v>3520</v>
      </c>
      <c r="C145" s="13" t="s">
        <v>3521</v>
      </c>
      <c r="D145" s="13" t="s">
        <v>132</v>
      </c>
      <c r="E145" s="18">
        <v>200</v>
      </c>
      <c r="F145" s="19">
        <v>2057.88</v>
      </c>
      <c r="G145" s="20">
        <v>1.6999999999999999E-3</v>
      </c>
      <c r="H145" s="21">
        <v>4.5999999999999999E-2</v>
      </c>
      <c r="I145" s="37"/>
      <c r="J145" s="2"/>
    </row>
    <row r="146" spans="1:10" ht="12.95" customHeight="1">
      <c r="A146" s="16" t="s">
        <v>3522</v>
      </c>
      <c r="B146" s="17" t="s">
        <v>3523</v>
      </c>
      <c r="C146" s="13" t="s">
        <v>3524</v>
      </c>
      <c r="D146" s="13" t="s">
        <v>132</v>
      </c>
      <c r="E146" s="18">
        <v>200</v>
      </c>
      <c r="F146" s="19">
        <v>2036.97</v>
      </c>
      <c r="G146" s="20">
        <v>1.6999999999999999E-3</v>
      </c>
      <c r="H146" s="21">
        <v>4.2500000000000003E-2</v>
      </c>
      <c r="I146" s="37"/>
      <c r="J146" s="2"/>
    </row>
    <row r="147" spans="1:10" ht="12.95" customHeight="1">
      <c r="A147" s="16" t="s">
        <v>1283</v>
      </c>
      <c r="B147" s="17" t="s">
        <v>1284</v>
      </c>
      <c r="C147" s="13" t="s">
        <v>1285</v>
      </c>
      <c r="D147" s="13" t="s">
        <v>132</v>
      </c>
      <c r="E147" s="18">
        <v>200</v>
      </c>
      <c r="F147" s="19">
        <v>1998.17</v>
      </c>
      <c r="G147" s="20">
        <v>1.6000000000000001E-3</v>
      </c>
      <c r="H147" s="21">
        <v>5.8644000000000002E-2</v>
      </c>
      <c r="I147" s="37"/>
      <c r="J147" s="2"/>
    </row>
    <row r="148" spans="1:10" ht="12.95" customHeight="1">
      <c r="A148" s="16" t="s">
        <v>1477</v>
      </c>
      <c r="B148" s="17" t="s">
        <v>1478</v>
      </c>
      <c r="C148" s="13" t="s">
        <v>1479</v>
      </c>
      <c r="D148" s="13" t="s">
        <v>132</v>
      </c>
      <c r="E148" s="18">
        <v>150</v>
      </c>
      <c r="F148" s="19">
        <v>1671.92</v>
      </c>
      <c r="G148" s="20">
        <v>1.4E-3</v>
      </c>
      <c r="H148" s="21">
        <v>6.8099000000000007E-2</v>
      </c>
      <c r="I148" s="37"/>
      <c r="J148" s="2"/>
    </row>
    <row r="149" spans="1:10" ht="12.95" customHeight="1">
      <c r="A149" s="16" t="s">
        <v>3525</v>
      </c>
      <c r="B149" s="17" t="s">
        <v>3526</v>
      </c>
      <c r="C149" s="13" t="s">
        <v>3527</v>
      </c>
      <c r="D149" s="13" t="s">
        <v>200</v>
      </c>
      <c r="E149" s="18">
        <v>1500000</v>
      </c>
      <c r="F149" s="19">
        <v>1629.63</v>
      </c>
      <c r="G149" s="20">
        <v>1.2999999999999999E-3</v>
      </c>
      <c r="H149" s="21">
        <v>5.9157000000000001E-2</v>
      </c>
      <c r="I149" s="37"/>
      <c r="J149" s="2"/>
    </row>
    <row r="150" spans="1:10" ht="12.95" customHeight="1">
      <c r="A150" s="16" t="s">
        <v>3528</v>
      </c>
      <c r="B150" s="17" t="s">
        <v>3529</v>
      </c>
      <c r="C150" s="13" t="s">
        <v>3530</v>
      </c>
      <c r="D150" s="13" t="s">
        <v>200</v>
      </c>
      <c r="E150" s="18">
        <v>1500000</v>
      </c>
      <c r="F150" s="19">
        <v>1628.24</v>
      </c>
      <c r="G150" s="20">
        <v>1.2999999999999999E-3</v>
      </c>
      <c r="H150" s="21">
        <v>5.5739999999999998E-2</v>
      </c>
      <c r="I150" s="37"/>
      <c r="J150" s="2"/>
    </row>
    <row r="151" spans="1:10" ht="12.95" customHeight="1">
      <c r="A151" s="16" t="s">
        <v>3531</v>
      </c>
      <c r="B151" s="17" t="s">
        <v>3532</v>
      </c>
      <c r="C151" s="13" t="s">
        <v>3533</v>
      </c>
      <c r="D151" s="13" t="s">
        <v>132</v>
      </c>
      <c r="E151" s="18">
        <v>150</v>
      </c>
      <c r="F151" s="19">
        <v>1575.52</v>
      </c>
      <c r="G151" s="20">
        <v>1.2999999999999999E-3</v>
      </c>
      <c r="H151" s="21">
        <v>4.8299000000000002E-2</v>
      </c>
      <c r="I151" s="37"/>
      <c r="J151" s="2"/>
    </row>
    <row r="152" spans="1:10" ht="12.95" customHeight="1">
      <c r="A152" s="16" t="s">
        <v>3534</v>
      </c>
      <c r="B152" s="17" t="s">
        <v>3535</v>
      </c>
      <c r="C152" s="13" t="s">
        <v>3536</v>
      </c>
      <c r="D152" s="13" t="s">
        <v>200</v>
      </c>
      <c r="E152" s="18">
        <v>1554300</v>
      </c>
      <c r="F152" s="19">
        <v>1574.13</v>
      </c>
      <c r="G152" s="20">
        <v>1.2999999999999999E-3</v>
      </c>
      <c r="H152" s="21">
        <v>5.9249999999999997E-2</v>
      </c>
      <c r="I152" s="37"/>
      <c r="J152" s="2"/>
    </row>
    <row r="153" spans="1:10" ht="12.95" customHeight="1">
      <c r="A153" s="16" t="s">
        <v>3537</v>
      </c>
      <c r="B153" s="17" t="s">
        <v>3538</v>
      </c>
      <c r="C153" s="13" t="s">
        <v>3539</v>
      </c>
      <c r="D153" s="13" t="s">
        <v>132</v>
      </c>
      <c r="E153" s="18">
        <v>150</v>
      </c>
      <c r="F153" s="19">
        <v>1554.71</v>
      </c>
      <c r="G153" s="20">
        <v>1.2999999999999999E-3</v>
      </c>
      <c r="H153" s="21">
        <v>4.5850000000000002E-2</v>
      </c>
      <c r="I153" s="37"/>
      <c r="J153" s="2"/>
    </row>
    <row r="154" spans="1:10" ht="12.95" customHeight="1">
      <c r="A154" s="16" t="s">
        <v>3540</v>
      </c>
      <c r="B154" s="17" t="s">
        <v>3541</v>
      </c>
      <c r="C154" s="13" t="s">
        <v>3542</v>
      </c>
      <c r="D154" s="13" t="s">
        <v>132</v>
      </c>
      <c r="E154" s="18">
        <v>150</v>
      </c>
      <c r="F154" s="19">
        <v>1544.12</v>
      </c>
      <c r="G154" s="20">
        <v>1.2999999999999999E-3</v>
      </c>
      <c r="H154" s="21">
        <v>4.3700000000000003E-2</v>
      </c>
      <c r="I154" s="37"/>
      <c r="J154" s="2"/>
    </row>
    <row r="155" spans="1:10" ht="12.95" customHeight="1">
      <c r="A155" s="16" t="s">
        <v>517</v>
      </c>
      <c r="B155" s="17" t="s">
        <v>518</v>
      </c>
      <c r="C155" s="13" t="s">
        <v>519</v>
      </c>
      <c r="D155" s="13" t="s">
        <v>132</v>
      </c>
      <c r="E155" s="18">
        <v>150</v>
      </c>
      <c r="F155" s="19">
        <v>1543.87</v>
      </c>
      <c r="G155" s="20">
        <v>1.2999999999999999E-3</v>
      </c>
      <c r="H155" s="21">
        <v>4.4499999999999998E-2</v>
      </c>
      <c r="I155" s="37"/>
      <c r="J155" s="2"/>
    </row>
    <row r="156" spans="1:10" ht="12.95" customHeight="1">
      <c r="A156" s="16" t="s">
        <v>377</v>
      </c>
      <c r="B156" s="17" t="s">
        <v>378</v>
      </c>
      <c r="C156" s="13" t="s">
        <v>379</v>
      </c>
      <c r="D156" s="13" t="s">
        <v>171</v>
      </c>
      <c r="E156" s="18">
        <v>150</v>
      </c>
      <c r="F156" s="19">
        <v>1543.3</v>
      </c>
      <c r="G156" s="20">
        <v>1.2999999999999999E-3</v>
      </c>
      <c r="H156" s="21">
        <v>4.7050000000000002E-2</v>
      </c>
      <c r="I156" s="37"/>
      <c r="J156" s="2"/>
    </row>
    <row r="157" spans="1:10" ht="12.95" customHeight="1">
      <c r="A157" s="16" t="s">
        <v>1367</v>
      </c>
      <c r="B157" s="17" t="s">
        <v>1368</v>
      </c>
      <c r="C157" s="13" t="s">
        <v>1369</v>
      </c>
      <c r="D157" s="13" t="s">
        <v>132</v>
      </c>
      <c r="E157" s="18">
        <v>140</v>
      </c>
      <c r="F157" s="19">
        <v>1539.47</v>
      </c>
      <c r="G157" s="20">
        <v>1.1999999999999999E-3</v>
      </c>
      <c r="H157" s="21">
        <v>6.6402000000000003E-2</v>
      </c>
      <c r="I157" s="37"/>
      <c r="J157" s="2"/>
    </row>
    <row r="158" spans="1:10" ht="12.95" customHeight="1">
      <c r="A158" s="16" t="s">
        <v>1528</v>
      </c>
      <c r="B158" s="17" t="s">
        <v>1529</v>
      </c>
      <c r="C158" s="13" t="s">
        <v>1530</v>
      </c>
      <c r="D158" s="13" t="s">
        <v>132</v>
      </c>
      <c r="E158" s="18">
        <v>135</v>
      </c>
      <c r="F158" s="19">
        <v>1501.21</v>
      </c>
      <c r="G158" s="20">
        <v>1.1999999999999999E-3</v>
      </c>
      <c r="H158" s="21">
        <v>6.6794000000000006E-2</v>
      </c>
      <c r="I158" s="37"/>
      <c r="J158" s="2"/>
    </row>
    <row r="159" spans="1:10" ht="12.95" customHeight="1">
      <c r="A159" s="16" t="s">
        <v>2711</v>
      </c>
      <c r="B159" s="17" t="s">
        <v>2712</v>
      </c>
      <c r="C159" s="13" t="s">
        <v>2713</v>
      </c>
      <c r="D159" s="13" t="s">
        <v>171</v>
      </c>
      <c r="E159" s="18">
        <v>150</v>
      </c>
      <c r="F159" s="19">
        <v>1496.03</v>
      </c>
      <c r="G159" s="20">
        <v>1.1999999999999999E-3</v>
      </c>
      <c r="H159" s="21">
        <v>4.7E-2</v>
      </c>
      <c r="I159" s="37"/>
      <c r="J159" s="2"/>
    </row>
    <row r="160" spans="1:10" ht="12.95" customHeight="1">
      <c r="A160" s="16" t="s">
        <v>3543</v>
      </c>
      <c r="B160" s="17" t="s">
        <v>3544</v>
      </c>
      <c r="C160" s="13" t="s">
        <v>3545</v>
      </c>
      <c r="D160" s="13" t="s">
        <v>148</v>
      </c>
      <c r="E160" s="18">
        <v>130</v>
      </c>
      <c r="F160" s="19">
        <v>1316.26</v>
      </c>
      <c r="G160" s="20">
        <v>1.1000000000000001E-3</v>
      </c>
      <c r="H160" s="21">
        <v>3.9550000000000002E-2</v>
      </c>
      <c r="I160" s="37"/>
      <c r="J160" s="2"/>
    </row>
    <row r="161" spans="1:10" ht="12.95" customHeight="1">
      <c r="A161" s="16" t="s">
        <v>3546</v>
      </c>
      <c r="B161" s="17" t="s">
        <v>3547</v>
      </c>
      <c r="C161" s="13" t="s">
        <v>3548</v>
      </c>
      <c r="D161" s="13" t="s">
        <v>200</v>
      </c>
      <c r="E161" s="18">
        <v>1000000</v>
      </c>
      <c r="F161" s="19">
        <v>1144.98</v>
      </c>
      <c r="G161" s="20">
        <v>8.9999999999999998E-4</v>
      </c>
      <c r="H161" s="21">
        <v>6.8802000000000002E-2</v>
      </c>
      <c r="I161" s="37"/>
      <c r="J161" s="2"/>
    </row>
    <row r="162" spans="1:10" ht="12.95" customHeight="1">
      <c r="A162" s="16" t="s">
        <v>3549</v>
      </c>
      <c r="B162" s="17" t="s">
        <v>3550</v>
      </c>
      <c r="C162" s="13" t="s">
        <v>3551</v>
      </c>
      <c r="D162" s="13" t="s">
        <v>200</v>
      </c>
      <c r="E162" s="18">
        <v>1000000</v>
      </c>
      <c r="F162" s="19">
        <v>1095.24</v>
      </c>
      <c r="G162" s="20">
        <v>8.9999999999999998E-4</v>
      </c>
      <c r="H162" s="21">
        <v>5.8507000000000003E-2</v>
      </c>
      <c r="I162" s="37"/>
      <c r="J162" s="2"/>
    </row>
    <row r="163" spans="1:10" ht="12.95" customHeight="1">
      <c r="A163" s="16" t="s">
        <v>3552</v>
      </c>
      <c r="B163" s="17" t="s">
        <v>3454</v>
      </c>
      <c r="C163" s="13" t="s">
        <v>3553</v>
      </c>
      <c r="D163" s="13" t="s">
        <v>200</v>
      </c>
      <c r="E163" s="18">
        <v>1000000</v>
      </c>
      <c r="F163" s="19">
        <v>1090.76</v>
      </c>
      <c r="G163" s="20">
        <v>8.9999999999999998E-4</v>
      </c>
      <c r="H163" s="21">
        <v>5.8403999999999998E-2</v>
      </c>
      <c r="I163" s="37"/>
      <c r="J163" s="2"/>
    </row>
    <row r="164" spans="1:10" ht="12.95" customHeight="1">
      <c r="A164" s="16" t="s">
        <v>2751</v>
      </c>
      <c r="B164" s="17" t="s">
        <v>2752</v>
      </c>
      <c r="C164" s="13" t="s">
        <v>2753</v>
      </c>
      <c r="D164" s="13" t="s">
        <v>200</v>
      </c>
      <c r="E164" s="18">
        <v>1078000</v>
      </c>
      <c r="F164" s="19">
        <v>1083.78</v>
      </c>
      <c r="G164" s="20">
        <v>8.9999999999999998E-4</v>
      </c>
      <c r="H164" s="21">
        <v>3.3894000000000001E-2</v>
      </c>
      <c r="I164" s="37"/>
      <c r="J164" s="2"/>
    </row>
    <row r="165" spans="1:10" ht="12.95" customHeight="1">
      <c r="A165" s="16" t="s">
        <v>1247</v>
      </c>
      <c r="B165" s="17" t="s">
        <v>1248</v>
      </c>
      <c r="C165" s="13" t="s">
        <v>1249</v>
      </c>
      <c r="D165" s="13" t="s">
        <v>132</v>
      </c>
      <c r="E165" s="18">
        <v>100</v>
      </c>
      <c r="F165" s="19">
        <v>1057.2</v>
      </c>
      <c r="G165" s="20">
        <v>8.9999999999999998E-4</v>
      </c>
      <c r="H165" s="21">
        <v>4.8300000000000003E-2</v>
      </c>
      <c r="I165" s="37"/>
      <c r="J165" s="2"/>
    </row>
    <row r="166" spans="1:10" ht="12.95" customHeight="1">
      <c r="A166" s="16" t="s">
        <v>523</v>
      </c>
      <c r="B166" s="17" t="s">
        <v>524</v>
      </c>
      <c r="C166" s="13" t="s">
        <v>525</v>
      </c>
      <c r="D166" s="13" t="s">
        <v>132</v>
      </c>
      <c r="E166" s="18">
        <v>100</v>
      </c>
      <c r="F166" s="19">
        <v>1046.42</v>
      </c>
      <c r="G166" s="20">
        <v>8.0000000000000004E-4</v>
      </c>
      <c r="H166" s="21">
        <v>5.2699999999999997E-2</v>
      </c>
      <c r="I166" s="37"/>
      <c r="J166" s="2"/>
    </row>
    <row r="167" spans="1:10" ht="12.95" customHeight="1">
      <c r="A167" s="16" t="s">
        <v>526</v>
      </c>
      <c r="B167" s="17" t="s">
        <v>527</v>
      </c>
      <c r="C167" s="13" t="s">
        <v>528</v>
      </c>
      <c r="D167" s="13" t="s">
        <v>132</v>
      </c>
      <c r="E167" s="18">
        <v>100</v>
      </c>
      <c r="F167" s="19">
        <v>1036.9100000000001</v>
      </c>
      <c r="G167" s="20">
        <v>8.0000000000000004E-4</v>
      </c>
      <c r="H167" s="21">
        <v>4.7149999999999997E-2</v>
      </c>
      <c r="I167" s="37"/>
      <c r="J167" s="2"/>
    </row>
    <row r="168" spans="1:10" ht="12.95" customHeight="1">
      <c r="A168" s="16" t="s">
        <v>251</v>
      </c>
      <c r="B168" s="17" t="s">
        <v>252</v>
      </c>
      <c r="C168" s="13" t="s">
        <v>253</v>
      </c>
      <c r="D168" s="13" t="s">
        <v>132</v>
      </c>
      <c r="E168" s="18">
        <v>100</v>
      </c>
      <c r="F168" s="19">
        <v>1021.7</v>
      </c>
      <c r="G168" s="20">
        <v>8.0000000000000004E-4</v>
      </c>
      <c r="H168" s="21">
        <v>4.0099999999999997E-2</v>
      </c>
      <c r="I168" s="37"/>
      <c r="J168" s="2"/>
    </row>
    <row r="169" spans="1:10" ht="12.95" customHeight="1">
      <c r="A169" s="16" t="s">
        <v>142</v>
      </c>
      <c r="B169" s="17" t="s">
        <v>143</v>
      </c>
      <c r="C169" s="13" t="s">
        <v>144</v>
      </c>
      <c r="D169" s="13" t="s">
        <v>132</v>
      </c>
      <c r="E169" s="18">
        <v>100</v>
      </c>
      <c r="F169" s="19">
        <v>1015.48</v>
      </c>
      <c r="G169" s="20">
        <v>8.0000000000000004E-4</v>
      </c>
      <c r="H169" s="21">
        <v>3.6999999999999998E-2</v>
      </c>
      <c r="I169" s="37"/>
      <c r="J169" s="2"/>
    </row>
    <row r="170" spans="1:10" ht="12.95" customHeight="1">
      <c r="A170" s="16" t="s">
        <v>3554</v>
      </c>
      <c r="B170" s="17" t="s">
        <v>3555</v>
      </c>
      <c r="C170" s="13" t="s">
        <v>3556</v>
      </c>
      <c r="D170" s="13" t="s">
        <v>200</v>
      </c>
      <c r="E170" s="18">
        <v>1000000</v>
      </c>
      <c r="F170" s="19">
        <v>1015.3</v>
      </c>
      <c r="G170" s="20">
        <v>8.0000000000000004E-4</v>
      </c>
      <c r="H170" s="21">
        <v>3.6999999999999998E-2</v>
      </c>
      <c r="I170" s="37"/>
      <c r="J170" s="2"/>
    </row>
    <row r="171" spans="1:10" ht="12.95" customHeight="1">
      <c r="A171" s="16" t="s">
        <v>3557</v>
      </c>
      <c r="B171" s="17" t="s">
        <v>3558</v>
      </c>
      <c r="C171" s="13" t="s">
        <v>3559</v>
      </c>
      <c r="D171" s="13" t="s">
        <v>200</v>
      </c>
      <c r="E171" s="18">
        <v>1000000</v>
      </c>
      <c r="F171" s="19">
        <v>1013.06</v>
      </c>
      <c r="G171" s="20">
        <v>8.0000000000000004E-4</v>
      </c>
      <c r="H171" s="21">
        <v>6.2403E-2</v>
      </c>
      <c r="I171" s="37"/>
      <c r="J171" s="2"/>
    </row>
    <row r="172" spans="1:10" ht="12.95" customHeight="1">
      <c r="A172" s="16" t="s">
        <v>3560</v>
      </c>
      <c r="B172" s="17" t="s">
        <v>3561</v>
      </c>
      <c r="C172" s="13" t="s">
        <v>3562</v>
      </c>
      <c r="D172" s="13" t="s">
        <v>200</v>
      </c>
      <c r="E172" s="18">
        <v>1059600</v>
      </c>
      <c r="F172" s="19">
        <v>1008.78</v>
      </c>
      <c r="G172" s="20">
        <v>8.0000000000000004E-4</v>
      </c>
      <c r="H172" s="21">
        <v>4.1475499999999998E-2</v>
      </c>
      <c r="I172" s="37"/>
      <c r="J172" s="2"/>
    </row>
    <row r="173" spans="1:10" ht="12.95" customHeight="1">
      <c r="A173" s="16" t="s">
        <v>2599</v>
      </c>
      <c r="B173" s="17" t="s">
        <v>2600</v>
      </c>
      <c r="C173" s="13" t="s">
        <v>2601</v>
      </c>
      <c r="D173" s="13" t="s">
        <v>2062</v>
      </c>
      <c r="E173" s="18">
        <v>100</v>
      </c>
      <c r="F173" s="19">
        <v>1002.26</v>
      </c>
      <c r="G173" s="20">
        <v>8.0000000000000004E-4</v>
      </c>
      <c r="H173" s="21">
        <v>8.4014000000000005E-2</v>
      </c>
      <c r="I173" s="37">
        <v>8.3587450999999993E-2</v>
      </c>
      <c r="J173" s="2"/>
    </row>
    <row r="174" spans="1:10" ht="12.95" customHeight="1">
      <c r="A174" s="16" t="s">
        <v>2640</v>
      </c>
      <c r="B174" s="17" t="s">
        <v>2641</v>
      </c>
      <c r="C174" s="13" t="s">
        <v>2642</v>
      </c>
      <c r="D174" s="13" t="s">
        <v>2062</v>
      </c>
      <c r="E174" s="18">
        <v>100</v>
      </c>
      <c r="F174" s="19">
        <v>1001.79</v>
      </c>
      <c r="G174" s="20">
        <v>8.0000000000000004E-4</v>
      </c>
      <c r="H174" s="21">
        <v>8.4074999999999997E-2</v>
      </c>
      <c r="I174" s="37">
        <v>8.3698380000000003E-2</v>
      </c>
      <c r="J174" s="2"/>
    </row>
    <row r="175" spans="1:10" ht="12.95" customHeight="1">
      <c r="A175" s="16" t="s">
        <v>2622</v>
      </c>
      <c r="B175" s="17" t="s">
        <v>2623</v>
      </c>
      <c r="C175" s="13" t="s">
        <v>2624</v>
      </c>
      <c r="D175" s="13" t="s">
        <v>132</v>
      </c>
      <c r="E175" s="18">
        <v>100</v>
      </c>
      <c r="F175" s="19">
        <v>990.6</v>
      </c>
      <c r="G175" s="20">
        <v>8.0000000000000004E-4</v>
      </c>
      <c r="H175" s="21">
        <v>6.5600000000000006E-2</v>
      </c>
      <c r="I175" s="37"/>
      <c r="J175" s="2"/>
    </row>
    <row r="176" spans="1:10" ht="12.95" customHeight="1">
      <c r="A176" s="16" t="s">
        <v>2112</v>
      </c>
      <c r="B176" s="17" t="s">
        <v>2113</v>
      </c>
      <c r="C176" s="13" t="s">
        <v>2114</v>
      </c>
      <c r="D176" s="13" t="s">
        <v>200</v>
      </c>
      <c r="E176" s="18">
        <v>1000000</v>
      </c>
      <c r="F176" s="19">
        <v>984.54</v>
      </c>
      <c r="G176" s="20">
        <v>8.0000000000000004E-4</v>
      </c>
      <c r="H176" s="21">
        <v>6.7750000000000005E-2</v>
      </c>
      <c r="I176" s="37"/>
      <c r="J176" s="2"/>
    </row>
    <row r="177" spans="1:10" ht="12.95" customHeight="1">
      <c r="A177" s="16" t="s">
        <v>1250</v>
      </c>
      <c r="B177" s="17" t="s">
        <v>1251</v>
      </c>
      <c r="C177" s="13" t="s">
        <v>1252</v>
      </c>
      <c r="D177" s="13" t="s">
        <v>132</v>
      </c>
      <c r="E177" s="18">
        <v>95</v>
      </c>
      <c r="F177" s="19">
        <v>973.3</v>
      </c>
      <c r="G177" s="20">
        <v>8.0000000000000004E-4</v>
      </c>
      <c r="H177" s="21">
        <v>5.7875000000000003E-2</v>
      </c>
      <c r="I177" s="37"/>
      <c r="J177" s="2"/>
    </row>
    <row r="178" spans="1:10" ht="12.95" customHeight="1">
      <c r="A178" s="16" t="s">
        <v>3563</v>
      </c>
      <c r="B178" s="17" t="s">
        <v>3564</v>
      </c>
      <c r="C178" s="13" t="s">
        <v>3565</v>
      </c>
      <c r="D178" s="13" t="s">
        <v>200</v>
      </c>
      <c r="E178" s="18">
        <v>1015300</v>
      </c>
      <c r="F178" s="19">
        <v>965.28</v>
      </c>
      <c r="G178" s="20">
        <v>8.0000000000000004E-4</v>
      </c>
      <c r="H178" s="21">
        <v>4.1579499999999998E-2</v>
      </c>
      <c r="I178" s="37"/>
      <c r="J178" s="2"/>
    </row>
    <row r="179" spans="1:10" ht="12.95" customHeight="1">
      <c r="A179" s="16" t="s">
        <v>347</v>
      </c>
      <c r="B179" s="17" t="s">
        <v>348</v>
      </c>
      <c r="C179" s="13" t="s">
        <v>349</v>
      </c>
      <c r="D179" s="13" t="s">
        <v>171</v>
      </c>
      <c r="E179" s="18">
        <v>80</v>
      </c>
      <c r="F179" s="19">
        <v>816.84</v>
      </c>
      <c r="G179" s="20">
        <v>6.9999999999999999E-4</v>
      </c>
      <c r="H179" s="21">
        <v>4.0149999999999998E-2</v>
      </c>
      <c r="I179" s="37"/>
      <c r="J179" s="2"/>
    </row>
    <row r="180" spans="1:10" ht="12.95" customHeight="1">
      <c r="A180" s="16" t="s">
        <v>3566</v>
      </c>
      <c r="B180" s="17" t="s">
        <v>3567</v>
      </c>
      <c r="C180" s="13" t="s">
        <v>3568</v>
      </c>
      <c r="D180" s="13" t="s">
        <v>200</v>
      </c>
      <c r="E180" s="18">
        <v>792000</v>
      </c>
      <c r="F180" s="19">
        <v>799.97</v>
      </c>
      <c r="G180" s="20">
        <v>5.9999999999999995E-4</v>
      </c>
      <c r="H180" s="21">
        <v>6.2212999999999997E-2</v>
      </c>
      <c r="I180" s="37"/>
      <c r="J180" s="2"/>
    </row>
    <row r="181" spans="1:10" ht="12.95" customHeight="1">
      <c r="A181" s="16" t="s">
        <v>3569</v>
      </c>
      <c r="B181" s="17" t="s">
        <v>3570</v>
      </c>
      <c r="C181" s="13" t="s">
        <v>3571</v>
      </c>
      <c r="D181" s="13" t="s">
        <v>132</v>
      </c>
      <c r="E181" s="18">
        <v>70</v>
      </c>
      <c r="F181" s="19">
        <v>764.69</v>
      </c>
      <c r="G181" s="20">
        <v>5.9999999999999995E-4</v>
      </c>
      <c r="H181" s="21">
        <v>5.6300000000000003E-2</v>
      </c>
      <c r="I181" s="37"/>
      <c r="J181" s="2"/>
    </row>
    <row r="182" spans="1:10" ht="12.95" customHeight="1">
      <c r="A182" s="16" t="s">
        <v>3572</v>
      </c>
      <c r="B182" s="17" t="s">
        <v>3573</v>
      </c>
      <c r="C182" s="13" t="s">
        <v>3574</v>
      </c>
      <c r="D182" s="13" t="s">
        <v>200</v>
      </c>
      <c r="E182" s="18">
        <v>500000</v>
      </c>
      <c r="F182" s="19">
        <v>593.52</v>
      </c>
      <c r="G182" s="20">
        <v>5.0000000000000001E-4</v>
      </c>
      <c r="H182" s="21">
        <v>6.4298999999999995E-2</v>
      </c>
      <c r="I182" s="37"/>
      <c r="J182" s="2"/>
    </row>
    <row r="183" spans="1:10" ht="12.95" customHeight="1">
      <c r="A183" s="16" t="s">
        <v>3575</v>
      </c>
      <c r="B183" s="17" t="s">
        <v>3576</v>
      </c>
      <c r="C183" s="13" t="s">
        <v>3577</v>
      </c>
      <c r="D183" s="13" t="s">
        <v>132</v>
      </c>
      <c r="E183" s="18">
        <v>59</v>
      </c>
      <c r="F183" s="19">
        <v>588.70000000000005</v>
      </c>
      <c r="G183" s="20">
        <v>5.0000000000000001E-4</v>
      </c>
      <c r="H183" s="21">
        <v>5.5599999999999997E-2</v>
      </c>
      <c r="I183" s="37"/>
      <c r="J183" s="2"/>
    </row>
    <row r="184" spans="1:10" ht="12.95" customHeight="1">
      <c r="A184" s="16" t="s">
        <v>647</v>
      </c>
      <c r="B184" s="17" t="s">
        <v>648</v>
      </c>
      <c r="C184" s="13" t="s">
        <v>649</v>
      </c>
      <c r="D184" s="13" t="s">
        <v>200</v>
      </c>
      <c r="E184" s="18">
        <v>525000</v>
      </c>
      <c r="F184" s="19">
        <v>569.98</v>
      </c>
      <c r="G184" s="20">
        <v>5.0000000000000001E-4</v>
      </c>
      <c r="H184" s="21">
        <v>4.5940000000000002E-2</v>
      </c>
      <c r="I184" s="37"/>
      <c r="J184" s="2"/>
    </row>
    <row r="185" spans="1:10" ht="12.95" customHeight="1">
      <c r="A185" s="16" t="s">
        <v>3578</v>
      </c>
      <c r="B185" s="17" t="s">
        <v>3579</v>
      </c>
      <c r="C185" s="13" t="s">
        <v>3580</v>
      </c>
      <c r="D185" s="13" t="s">
        <v>132</v>
      </c>
      <c r="E185" s="18">
        <v>57</v>
      </c>
      <c r="F185" s="19">
        <v>568.65</v>
      </c>
      <c r="G185" s="20">
        <v>5.0000000000000001E-4</v>
      </c>
      <c r="H185" s="21">
        <v>5.8650000000000001E-2</v>
      </c>
      <c r="I185" s="37"/>
      <c r="J185" s="2"/>
    </row>
    <row r="186" spans="1:10" ht="12.95" customHeight="1">
      <c r="A186" s="16" t="s">
        <v>1265</v>
      </c>
      <c r="B186" s="17" t="s">
        <v>1266</v>
      </c>
      <c r="C186" s="13" t="s">
        <v>1267</v>
      </c>
      <c r="D186" s="13" t="s">
        <v>132</v>
      </c>
      <c r="E186" s="18">
        <v>50</v>
      </c>
      <c r="F186" s="19">
        <v>556.21</v>
      </c>
      <c r="G186" s="20">
        <v>5.0000000000000001E-4</v>
      </c>
      <c r="H186" s="21">
        <v>6.4404000000000003E-2</v>
      </c>
      <c r="I186" s="37"/>
      <c r="J186" s="2"/>
    </row>
    <row r="187" spans="1:10" ht="12.95" customHeight="1">
      <c r="A187" s="16" t="s">
        <v>2063</v>
      </c>
      <c r="B187" s="17" t="s">
        <v>2064</v>
      </c>
      <c r="C187" s="13" t="s">
        <v>2065</v>
      </c>
      <c r="D187" s="13" t="s">
        <v>132</v>
      </c>
      <c r="E187" s="18">
        <v>50</v>
      </c>
      <c r="F187" s="19">
        <v>554.64</v>
      </c>
      <c r="G187" s="20">
        <v>4.0000000000000002E-4</v>
      </c>
      <c r="H187" s="21">
        <v>6.4033999999999994E-2</v>
      </c>
      <c r="I187" s="37"/>
      <c r="J187" s="2"/>
    </row>
    <row r="188" spans="1:10" ht="12.95" customHeight="1">
      <c r="A188" s="16" t="s">
        <v>3581</v>
      </c>
      <c r="B188" s="17" t="s">
        <v>3582</v>
      </c>
      <c r="C188" s="13" t="s">
        <v>3583</v>
      </c>
      <c r="D188" s="13" t="s">
        <v>200</v>
      </c>
      <c r="E188" s="18">
        <v>500000</v>
      </c>
      <c r="F188" s="19">
        <v>547.21</v>
      </c>
      <c r="G188" s="20">
        <v>4.0000000000000002E-4</v>
      </c>
      <c r="H188" s="21">
        <v>5.8811000000000002E-2</v>
      </c>
      <c r="I188" s="37"/>
      <c r="J188" s="2"/>
    </row>
    <row r="189" spans="1:10" ht="12.95" customHeight="1">
      <c r="A189" s="16" t="s">
        <v>3584</v>
      </c>
      <c r="B189" s="17" t="s">
        <v>3585</v>
      </c>
      <c r="C189" s="13" t="s">
        <v>3586</v>
      </c>
      <c r="D189" s="13" t="s">
        <v>200</v>
      </c>
      <c r="E189" s="18">
        <v>500000</v>
      </c>
      <c r="F189" s="19">
        <v>542.71</v>
      </c>
      <c r="G189" s="20">
        <v>4.0000000000000002E-4</v>
      </c>
      <c r="H189" s="21">
        <v>6.5866999999999995E-2</v>
      </c>
      <c r="I189" s="37"/>
      <c r="J189" s="2"/>
    </row>
    <row r="190" spans="1:10" ht="12.95" customHeight="1">
      <c r="A190" s="16" t="s">
        <v>3587</v>
      </c>
      <c r="B190" s="17" t="s">
        <v>3588</v>
      </c>
      <c r="C190" s="13" t="s">
        <v>3589</v>
      </c>
      <c r="D190" s="13" t="s">
        <v>132</v>
      </c>
      <c r="E190" s="18">
        <v>50</v>
      </c>
      <c r="F190" s="19">
        <v>541.83000000000004</v>
      </c>
      <c r="G190" s="20">
        <v>4.0000000000000002E-4</v>
      </c>
      <c r="H190" s="21">
        <v>5.7049000000000002E-2</v>
      </c>
      <c r="I190" s="37"/>
      <c r="J190" s="2"/>
    </row>
    <row r="191" spans="1:10" ht="12.95" customHeight="1">
      <c r="A191" s="16" t="s">
        <v>3590</v>
      </c>
      <c r="B191" s="17" t="s">
        <v>3591</v>
      </c>
      <c r="C191" s="13" t="s">
        <v>3592</v>
      </c>
      <c r="D191" s="13" t="s">
        <v>200</v>
      </c>
      <c r="E191" s="18">
        <v>500000</v>
      </c>
      <c r="F191" s="19">
        <v>540.01</v>
      </c>
      <c r="G191" s="20">
        <v>4.0000000000000002E-4</v>
      </c>
      <c r="H191" s="21">
        <v>5.7299999999999997E-2</v>
      </c>
      <c r="I191" s="37"/>
      <c r="J191" s="2"/>
    </row>
    <row r="192" spans="1:10" ht="12.95" customHeight="1">
      <c r="A192" s="16" t="s">
        <v>505</v>
      </c>
      <c r="B192" s="17" t="s">
        <v>506</v>
      </c>
      <c r="C192" s="13" t="s">
        <v>507</v>
      </c>
      <c r="D192" s="13" t="s">
        <v>132</v>
      </c>
      <c r="E192" s="18">
        <v>50</v>
      </c>
      <c r="F192" s="19">
        <v>531.83000000000004</v>
      </c>
      <c r="G192" s="20">
        <v>4.0000000000000002E-4</v>
      </c>
      <c r="H192" s="21">
        <v>6.8974999999999995E-2</v>
      </c>
      <c r="I192" s="37"/>
      <c r="J192" s="2"/>
    </row>
    <row r="193" spans="1:10" ht="12.95" customHeight="1">
      <c r="A193" s="16" t="s">
        <v>3593</v>
      </c>
      <c r="B193" s="17" t="s">
        <v>3594</v>
      </c>
      <c r="C193" s="13" t="s">
        <v>3595</v>
      </c>
      <c r="D193" s="13" t="s">
        <v>200</v>
      </c>
      <c r="E193" s="18">
        <v>500000</v>
      </c>
      <c r="F193" s="19">
        <v>528.54999999999995</v>
      </c>
      <c r="G193" s="20">
        <v>4.0000000000000002E-4</v>
      </c>
      <c r="H193" s="21">
        <v>4.6947000000000003E-2</v>
      </c>
      <c r="I193" s="37"/>
      <c r="J193" s="2"/>
    </row>
    <row r="194" spans="1:10" ht="12.95" customHeight="1">
      <c r="A194" s="16" t="s">
        <v>1271</v>
      </c>
      <c r="B194" s="17" t="s">
        <v>1272</v>
      </c>
      <c r="C194" s="13" t="s">
        <v>1273</v>
      </c>
      <c r="D194" s="13" t="s">
        <v>132</v>
      </c>
      <c r="E194" s="18">
        <v>50</v>
      </c>
      <c r="F194" s="19">
        <v>524.03</v>
      </c>
      <c r="G194" s="20">
        <v>4.0000000000000002E-4</v>
      </c>
      <c r="H194" s="21">
        <v>5.7049000000000002E-2</v>
      </c>
      <c r="I194" s="37"/>
      <c r="J194" s="2"/>
    </row>
    <row r="195" spans="1:10" ht="12.95" customHeight="1">
      <c r="A195" s="16" t="s">
        <v>3596</v>
      </c>
      <c r="B195" s="17" t="s">
        <v>3597</v>
      </c>
      <c r="C195" s="13" t="s">
        <v>3598</v>
      </c>
      <c r="D195" s="13" t="s">
        <v>200</v>
      </c>
      <c r="E195" s="18">
        <v>500000</v>
      </c>
      <c r="F195" s="19">
        <v>523.04999999999995</v>
      </c>
      <c r="G195" s="20">
        <v>4.0000000000000002E-4</v>
      </c>
      <c r="H195" s="21">
        <v>5.8104000000000003E-2</v>
      </c>
      <c r="I195" s="37"/>
      <c r="J195" s="2"/>
    </row>
    <row r="196" spans="1:10" ht="12.95" customHeight="1">
      <c r="A196" s="16" t="s">
        <v>257</v>
      </c>
      <c r="B196" s="17" t="s">
        <v>258</v>
      </c>
      <c r="C196" s="13" t="s">
        <v>259</v>
      </c>
      <c r="D196" s="13" t="s">
        <v>200</v>
      </c>
      <c r="E196" s="18">
        <v>500000</v>
      </c>
      <c r="F196" s="19">
        <v>521.19000000000005</v>
      </c>
      <c r="G196" s="20">
        <v>4.0000000000000002E-4</v>
      </c>
      <c r="H196" s="21">
        <v>4.4408999999999997E-2</v>
      </c>
      <c r="I196" s="37"/>
      <c r="J196" s="2"/>
    </row>
    <row r="197" spans="1:10" ht="12.95" customHeight="1">
      <c r="A197" s="16" t="s">
        <v>3599</v>
      </c>
      <c r="B197" s="17" t="s">
        <v>3600</v>
      </c>
      <c r="C197" s="13" t="s">
        <v>3601</v>
      </c>
      <c r="D197" s="13" t="s">
        <v>132</v>
      </c>
      <c r="E197" s="18">
        <v>50</v>
      </c>
      <c r="F197" s="19">
        <v>519.16</v>
      </c>
      <c r="G197" s="20">
        <v>4.0000000000000002E-4</v>
      </c>
      <c r="H197" s="21">
        <v>4.8162999999999997E-2</v>
      </c>
      <c r="I197" s="37"/>
      <c r="J197" s="2"/>
    </row>
    <row r="198" spans="1:10" ht="12.95" customHeight="1">
      <c r="A198" s="16" t="s">
        <v>469</v>
      </c>
      <c r="B198" s="17" t="s">
        <v>470</v>
      </c>
      <c r="C198" s="13" t="s">
        <v>471</v>
      </c>
      <c r="D198" s="13" t="s">
        <v>132</v>
      </c>
      <c r="E198" s="18">
        <v>50</v>
      </c>
      <c r="F198" s="19">
        <v>516.85</v>
      </c>
      <c r="G198" s="20">
        <v>4.0000000000000002E-4</v>
      </c>
      <c r="H198" s="21">
        <v>4.2999000000000002E-2</v>
      </c>
      <c r="I198" s="37"/>
      <c r="J198" s="2"/>
    </row>
    <row r="199" spans="1:10" ht="12.95" customHeight="1">
      <c r="A199" s="16" t="s">
        <v>1253</v>
      </c>
      <c r="B199" s="17" t="s">
        <v>1254</v>
      </c>
      <c r="C199" s="13" t="s">
        <v>1255</v>
      </c>
      <c r="D199" s="13" t="s">
        <v>200</v>
      </c>
      <c r="E199" s="18">
        <v>500000</v>
      </c>
      <c r="F199" s="19">
        <v>508.09</v>
      </c>
      <c r="G199" s="20">
        <v>4.0000000000000002E-4</v>
      </c>
      <c r="H199" s="21">
        <v>6.4920000000000005E-2</v>
      </c>
      <c r="I199" s="37"/>
      <c r="J199" s="2"/>
    </row>
    <row r="200" spans="1:10" ht="12.95" customHeight="1">
      <c r="A200" s="16" t="s">
        <v>162</v>
      </c>
      <c r="B200" s="17" t="s">
        <v>163</v>
      </c>
      <c r="C200" s="13" t="s">
        <v>164</v>
      </c>
      <c r="D200" s="13" t="s">
        <v>132</v>
      </c>
      <c r="E200" s="18">
        <v>50</v>
      </c>
      <c r="F200" s="19">
        <v>503.8</v>
      </c>
      <c r="G200" s="20">
        <v>4.0000000000000002E-4</v>
      </c>
      <c r="H200" s="21">
        <v>3.5499999999999997E-2</v>
      </c>
      <c r="I200" s="37"/>
      <c r="J200" s="2"/>
    </row>
    <row r="201" spans="1:10" ht="12.95" customHeight="1">
      <c r="A201" s="16" t="s">
        <v>1286</v>
      </c>
      <c r="B201" s="17" t="s">
        <v>1287</v>
      </c>
      <c r="C201" s="13" t="s">
        <v>1288</v>
      </c>
      <c r="D201" s="13" t="s">
        <v>200</v>
      </c>
      <c r="E201" s="18">
        <v>500000</v>
      </c>
      <c r="F201" s="19">
        <v>498.99</v>
      </c>
      <c r="G201" s="20">
        <v>4.0000000000000002E-4</v>
      </c>
      <c r="H201" s="21">
        <v>6.6932000000000005E-2</v>
      </c>
      <c r="I201" s="37"/>
      <c r="J201" s="2"/>
    </row>
    <row r="202" spans="1:10" ht="12.95" customHeight="1">
      <c r="A202" s="16" t="s">
        <v>3602</v>
      </c>
      <c r="B202" s="17" t="s">
        <v>3603</v>
      </c>
      <c r="C202" s="13" t="s">
        <v>3604</v>
      </c>
      <c r="D202" s="13" t="s">
        <v>200</v>
      </c>
      <c r="E202" s="18">
        <v>500000</v>
      </c>
      <c r="F202" s="19">
        <v>496.83</v>
      </c>
      <c r="G202" s="20">
        <v>4.0000000000000002E-4</v>
      </c>
      <c r="H202" s="21">
        <v>6.7849999999999994E-2</v>
      </c>
      <c r="I202" s="37"/>
      <c r="J202" s="2"/>
    </row>
    <row r="203" spans="1:10" ht="12.95" customHeight="1">
      <c r="A203" s="16" t="s">
        <v>1100</v>
      </c>
      <c r="B203" s="17" t="s">
        <v>1101</v>
      </c>
      <c r="C203" s="13" t="s">
        <v>1102</v>
      </c>
      <c r="D203" s="13" t="s">
        <v>200</v>
      </c>
      <c r="E203" s="18">
        <v>455600</v>
      </c>
      <c r="F203" s="19">
        <v>489.3</v>
      </c>
      <c r="G203" s="20">
        <v>4.0000000000000002E-4</v>
      </c>
      <c r="H203" s="21">
        <v>5.6170999999999999E-2</v>
      </c>
      <c r="I203" s="37"/>
      <c r="J203" s="2"/>
    </row>
    <row r="204" spans="1:10" ht="12.95" customHeight="1">
      <c r="A204" s="16" t="s">
        <v>2649</v>
      </c>
      <c r="B204" s="17" t="s">
        <v>2650</v>
      </c>
      <c r="C204" s="13" t="s">
        <v>2651</v>
      </c>
      <c r="D204" s="13" t="s">
        <v>132</v>
      </c>
      <c r="E204" s="18">
        <v>40</v>
      </c>
      <c r="F204" s="19">
        <v>441.47</v>
      </c>
      <c r="G204" s="20">
        <v>4.0000000000000002E-4</v>
      </c>
      <c r="H204" s="21">
        <v>5.4272000000000001E-2</v>
      </c>
      <c r="I204" s="37"/>
      <c r="J204" s="2"/>
    </row>
    <row r="205" spans="1:10" ht="12.95" customHeight="1">
      <c r="A205" s="16" t="s">
        <v>3605</v>
      </c>
      <c r="B205" s="17" t="s">
        <v>3606</v>
      </c>
      <c r="C205" s="13" t="s">
        <v>3607</v>
      </c>
      <c r="D205" s="13" t="s">
        <v>200</v>
      </c>
      <c r="E205" s="18">
        <v>392500</v>
      </c>
      <c r="F205" s="19">
        <v>427.69</v>
      </c>
      <c r="G205" s="20">
        <v>2.9999999999999997E-4</v>
      </c>
      <c r="H205" s="21">
        <v>6.6952999999999999E-2</v>
      </c>
      <c r="I205" s="37"/>
      <c r="J205" s="2"/>
    </row>
    <row r="206" spans="1:10" ht="12.95" customHeight="1">
      <c r="A206" s="16" t="s">
        <v>3608</v>
      </c>
      <c r="B206" s="17" t="s">
        <v>3609</v>
      </c>
      <c r="C206" s="13" t="s">
        <v>3610</v>
      </c>
      <c r="D206" s="13" t="s">
        <v>200</v>
      </c>
      <c r="E206" s="18">
        <v>346000</v>
      </c>
      <c r="F206" s="19">
        <v>356.2</v>
      </c>
      <c r="G206" s="20">
        <v>2.9999999999999997E-4</v>
      </c>
      <c r="H206" s="21">
        <v>4.1008000000000003E-2</v>
      </c>
      <c r="I206" s="37"/>
      <c r="J206" s="2"/>
    </row>
    <row r="207" spans="1:10" ht="12.95" customHeight="1">
      <c r="A207" s="16" t="s">
        <v>3611</v>
      </c>
      <c r="B207" s="17" t="s">
        <v>3555</v>
      </c>
      <c r="C207" s="13" t="s">
        <v>3612</v>
      </c>
      <c r="D207" s="13" t="s">
        <v>200</v>
      </c>
      <c r="E207" s="18">
        <v>316100</v>
      </c>
      <c r="F207" s="19">
        <v>320.94</v>
      </c>
      <c r="G207" s="20">
        <v>2.9999999999999997E-4</v>
      </c>
      <c r="H207" s="21">
        <v>3.6998000000000003E-2</v>
      </c>
      <c r="I207" s="37"/>
      <c r="J207" s="2"/>
    </row>
    <row r="208" spans="1:10" ht="12.95" customHeight="1">
      <c r="A208" s="16" t="s">
        <v>3613</v>
      </c>
      <c r="B208" s="17" t="s">
        <v>3614</v>
      </c>
      <c r="C208" s="13" t="s">
        <v>3615</v>
      </c>
      <c r="D208" s="13" t="s">
        <v>200</v>
      </c>
      <c r="E208" s="18">
        <v>277200</v>
      </c>
      <c r="F208" s="19">
        <v>280.82</v>
      </c>
      <c r="G208" s="20">
        <v>2.0000000000000001E-4</v>
      </c>
      <c r="H208" s="21">
        <v>5.5440000000000003E-2</v>
      </c>
      <c r="I208" s="37"/>
      <c r="J208" s="2"/>
    </row>
    <row r="209" spans="1:10" ht="12.95" customHeight="1">
      <c r="A209" s="16" t="s">
        <v>613</v>
      </c>
      <c r="B209" s="17" t="s">
        <v>614</v>
      </c>
      <c r="C209" s="13" t="s">
        <v>615</v>
      </c>
      <c r="D209" s="13" t="s">
        <v>132</v>
      </c>
      <c r="E209" s="18">
        <v>27</v>
      </c>
      <c r="F209" s="19">
        <v>272.16000000000003</v>
      </c>
      <c r="G209" s="20">
        <v>2.0000000000000001E-4</v>
      </c>
      <c r="H209" s="21">
        <v>3.6051E-2</v>
      </c>
      <c r="I209" s="37"/>
      <c r="J209" s="2"/>
    </row>
    <row r="210" spans="1:10" ht="12.95" customHeight="1">
      <c r="A210" s="16" t="s">
        <v>3616</v>
      </c>
      <c r="B210" s="17" t="s">
        <v>3617</v>
      </c>
      <c r="C210" s="13" t="s">
        <v>3618</v>
      </c>
      <c r="D210" s="13" t="s">
        <v>200</v>
      </c>
      <c r="E210" s="18">
        <v>250000</v>
      </c>
      <c r="F210" s="19">
        <v>270.83999999999997</v>
      </c>
      <c r="G210" s="20">
        <v>2.0000000000000001E-4</v>
      </c>
      <c r="H210" s="21">
        <v>5.9006999999999997E-2</v>
      </c>
      <c r="I210" s="37"/>
      <c r="J210" s="2"/>
    </row>
    <row r="211" spans="1:10" ht="12.95" customHeight="1">
      <c r="A211" s="16" t="s">
        <v>3619</v>
      </c>
      <c r="B211" s="17" t="s">
        <v>3620</v>
      </c>
      <c r="C211" s="13" t="s">
        <v>3621</v>
      </c>
      <c r="D211" s="13" t="s">
        <v>200</v>
      </c>
      <c r="E211" s="18">
        <v>250000</v>
      </c>
      <c r="F211" s="19">
        <v>270.7</v>
      </c>
      <c r="G211" s="20">
        <v>2.0000000000000001E-4</v>
      </c>
      <c r="H211" s="21">
        <v>5.9006999999999997E-2</v>
      </c>
      <c r="I211" s="37"/>
      <c r="J211" s="2"/>
    </row>
    <row r="212" spans="1:10" ht="12.95" customHeight="1">
      <c r="A212" s="16" t="s">
        <v>1083</v>
      </c>
      <c r="B212" s="17" t="s">
        <v>1084</v>
      </c>
      <c r="C212" s="13" t="s">
        <v>1085</v>
      </c>
      <c r="D212" s="13" t="s">
        <v>200</v>
      </c>
      <c r="E212" s="18">
        <v>280300</v>
      </c>
      <c r="F212" s="19">
        <v>268.89999999999998</v>
      </c>
      <c r="G212" s="20">
        <v>2.0000000000000001E-4</v>
      </c>
      <c r="H212" s="21">
        <v>6.6629999999999995E-2</v>
      </c>
      <c r="I212" s="37"/>
      <c r="J212" s="2"/>
    </row>
    <row r="213" spans="1:10" ht="12.95" customHeight="1">
      <c r="A213" s="16" t="s">
        <v>3622</v>
      </c>
      <c r="B213" s="17" t="s">
        <v>3623</v>
      </c>
      <c r="C213" s="13" t="s">
        <v>3624</v>
      </c>
      <c r="D213" s="13" t="s">
        <v>132</v>
      </c>
      <c r="E213" s="18">
        <v>25</v>
      </c>
      <c r="F213" s="19">
        <v>248.93</v>
      </c>
      <c r="G213" s="20">
        <v>2.0000000000000001E-4</v>
      </c>
      <c r="H213" s="21">
        <v>5.5698999999999999E-2</v>
      </c>
      <c r="I213" s="37"/>
      <c r="J213" s="2"/>
    </row>
    <row r="214" spans="1:10" ht="12.95" customHeight="1">
      <c r="A214" s="16" t="s">
        <v>3625</v>
      </c>
      <c r="B214" s="17" t="s">
        <v>3626</v>
      </c>
      <c r="C214" s="13" t="s">
        <v>3627</v>
      </c>
      <c r="D214" s="13" t="s">
        <v>200</v>
      </c>
      <c r="E214" s="18">
        <v>219200</v>
      </c>
      <c r="F214" s="19">
        <v>233.4</v>
      </c>
      <c r="G214" s="20">
        <v>2.0000000000000001E-4</v>
      </c>
      <c r="H214" s="21">
        <v>4.5536E-2</v>
      </c>
      <c r="I214" s="37"/>
      <c r="J214" s="2"/>
    </row>
    <row r="215" spans="1:10" ht="12.95" customHeight="1">
      <c r="A215" s="16" t="s">
        <v>2664</v>
      </c>
      <c r="B215" s="17" t="s">
        <v>2665</v>
      </c>
      <c r="C215" s="13" t="s">
        <v>2666</v>
      </c>
      <c r="D215" s="13" t="s">
        <v>200</v>
      </c>
      <c r="E215" s="18">
        <v>210000</v>
      </c>
      <c r="F215" s="19">
        <v>230.98</v>
      </c>
      <c r="G215" s="20">
        <v>2.0000000000000001E-4</v>
      </c>
      <c r="H215" s="21">
        <v>5.8705E-2</v>
      </c>
      <c r="I215" s="37"/>
      <c r="J215" s="2"/>
    </row>
    <row r="216" spans="1:10" ht="12.95" customHeight="1">
      <c r="A216" s="16" t="s">
        <v>1451</v>
      </c>
      <c r="B216" s="17" t="s">
        <v>1452</v>
      </c>
      <c r="C216" s="13" t="s">
        <v>1453</v>
      </c>
      <c r="D216" s="13" t="s">
        <v>132</v>
      </c>
      <c r="E216" s="18">
        <v>20</v>
      </c>
      <c r="F216" s="19">
        <v>219.14</v>
      </c>
      <c r="G216" s="20">
        <v>2.0000000000000001E-4</v>
      </c>
      <c r="H216" s="21">
        <v>6.8599999999999994E-2</v>
      </c>
      <c r="I216" s="37"/>
      <c r="J216" s="2"/>
    </row>
    <row r="217" spans="1:10" ht="12.95" customHeight="1">
      <c r="A217" s="16" t="s">
        <v>3628</v>
      </c>
      <c r="B217" s="17" t="s">
        <v>3629</v>
      </c>
      <c r="C217" s="13" t="s">
        <v>3630</v>
      </c>
      <c r="D217" s="13" t="s">
        <v>200</v>
      </c>
      <c r="E217" s="18">
        <v>197300</v>
      </c>
      <c r="F217" s="19">
        <v>199.02</v>
      </c>
      <c r="G217" s="20">
        <v>2.0000000000000001E-4</v>
      </c>
      <c r="H217" s="21">
        <v>3.6700999999999998E-2</v>
      </c>
      <c r="I217" s="37"/>
      <c r="J217" s="2"/>
    </row>
    <row r="218" spans="1:10" ht="12.95" customHeight="1">
      <c r="A218" s="16" t="s">
        <v>3631</v>
      </c>
      <c r="B218" s="17" t="s">
        <v>3632</v>
      </c>
      <c r="C218" s="13" t="s">
        <v>3633</v>
      </c>
      <c r="D218" s="13" t="s">
        <v>200</v>
      </c>
      <c r="E218" s="18">
        <v>150000</v>
      </c>
      <c r="F218" s="19">
        <v>154.22999999999999</v>
      </c>
      <c r="G218" s="20">
        <v>1E-4</v>
      </c>
      <c r="H218" s="21">
        <v>3.6942000000000003E-2</v>
      </c>
      <c r="I218" s="37"/>
      <c r="J218" s="2"/>
    </row>
    <row r="219" spans="1:10" ht="12.95" customHeight="1">
      <c r="A219" s="16" t="s">
        <v>409</v>
      </c>
      <c r="B219" s="17" t="s">
        <v>410</v>
      </c>
      <c r="C219" s="13" t="s">
        <v>411</v>
      </c>
      <c r="D219" s="13" t="s">
        <v>200</v>
      </c>
      <c r="E219" s="18">
        <v>140000</v>
      </c>
      <c r="F219" s="19">
        <v>145.53</v>
      </c>
      <c r="G219" s="20">
        <v>1E-4</v>
      </c>
      <c r="H219" s="21">
        <v>3.9466000000000001E-2</v>
      </c>
      <c r="I219" s="37"/>
      <c r="J219" s="2"/>
    </row>
    <row r="220" spans="1:10" ht="12.95" customHeight="1">
      <c r="A220" s="16" t="s">
        <v>2717</v>
      </c>
      <c r="B220" s="17" t="s">
        <v>2718</v>
      </c>
      <c r="C220" s="13" t="s">
        <v>2719</v>
      </c>
      <c r="D220" s="13" t="s">
        <v>200</v>
      </c>
      <c r="E220" s="18">
        <v>100000</v>
      </c>
      <c r="F220" s="19">
        <v>109.01</v>
      </c>
      <c r="G220" s="20">
        <v>1E-4</v>
      </c>
      <c r="H220" s="21">
        <v>5.8749999999999997E-2</v>
      </c>
      <c r="I220" s="37"/>
      <c r="J220" s="2"/>
    </row>
    <row r="221" spans="1:10" ht="12.95" customHeight="1">
      <c r="A221" s="16" t="s">
        <v>1333</v>
      </c>
      <c r="B221" s="17" t="s">
        <v>1334</v>
      </c>
      <c r="C221" s="13" t="s">
        <v>1335</v>
      </c>
      <c r="D221" s="13" t="s">
        <v>161</v>
      </c>
      <c r="E221" s="18">
        <v>10</v>
      </c>
      <c r="F221" s="19">
        <v>105.79</v>
      </c>
      <c r="G221" s="20">
        <v>1E-4</v>
      </c>
      <c r="H221" s="21">
        <v>6.6937999999999998E-2</v>
      </c>
      <c r="I221" s="37"/>
      <c r="J221" s="2"/>
    </row>
    <row r="222" spans="1:10" ht="12.95" customHeight="1">
      <c r="A222" s="16" t="s">
        <v>211</v>
      </c>
      <c r="B222" s="17" t="s">
        <v>212</v>
      </c>
      <c r="C222" s="13" t="s">
        <v>213</v>
      </c>
      <c r="D222" s="13" t="s">
        <v>132</v>
      </c>
      <c r="E222" s="18">
        <v>10</v>
      </c>
      <c r="F222" s="19">
        <v>101.94</v>
      </c>
      <c r="G222" s="20">
        <v>1E-4</v>
      </c>
      <c r="H222" s="21">
        <v>3.7600000000000001E-2</v>
      </c>
      <c r="I222" s="37"/>
      <c r="J222" s="2"/>
    </row>
    <row r="223" spans="1:10" ht="12.95" customHeight="1">
      <c r="A223" s="16" t="s">
        <v>3634</v>
      </c>
      <c r="B223" s="17" t="s">
        <v>3635</v>
      </c>
      <c r="C223" s="13" t="s">
        <v>3636</v>
      </c>
      <c r="D223" s="13" t="s">
        <v>132</v>
      </c>
      <c r="E223" s="18">
        <v>10</v>
      </c>
      <c r="F223" s="19">
        <v>99.97</v>
      </c>
      <c r="G223" s="20">
        <v>1E-4</v>
      </c>
      <c r="H223" s="21">
        <v>5.935E-2</v>
      </c>
      <c r="I223" s="37"/>
      <c r="J223" s="2"/>
    </row>
    <row r="224" spans="1:10" ht="12.95" customHeight="1">
      <c r="A224" s="16" t="s">
        <v>1060</v>
      </c>
      <c r="B224" s="17" t="s">
        <v>1061</v>
      </c>
      <c r="C224" s="13" t="s">
        <v>1062</v>
      </c>
      <c r="D224" s="13" t="s">
        <v>200</v>
      </c>
      <c r="E224" s="18">
        <v>71700</v>
      </c>
      <c r="F224" s="19">
        <v>75.8</v>
      </c>
      <c r="G224" s="20">
        <v>1E-4</v>
      </c>
      <c r="H224" s="21">
        <v>6.0576999999999999E-2</v>
      </c>
      <c r="I224" s="37"/>
      <c r="J224" s="2"/>
    </row>
    <row r="225" spans="1:10" ht="12.95" customHeight="1">
      <c r="A225" s="16" t="s">
        <v>3637</v>
      </c>
      <c r="B225" s="17" t="s">
        <v>3638</v>
      </c>
      <c r="C225" s="13" t="s">
        <v>3639</v>
      </c>
      <c r="D225" s="13" t="s">
        <v>200</v>
      </c>
      <c r="E225" s="18">
        <v>70000</v>
      </c>
      <c r="F225" s="19">
        <v>71.56</v>
      </c>
      <c r="G225" s="20">
        <v>1E-4</v>
      </c>
      <c r="H225" s="21">
        <v>3.7106E-2</v>
      </c>
      <c r="I225" s="37"/>
      <c r="J225" s="2"/>
    </row>
    <row r="226" spans="1:10" ht="12.95" customHeight="1">
      <c r="A226" s="16" t="s">
        <v>3640</v>
      </c>
      <c r="B226" s="17" t="s">
        <v>3641</v>
      </c>
      <c r="C226" s="13" t="s">
        <v>3642</v>
      </c>
      <c r="D226" s="13" t="s">
        <v>200</v>
      </c>
      <c r="E226" s="18">
        <v>68700</v>
      </c>
      <c r="F226" s="19">
        <v>70.91</v>
      </c>
      <c r="G226" s="20">
        <v>1E-4</v>
      </c>
      <c r="H226" s="21">
        <v>6.2815999999999997E-2</v>
      </c>
      <c r="I226" s="37"/>
      <c r="J226" s="2"/>
    </row>
    <row r="227" spans="1:10" ht="12.95" customHeight="1">
      <c r="A227" s="16" t="s">
        <v>3643</v>
      </c>
      <c r="B227" s="17" t="s">
        <v>3644</v>
      </c>
      <c r="C227" s="13" t="s">
        <v>3645</v>
      </c>
      <c r="D227" s="13" t="s">
        <v>200</v>
      </c>
      <c r="E227" s="18">
        <v>60000</v>
      </c>
      <c r="F227" s="19">
        <v>65.760000000000005</v>
      </c>
      <c r="G227" s="20">
        <v>1E-4</v>
      </c>
      <c r="H227" s="21">
        <v>5.4814000000000002E-2</v>
      </c>
      <c r="I227" s="37"/>
      <c r="J227" s="2"/>
    </row>
    <row r="228" spans="1:10" ht="12.95" customHeight="1">
      <c r="A228" s="16" t="s">
        <v>1531</v>
      </c>
      <c r="B228" s="17" t="s">
        <v>1532</v>
      </c>
      <c r="C228" s="13" t="s">
        <v>1533</v>
      </c>
      <c r="D228" s="13" t="s">
        <v>200</v>
      </c>
      <c r="E228" s="18">
        <v>35000</v>
      </c>
      <c r="F228" s="19">
        <v>39.57</v>
      </c>
      <c r="G228" s="36" t="s">
        <v>643</v>
      </c>
      <c r="H228" s="21">
        <v>6.1800000000000001E-2</v>
      </c>
      <c r="I228" s="37"/>
      <c r="J228" s="2"/>
    </row>
    <row r="229" spans="1:10" ht="12.95" customHeight="1">
      <c r="A229" s="16" t="s">
        <v>1289</v>
      </c>
      <c r="B229" s="17" t="s">
        <v>1290</v>
      </c>
      <c r="C229" s="13" t="s">
        <v>1291</v>
      </c>
      <c r="D229" s="13" t="s">
        <v>200</v>
      </c>
      <c r="E229" s="18">
        <v>31100</v>
      </c>
      <c r="F229" s="19">
        <v>30.41</v>
      </c>
      <c r="G229" s="36" t="s">
        <v>643</v>
      </c>
      <c r="H229" s="21">
        <v>6.1691999999999997E-2</v>
      </c>
      <c r="I229" s="37"/>
      <c r="J229" s="2"/>
    </row>
    <row r="230" spans="1:10" ht="12.95" customHeight="1">
      <c r="A230" s="16" t="s">
        <v>3646</v>
      </c>
      <c r="B230" s="17" t="s">
        <v>3647</v>
      </c>
      <c r="C230" s="13" t="s">
        <v>3648</v>
      </c>
      <c r="D230" s="13" t="s">
        <v>200</v>
      </c>
      <c r="E230" s="18">
        <v>28000</v>
      </c>
      <c r="F230" s="19">
        <v>28.62</v>
      </c>
      <c r="G230" s="36" t="s">
        <v>643</v>
      </c>
      <c r="H230" s="21">
        <v>3.8233000000000003E-2</v>
      </c>
      <c r="I230" s="37"/>
      <c r="J230" s="2"/>
    </row>
    <row r="231" spans="1:10" ht="12.95" customHeight="1">
      <c r="A231" s="16" t="s">
        <v>3649</v>
      </c>
      <c r="B231" s="17" t="s">
        <v>3650</v>
      </c>
      <c r="C231" s="13" t="s">
        <v>3651</v>
      </c>
      <c r="D231" s="13" t="s">
        <v>200</v>
      </c>
      <c r="E231" s="18">
        <v>25000</v>
      </c>
      <c r="F231" s="19">
        <v>25.8</v>
      </c>
      <c r="G231" s="36" t="s">
        <v>643</v>
      </c>
      <c r="H231" s="21">
        <v>4.0058999999999997E-2</v>
      </c>
      <c r="I231" s="37"/>
      <c r="J231" s="2"/>
    </row>
    <row r="232" spans="1:10" ht="12.95" customHeight="1">
      <c r="A232" s="16" t="s">
        <v>2667</v>
      </c>
      <c r="B232" s="17" t="s">
        <v>2668</v>
      </c>
      <c r="C232" s="13" t="s">
        <v>2669</v>
      </c>
      <c r="D232" s="13" t="s">
        <v>200</v>
      </c>
      <c r="E232" s="18">
        <v>20800</v>
      </c>
      <c r="F232" s="19">
        <v>22.46</v>
      </c>
      <c r="G232" s="36" t="s">
        <v>643</v>
      </c>
      <c r="H232" s="21">
        <v>6.2361E-2</v>
      </c>
      <c r="I232" s="37"/>
      <c r="J232" s="2"/>
    </row>
    <row r="233" spans="1:10" ht="12.95" customHeight="1">
      <c r="A233" s="16" t="s">
        <v>3652</v>
      </c>
      <c r="B233" s="17" t="s">
        <v>3653</v>
      </c>
      <c r="C233" s="13" t="s">
        <v>3654</v>
      </c>
      <c r="D233" s="13" t="s">
        <v>200</v>
      </c>
      <c r="E233" s="18">
        <v>15000</v>
      </c>
      <c r="F233" s="19">
        <v>15.83</v>
      </c>
      <c r="G233" s="36" t="s">
        <v>643</v>
      </c>
      <c r="H233" s="21">
        <v>4.1646000000000002E-2</v>
      </c>
      <c r="I233" s="37"/>
      <c r="J233" s="2"/>
    </row>
    <row r="234" spans="1:10" ht="12.95" customHeight="1">
      <c r="A234" s="16" t="s">
        <v>3655</v>
      </c>
      <c r="B234" s="17" t="s">
        <v>3656</v>
      </c>
      <c r="C234" s="13" t="s">
        <v>3657</v>
      </c>
      <c r="D234" s="13" t="s">
        <v>200</v>
      </c>
      <c r="E234" s="18">
        <v>15000</v>
      </c>
      <c r="F234" s="19">
        <v>15.23</v>
      </c>
      <c r="G234" s="36" t="s">
        <v>643</v>
      </c>
      <c r="H234" s="21">
        <v>3.6992999999999998E-2</v>
      </c>
      <c r="I234" s="37"/>
      <c r="J234" s="2"/>
    </row>
    <row r="235" spans="1:10" ht="12.95" customHeight="1">
      <c r="A235" s="16" t="s">
        <v>3658</v>
      </c>
      <c r="B235" s="17" t="s">
        <v>3659</v>
      </c>
      <c r="C235" s="13" t="s">
        <v>3660</v>
      </c>
      <c r="D235" s="13" t="s">
        <v>200</v>
      </c>
      <c r="E235" s="18">
        <v>9000</v>
      </c>
      <c r="F235" s="19">
        <v>10.54</v>
      </c>
      <c r="G235" s="36" t="s">
        <v>643</v>
      </c>
      <c r="H235" s="21">
        <v>6.4737000000000003E-2</v>
      </c>
      <c r="I235" s="37"/>
      <c r="J235" s="2"/>
    </row>
    <row r="236" spans="1:10" ht="12.95" customHeight="1">
      <c r="A236" s="16" t="s">
        <v>622</v>
      </c>
      <c r="B236" s="17" t="s">
        <v>623</v>
      </c>
      <c r="C236" s="13" t="s">
        <v>624</v>
      </c>
      <c r="D236" s="13" t="s">
        <v>200</v>
      </c>
      <c r="E236" s="18">
        <v>6600</v>
      </c>
      <c r="F236" s="19">
        <v>6.41</v>
      </c>
      <c r="G236" s="36" t="s">
        <v>643</v>
      </c>
      <c r="H236" s="21">
        <v>6.2322000000000002E-2</v>
      </c>
      <c r="I236" s="37"/>
      <c r="J236" s="2"/>
    </row>
    <row r="237" spans="1:10" ht="12.95" customHeight="1">
      <c r="A237" s="16" t="s">
        <v>3661</v>
      </c>
      <c r="B237" s="17" t="s">
        <v>3662</v>
      </c>
      <c r="C237" s="13" t="s">
        <v>3663</v>
      </c>
      <c r="D237" s="13" t="s">
        <v>200</v>
      </c>
      <c r="E237" s="18">
        <v>5000</v>
      </c>
      <c r="F237" s="19">
        <v>5.15</v>
      </c>
      <c r="G237" s="36" t="s">
        <v>643</v>
      </c>
      <c r="H237" s="21">
        <v>3.8495000000000001E-2</v>
      </c>
      <c r="I237" s="37"/>
      <c r="J237" s="2"/>
    </row>
    <row r="238" spans="1:10" ht="12.95" customHeight="1">
      <c r="A238" s="16" t="s">
        <v>3664</v>
      </c>
      <c r="B238" s="17" t="s">
        <v>3665</v>
      </c>
      <c r="C238" s="13" t="s">
        <v>3666</v>
      </c>
      <c r="D238" s="13" t="s">
        <v>200</v>
      </c>
      <c r="E238" s="18">
        <v>3000</v>
      </c>
      <c r="F238" s="19">
        <v>3.08</v>
      </c>
      <c r="G238" s="36" t="s">
        <v>643</v>
      </c>
      <c r="H238" s="21">
        <v>3.7266000000000001E-2</v>
      </c>
      <c r="I238" s="37"/>
      <c r="J238" s="2"/>
    </row>
    <row r="239" spans="1:10" ht="12.95" customHeight="1">
      <c r="A239" s="16" t="s">
        <v>2658</v>
      </c>
      <c r="B239" s="17" t="s">
        <v>2659</v>
      </c>
      <c r="C239" s="13" t="s">
        <v>2660</v>
      </c>
      <c r="D239" s="13" t="s">
        <v>200</v>
      </c>
      <c r="E239" s="18">
        <v>200</v>
      </c>
      <c r="F239" s="19">
        <v>0.22</v>
      </c>
      <c r="G239" s="36" t="s">
        <v>643</v>
      </c>
      <c r="H239" s="21">
        <v>6.3061000000000006E-2</v>
      </c>
      <c r="I239" s="37"/>
      <c r="J239" s="2"/>
    </row>
    <row r="240" spans="1:10" ht="12.95" customHeight="1">
      <c r="A240" s="2"/>
      <c r="B240" s="12" t="s">
        <v>172</v>
      </c>
      <c r="C240" s="13"/>
      <c r="D240" s="13"/>
      <c r="E240" s="13"/>
      <c r="F240" s="23">
        <v>1051080.6100000001</v>
      </c>
      <c r="G240" s="24">
        <v>0.85219999999999996</v>
      </c>
      <c r="H240" s="25"/>
      <c r="I240" s="26"/>
      <c r="J240" s="2"/>
    </row>
    <row r="241" spans="1:10" ht="12.95" customHeight="1">
      <c r="A241" s="2"/>
      <c r="B241" s="27" t="s">
        <v>173</v>
      </c>
      <c r="C241" s="1"/>
      <c r="D241" s="1"/>
      <c r="E241" s="1"/>
      <c r="F241" s="25" t="s">
        <v>204</v>
      </c>
      <c r="G241" s="25" t="s">
        <v>204</v>
      </c>
      <c r="H241" s="25"/>
      <c r="I241" s="26"/>
      <c r="J241" s="2"/>
    </row>
    <row r="242" spans="1:10" ht="12.95" customHeight="1">
      <c r="A242" s="2"/>
      <c r="B242" s="27" t="s">
        <v>172</v>
      </c>
      <c r="C242" s="1"/>
      <c r="D242" s="1"/>
      <c r="E242" s="1"/>
      <c r="F242" s="25" t="s">
        <v>204</v>
      </c>
      <c r="G242" s="25" t="s">
        <v>204</v>
      </c>
      <c r="H242" s="25"/>
      <c r="I242" s="26"/>
      <c r="J242" s="2"/>
    </row>
    <row r="243" spans="1:10" ht="12.95" customHeight="1">
      <c r="A243" s="2"/>
      <c r="B243" s="12" t="s">
        <v>1292</v>
      </c>
      <c r="C243" s="13"/>
      <c r="D243" s="13"/>
      <c r="E243" s="13"/>
      <c r="F243" s="2"/>
      <c r="G243" s="14"/>
      <c r="H243" s="14"/>
      <c r="I243" s="15"/>
      <c r="J243" s="2"/>
    </row>
    <row r="244" spans="1:10" ht="12.95" customHeight="1">
      <c r="A244" s="16" t="s">
        <v>3667</v>
      </c>
      <c r="B244" s="17" t="s">
        <v>3668</v>
      </c>
      <c r="C244" s="13" t="s">
        <v>3669</v>
      </c>
      <c r="D244" s="13" t="s">
        <v>1296</v>
      </c>
      <c r="E244" s="18">
        <v>30</v>
      </c>
      <c r="F244" s="19">
        <v>2597.67</v>
      </c>
      <c r="G244" s="20">
        <v>2.0999999999999999E-3</v>
      </c>
      <c r="H244" s="21">
        <v>5.9324000000000002E-2</v>
      </c>
      <c r="I244" s="37"/>
      <c r="J244" s="2"/>
    </row>
    <row r="245" spans="1:10" ht="12.95" customHeight="1">
      <c r="A245" s="16" t="s">
        <v>3670</v>
      </c>
      <c r="B245" s="17" t="s">
        <v>3671</v>
      </c>
      <c r="C245" s="13" t="s">
        <v>3672</v>
      </c>
      <c r="D245" s="13" t="s">
        <v>1296</v>
      </c>
      <c r="E245" s="18">
        <v>30</v>
      </c>
      <c r="F245" s="19">
        <v>2551.7600000000002</v>
      </c>
      <c r="G245" s="20">
        <v>2.0999999999999999E-3</v>
      </c>
      <c r="H245" s="21">
        <v>6.0659999999999999E-2</v>
      </c>
      <c r="I245" s="37"/>
      <c r="J245" s="2"/>
    </row>
    <row r="246" spans="1:10" ht="12.95" customHeight="1">
      <c r="A246" s="16" t="s">
        <v>3673</v>
      </c>
      <c r="B246" s="17" t="s">
        <v>3674</v>
      </c>
      <c r="C246" s="13" t="s">
        <v>3675</v>
      </c>
      <c r="D246" s="13" t="s">
        <v>1296</v>
      </c>
      <c r="E246" s="18">
        <v>27</v>
      </c>
      <c r="F246" s="19">
        <v>2503.37</v>
      </c>
      <c r="G246" s="20">
        <v>2E-3</v>
      </c>
      <c r="H246" s="21">
        <v>5.1749000000000003E-2</v>
      </c>
      <c r="I246" s="37"/>
      <c r="J246" s="2"/>
    </row>
    <row r="247" spans="1:10" ht="12.95" customHeight="1">
      <c r="A247" s="16" t="s">
        <v>3676</v>
      </c>
      <c r="B247" s="17" t="s">
        <v>3677</v>
      </c>
      <c r="C247" s="13" t="s">
        <v>3678</v>
      </c>
      <c r="D247" s="13" t="s">
        <v>1296</v>
      </c>
      <c r="E247" s="18">
        <v>27</v>
      </c>
      <c r="F247" s="19">
        <v>2469</v>
      </c>
      <c r="G247" s="20">
        <v>2E-3</v>
      </c>
      <c r="H247" s="21">
        <v>5.2499999999999998E-2</v>
      </c>
      <c r="I247" s="37"/>
      <c r="J247" s="2"/>
    </row>
    <row r="248" spans="1:10" ht="12.95" customHeight="1">
      <c r="A248" s="16" t="s">
        <v>1303</v>
      </c>
      <c r="B248" s="17" t="s">
        <v>1304</v>
      </c>
      <c r="C248" s="13" t="s">
        <v>1305</v>
      </c>
      <c r="D248" s="13" t="s">
        <v>1296</v>
      </c>
      <c r="E248" s="18">
        <v>21</v>
      </c>
      <c r="F248" s="19">
        <v>1892.85</v>
      </c>
      <c r="G248" s="20">
        <v>1.5E-3</v>
      </c>
      <c r="H248" s="21">
        <v>5.33E-2</v>
      </c>
      <c r="I248" s="37"/>
      <c r="J248" s="2"/>
    </row>
    <row r="249" spans="1:10" ht="12.95" customHeight="1">
      <c r="A249" s="16" t="s">
        <v>1297</v>
      </c>
      <c r="B249" s="17" t="s">
        <v>1298</v>
      </c>
      <c r="C249" s="13" t="s">
        <v>1299</v>
      </c>
      <c r="D249" s="13" t="s">
        <v>1296</v>
      </c>
      <c r="E249" s="18">
        <v>13</v>
      </c>
      <c r="F249" s="19">
        <v>1144.99</v>
      </c>
      <c r="G249" s="20">
        <v>8.9999999999999998E-4</v>
      </c>
      <c r="H249" s="21">
        <v>5.8000000000000003E-2</v>
      </c>
      <c r="I249" s="37"/>
      <c r="J249" s="2"/>
    </row>
    <row r="250" spans="1:10" ht="12.95" customHeight="1">
      <c r="A250" s="16" t="s">
        <v>2677</v>
      </c>
      <c r="B250" s="17" t="s">
        <v>2678</v>
      </c>
      <c r="C250" s="13" t="s">
        <v>2679</v>
      </c>
      <c r="D250" s="13" t="s">
        <v>1296</v>
      </c>
      <c r="E250" s="18">
        <v>7</v>
      </c>
      <c r="F250" s="19">
        <v>585.83000000000004</v>
      </c>
      <c r="G250" s="20">
        <v>5.0000000000000001E-4</v>
      </c>
      <c r="H250" s="21">
        <v>6.1149000000000002E-2</v>
      </c>
      <c r="I250" s="37"/>
      <c r="J250" s="2"/>
    </row>
    <row r="251" spans="1:10" ht="12.95" customHeight="1">
      <c r="A251" s="16" t="s">
        <v>2371</v>
      </c>
      <c r="B251" s="17" t="s">
        <v>2372</v>
      </c>
      <c r="C251" s="13" t="s">
        <v>2373</v>
      </c>
      <c r="D251" s="13" t="s">
        <v>1296</v>
      </c>
      <c r="E251" s="18">
        <v>5</v>
      </c>
      <c r="F251" s="19">
        <v>488.87</v>
      </c>
      <c r="G251" s="20">
        <v>4.0000000000000002E-4</v>
      </c>
      <c r="H251" s="21">
        <v>4.5650000000000003E-2</v>
      </c>
      <c r="I251" s="37"/>
      <c r="J251" s="2"/>
    </row>
    <row r="252" spans="1:10" ht="12.95" customHeight="1">
      <c r="A252" s="16" t="s">
        <v>3679</v>
      </c>
      <c r="B252" s="17" t="s">
        <v>3680</v>
      </c>
      <c r="C252" s="13" t="s">
        <v>3681</v>
      </c>
      <c r="D252" s="13" t="s">
        <v>1296</v>
      </c>
      <c r="E252" s="18">
        <v>5</v>
      </c>
      <c r="F252" s="19">
        <v>482.9</v>
      </c>
      <c r="G252" s="20">
        <v>4.0000000000000002E-4</v>
      </c>
      <c r="H252" s="21">
        <v>4.7350000000000003E-2</v>
      </c>
      <c r="I252" s="37"/>
      <c r="J252" s="2"/>
    </row>
    <row r="253" spans="1:10" ht="12.95" customHeight="1">
      <c r="A253" s="16" t="s">
        <v>2374</v>
      </c>
      <c r="B253" s="17" t="s">
        <v>2375</v>
      </c>
      <c r="C253" s="13" t="s">
        <v>2376</v>
      </c>
      <c r="D253" s="13" t="s">
        <v>1296</v>
      </c>
      <c r="E253" s="18">
        <v>5</v>
      </c>
      <c r="F253" s="19">
        <v>476.89</v>
      </c>
      <c r="G253" s="20">
        <v>4.0000000000000002E-4</v>
      </c>
      <c r="H253" s="21">
        <v>4.845E-2</v>
      </c>
      <c r="I253" s="37"/>
      <c r="J253" s="2"/>
    </row>
    <row r="254" spans="1:10" ht="12.95" customHeight="1">
      <c r="A254" s="16" t="s">
        <v>1293</v>
      </c>
      <c r="B254" s="17" t="s">
        <v>1294</v>
      </c>
      <c r="C254" s="13" t="s">
        <v>1295</v>
      </c>
      <c r="D254" s="13" t="s">
        <v>1296</v>
      </c>
      <c r="E254" s="18">
        <v>5</v>
      </c>
      <c r="F254" s="19">
        <v>469.87</v>
      </c>
      <c r="G254" s="20">
        <v>4.0000000000000002E-4</v>
      </c>
      <c r="H254" s="21">
        <v>5.0899E-2</v>
      </c>
      <c r="I254" s="37"/>
      <c r="J254" s="2"/>
    </row>
    <row r="255" spans="1:10" ht="12.95" customHeight="1">
      <c r="A255" s="2"/>
      <c r="B255" s="12" t="s">
        <v>172</v>
      </c>
      <c r="C255" s="13"/>
      <c r="D255" s="13"/>
      <c r="E255" s="13"/>
      <c r="F255" s="23">
        <v>15664</v>
      </c>
      <c r="G255" s="24">
        <v>1.2699999999999999E-2</v>
      </c>
      <c r="H255" s="25"/>
      <c r="I255" s="26"/>
      <c r="J255" s="2"/>
    </row>
    <row r="256" spans="1:10" ht="12.95" customHeight="1">
      <c r="A256" s="2"/>
      <c r="B256" s="27" t="s">
        <v>173</v>
      </c>
      <c r="C256" s="1"/>
      <c r="D256" s="1"/>
      <c r="E256" s="1"/>
      <c r="F256" s="25" t="s">
        <v>204</v>
      </c>
      <c r="G256" s="25" t="s">
        <v>204</v>
      </c>
      <c r="H256" s="25"/>
      <c r="I256" s="26"/>
      <c r="J256" s="2"/>
    </row>
    <row r="257" spans="1:10" ht="12.95" customHeight="1">
      <c r="A257" s="2"/>
      <c r="B257" s="27" t="s">
        <v>172</v>
      </c>
      <c r="C257" s="1"/>
      <c r="D257" s="1"/>
      <c r="E257" s="1"/>
      <c r="F257" s="25" t="s">
        <v>204</v>
      </c>
      <c r="G257" s="25" t="s">
        <v>204</v>
      </c>
      <c r="H257" s="25"/>
      <c r="I257" s="26"/>
      <c r="J257" s="2"/>
    </row>
    <row r="258" spans="1:10" ht="12.95" customHeight="1">
      <c r="A258" s="2"/>
      <c r="B258" s="27" t="s">
        <v>177</v>
      </c>
      <c r="C258" s="28"/>
      <c r="D258" s="1"/>
      <c r="E258" s="28"/>
      <c r="F258" s="23">
        <v>1066744.6100000001</v>
      </c>
      <c r="G258" s="24">
        <v>0.8649</v>
      </c>
      <c r="H258" s="25"/>
      <c r="I258" s="26"/>
      <c r="J258" s="2"/>
    </row>
    <row r="259" spans="1:10" ht="12.95" customHeight="1">
      <c r="A259" s="2"/>
      <c r="B259" s="12" t="s">
        <v>656</v>
      </c>
      <c r="C259" s="13"/>
      <c r="D259" s="13"/>
      <c r="E259" s="13"/>
      <c r="F259" s="13"/>
      <c r="G259" s="13"/>
      <c r="H259" s="14"/>
      <c r="I259" s="15"/>
      <c r="J259" s="2"/>
    </row>
    <row r="260" spans="1:10" ht="12.95" customHeight="1">
      <c r="A260" s="2"/>
      <c r="B260" s="12" t="s">
        <v>657</v>
      </c>
      <c r="C260" s="13"/>
      <c r="D260" s="13"/>
      <c r="E260" s="13"/>
      <c r="F260" s="2"/>
      <c r="G260" s="14"/>
      <c r="H260" s="14"/>
      <c r="I260" s="15"/>
      <c r="J260" s="2"/>
    </row>
    <row r="261" spans="1:10" ht="12.95" customHeight="1">
      <c r="A261" s="16" t="s">
        <v>1306</v>
      </c>
      <c r="B261" s="17" t="s">
        <v>1307</v>
      </c>
      <c r="C261" s="13" t="s">
        <v>1308</v>
      </c>
      <c r="D261" s="13" t="s">
        <v>661</v>
      </c>
      <c r="E261" s="18">
        <v>10000</v>
      </c>
      <c r="F261" s="19">
        <v>9722.75</v>
      </c>
      <c r="G261" s="20">
        <v>7.9000000000000008E-3</v>
      </c>
      <c r="H261" s="21">
        <v>4.1799999999999997E-2</v>
      </c>
      <c r="I261" s="37"/>
      <c r="J261" s="2"/>
    </row>
    <row r="262" spans="1:10" ht="12.95" customHeight="1">
      <c r="A262" s="16" t="s">
        <v>3682</v>
      </c>
      <c r="B262" s="17" t="s">
        <v>3683</v>
      </c>
      <c r="C262" s="13" t="s">
        <v>3684</v>
      </c>
      <c r="D262" s="13" t="s">
        <v>3685</v>
      </c>
      <c r="E262" s="18">
        <v>2500</v>
      </c>
      <c r="F262" s="19">
        <v>2467.83</v>
      </c>
      <c r="G262" s="20">
        <v>2E-3</v>
      </c>
      <c r="H262" s="21">
        <v>3.6600000000000001E-2</v>
      </c>
      <c r="I262" s="37"/>
      <c r="J262" s="2"/>
    </row>
    <row r="263" spans="1:10" ht="12.95" customHeight="1">
      <c r="A263" s="16" t="s">
        <v>3004</v>
      </c>
      <c r="B263" s="17" t="s">
        <v>3005</v>
      </c>
      <c r="C263" s="13" t="s">
        <v>3006</v>
      </c>
      <c r="D263" s="13" t="s">
        <v>661</v>
      </c>
      <c r="E263" s="18">
        <v>2500</v>
      </c>
      <c r="F263" s="19">
        <v>2459.08</v>
      </c>
      <c r="G263" s="20">
        <v>2E-3</v>
      </c>
      <c r="H263" s="21">
        <v>3.8199999999999998E-2</v>
      </c>
      <c r="I263" s="37"/>
      <c r="J263" s="2"/>
    </row>
    <row r="264" spans="1:10" ht="12.95" customHeight="1">
      <c r="A264" s="2"/>
      <c r="B264" s="12" t="s">
        <v>172</v>
      </c>
      <c r="C264" s="13"/>
      <c r="D264" s="13"/>
      <c r="E264" s="13"/>
      <c r="F264" s="23">
        <v>14649.66</v>
      </c>
      <c r="G264" s="24">
        <v>1.1900000000000001E-2</v>
      </c>
      <c r="H264" s="25"/>
      <c r="I264" s="26"/>
      <c r="J264" s="2"/>
    </row>
    <row r="265" spans="1:10" ht="12.95" customHeight="1">
      <c r="A265" s="2"/>
      <c r="B265" s="12" t="s">
        <v>662</v>
      </c>
      <c r="C265" s="13"/>
      <c r="D265" s="13"/>
      <c r="E265" s="13"/>
      <c r="F265" s="2"/>
      <c r="G265" s="14"/>
      <c r="H265" s="14"/>
      <c r="I265" s="15"/>
      <c r="J265" s="2"/>
    </row>
    <row r="266" spans="1:10" ht="12.95" customHeight="1">
      <c r="A266" s="16" t="s">
        <v>3031</v>
      </c>
      <c r="B266" s="17" t="s">
        <v>3032</v>
      </c>
      <c r="C266" s="13" t="s">
        <v>3033</v>
      </c>
      <c r="D266" s="13" t="s">
        <v>661</v>
      </c>
      <c r="E266" s="18">
        <v>3000</v>
      </c>
      <c r="F266" s="19">
        <v>14588.45</v>
      </c>
      <c r="G266" s="20">
        <v>1.18E-2</v>
      </c>
      <c r="H266" s="21">
        <v>4.2549999999999998E-2</v>
      </c>
      <c r="I266" s="37"/>
      <c r="J266" s="2"/>
    </row>
    <row r="267" spans="1:10" ht="12.95" customHeight="1">
      <c r="A267" s="16" t="s">
        <v>3686</v>
      </c>
      <c r="B267" s="17" t="s">
        <v>3687</v>
      </c>
      <c r="C267" s="13" t="s">
        <v>3688</v>
      </c>
      <c r="D267" s="13" t="s">
        <v>661</v>
      </c>
      <c r="E267" s="18">
        <v>1000</v>
      </c>
      <c r="F267" s="19">
        <v>4931.4799999999996</v>
      </c>
      <c r="G267" s="20">
        <v>4.0000000000000001E-3</v>
      </c>
      <c r="H267" s="21">
        <v>4.0250000000000001E-2</v>
      </c>
      <c r="I267" s="37"/>
      <c r="J267" s="2"/>
    </row>
    <row r="268" spans="1:10" ht="12.95" customHeight="1">
      <c r="A268" s="16" t="s">
        <v>3689</v>
      </c>
      <c r="B268" s="17" t="s">
        <v>3690</v>
      </c>
      <c r="C268" s="13" t="s">
        <v>3691</v>
      </c>
      <c r="D268" s="13" t="s">
        <v>661</v>
      </c>
      <c r="E268" s="18">
        <v>800</v>
      </c>
      <c r="F268" s="19">
        <v>3946.6</v>
      </c>
      <c r="G268" s="20">
        <v>3.2000000000000002E-3</v>
      </c>
      <c r="H268" s="21">
        <v>4.1500000000000002E-2</v>
      </c>
      <c r="I268" s="37"/>
      <c r="J268" s="2"/>
    </row>
    <row r="269" spans="1:10" ht="12.95" customHeight="1">
      <c r="A269" s="2"/>
      <c r="B269" s="12" t="s">
        <v>172</v>
      </c>
      <c r="C269" s="13"/>
      <c r="D269" s="13"/>
      <c r="E269" s="13"/>
      <c r="F269" s="23">
        <v>23466.53</v>
      </c>
      <c r="G269" s="24">
        <v>1.9E-2</v>
      </c>
      <c r="H269" s="25"/>
      <c r="I269" s="26"/>
      <c r="J269" s="2"/>
    </row>
    <row r="270" spans="1:10" ht="12.95" customHeight="1">
      <c r="A270" s="2"/>
      <c r="B270" s="12" t="s">
        <v>1316</v>
      </c>
      <c r="C270" s="13"/>
      <c r="D270" s="13"/>
      <c r="E270" s="13"/>
      <c r="F270" s="2"/>
      <c r="G270" s="14"/>
      <c r="H270" s="14"/>
      <c r="I270" s="15"/>
      <c r="J270" s="2"/>
    </row>
    <row r="271" spans="1:10" ht="12.95" customHeight="1">
      <c r="A271" s="16" t="s">
        <v>1317</v>
      </c>
      <c r="B271" s="17" t="s">
        <v>1318</v>
      </c>
      <c r="C271" s="13" t="s">
        <v>1319</v>
      </c>
      <c r="D271" s="13" t="s">
        <v>200</v>
      </c>
      <c r="E271" s="18">
        <v>26500000</v>
      </c>
      <c r="F271" s="19">
        <v>26294.76</v>
      </c>
      <c r="G271" s="20">
        <v>2.1299999999999999E-2</v>
      </c>
      <c r="H271" s="21">
        <v>3.4325000000000001E-2</v>
      </c>
      <c r="I271" s="37"/>
      <c r="J271" s="2"/>
    </row>
    <row r="272" spans="1:10" ht="12.95" customHeight="1">
      <c r="A272" s="16" t="s">
        <v>2908</v>
      </c>
      <c r="B272" s="17" t="s">
        <v>2909</v>
      </c>
      <c r="C272" s="13" t="s">
        <v>2910</v>
      </c>
      <c r="D272" s="13" t="s">
        <v>200</v>
      </c>
      <c r="E272" s="18">
        <v>20000000</v>
      </c>
      <c r="F272" s="19">
        <v>19858.28</v>
      </c>
      <c r="G272" s="20">
        <v>1.61E-2</v>
      </c>
      <c r="H272" s="21">
        <v>3.4277000000000002E-2</v>
      </c>
      <c r="I272" s="37"/>
      <c r="J272" s="2"/>
    </row>
    <row r="273" spans="1:10" ht="12.95" customHeight="1">
      <c r="A273" s="2"/>
      <c r="B273" s="12" t="s">
        <v>172</v>
      </c>
      <c r="C273" s="13"/>
      <c r="D273" s="13"/>
      <c r="E273" s="13"/>
      <c r="F273" s="23">
        <v>46153.04</v>
      </c>
      <c r="G273" s="24">
        <v>3.7400000000000003E-2</v>
      </c>
      <c r="H273" s="25"/>
      <c r="I273" s="26"/>
      <c r="J273" s="2"/>
    </row>
    <row r="274" spans="1:10" ht="12.95" customHeight="1">
      <c r="A274" s="2"/>
      <c r="B274" s="27" t="s">
        <v>177</v>
      </c>
      <c r="C274" s="28"/>
      <c r="D274" s="1"/>
      <c r="E274" s="28"/>
      <c r="F274" s="23">
        <v>84269.23</v>
      </c>
      <c r="G274" s="24">
        <v>6.83E-2</v>
      </c>
      <c r="H274" s="25"/>
      <c r="I274" s="26"/>
      <c r="J274" s="2"/>
    </row>
    <row r="275" spans="1:10" ht="12.95" customHeight="1">
      <c r="A275" s="2"/>
      <c r="B275" s="12" t="s">
        <v>219</v>
      </c>
      <c r="C275" s="13"/>
      <c r="D275" s="13"/>
      <c r="E275" s="13"/>
      <c r="F275" s="13"/>
      <c r="G275" s="13"/>
      <c r="H275" s="14"/>
      <c r="I275" s="15"/>
      <c r="J275" s="2"/>
    </row>
    <row r="276" spans="1:10" ht="12.95" customHeight="1">
      <c r="A276" s="2"/>
      <c r="B276" s="12" t="s">
        <v>220</v>
      </c>
      <c r="C276" s="13"/>
      <c r="D276" s="13"/>
      <c r="E276" s="13"/>
      <c r="F276" s="2"/>
      <c r="G276" s="14"/>
      <c r="H276" s="14"/>
      <c r="I276" s="15"/>
      <c r="J276" s="2"/>
    </row>
    <row r="277" spans="1:10" ht="12.95" customHeight="1">
      <c r="A277" s="16" t="s">
        <v>231</v>
      </c>
      <c r="B277" s="17" t="s">
        <v>232</v>
      </c>
      <c r="C277" s="13" t="s">
        <v>233</v>
      </c>
      <c r="D277" s="13"/>
      <c r="E277" s="18">
        <v>849957.50199999998</v>
      </c>
      <c r="F277" s="19">
        <v>8575.35</v>
      </c>
      <c r="G277" s="20">
        <v>7.0000000000000001E-3</v>
      </c>
      <c r="H277" s="21"/>
      <c r="I277" s="37"/>
      <c r="J277" s="2"/>
    </row>
    <row r="278" spans="1:10" ht="12.95" customHeight="1">
      <c r="A278" s="2"/>
      <c r="B278" s="12" t="s">
        <v>172</v>
      </c>
      <c r="C278" s="13"/>
      <c r="D278" s="13"/>
      <c r="E278" s="13"/>
      <c r="F278" s="23">
        <v>8575.35</v>
      </c>
      <c r="G278" s="24">
        <v>7.0000000000000001E-3</v>
      </c>
      <c r="H278" s="25"/>
      <c r="I278" s="26"/>
      <c r="J278" s="2"/>
    </row>
    <row r="279" spans="1:10" ht="12.95" customHeight="1">
      <c r="A279" s="2"/>
      <c r="B279" s="27" t="s">
        <v>177</v>
      </c>
      <c r="C279" s="28"/>
      <c r="D279" s="1"/>
      <c r="E279" s="28"/>
      <c r="F279" s="23">
        <v>8575.35</v>
      </c>
      <c r="G279" s="24">
        <v>7.0000000000000001E-3</v>
      </c>
      <c r="H279" s="25"/>
      <c r="I279" s="26"/>
      <c r="J279" s="2"/>
    </row>
    <row r="280" spans="1:10" ht="12.95" customHeight="1">
      <c r="A280" s="2"/>
      <c r="B280" s="12" t="s">
        <v>178</v>
      </c>
      <c r="C280" s="13"/>
      <c r="D280" s="13"/>
      <c r="E280" s="13"/>
      <c r="F280" s="13"/>
      <c r="G280" s="13"/>
      <c r="H280" s="14"/>
      <c r="I280" s="15"/>
      <c r="J280" s="2"/>
    </row>
    <row r="281" spans="1:10" ht="12.95" customHeight="1">
      <c r="A281" s="16" t="s">
        <v>179</v>
      </c>
      <c r="B281" s="17" t="s">
        <v>180</v>
      </c>
      <c r="C281" s="13"/>
      <c r="D281" s="13"/>
      <c r="E281" s="18"/>
      <c r="F281" s="19">
        <v>65965.05</v>
      </c>
      <c r="G281" s="20">
        <v>5.3499999999999999E-2</v>
      </c>
      <c r="H281" s="21">
        <v>3.3046325052060288E-2</v>
      </c>
      <c r="I281" s="37"/>
      <c r="J281" s="2"/>
    </row>
    <row r="282" spans="1:10" ht="12.95" customHeight="1">
      <c r="A282" s="2"/>
      <c r="B282" s="12" t="s">
        <v>172</v>
      </c>
      <c r="C282" s="13"/>
      <c r="D282" s="13"/>
      <c r="E282" s="13"/>
      <c r="F282" s="23">
        <v>65965.05</v>
      </c>
      <c r="G282" s="24">
        <v>5.3499999999999999E-2</v>
      </c>
      <c r="H282" s="25"/>
      <c r="I282" s="26"/>
      <c r="J282" s="2"/>
    </row>
    <row r="283" spans="1:10" ht="12.95" customHeight="1">
      <c r="A283" s="2"/>
      <c r="B283" s="27" t="s">
        <v>173</v>
      </c>
      <c r="C283" s="1"/>
      <c r="D283" s="1"/>
      <c r="E283" s="1"/>
      <c r="F283" s="25" t="s">
        <v>204</v>
      </c>
      <c r="G283" s="25" t="s">
        <v>204</v>
      </c>
      <c r="H283" s="25"/>
      <c r="I283" s="26"/>
      <c r="J283" s="2"/>
    </row>
    <row r="284" spans="1:10" ht="12.95" customHeight="1">
      <c r="A284" s="2"/>
      <c r="B284" s="27" t="s">
        <v>172</v>
      </c>
      <c r="C284" s="1"/>
      <c r="D284" s="1"/>
      <c r="E284" s="1"/>
      <c r="F284" s="25" t="s">
        <v>204</v>
      </c>
      <c r="G284" s="25" t="s">
        <v>204</v>
      </c>
      <c r="H284" s="25"/>
      <c r="I284" s="26"/>
      <c r="J284" s="2"/>
    </row>
    <row r="285" spans="1:10" ht="12.95" customHeight="1">
      <c r="A285" s="2"/>
      <c r="B285" s="27" t="s">
        <v>177</v>
      </c>
      <c r="C285" s="28"/>
      <c r="D285" s="1"/>
      <c r="E285" s="28"/>
      <c r="F285" s="23">
        <v>65965.05</v>
      </c>
      <c r="G285" s="24">
        <v>5.3499999999999999E-2</v>
      </c>
      <c r="H285" s="25"/>
      <c r="I285" s="26"/>
      <c r="J285" s="2"/>
    </row>
    <row r="286" spans="1:10" ht="12.95" customHeight="1">
      <c r="A286" s="2"/>
      <c r="B286" s="27" t="s">
        <v>181</v>
      </c>
      <c r="C286" s="13"/>
      <c r="D286" s="1"/>
      <c r="E286" s="13"/>
      <c r="F286" s="29">
        <v>8220.7099999999991</v>
      </c>
      <c r="G286" s="24">
        <v>6.1000000000000004E-3</v>
      </c>
      <c r="H286" s="25"/>
      <c r="I286" s="26"/>
      <c r="J286" s="2"/>
    </row>
    <row r="287" spans="1:10" ht="12.95" customHeight="1">
      <c r="A287" s="2"/>
      <c r="B287" s="30" t="s">
        <v>182</v>
      </c>
      <c r="C287" s="31"/>
      <c r="D287" s="31"/>
      <c r="E287" s="31"/>
      <c r="F287" s="32">
        <v>1233834.56</v>
      </c>
      <c r="G287" s="33">
        <v>1</v>
      </c>
      <c r="H287" s="34"/>
      <c r="I287" s="35"/>
      <c r="J287" s="2"/>
    </row>
    <row r="288" spans="1:10" ht="12.95" customHeight="1">
      <c r="A288" s="2"/>
      <c r="B288" s="5"/>
      <c r="C288" s="2"/>
      <c r="D288" s="2"/>
      <c r="E288" s="2"/>
      <c r="F288" s="2"/>
      <c r="G288" s="2"/>
      <c r="H288" s="2"/>
      <c r="I288" s="2"/>
      <c r="J288" s="2"/>
    </row>
    <row r="289" spans="1:10" ht="12.95" customHeight="1">
      <c r="A289" s="2"/>
      <c r="B289" s="3" t="s">
        <v>1320</v>
      </c>
      <c r="C289" s="2"/>
      <c r="D289" s="2"/>
      <c r="E289" s="2"/>
      <c r="F289" s="2"/>
      <c r="G289" s="2"/>
      <c r="H289" s="2"/>
      <c r="I289" s="2"/>
      <c r="J289" s="2"/>
    </row>
    <row r="290" spans="1:10" ht="12.95" customHeight="1">
      <c r="A290" s="2"/>
      <c r="B290" s="3" t="s">
        <v>184</v>
      </c>
      <c r="C290" s="2"/>
      <c r="D290" s="2"/>
      <c r="E290" s="2"/>
      <c r="F290" s="2"/>
      <c r="G290" s="2"/>
      <c r="H290" s="2"/>
      <c r="I290" s="2"/>
      <c r="J290" s="2"/>
    </row>
    <row r="291" spans="1:10" ht="12.95" customHeight="1">
      <c r="A291" s="2"/>
      <c r="B291" s="3" t="s">
        <v>185</v>
      </c>
      <c r="C291" s="2"/>
      <c r="D291" s="2"/>
      <c r="E291" s="2"/>
      <c r="F291" s="2"/>
      <c r="G291" s="2"/>
      <c r="H291" s="2"/>
      <c r="I291" s="2"/>
      <c r="J291" s="2"/>
    </row>
    <row r="292" spans="1:10" ht="12.95" customHeight="1">
      <c r="A292" s="2"/>
      <c r="B292" s="3" t="s">
        <v>678</v>
      </c>
      <c r="C292" s="2"/>
      <c r="D292" s="2"/>
      <c r="E292" s="2"/>
      <c r="F292" s="2"/>
      <c r="G292" s="2"/>
      <c r="H292" s="2"/>
      <c r="I292" s="2"/>
      <c r="J292" s="2"/>
    </row>
    <row r="293" spans="1:10" ht="12.95" customHeight="1">
      <c r="A293" s="2"/>
      <c r="B293" s="3" t="s">
        <v>186</v>
      </c>
      <c r="C293" s="2"/>
      <c r="D293" s="2"/>
      <c r="E293" s="2"/>
      <c r="F293" s="2"/>
      <c r="G293" s="2"/>
      <c r="H293" s="2"/>
      <c r="I293" s="2"/>
      <c r="J293" s="2"/>
    </row>
    <row r="294" spans="1:10" ht="23.25" customHeight="1">
      <c r="A294" s="2"/>
      <c r="B294" s="189" t="s">
        <v>4025</v>
      </c>
      <c r="C294" s="189"/>
      <c r="D294" s="189"/>
      <c r="E294" s="189"/>
      <c r="F294" s="189"/>
      <c r="G294" s="189"/>
      <c r="H294" s="189"/>
      <c r="I294" s="189"/>
      <c r="J294" s="2"/>
    </row>
    <row r="295" spans="1:10" ht="12.95" customHeight="1">
      <c r="A295" s="2"/>
      <c r="B295" s="3"/>
      <c r="C295" s="2"/>
      <c r="D295" s="2"/>
      <c r="E295" s="2"/>
      <c r="F295" s="2"/>
      <c r="G295" s="2"/>
      <c r="H295" s="2"/>
      <c r="I295" s="2"/>
      <c r="J295" s="2"/>
    </row>
    <row r="296" spans="1:10">
      <c r="C296" s="111" t="s">
        <v>3972</v>
      </c>
    </row>
    <row r="297" spans="1:10">
      <c r="B297" s="111" t="s">
        <v>3933</v>
      </c>
      <c r="C297" s="111" t="s">
        <v>3934</v>
      </c>
    </row>
  </sheetData>
  <mergeCells count="2">
    <mergeCell ref="B2:I2"/>
    <mergeCell ref="B294:I294"/>
  </mergeCells>
  <hyperlinks>
    <hyperlink ref="A2" location="Index!A1" display="Index"/>
  </hyperlinks>
  <pageMargins left="0" right="0" top="0" bottom="0" header="0" footer="0"/>
  <pageSetup orientation="landscape"/>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87"/>
  <sheetViews>
    <sheetView workbookViewId="0"/>
  </sheetViews>
  <sheetFormatPr defaultRowHeight="15"/>
  <cols>
    <col min="1" max="1" width="3.28515625" customWidth="1"/>
    <col min="2" max="2" width="71.28515625" customWidth="1"/>
    <col min="3" max="3" width="28.28515625" bestFit="1" customWidth="1"/>
    <col min="4" max="4" width="33.28515625" customWidth="1"/>
    <col min="5" max="5" width="25.7109375" customWidth="1"/>
    <col min="6" max="6" width="25" customWidth="1"/>
    <col min="7" max="9" width="10.7109375" customWidth="1"/>
    <col min="10" max="10" width="3.85546875" bestFit="1" customWidth="1"/>
  </cols>
  <sheetData>
    <row r="1" spans="1:13" ht="15.75" thickBot="1">
      <c r="A1" s="108" t="str">
        <f>M2</f>
        <v>AXISTAA</v>
      </c>
    </row>
    <row r="2" spans="1:13" ht="34.5" customHeight="1" thickBot="1">
      <c r="A2" s="135" t="str">
        <f>M2</f>
        <v>AXISTAA</v>
      </c>
      <c r="B2" s="186" t="s">
        <v>107</v>
      </c>
      <c r="C2" s="187"/>
      <c r="D2" s="187"/>
      <c r="E2" s="187"/>
      <c r="F2" s="187"/>
      <c r="G2" s="187"/>
      <c r="H2" s="187"/>
      <c r="I2" s="188"/>
      <c r="J2" s="2"/>
      <c r="M2" s="108" t="s">
        <v>106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860</v>
      </c>
      <c r="C6" s="13"/>
      <c r="D6" s="13"/>
      <c r="E6" s="13"/>
      <c r="F6" s="13"/>
      <c r="G6" s="13"/>
      <c r="H6" s="14"/>
      <c r="I6" s="15"/>
      <c r="J6" s="2"/>
    </row>
    <row r="7" spans="1:13" ht="12.95" customHeight="1">
      <c r="A7" s="2"/>
      <c r="B7" s="12" t="s">
        <v>3920</v>
      </c>
      <c r="C7" s="13"/>
      <c r="D7" s="13"/>
      <c r="E7" s="13"/>
      <c r="F7" s="2"/>
      <c r="G7" s="14"/>
      <c r="H7" s="14"/>
      <c r="I7" s="15"/>
      <c r="J7" s="2"/>
    </row>
    <row r="8" spans="1:13" ht="12.95" customHeight="1">
      <c r="A8" s="16" t="s">
        <v>3692</v>
      </c>
      <c r="B8" s="103" t="s">
        <v>4021</v>
      </c>
      <c r="C8" s="13"/>
      <c r="D8" s="13"/>
      <c r="E8" s="18"/>
      <c r="F8" s="19">
        <f>-5013.11+5000</f>
        <v>-13.109999999999673</v>
      </c>
      <c r="G8" s="20">
        <v>0</v>
      </c>
      <c r="H8" s="21">
        <v>4.36E-2</v>
      </c>
      <c r="I8" s="22"/>
      <c r="J8" s="2"/>
    </row>
    <row r="9" spans="1:13" ht="12.95" customHeight="1">
      <c r="A9" s="16" t="s">
        <v>3693</v>
      </c>
      <c r="B9" s="103" t="s">
        <v>4022</v>
      </c>
      <c r="C9" s="13"/>
      <c r="D9" s="13"/>
      <c r="E9" s="18"/>
      <c r="F9" s="19">
        <f>-9999.14+10000</f>
        <v>0.86000000000058208</v>
      </c>
      <c r="G9" s="20">
        <v>0</v>
      </c>
      <c r="H9" s="21">
        <v>3.5727500000000002E-2</v>
      </c>
      <c r="I9" s="22"/>
      <c r="J9" s="2"/>
    </row>
    <row r="10" spans="1:13" ht="12.95" customHeight="1">
      <c r="A10" s="2"/>
      <c r="B10" s="12" t="s">
        <v>172</v>
      </c>
      <c r="C10" s="13"/>
      <c r="D10" s="13"/>
      <c r="E10" s="13"/>
      <c r="F10" s="23">
        <v>-12.25</v>
      </c>
      <c r="G10" s="24">
        <v>0</v>
      </c>
      <c r="H10" s="25"/>
      <c r="I10" s="26"/>
      <c r="J10" s="2"/>
    </row>
    <row r="11" spans="1:13" ht="12.95" customHeight="1">
      <c r="A11" s="2"/>
      <c r="B11" s="27" t="s">
        <v>177</v>
      </c>
      <c r="C11" s="28"/>
      <c r="D11" s="1"/>
      <c r="E11" s="28"/>
      <c r="F11" s="23">
        <v>-12.25</v>
      </c>
      <c r="G11" s="24">
        <v>0</v>
      </c>
      <c r="H11" s="25"/>
      <c r="I11" s="26"/>
      <c r="J11" s="2"/>
    </row>
    <row r="12" spans="1:13" ht="12.95" customHeight="1">
      <c r="A12" s="2"/>
      <c r="B12" s="12" t="s">
        <v>127</v>
      </c>
      <c r="C12" s="13"/>
      <c r="D12" s="13"/>
      <c r="E12" s="13"/>
      <c r="F12" s="13"/>
      <c r="G12" s="13"/>
      <c r="H12" s="14"/>
      <c r="I12" s="15"/>
      <c r="J12" s="2"/>
    </row>
    <row r="13" spans="1:13" ht="12.95" customHeight="1">
      <c r="A13" s="2"/>
      <c r="B13" s="12" t="s">
        <v>128</v>
      </c>
      <c r="C13" s="13"/>
      <c r="D13" s="13"/>
      <c r="E13" s="13"/>
      <c r="F13" s="2"/>
      <c r="G13" s="14"/>
      <c r="H13" s="14"/>
      <c r="I13" s="15"/>
      <c r="J13" s="2"/>
    </row>
    <row r="14" spans="1:13" ht="12.95" customHeight="1">
      <c r="A14" s="16" t="s">
        <v>332</v>
      </c>
      <c r="B14" s="17" t="s">
        <v>333</v>
      </c>
      <c r="C14" s="13" t="s">
        <v>334</v>
      </c>
      <c r="D14" s="13" t="s">
        <v>171</v>
      </c>
      <c r="E14" s="18">
        <v>2750</v>
      </c>
      <c r="F14" s="19">
        <v>27568.09</v>
      </c>
      <c r="G14" s="20">
        <v>2.6200000000000001E-2</v>
      </c>
      <c r="H14" s="21">
        <v>4.2549999999999998E-2</v>
      </c>
      <c r="I14" s="22"/>
      <c r="J14" s="2"/>
    </row>
    <row r="15" spans="1:13" ht="12.95" customHeight="1">
      <c r="A15" s="16" t="s">
        <v>1048</v>
      </c>
      <c r="B15" s="17" t="s">
        <v>1049</v>
      </c>
      <c r="C15" s="13" t="s">
        <v>1050</v>
      </c>
      <c r="D15" s="13" t="s">
        <v>200</v>
      </c>
      <c r="E15" s="18">
        <v>25500000</v>
      </c>
      <c r="F15" s="19">
        <v>25965.55</v>
      </c>
      <c r="G15" s="20">
        <v>2.47E-2</v>
      </c>
      <c r="H15" s="21"/>
      <c r="I15" s="22"/>
      <c r="J15" s="2"/>
    </row>
    <row r="16" spans="1:13" ht="12.95" customHeight="1">
      <c r="A16" s="16" t="s">
        <v>260</v>
      </c>
      <c r="B16" s="17" t="s">
        <v>261</v>
      </c>
      <c r="C16" s="13" t="s">
        <v>262</v>
      </c>
      <c r="D16" s="13" t="s">
        <v>132</v>
      </c>
      <c r="E16" s="18">
        <v>1720</v>
      </c>
      <c r="F16" s="19">
        <v>17673.599999999999</v>
      </c>
      <c r="G16" s="20">
        <v>1.6799999999999999E-2</v>
      </c>
      <c r="H16" s="21">
        <v>4.2200000000000001E-2</v>
      </c>
      <c r="I16" s="22"/>
      <c r="J16" s="2"/>
    </row>
    <row r="17" spans="1:10" ht="12.95" customHeight="1">
      <c r="A17" s="16" t="s">
        <v>356</v>
      </c>
      <c r="B17" s="17" t="s">
        <v>357</v>
      </c>
      <c r="C17" s="13" t="s">
        <v>358</v>
      </c>
      <c r="D17" s="13" t="s">
        <v>132</v>
      </c>
      <c r="E17" s="18">
        <v>1600</v>
      </c>
      <c r="F17" s="19">
        <v>16094.4</v>
      </c>
      <c r="G17" s="20">
        <v>1.5299999999999999E-2</v>
      </c>
      <c r="H17" s="21">
        <v>4.6634000000000002E-2</v>
      </c>
      <c r="I17" s="22"/>
      <c r="J17" s="2"/>
    </row>
    <row r="18" spans="1:10" ht="12.95" customHeight="1">
      <c r="A18" s="16" t="s">
        <v>272</v>
      </c>
      <c r="B18" s="17" t="s">
        <v>273</v>
      </c>
      <c r="C18" s="13" t="s">
        <v>274</v>
      </c>
      <c r="D18" s="13" t="s">
        <v>132</v>
      </c>
      <c r="E18" s="18">
        <v>1550</v>
      </c>
      <c r="F18" s="19">
        <v>15945.58</v>
      </c>
      <c r="G18" s="20">
        <v>1.52E-2</v>
      </c>
      <c r="H18" s="21">
        <v>4.4499999999999998E-2</v>
      </c>
      <c r="I18" s="22"/>
      <c r="J18" s="2"/>
    </row>
    <row r="19" spans="1:10" ht="12.95" customHeight="1">
      <c r="A19" s="16" t="s">
        <v>2741</v>
      </c>
      <c r="B19" s="17" t="s">
        <v>2742</v>
      </c>
      <c r="C19" s="13" t="s">
        <v>2743</v>
      </c>
      <c r="D19" s="13" t="s">
        <v>1704</v>
      </c>
      <c r="E19" s="18">
        <v>1550</v>
      </c>
      <c r="F19" s="19">
        <v>15589.3</v>
      </c>
      <c r="G19" s="20">
        <v>1.4800000000000001E-2</v>
      </c>
      <c r="H19" s="21">
        <v>5.4545000000000003E-2</v>
      </c>
      <c r="I19" s="22"/>
      <c r="J19" s="2"/>
    </row>
    <row r="20" spans="1:10" ht="12.95" customHeight="1">
      <c r="A20" s="16" t="s">
        <v>1074</v>
      </c>
      <c r="B20" s="17" t="s">
        <v>1075</v>
      </c>
      <c r="C20" s="13" t="s">
        <v>1076</v>
      </c>
      <c r="D20" s="13" t="s">
        <v>200</v>
      </c>
      <c r="E20" s="18">
        <v>15000000</v>
      </c>
      <c r="F20" s="19">
        <v>14871.11</v>
      </c>
      <c r="G20" s="20">
        <v>1.4200000000000001E-2</v>
      </c>
      <c r="H20" s="21">
        <v>6.2170000000000003E-2</v>
      </c>
      <c r="I20" s="22"/>
      <c r="J20" s="2"/>
    </row>
    <row r="21" spans="1:10" ht="12.95" customHeight="1">
      <c r="A21" s="16" t="s">
        <v>2735</v>
      </c>
      <c r="B21" s="17" t="s">
        <v>2736</v>
      </c>
      <c r="C21" s="13" t="s">
        <v>2737</v>
      </c>
      <c r="D21" s="13" t="s">
        <v>1069</v>
      </c>
      <c r="E21" s="18">
        <v>1250</v>
      </c>
      <c r="F21" s="19">
        <v>12651.26</v>
      </c>
      <c r="G21" s="20">
        <v>1.2E-2</v>
      </c>
      <c r="H21" s="21">
        <v>5.8200000000000002E-2</v>
      </c>
      <c r="I21" s="22"/>
      <c r="J21" s="2"/>
    </row>
    <row r="22" spans="1:10" ht="12.95" customHeight="1">
      <c r="A22" s="16" t="s">
        <v>433</v>
      </c>
      <c r="B22" s="17" t="s">
        <v>434</v>
      </c>
      <c r="C22" s="13" t="s">
        <v>435</v>
      </c>
      <c r="D22" s="13" t="s">
        <v>171</v>
      </c>
      <c r="E22" s="18">
        <v>1250</v>
      </c>
      <c r="F22" s="19">
        <v>12581.55</v>
      </c>
      <c r="G22" s="20">
        <v>1.2E-2</v>
      </c>
      <c r="H22" s="21">
        <v>4.5650000000000003E-2</v>
      </c>
      <c r="I22" s="22"/>
      <c r="J22" s="2"/>
    </row>
    <row r="23" spans="1:10" ht="12.95" customHeight="1">
      <c r="A23" s="16" t="s">
        <v>439</v>
      </c>
      <c r="B23" s="17" t="s">
        <v>440</v>
      </c>
      <c r="C23" s="13" t="s">
        <v>441</v>
      </c>
      <c r="D23" s="13" t="s">
        <v>132</v>
      </c>
      <c r="E23" s="18">
        <v>1040</v>
      </c>
      <c r="F23" s="19">
        <v>10653.69</v>
      </c>
      <c r="G23" s="20">
        <v>1.01E-2</v>
      </c>
      <c r="H23" s="21">
        <v>4.2349999999999999E-2</v>
      </c>
      <c r="I23" s="22"/>
      <c r="J23" s="2"/>
    </row>
    <row r="24" spans="1:10" ht="12.95" customHeight="1">
      <c r="A24" s="16" t="s">
        <v>374</v>
      </c>
      <c r="B24" s="17" t="s">
        <v>375</v>
      </c>
      <c r="C24" s="13" t="s">
        <v>376</v>
      </c>
      <c r="D24" s="13" t="s">
        <v>132</v>
      </c>
      <c r="E24" s="18">
        <v>1000</v>
      </c>
      <c r="F24" s="19">
        <v>10356.91</v>
      </c>
      <c r="G24" s="20">
        <v>9.9000000000000008E-3</v>
      </c>
      <c r="H24" s="21">
        <v>4.7997999999999999E-2</v>
      </c>
      <c r="I24" s="22"/>
      <c r="J24" s="2"/>
    </row>
    <row r="25" spans="1:10" ht="12.95" customHeight="1">
      <c r="A25" s="16" t="s">
        <v>142</v>
      </c>
      <c r="B25" s="17" t="s">
        <v>143</v>
      </c>
      <c r="C25" s="13" t="s">
        <v>144</v>
      </c>
      <c r="D25" s="13" t="s">
        <v>132</v>
      </c>
      <c r="E25" s="18">
        <v>1000</v>
      </c>
      <c r="F25" s="19">
        <v>10154.790000000001</v>
      </c>
      <c r="G25" s="20">
        <v>9.7000000000000003E-3</v>
      </c>
      <c r="H25" s="21">
        <v>3.6999999999999998E-2</v>
      </c>
      <c r="I25" s="22"/>
      <c r="J25" s="2"/>
    </row>
    <row r="26" spans="1:10" ht="12.95" customHeight="1">
      <c r="A26" s="16" t="s">
        <v>3694</v>
      </c>
      <c r="B26" s="17" t="s">
        <v>3695</v>
      </c>
      <c r="C26" s="13" t="s">
        <v>3696</v>
      </c>
      <c r="D26" s="13" t="s">
        <v>2361</v>
      </c>
      <c r="E26" s="18">
        <v>1000</v>
      </c>
      <c r="F26" s="19">
        <v>10038.469999999999</v>
      </c>
      <c r="G26" s="20">
        <v>9.5999999999999992E-3</v>
      </c>
      <c r="H26" s="21">
        <v>7.6285000000000006E-2</v>
      </c>
      <c r="I26" s="22"/>
      <c r="J26" s="2"/>
    </row>
    <row r="27" spans="1:10" ht="12.95" customHeight="1">
      <c r="A27" s="16" t="s">
        <v>3697</v>
      </c>
      <c r="B27" s="17" t="s">
        <v>3698</v>
      </c>
      <c r="C27" s="13" t="s">
        <v>3699</v>
      </c>
      <c r="D27" s="13" t="s">
        <v>171</v>
      </c>
      <c r="E27" s="18">
        <v>1000</v>
      </c>
      <c r="F27" s="19">
        <v>10000.200000000001</v>
      </c>
      <c r="G27" s="20">
        <v>9.4999999999999998E-3</v>
      </c>
      <c r="H27" s="21">
        <v>4.1706E-2</v>
      </c>
      <c r="I27" s="22"/>
      <c r="J27" s="2"/>
    </row>
    <row r="28" spans="1:10" ht="12.95" customHeight="1">
      <c r="A28" s="16" t="s">
        <v>2702</v>
      </c>
      <c r="B28" s="17" t="s">
        <v>2703</v>
      </c>
      <c r="C28" s="13" t="s">
        <v>2704</v>
      </c>
      <c r="D28" s="13" t="s">
        <v>2612</v>
      </c>
      <c r="E28" s="18">
        <v>950</v>
      </c>
      <c r="F28" s="19">
        <v>9560.7099999999991</v>
      </c>
      <c r="G28" s="20">
        <v>9.1000000000000004E-3</v>
      </c>
      <c r="H28" s="21">
        <v>5.7306999999999997E-2</v>
      </c>
      <c r="I28" s="22"/>
      <c r="J28" s="2"/>
    </row>
    <row r="29" spans="1:10" ht="12.95" customHeight="1">
      <c r="A29" s="16" t="s">
        <v>2368</v>
      </c>
      <c r="B29" s="17" t="s">
        <v>2369</v>
      </c>
      <c r="C29" s="13" t="s">
        <v>2370</v>
      </c>
      <c r="D29" s="13" t="s">
        <v>132</v>
      </c>
      <c r="E29" s="18">
        <v>950</v>
      </c>
      <c r="F29" s="19">
        <v>9496.39</v>
      </c>
      <c r="G29" s="20">
        <v>8.9999999999999993E-3</v>
      </c>
      <c r="H29" s="21">
        <v>5.2767000000000001E-2</v>
      </c>
      <c r="I29" s="22"/>
      <c r="J29" s="2"/>
    </row>
    <row r="30" spans="1:10" ht="12.95" customHeight="1">
      <c r="A30" s="16" t="s">
        <v>3700</v>
      </c>
      <c r="B30" s="17" t="s">
        <v>3701</v>
      </c>
      <c r="C30" s="13" t="s">
        <v>3702</v>
      </c>
      <c r="D30" s="13" t="s">
        <v>1073</v>
      </c>
      <c r="E30" s="18">
        <v>900</v>
      </c>
      <c r="F30" s="19">
        <v>9174.7099999999991</v>
      </c>
      <c r="G30" s="20">
        <v>8.6999999999999994E-3</v>
      </c>
      <c r="H30" s="21">
        <v>5.3849000000000001E-2</v>
      </c>
      <c r="I30" s="22"/>
      <c r="J30" s="2"/>
    </row>
    <row r="31" spans="1:10" ht="12.95" customHeight="1">
      <c r="A31" s="16" t="s">
        <v>577</v>
      </c>
      <c r="B31" s="17" t="s">
        <v>578</v>
      </c>
      <c r="C31" s="13" t="s">
        <v>579</v>
      </c>
      <c r="D31" s="13" t="s">
        <v>132</v>
      </c>
      <c r="E31" s="18">
        <v>900</v>
      </c>
      <c r="F31" s="19">
        <v>9156.02</v>
      </c>
      <c r="G31" s="20">
        <v>8.6999999999999994E-3</v>
      </c>
      <c r="H31" s="21">
        <v>4.2000000000000003E-2</v>
      </c>
      <c r="I31" s="22"/>
      <c r="J31" s="2"/>
    </row>
    <row r="32" spans="1:10" ht="12.95" customHeight="1">
      <c r="A32" s="16" t="s">
        <v>3483</v>
      </c>
      <c r="B32" s="17" t="s">
        <v>3484</v>
      </c>
      <c r="C32" s="13" t="s">
        <v>3485</v>
      </c>
      <c r="D32" s="13" t="s">
        <v>132</v>
      </c>
      <c r="E32" s="18">
        <v>900</v>
      </c>
      <c r="F32" s="19">
        <v>9137.5400000000009</v>
      </c>
      <c r="G32" s="20">
        <v>8.6999999999999994E-3</v>
      </c>
      <c r="H32" s="21">
        <v>4.2049999999999997E-2</v>
      </c>
      <c r="I32" s="22"/>
      <c r="J32" s="2"/>
    </row>
    <row r="33" spans="1:10" ht="12.95" customHeight="1">
      <c r="A33" s="16" t="s">
        <v>1160</v>
      </c>
      <c r="B33" s="17" t="s">
        <v>1161</v>
      </c>
      <c r="C33" s="13" t="s">
        <v>1162</v>
      </c>
      <c r="D33" s="13" t="s">
        <v>132</v>
      </c>
      <c r="E33" s="18">
        <v>850</v>
      </c>
      <c r="F33" s="19">
        <v>8642.6</v>
      </c>
      <c r="G33" s="20">
        <v>8.2000000000000007E-3</v>
      </c>
      <c r="H33" s="21">
        <v>4.1600999999999999E-2</v>
      </c>
      <c r="I33" s="22"/>
      <c r="J33" s="2"/>
    </row>
    <row r="34" spans="1:10" ht="12.95" customHeight="1">
      <c r="A34" s="16" t="s">
        <v>3703</v>
      </c>
      <c r="B34" s="17" t="s">
        <v>3704</v>
      </c>
      <c r="C34" s="13" t="s">
        <v>3705</v>
      </c>
      <c r="D34" s="13" t="s">
        <v>1694</v>
      </c>
      <c r="E34" s="18">
        <v>850</v>
      </c>
      <c r="F34" s="19">
        <v>8559.91</v>
      </c>
      <c r="G34" s="20">
        <v>8.0999999999999996E-3</v>
      </c>
      <c r="H34" s="21">
        <v>6.4393000000000006E-2</v>
      </c>
      <c r="I34" s="22"/>
      <c r="J34" s="2"/>
    </row>
    <row r="35" spans="1:10" ht="12.95" customHeight="1">
      <c r="A35" s="16" t="s">
        <v>466</v>
      </c>
      <c r="B35" s="17" t="s">
        <v>467</v>
      </c>
      <c r="C35" s="13" t="s">
        <v>468</v>
      </c>
      <c r="D35" s="13" t="s">
        <v>132</v>
      </c>
      <c r="E35" s="18">
        <v>750</v>
      </c>
      <c r="F35" s="19">
        <v>7756.67</v>
      </c>
      <c r="G35" s="20">
        <v>7.4000000000000003E-3</v>
      </c>
      <c r="H35" s="21">
        <v>4.8000000000000001E-2</v>
      </c>
      <c r="I35" s="22"/>
      <c r="J35" s="2"/>
    </row>
    <row r="36" spans="1:10" ht="12.95" customHeight="1">
      <c r="A36" s="16" t="s">
        <v>487</v>
      </c>
      <c r="B36" s="17" t="s">
        <v>488</v>
      </c>
      <c r="C36" s="13" t="s">
        <v>489</v>
      </c>
      <c r="D36" s="13" t="s">
        <v>132</v>
      </c>
      <c r="E36" s="18">
        <v>750</v>
      </c>
      <c r="F36" s="19">
        <v>7735.58</v>
      </c>
      <c r="G36" s="20">
        <v>7.4000000000000003E-3</v>
      </c>
      <c r="H36" s="21">
        <v>4.7199999999999999E-2</v>
      </c>
      <c r="I36" s="22"/>
      <c r="J36" s="2"/>
    </row>
    <row r="37" spans="1:10" ht="12.95" customHeight="1">
      <c r="A37" s="16" t="s">
        <v>430</v>
      </c>
      <c r="B37" s="17" t="s">
        <v>431</v>
      </c>
      <c r="C37" s="13" t="s">
        <v>432</v>
      </c>
      <c r="D37" s="13" t="s">
        <v>171</v>
      </c>
      <c r="E37" s="18">
        <v>750</v>
      </c>
      <c r="F37" s="19">
        <v>7615.74</v>
      </c>
      <c r="G37" s="20">
        <v>7.1999999999999998E-3</v>
      </c>
      <c r="H37" s="21">
        <v>5.1499999999999997E-2</v>
      </c>
      <c r="I37" s="22"/>
      <c r="J37" s="2"/>
    </row>
    <row r="38" spans="1:10" ht="12.95" customHeight="1">
      <c r="A38" s="16" t="s">
        <v>3706</v>
      </c>
      <c r="B38" s="17" t="s">
        <v>3707</v>
      </c>
      <c r="C38" s="13" t="s">
        <v>3708</v>
      </c>
      <c r="D38" s="13" t="s">
        <v>1694</v>
      </c>
      <c r="E38" s="18">
        <v>750</v>
      </c>
      <c r="F38" s="19">
        <v>7538.62</v>
      </c>
      <c r="G38" s="20">
        <v>7.1999999999999998E-3</v>
      </c>
      <c r="H38" s="21">
        <v>5.8694999999999997E-2</v>
      </c>
      <c r="I38" s="22"/>
      <c r="J38" s="2"/>
    </row>
    <row r="39" spans="1:10" ht="12.95" customHeight="1">
      <c r="A39" s="16" t="s">
        <v>3709</v>
      </c>
      <c r="B39" s="17" t="s">
        <v>3710</v>
      </c>
      <c r="C39" s="13" t="s">
        <v>3711</v>
      </c>
      <c r="D39" s="13" t="s">
        <v>132</v>
      </c>
      <c r="E39" s="18">
        <v>750</v>
      </c>
      <c r="F39" s="19">
        <v>7534.85</v>
      </c>
      <c r="G39" s="20">
        <v>7.1999999999999998E-3</v>
      </c>
      <c r="H39" s="21">
        <v>3.5999999999999997E-2</v>
      </c>
      <c r="I39" s="22"/>
      <c r="J39" s="2"/>
    </row>
    <row r="40" spans="1:10" ht="12.95" customHeight="1">
      <c r="A40" s="16" t="s">
        <v>1118</v>
      </c>
      <c r="B40" s="17" t="s">
        <v>1119</v>
      </c>
      <c r="C40" s="13" t="s">
        <v>1120</v>
      </c>
      <c r="D40" s="13" t="s">
        <v>132</v>
      </c>
      <c r="E40" s="18">
        <v>494</v>
      </c>
      <c r="F40" s="19">
        <v>6164.09</v>
      </c>
      <c r="G40" s="20">
        <v>5.8999999999999999E-3</v>
      </c>
      <c r="H40" s="21">
        <v>6.7150000000000001E-2</v>
      </c>
      <c r="I40" s="22"/>
      <c r="J40" s="2"/>
    </row>
    <row r="41" spans="1:10" ht="12.95" customHeight="1">
      <c r="A41" s="16" t="s">
        <v>2346</v>
      </c>
      <c r="B41" s="17" t="s">
        <v>2347</v>
      </c>
      <c r="C41" s="13" t="s">
        <v>2348</v>
      </c>
      <c r="D41" s="13" t="s">
        <v>1694</v>
      </c>
      <c r="E41" s="18">
        <v>600</v>
      </c>
      <c r="F41" s="19">
        <v>6035.29</v>
      </c>
      <c r="G41" s="20">
        <v>5.7000000000000002E-3</v>
      </c>
      <c r="H41" s="21">
        <v>7.17E-2</v>
      </c>
      <c r="I41" s="22"/>
      <c r="J41" s="2"/>
    </row>
    <row r="42" spans="1:10" ht="12.95" customHeight="1">
      <c r="A42" s="16" t="s">
        <v>3712</v>
      </c>
      <c r="B42" s="17" t="s">
        <v>3713</v>
      </c>
      <c r="C42" s="13" t="s">
        <v>3714</v>
      </c>
      <c r="D42" s="13" t="s">
        <v>1073</v>
      </c>
      <c r="E42" s="18">
        <v>542400</v>
      </c>
      <c r="F42" s="19">
        <v>5489.22</v>
      </c>
      <c r="G42" s="20">
        <v>5.1999999999999998E-3</v>
      </c>
      <c r="H42" s="21">
        <v>5.8298999999999997E-2</v>
      </c>
      <c r="I42" s="22"/>
      <c r="J42" s="2"/>
    </row>
    <row r="43" spans="1:10" ht="12.95" customHeight="1">
      <c r="A43" s="16" t="s">
        <v>3715</v>
      </c>
      <c r="B43" s="17" t="s">
        <v>3716</v>
      </c>
      <c r="C43" s="13" t="s">
        <v>3717</v>
      </c>
      <c r="D43" s="13" t="s">
        <v>200</v>
      </c>
      <c r="E43" s="18">
        <v>5000000</v>
      </c>
      <c r="F43" s="19">
        <v>5278.5</v>
      </c>
      <c r="G43" s="20">
        <v>5.0000000000000001E-3</v>
      </c>
      <c r="H43" s="21">
        <v>4.5499999999999999E-2</v>
      </c>
      <c r="I43" s="22"/>
      <c r="J43" s="2"/>
    </row>
    <row r="44" spans="1:10" ht="12.95" customHeight="1">
      <c r="A44" s="16" t="s">
        <v>383</v>
      </c>
      <c r="B44" s="17" t="s">
        <v>384</v>
      </c>
      <c r="C44" s="13" t="s">
        <v>385</v>
      </c>
      <c r="D44" s="13" t="s">
        <v>132</v>
      </c>
      <c r="E44" s="18">
        <v>500</v>
      </c>
      <c r="F44" s="19">
        <v>5139.34</v>
      </c>
      <c r="G44" s="20">
        <v>4.8999999999999998E-3</v>
      </c>
      <c r="H44" s="21">
        <v>4.3900000000000002E-2</v>
      </c>
      <c r="I44" s="22"/>
      <c r="J44" s="2"/>
    </row>
    <row r="45" spans="1:10" ht="12.95" customHeight="1">
      <c r="A45" s="16" t="s">
        <v>442</v>
      </c>
      <c r="B45" s="17" t="s">
        <v>443</v>
      </c>
      <c r="C45" s="13" t="s">
        <v>444</v>
      </c>
      <c r="D45" s="13" t="s">
        <v>132</v>
      </c>
      <c r="E45" s="18">
        <v>500</v>
      </c>
      <c r="F45" s="19">
        <v>5113.32</v>
      </c>
      <c r="G45" s="20">
        <v>4.8999999999999998E-3</v>
      </c>
      <c r="H45" s="21">
        <v>4.2500000000000003E-2</v>
      </c>
      <c r="I45" s="22"/>
      <c r="J45" s="2"/>
    </row>
    <row r="46" spans="1:10" ht="12.95" customHeight="1">
      <c r="A46" s="16" t="s">
        <v>1121</v>
      </c>
      <c r="B46" s="17" t="s">
        <v>1122</v>
      </c>
      <c r="C46" s="13" t="s">
        <v>1123</v>
      </c>
      <c r="D46" s="13" t="s">
        <v>196</v>
      </c>
      <c r="E46" s="18">
        <v>500</v>
      </c>
      <c r="F46" s="19">
        <v>5112.16</v>
      </c>
      <c r="G46" s="20">
        <v>4.8999999999999998E-3</v>
      </c>
      <c r="H46" s="21">
        <v>5.4050000000000001E-2</v>
      </c>
      <c r="I46" s="22"/>
      <c r="J46" s="2"/>
    </row>
    <row r="47" spans="1:10" ht="12.95" customHeight="1">
      <c r="A47" s="16" t="s">
        <v>329</v>
      </c>
      <c r="B47" s="17" t="s">
        <v>330</v>
      </c>
      <c r="C47" s="13" t="s">
        <v>331</v>
      </c>
      <c r="D47" s="13" t="s">
        <v>171</v>
      </c>
      <c r="E47" s="18">
        <v>500</v>
      </c>
      <c r="F47" s="19">
        <v>5100.34</v>
      </c>
      <c r="G47" s="20">
        <v>4.8999999999999998E-3</v>
      </c>
      <c r="H47" s="21">
        <v>4.6997999999999998E-2</v>
      </c>
      <c r="I47" s="22"/>
      <c r="J47" s="2"/>
    </row>
    <row r="48" spans="1:10" ht="12.95" customHeight="1">
      <c r="A48" s="16" t="s">
        <v>296</v>
      </c>
      <c r="B48" s="17" t="s">
        <v>297</v>
      </c>
      <c r="C48" s="13" t="s">
        <v>298</v>
      </c>
      <c r="D48" s="13" t="s">
        <v>132</v>
      </c>
      <c r="E48" s="18">
        <v>500</v>
      </c>
      <c r="F48" s="19">
        <v>5098.99</v>
      </c>
      <c r="G48" s="20">
        <v>4.8999999999999998E-3</v>
      </c>
      <c r="H48" s="21">
        <v>4.2349999999999999E-2</v>
      </c>
      <c r="I48" s="22"/>
      <c r="J48" s="2"/>
    </row>
    <row r="49" spans="1:10" ht="12.95" customHeight="1">
      <c r="A49" s="16" t="s">
        <v>3477</v>
      </c>
      <c r="B49" s="17" t="s">
        <v>3478</v>
      </c>
      <c r="C49" s="13" t="s">
        <v>3479</v>
      </c>
      <c r="D49" s="13" t="s">
        <v>132</v>
      </c>
      <c r="E49" s="18">
        <v>500</v>
      </c>
      <c r="F49" s="19">
        <v>5080.03</v>
      </c>
      <c r="G49" s="20">
        <v>4.7999999999999996E-3</v>
      </c>
      <c r="H49" s="21">
        <v>4.8299000000000002E-2</v>
      </c>
      <c r="I49" s="22"/>
      <c r="J49" s="2"/>
    </row>
    <row r="50" spans="1:10" ht="12.95" customHeight="1">
      <c r="A50" s="16" t="s">
        <v>3655</v>
      </c>
      <c r="B50" s="17" t="s">
        <v>3656</v>
      </c>
      <c r="C50" s="13" t="s">
        <v>3657</v>
      </c>
      <c r="D50" s="13" t="s">
        <v>200</v>
      </c>
      <c r="E50" s="18">
        <v>5000000</v>
      </c>
      <c r="F50" s="19">
        <v>5076.3500000000004</v>
      </c>
      <c r="G50" s="20">
        <v>4.7999999999999996E-3</v>
      </c>
      <c r="H50" s="21">
        <v>3.6992999999999998E-2</v>
      </c>
      <c r="I50" s="22"/>
      <c r="J50" s="2"/>
    </row>
    <row r="51" spans="1:10" ht="12.95" customHeight="1">
      <c r="A51" s="16" t="s">
        <v>870</v>
      </c>
      <c r="B51" s="17" t="s">
        <v>871</v>
      </c>
      <c r="C51" s="13" t="s">
        <v>872</v>
      </c>
      <c r="D51" s="13" t="s">
        <v>132</v>
      </c>
      <c r="E51" s="18">
        <v>500</v>
      </c>
      <c r="F51" s="19">
        <v>5062.34</v>
      </c>
      <c r="G51" s="20">
        <v>4.7999999999999996E-3</v>
      </c>
      <c r="H51" s="21">
        <v>3.7600000000000001E-2</v>
      </c>
      <c r="I51" s="22"/>
      <c r="J51" s="2"/>
    </row>
    <row r="52" spans="1:10" ht="12.95" customHeight="1">
      <c r="A52" s="16" t="s">
        <v>3718</v>
      </c>
      <c r="B52" s="17" t="s">
        <v>3719</v>
      </c>
      <c r="C52" s="13" t="s">
        <v>3720</v>
      </c>
      <c r="D52" s="13" t="s">
        <v>132</v>
      </c>
      <c r="E52" s="18">
        <v>500</v>
      </c>
      <c r="F52" s="19">
        <v>5028.26</v>
      </c>
      <c r="G52" s="20">
        <v>4.7999999999999996E-3</v>
      </c>
      <c r="H52" s="21">
        <v>4.5650000000000003E-2</v>
      </c>
      <c r="I52" s="22"/>
      <c r="J52" s="2"/>
    </row>
    <row r="53" spans="1:10" ht="12.95" customHeight="1">
      <c r="A53" s="16" t="s">
        <v>3721</v>
      </c>
      <c r="B53" s="17" t="s">
        <v>3722</v>
      </c>
      <c r="C53" s="13" t="s">
        <v>3723</v>
      </c>
      <c r="D53" s="13" t="s">
        <v>1073</v>
      </c>
      <c r="E53" s="18">
        <v>500</v>
      </c>
      <c r="F53" s="19">
        <v>5027.0600000000004</v>
      </c>
      <c r="G53" s="20">
        <v>4.7999999999999996E-3</v>
      </c>
      <c r="H53" s="21">
        <v>7.8750000000000001E-2</v>
      </c>
      <c r="I53" s="22"/>
      <c r="J53" s="2"/>
    </row>
    <row r="54" spans="1:10" ht="12.95" customHeight="1">
      <c r="A54" s="16" t="s">
        <v>3724</v>
      </c>
      <c r="B54" s="17" t="s">
        <v>3725</v>
      </c>
      <c r="C54" s="13" t="s">
        <v>3726</v>
      </c>
      <c r="D54" s="13" t="s">
        <v>200</v>
      </c>
      <c r="E54" s="18">
        <v>5000000</v>
      </c>
      <c r="F54" s="19">
        <v>5018.3500000000004</v>
      </c>
      <c r="G54" s="20">
        <v>4.7999999999999996E-3</v>
      </c>
      <c r="H54" s="21">
        <v>3.8995000000000002E-2</v>
      </c>
      <c r="I54" s="22"/>
      <c r="J54" s="2"/>
    </row>
    <row r="55" spans="1:10" ht="12.95" customHeight="1">
      <c r="A55" s="16" t="s">
        <v>3727</v>
      </c>
      <c r="B55" s="17" t="s">
        <v>3728</v>
      </c>
      <c r="C55" s="13" t="s">
        <v>3729</v>
      </c>
      <c r="D55" s="13" t="s">
        <v>132</v>
      </c>
      <c r="E55" s="18">
        <v>500</v>
      </c>
      <c r="F55" s="19">
        <v>4990.75</v>
      </c>
      <c r="G55" s="20">
        <v>4.7000000000000002E-3</v>
      </c>
      <c r="H55" s="21">
        <v>5.8497E-2</v>
      </c>
      <c r="I55" s="22"/>
      <c r="J55" s="2"/>
    </row>
    <row r="56" spans="1:10" ht="12.95" customHeight="1">
      <c r="A56" s="16" t="s">
        <v>3384</v>
      </c>
      <c r="B56" s="17" t="s">
        <v>3385</v>
      </c>
      <c r="C56" s="13" t="s">
        <v>3386</v>
      </c>
      <c r="D56" s="13" t="s">
        <v>1073</v>
      </c>
      <c r="E56" s="18">
        <v>500</v>
      </c>
      <c r="F56" s="19">
        <v>4984.22</v>
      </c>
      <c r="G56" s="20">
        <v>4.7000000000000002E-3</v>
      </c>
      <c r="H56" s="21">
        <v>6.4435500000000007E-2</v>
      </c>
      <c r="I56" s="22"/>
      <c r="J56" s="2"/>
    </row>
    <row r="57" spans="1:10" ht="12.95" customHeight="1">
      <c r="A57" s="16" t="s">
        <v>1145</v>
      </c>
      <c r="B57" s="17" t="s">
        <v>1146</v>
      </c>
      <c r="C57" s="13" t="s">
        <v>1147</v>
      </c>
      <c r="D57" s="13" t="s">
        <v>196</v>
      </c>
      <c r="E57" s="18">
        <v>500</v>
      </c>
      <c r="F57" s="19">
        <v>4968.7</v>
      </c>
      <c r="G57" s="20">
        <v>4.7000000000000002E-3</v>
      </c>
      <c r="H57" s="21">
        <v>6.275E-2</v>
      </c>
      <c r="I57" s="22"/>
      <c r="J57" s="2"/>
    </row>
    <row r="58" spans="1:10" ht="12.95" customHeight="1">
      <c r="A58" s="16" t="s">
        <v>3730</v>
      </c>
      <c r="B58" s="17" t="s">
        <v>3731</v>
      </c>
      <c r="C58" s="13" t="s">
        <v>3732</v>
      </c>
      <c r="D58" s="13" t="s">
        <v>132</v>
      </c>
      <c r="E58" s="18">
        <v>450</v>
      </c>
      <c r="F58" s="19">
        <v>4539.99</v>
      </c>
      <c r="G58" s="20">
        <v>4.3E-3</v>
      </c>
      <c r="H58" s="21">
        <v>3.5699000000000002E-2</v>
      </c>
      <c r="I58" s="22"/>
      <c r="J58" s="2"/>
    </row>
    <row r="59" spans="1:10" ht="12.95" customHeight="1">
      <c r="A59" s="16" t="s">
        <v>3733</v>
      </c>
      <c r="B59" s="17" t="s">
        <v>3734</v>
      </c>
      <c r="C59" s="13" t="s">
        <v>3735</v>
      </c>
      <c r="D59" s="13" t="s">
        <v>2048</v>
      </c>
      <c r="E59" s="18">
        <v>350</v>
      </c>
      <c r="F59" s="19">
        <v>4416.03</v>
      </c>
      <c r="G59" s="20">
        <v>4.1999999999999997E-3</v>
      </c>
      <c r="H59" s="21">
        <v>6.0624999999999998E-2</v>
      </c>
      <c r="I59" s="22"/>
      <c r="J59" s="2"/>
    </row>
    <row r="60" spans="1:10" ht="12.95" customHeight="1">
      <c r="A60" s="16" t="s">
        <v>427</v>
      </c>
      <c r="B60" s="17" t="s">
        <v>428</v>
      </c>
      <c r="C60" s="13" t="s">
        <v>429</v>
      </c>
      <c r="D60" s="13" t="s">
        <v>132</v>
      </c>
      <c r="E60" s="18">
        <v>400</v>
      </c>
      <c r="F60" s="19">
        <v>4101.76</v>
      </c>
      <c r="G60" s="20">
        <v>3.8999999999999998E-3</v>
      </c>
      <c r="H60" s="21">
        <v>4.2500000000000003E-2</v>
      </c>
      <c r="I60" s="22"/>
      <c r="J60" s="2"/>
    </row>
    <row r="61" spans="1:10" ht="12.95" customHeight="1">
      <c r="A61" s="16" t="s">
        <v>3736</v>
      </c>
      <c r="B61" s="17" t="s">
        <v>3737</v>
      </c>
      <c r="C61" s="13" t="s">
        <v>3738</v>
      </c>
      <c r="D61" s="13" t="s">
        <v>200</v>
      </c>
      <c r="E61" s="18">
        <v>4000000</v>
      </c>
      <c r="F61" s="19">
        <v>4085.78</v>
      </c>
      <c r="G61" s="20">
        <v>3.8999999999999998E-3</v>
      </c>
      <c r="H61" s="21">
        <v>3.8245000000000001E-2</v>
      </c>
      <c r="I61" s="22"/>
      <c r="J61" s="2"/>
    </row>
    <row r="62" spans="1:10" ht="12.95" customHeight="1">
      <c r="A62" s="16" t="s">
        <v>3739</v>
      </c>
      <c r="B62" s="17" t="s">
        <v>3740</v>
      </c>
      <c r="C62" s="13" t="s">
        <v>3741</v>
      </c>
      <c r="D62" s="13" t="s">
        <v>1704</v>
      </c>
      <c r="E62" s="18">
        <v>400</v>
      </c>
      <c r="F62" s="19">
        <v>4064.69</v>
      </c>
      <c r="G62" s="20">
        <v>3.8999999999999998E-3</v>
      </c>
      <c r="H62" s="21">
        <v>4.7448999999999998E-2</v>
      </c>
      <c r="I62" s="22"/>
      <c r="J62" s="2"/>
    </row>
    <row r="63" spans="1:10" ht="12.95" customHeight="1">
      <c r="A63" s="16" t="s">
        <v>3543</v>
      </c>
      <c r="B63" s="17" t="s">
        <v>3544</v>
      </c>
      <c r="C63" s="13" t="s">
        <v>3545</v>
      </c>
      <c r="D63" s="13" t="s">
        <v>148</v>
      </c>
      <c r="E63" s="18">
        <v>360</v>
      </c>
      <c r="F63" s="19">
        <v>3645.03</v>
      </c>
      <c r="G63" s="20">
        <v>3.5000000000000001E-3</v>
      </c>
      <c r="H63" s="21">
        <v>3.9550000000000002E-2</v>
      </c>
      <c r="I63" s="22"/>
      <c r="J63" s="2"/>
    </row>
    <row r="64" spans="1:10" ht="12.95" customHeight="1">
      <c r="A64" s="16" t="s">
        <v>2696</v>
      </c>
      <c r="B64" s="17" t="s">
        <v>2697</v>
      </c>
      <c r="C64" s="13" t="s">
        <v>2698</v>
      </c>
      <c r="D64" s="13" t="s">
        <v>1694</v>
      </c>
      <c r="E64" s="18">
        <v>350</v>
      </c>
      <c r="F64" s="19">
        <v>3511.49</v>
      </c>
      <c r="G64" s="20">
        <v>3.3E-3</v>
      </c>
      <c r="H64" s="21">
        <v>6.9943000000000005E-2</v>
      </c>
      <c r="I64" s="22"/>
      <c r="J64" s="2"/>
    </row>
    <row r="65" spans="1:10" ht="12.95" customHeight="1">
      <c r="A65" s="16" t="s">
        <v>2545</v>
      </c>
      <c r="B65" s="17" t="s">
        <v>2546</v>
      </c>
      <c r="C65" s="13" t="s">
        <v>2547</v>
      </c>
      <c r="D65" s="13" t="s">
        <v>1073</v>
      </c>
      <c r="E65" s="18">
        <v>300</v>
      </c>
      <c r="F65" s="19">
        <v>3020.54</v>
      </c>
      <c r="G65" s="20">
        <v>2.8999999999999998E-3</v>
      </c>
      <c r="H65" s="21">
        <v>5.6579999999999998E-2</v>
      </c>
      <c r="I65" s="22"/>
      <c r="J65" s="2"/>
    </row>
    <row r="66" spans="1:10" ht="12.95" customHeight="1">
      <c r="A66" s="16" t="s">
        <v>3742</v>
      </c>
      <c r="B66" s="17" t="s">
        <v>3743</v>
      </c>
      <c r="C66" s="13" t="s">
        <v>3744</v>
      </c>
      <c r="D66" s="13" t="s">
        <v>132</v>
      </c>
      <c r="E66" s="18">
        <v>300</v>
      </c>
      <c r="F66" s="19">
        <v>3019.4</v>
      </c>
      <c r="G66" s="20">
        <v>2.8999999999999998E-3</v>
      </c>
      <c r="H66" s="21">
        <v>3.5999999999999997E-2</v>
      </c>
      <c r="I66" s="22"/>
      <c r="J66" s="2"/>
    </row>
    <row r="67" spans="1:10" ht="12.95" customHeight="1">
      <c r="A67" s="16" t="s">
        <v>3745</v>
      </c>
      <c r="B67" s="17" t="s">
        <v>3746</v>
      </c>
      <c r="C67" s="13" t="s">
        <v>3747</v>
      </c>
      <c r="D67" s="13" t="s">
        <v>200</v>
      </c>
      <c r="E67" s="18">
        <v>2500000</v>
      </c>
      <c r="F67" s="19">
        <v>2626.61</v>
      </c>
      <c r="G67" s="20">
        <v>2.5000000000000001E-3</v>
      </c>
      <c r="H67" s="21">
        <v>4.5289999999999997E-2</v>
      </c>
      <c r="I67" s="22"/>
      <c r="J67" s="2"/>
    </row>
    <row r="68" spans="1:10" ht="12.95" customHeight="1">
      <c r="A68" s="16" t="s">
        <v>1220</v>
      </c>
      <c r="B68" s="17" t="s">
        <v>1221</v>
      </c>
      <c r="C68" s="13" t="s">
        <v>1222</v>
      </c>
      <c r="D68" s="13" t="s">
        <v>132</v>
      </c>
      <c r="E68" s="18">
        <v>250</v>
      </c>
      <c r="F68" s="19">
        <v>2608.5100000000002</v>
      </c>
      <c r="G68" s="20">
        <v>2.5000000000000001E-3</v>
      </c>
      <c r="H68" s="21">
        <v>5.4269499999999998E-2</v>
      </c>
      <c r="I68" s="22"/>
      <c r="J68" s="2"/>
    </row>
    <row r="69" spans="1:10" ht="12.95" customHeight="1">
      <c r="A69" s="16" t="s">
        <v>484</v>
      </c>
      <c r="B69" s="17" t="s">
        <v>485</v>
      </c>
      <c r="C69" s="13" t="s">
        <v>486</v>
      </c>
      <c r="D69" s="13" t="s">
        <v>132</v>
      </c>
      <c r="E69" s="18">
        <v>250</v>
      </c>
      <c r="F69" s="19">
        <v>2578.5700000000002</v>
      </c>
      <c r="G69" s="20">
        <v>2.5000000000000001E-3</v>
      </c>
      <c r="H69" s="21">
        <v>4.4499999999999998E-2</v>
      </c>
      <c r="I69" s="22"/>
      <c r="J69" s="2"/>
    </row>
    <row r="70" spans="1:10" ht="12.95" customHeight="1">
      <c r="A70" s="16" t="s">
        <v>3748</v>
      </c>
      <c r="B70" s="17" t="s">
        <v>3749</v>
      </c>
      <c r="C70" s="13" t="s">
        <v>3750</v>
      </c>
      <c r="D70" s="13" t="s">
        <v>132</v>
      </c>
      <c r="E70" s="18">
        <v>255</v>
      </c>
      <c r="F70" s="19">
        <v>2575.8200000000002</v>
      </c>
      <c r="G70" s="20">
        <v>2.5000000000000001E-3</v>
      </c>
      <c r="H70" s="21">
        <v>3.6052000000000001E-2</v>
      </c>
      <c r="I70" s="22"/>
      <c r="J70" s="2"/>
    </row>
    <row r="71" spans="1:10" ht="12.95" customHeight="1">
      <c r="A71" s="16" t="s">
        <v>338</v>
      </c>
      <c r="B71" s="17" t="s">
        <v>339</v>
      </c>
      <c r="C71" s="13" t="s">
        <v>340</v>
      </c>
      <c r="D71" s="13" t="s">
        <v>132</v>
      </c>
      <c r="E71" s="18">
        <v>250</v>
      </c>
      <c r="F71" s="19">
        <v>2572.4</v>
      </c>
      <c r="G71" s="20">
        <v>2.3999999999999998E-3</v>
      </c>
      <c r="H71" s="21">
        <v>4.2174999999999997E-2</v>
      </c>
      <c r="I71" s="22"/>
      <c r="J71" s="2"/>
    </row>
    <row r="72" spans="1:10" ht="12.95" customHeight="1">
      <c r="A72" s="16" t="s">
        <v>377</v>
      </c>
      <c r="B72" s="17" t="s">
        <v>378</v>
      </c>
      <c r="C72" s="13" t="s">
        <v>379</v>
      </c>
      <c r="D72" s="13" t="s">
        <v>171</v>
      </c>
      <c r="E72" s="18">
        <v>250</v>
      </c>
      <c r="F72" s="19">
        <v>2572.17</v>
      </c>
      <c r="G72" s="20">
        <v>2.3999999999999998E-3</v>
      </c>
      <c r="H72" s="21">
        <v>4.7050000000000002E-2</v>
      </c>
      <c r="I72" s="22"/>
      <c r="J72" s="2"/>
    </row>
    <row r="73" spans="1:10" ht="12.95" customHeight="1">
      <c r="A73" s="16" t="s">
        <v>3631</v>
      </c>
      <c r="B73" s="17" t="s">
        <v>3632</v>
      </c>
      <c r="C73" s="13" t="s">
        <v>3633</v>
      </c>
      <c r="D73" s="13" t="s">
        <v>200</v>
      </c>
      <c r="E73" s="18">
        <v>2500000</v>
      </c>
      <c r="F73" s="19">
        <v>2570.4699999999998</v>
      </c>
      <c r="G73" s="20">
        <v>2.3999999999999998E-3</v>
      </c>
      <c r="H73" s="21">
        <v>3.6942000000000003E-2</v>
      </c>
      <c r="I73" s="22"/>
      <c r="J73" s="2"/>
    </row>
    <row r="74" spans="1:10" ht="12.95" customHeight="1">
      <c r="A74" s="16" t="s">
        <v>320</v>
      </c>
      <c r="B74" s="17" t="s">
        <v>321</v>
      </c>
      <c r="C74" s="13" t="s">
        <v>322</v>
      </c>
      <c r="D74" s="13" t="s">
        <v>171</v>
      </c>
      <c r="E74" s="18">
        <v>250</v>
      </c>
      <c r="F74" s="19">
        <v>2566.6799999999998</v>
      </c>
      <c r="G74" s="20">
        <v>2.3999999999999998E-3</v>
      </c>
      <c r="H74" s="21">
        <v>4.7552999999999998E-2</v>
      </c>
      <c r="I74" s="22"/>
      <c r="J74" s="2"/>
    </row>
    <row r="75" spans="1:10" ht="12.95" customHeight="1">
      <c r="A75" s="16" t="s">
        <v>2732</v>
      </c>
      <c r="B75" s="17" t="s">
        <v>2733</v>
      </c>
      <c r="C75" s="13" t="s">
        <v>2734</v>
      </c>
      <c r="D75" s="13" t="s">
        <v>132</v>
      </c>
      <c r="E75" s="18">
        <v>250</v>
      </c>
      <c r="F75" s="19">
        <v>2566.14</v>
      </c>
      <c r="G75" s="20">
        <v>2.3999999999999998E-3</v>
      </c>
      <c r="H75" s="21">
        <v>4.1599999999999998E-2</v>
      </c>
      <c r="I75" s="22"/>
      <c r="J75" s="2"/>
    </row>
    <row r="76" spans="1:10" ht="12.95" customHeight="1">
      <c r="A76" s="16" t="s">
        <v>1063</v>
      </c>
      <c r="B76" s="17" t="s">
        <v>1064</v>
      </c>
      <c r="C76" s="13" t="s">
        <v>1065</v>
      </c>
      <c r="D76" s="13" t="s">
        <v>132</v>
      </c>
      <c r="E76" s="18">
        <v>250</v>
      </c>
      <c r="F76" s="19">
        <v>2560.34</v>
      </c>
      <c r="G76" s="20">
        <v>2.3999999999999998E-3</v>
      </c>
      <c r="H76" s="21">
        <v>4.2349999999999999E-2</v>
      </c>
      <c r="I76" s="22"/>
      <c r="J76" s="2"/>
    </row>
    <row r="77" spans="1:10" ht="12.95" customHeight="1">
      <c r="A77" s="16" t="s">
        <v>493</v>
      </c>
      <c r="B77" s="17" t="s">
        <v>494</v>
      </c>
      <c r="C77" s="13" t="s">
        <v>495</v>
      </c>
      <c r="D77" s="13" t="s">
        <v>196</v>
      </c>
      <c r="E77" s="18">
        <v>250</v>
      </c>
      <c r="F77" s="19">
        <v>2559.94</v>
      </c>
      <c r="G77" s="20">
        <v>2.3999999999999998E-3</v>
      </c>
      <c r="H77" s="21">
        <v>4.2200000000000001E-2</v>
      </c>
      <c r="I77" s="22"/>
      <c r="J77" s="2"/>
    </row>
    <row r="78" spans="1:10" ht="12.95" customHeight="1">
      <c r="A78" s="16" t="s">
        <v>165</v>
      </c>
      <c r="B78" s="17" t="s">
        <v>166</v>
      </c>
      <c r="C78" s="13" t="s">
        <v>167</v>
      </c>
      <c r="D78" s="13" t="s">
        <v>132</v>
      </c>
      <c r="E78" s="18">
        <v>250</v>
      </c>
      <c r="F78" s="19">
        <v>2549.96</v>
      </c>
      <c r="G78" s="20">
        <v>2.3999999999999998E-3</v>
      </c>
      <c r="H78" s="21">
        <v>3.9751000000000002E-2</v>
      </c>
      <c r="I78" s="22"/>
      <c r="J78" s="2"/>
    </row>
    <row r="79" spans="1:10" ht="12.95" customHeight="1">
      <c r="A79" s="16" t="s">
        <v>214</v>
      </c>
      <c r="B79" s="17" t="s">
        <v>215</v>
      </c>
      <c r="C79" s="13" t="s">
        <v>216</v>
      </c>
      <c r="D79" s="13" t="s">
        <v>132</v>
      </c>
      <c r="E79" s="18">
        <v>250</v>
      </c>
      <c r="F79" s="19">
        <v>2547.91</v>
      </c>
      <c r="G79" s="20">
        <v>2.3999999999999998E-3</v>
      </c>
      <c r="H79" s="21">
        <v>3.7600000000000001E-2</v>
      </c>
      <c r="I79" s="22"/>
      <c r="J79" s="2"/>
    </row>
    <row r="80" spans="1:10" ht="12.95" customHeight="1">
      <c r="A80" s="16" t="s">
        <v>266</v>
      </c>
      <c r="B80" s="17" t="s">
        <v>267</v>
      </c>
      <c r="C80" s="13" t="s">
        <v>268</v>
      </c>
      <c r="D80" s="13" t="s">
        <v>132</v>
      </c>
      <c r="E80" s="18">
        <v>250</v>
      </c>
      <c r="F80" s="19">
        <v>2546.5100000000002</v>
      </c>
      <c r="G80" s="20">
        <v>2.3999999999999998E-3</v>
      </c>
      <c r="H80" s="21">
        <v>4.2500000000000003E-2</v>
      </c>
      <c r="I80" s="22"/>
      <c r="J80" s="2"/>
    </row>
    <row r="81" spans="1:10" ht="12.95" customHeight="1">
      <c r="A81" s="16" t="s">
        <v>2009</v>
      </c>
      <c r="B81" s="17" t="s">
        <v>2010</v>
      </c>
      <c r="C81" s="13" t="s">
        <v>2011</v>
      </c>
      <c r="D81" s="13" t="s">
        <v>196</v>
      </c>
      <c r="E81" s="18">
        <v>250</v>
      </c>
      <c r="F81" s="19">
        <v>2539.77</v>
      </c>
      <c r="G81" s="20">
        <v>2.3999999999999998E-3</v>
      </c>
      <c r="H81" s="21">
        <v>4.5350000000000001E-2</v>
      </c>
      <c r="I81" s="22"/>
      <c r="J81" s="2"/>
    </row>
    <row r="82" spans="1:10" ht="12.95" customHeight="1">
      <c r="A82" s="16" t="s">
        <v>3751</v>
      </c>
      <c r="B82" s="17" t="s">
        <v>3752</v>
      </c>
      <c r="C82" s="13" t="s">
        <v>3753</v>
      </c>
      <c r="D82" s="13" t="s">
        <v>1069</v>
      </c>
      <c r="E82" s="18">
        <v>250</v>
      </c>
      <c r="F82" s="19">
        <v>2538.6999999999998</v>
      </c>
      <c r="G82" s="20">
        <v>2.3999999999999998E-3</v>
      </c>
      <c r="H82" s="21">
        <v>6.2799999999999995E-2</v>
      </c>
      <c r="I82" s="22"/>
      <c r="J82" s="2"/>
    </row>
    <row r="83" spans="1:10" ht="12.95" customHeight="1">
      <c r="A83" s="16" t="s">
        <v>3480</v>
      </c>
      <c r="B83" s="17" t="s">
        <v>3481</v>
      </c>
      <c r="C83" s="13" t="s">
        <v>3482</v>
      </c>
      <c r="D83" s="13" t="s">
        <v>200</v>
      </c>
      <c r="E83" s="18">
        <v>2500000</v>
      </c>
      <c r="F83" s="19">
        <v>2538.44</v>
      </c>
      <c r="G83" s="20">
        <v>2.3999999999999998E-3</v>
      </c>
      <c r="H83" s="21">
        <v>3.7245E-2</v>
      </c>
      <c r="I83" s="22"/>
      <c r="J83" s="2"/>
    </row>
    <row r="84" spans="1:10" ht="12.95" customHeight="1">
      <c r="A84" s="16" t="s">
        <v>3754</v>
      </c>
      <c r="B84" s="17" t="s">
        <v>3755</v>
      </c>
      <c r="C84" s="13" t="s">
        <v>3756</v>
      </c>
      <c r="D84" s="13" t="s">
        <v>132</v>
      </c>
      <c r="E84" s="18">
        <v>250</v>
      </c>
      <c r="F84" s="19">
        <v>2516.54</v>
      </c>
      <c r="G84" s="20">
        <v>2.3999999999999998E-3</v>
      </c>
      <c r="H84" s="21">
        <v>0.04</v>
      </c>
      <c r="I84" s="22"/>
      <c r="J84" s="2"/>
    </row>
    <row r="85" spans="1:10" ht="12.95" customHeight="1">
      <c r="A85" s="16" t="s">
        <v>3757</v>
      </c>
      <c r="B85" s="17" t="s">
        <v>3758</v>
      </c>
      <c r="C85" s="13" t="s">
        <v>3759</v>
      </c>
      <c r="D85" s="13" t="s">
        <v>132</v>
      </c>
      <c r="E85" s="18">
        <v>250</v>
      </c>
      <c r="F85" s="19">
        <v>2511.61</v>
      </c>
      <c r="G85" s="20">
        <v>2.3999999999999998E-3</v>
      </c>
      <c r="H85" s="21">
        <v>3.6199000000000002E-2</v>
      </c>
      <c r="I85" s="22"/>
      <c r="J85" s="2"/>
    </row>
    <row r="86" spans="1:10" ht="12.95" customHeight="1">
      <c r="A86" s="16" t="s">
        <v>619</v>
      </c>
      <c r="B86" s="17" t="s">
        <v>620</v>
      </c>
      <c r="C86" s="13" t="s">
        <v>621</v>
      </c>
      <c r="D86" s="13" t="s">
        <v>171</v>
      </c>
      <c r="E86" s="18">
        <v>250</v>
      </c>
      <c r="F86" s="19">
        <v>2510.94</v>
      </c>
      <c r="G86" s="20">
        <v>2.3999999999999998E-3</v>
      </c>
      <c r="H86" s="21">
        <v>4.6449999999999998E-2</v>
      </c>
      <c r="I86" s="22"/>
      <c r="J86" s="2"/>
    </row>
    <row r="87" spans="1:10" ht="12.95" customHeight="1">
      <c r="A87" s="16" t="s">
        <v>2584</v>
      </c>
      <c r="B87" s="17" t="s">
        <v>2585</v>
      </c>
      <c r="C87" s="13" t="s">
        <v>2586</v>
      </c>
      <c r="D87" s="13" t="s">
        <v>1073</v>
      </c>
      <c r="E87" s="18">
        <v>250</v>
      </c>
      <c r="F87" s="19">
        <v>2500.35</v>
      </c>
      <c r="G87" s="20">
        <v>2.3999999999999998E-3</v>
      </c>
      <c r="H87" s="21">
        <v>6.6133499999999998E-2</v>
      </c>
      <c r="I87" s="22"/>
      <c r="J87" s="2"/>
    </row>
    <row r="88" spans="1:10" ht="12.95" customHeight="1">
      <c r="A88" s="16" t="s">
        <v>158</v>
      </c>
      <c r="B88" s="17" t="s">
        <v>159</v>
      </c>
      <c r="C88" s="13" t="s">
        <v>160</v>
      </c>
      <c r="D88" s="13" t="s">
        <v>161</v>
      </c>
      <c r="E88" s="18">
        <v>200</v>
      </c>
      <c r="F88" s="19">
        <v>2050.52</v>
      </c>
      <c r="G88" s="20">
        <v>2E-3</v>
      </c>
      <c r="H88" s="21">
        <v>3.7691000000000002E-2</v>
      </c>
      <c r="I88" s="22"/>
      <c r="J88" s="2"/>
    </row>
    <row r="89" spans="1:10" ht="12.95" customHeight="1">
      <c r="A89" s="16" t="s">
        <v>2708</v>
      </c>
      <c r="B89" s="17" t="s">
        <v>2709</v>
      </c>
      <c r="C89" s="13" t="s">
        <v>2710</v>
      </c>
      <c r="D89" s="13" t="s">
        <v>132</v>
      </c>
      <c r="E89" s="18">
        <v>200</v>
      </c>
      <c r="F89" s="19">
        <v>2027.82</v>
      </c>
      <c r="G89" s="20">
        <v>1.9E-3</v>
      </c>
      <c r="H89" s="21">
        <v>4.1799999999999997E-2</v>
      </c>
      <c r="I89" s="22"/>
      <c r="J89" s="2"/>
    </row>
    <row r="90" spans="1:10" ht="12.95" customHeight="1">
      <c r="A90" s="16" t="s">
        <v>2714</v>
      </c>
      <c r="B90" s="17" t="s">
        <v>2715</v>
      </c>
      <c r="C90" s="13" t="s">
        <v>2716</v>
      </c>
      <c r="D90" s="13" t="s">
        <v>200</v>
      </c>
      <c r="E90" s="18">
        <v>2000000</v>
      </c>
      <c r="F90" s="19">
        <v>1993.55</v>
      </c>
      <c r="G90" s="20">
        <v>1.9E-3</v>
      </c>
      <c r="H90" s="21">
        <v>5.3145999999999999E-2</v>
      </c>
      <c r="I90" s="22"/>
      <c r="J90" s="2"/>
    </row>
    <row r="91" spans="1:10" ht="12.95" customHeight="1">
      <c r="A91" s="16" t="s">
        <v>3760</v>
      </c>
      <c r="B91" s="17" t="s">
        <v>3761</v>
      </c>
      <c r="C91" s="13" t="s">
        <v>3762</v>
      </c>
      <c r="D91" s="13" t="s">
        <v>200</v>
      </c>
      <c r="E91" s="18">
        <v>2040000</v>
      </c>
      <c r="F91" s="19">
        <v>1841.04</v>
      </c>
      <c r="G91" s="20">
        <v>1.8E-3</v>
      </c>
      <c r="H91" s="21">
        <v>4.7072500000000003E-2</v>
      </c>
      <c r="I91" s="22"/>
      <c r="J91" s="2"/>
    </row>
    <row r="92" spans="1:10" ht="12.95" customHeight="1">
      <c r="A92" s="16" t="s">
        <v>3763</v>
      </c>
      <c r="B92" s="17" t="s">
        <v>3764</v>
      </c>
      <c r="C92" s="13" t="s">
        <v>3765</v>
      </c>
      <c r="D92" s="13" t="s">
        <v>200</v>
      </c>
      <c r="E92" s="18">
        <v>2030900</v>
      </c>
      <c r="F92" s="19">
        <v>1833.58</v>
      </c>
      <c r="G92" s="20">
        <v>1.6999999999999999E-3</v>
      </c>
      <c r="H92" s="21">
        <v>4.70625E-2</v>
      </c>
      <c r="I92" s="22"/>
      <c r="J92" s="2"/>
    </row>
    <row r="93" spans="1:10" ht="12.95" customHeight="1">
      <c r="A93" s="16" t="s">
        <v>2325</v>
      </c>
      <c r="B93" s="17" t="s">
        <v>2326</v>
      </c>
      <c r="C93" s="13" t="s">
        <v>2327</v>
      </c>
      <c r="D93" s="13" t="s">
        <v>1073</v>
      </c>
      <c r="E93" s="18">
        <v>170000</v>
      </c>
      <c r="F93" s="19">
        <v>1732.55</v>
      </c>
      <c r="G93" s="20">
        <v>1.6000000000000001E-3</v>
      </c>
      <c r="H93" s="21">
        <v>6.3E-2</v>
      </c>
      <c r="I93" s="22"/>
      <c r="J93" s="2"/>
    </row>
    <row r="94" spans="1:10" ht="12.95" customHeight="1">
      <c r="A94" s="16" t="s">
        <v>201</v>
      </c>
      <c r="B94" s="17" t="s">
        <v>202</v>
      </c>
      <c r="C94" s="13" t="s">
        <v>203</v>
      </c>
      <c r="D94" s="13" t="s">
        <v>132</v>
      </c>
      <c r="E94" s="18">
        <v>170</v>
      </c>
      <c r="F94" s="19">
        <v>1707.95</v>
      </c>
      <c r="G94" s="20">
        <v>1.6000000000000001E-3</v>
      </c>
      <c r="H94" s="21">
        <v>3.5250999999999998E-2</v>
      </c>
      <c r="I94" s="22"/>
      <c r="J94" s="2"/>
    </row>
    <row r="95" spans="1:10" ht="12.95" customHeight="1">
      <c r="A95" s="16" t="s">
        <v>3593</v>
      </c>
      <c r="B95" s="17" t="s">
        <v>3594</v>
      </c>
      <c r="C95" s="13" t="s">
        <v>3595</v>
      </c>
      <c r="D95" s="13" t="s">
        <v>200</v>
      </c>
      <c r="E95" s="18">
        <v>1500000</v>
      </c>
      <c r="F95" s="19">
        <v>1585.64</v>
      </c>
      <c r="G95" s="20">
        <v>1.5E-3</v>
      </c>
      <c r="H95" s="21">
        <v>4.6947000000000003E-2</v>
      </c>
      <c r="I95" s="22"/>
      <c r="J95" s="2"/>
    </row>
    <row r="96" spans="1:10" ht="12.95" customHeight="1">
      <c r="A96" s="16" t="s">
        <v>3766</v>
      </c>
      <c r="B96" s="17" t="s">
        <v>3767</v>
      </c>
      <c r="C96" s="13" t="s">
        <v>3768</v>
      </c>
      <c r="D96" s="13" t="s">
        <v>200</v>
      </c>
      <c r="E96" s="18">
        <v>1500000</v>
      </c>
      <c r="F96" s="19">
        <v>1525.63</v>
      </c>
      <c r="G96" s="20">
        <v>1.5E-3</v>
      </c>
      <c r="H96" s="21">
        <v>3.6995E-2</v>
      </c>
      <c r="I96" s="22"/>
      <c r="J96" s="2"/>
    </row>
    <row r="97" spans="1:10" ht="12.95" customHeight="1">
      <c r="A97" s="16" t="s">
        <v>133</v>
      </c>
      <c r="B97" s="17" t="s">
        <v>134</v>
      </c>
      <c r="C97" s="13" t="s">
        <v>135</v>
      </c>
      <c r="D97" s="13" t="s">
        <v>132</v>
      </c>
      <c r="E97" s="18">
        <v>100</v>
      </c>
      <c r="F97" s="19">
        <v>1306.17</v>
      </c>
      <c r="G97" s="20">
        <v>1.1999999999999999E-3</v>
      </c>
      <c r="H97" s="21">
        <v>3.9800000000000002E-2</v>
      </c>
      <c r="I97" s="22"/>
      <c r="J97" s="2"/>
    </row>
    <row r="98" spans="1:10" ht="12.95" customHeight="1">
      <c r="A98" s="16" t="s">
        <v>3769</v>
      </c>
      <c r="B98" s="17" t="s">
        <v>3770</v>
      </c>
      <c r="C98" s="13" t="s">
        <v>3771</v>
      </c>
      <c r="D98" s="13" t="s">
        <v>171</v>
      </c>
      <c r="E98" s="18">
        <v>100</v>
      </c>
      <c r="F98" s="19">
        <v>1032.82</v>
      </c>
      <c r="G98" s="20">
        <v>1E-3</v>
      </c>
      <c r="H98" s="21">
        <v>4.4649000000000001E-2</v>
      </c>
      <c r="I98" s="22"/>
      <c r="J98" s="2"/>
    </row>
    <row r="99" spans="1:10" ht="12.95" customHeight="1">
      <c r="A99" s="16" t="s">
        <v>305</v>
      </c>
      <c r="B99" s="17" t="s">
        <v>306</v>
      </c>
      <c r="C99" s="13" t="s">
        <v>307</v>
      </c>
      <c r="D99" s="13" t="s">
        <v>132</v>
      </c>
      <c r="E99" s="18">
        <v>100</v>
      </c>
      <c r="F99" s="19">
        <v>1022.39</v>
      </c>
      <c r="G99" s="20">
        <v>1E-3</v>
      </c>
      <c r="H99" s="21">
        <v>4.3298999999999997E-2</v>
      </c>
      <c r="I99" s="22"/>
      <c r="J99" s="2"/>
    </row>
    <row r="100" spans="1:10" ht="12.95" customHeight="1">
      <c r="A100" s="16" t="s">
        <v>3772</v>
      </c>
      <c r="B100" s="17" t="s">
        <v>3773</v>
      </c>
      <c r="C100" s="13" t="s">
        <v>3774</v>
      </c>
      <c r="D100" s="13" t="s">
        <v>200</v>
      </c>
      <c r="E100" s="18">
        <v>1000000</v>
      </c>
      <c r="F100" s="19">
        <v>1022.37</v>
      </c>
      <c r="G100" s="20">
        <v>1E-3</v>
      </c>
      <c r="H100" s="21">
        <v>3.7100000000000001E-2</v>
      </c>
      <c r="I100" s="22"/>
      <c r="J100" s="2"/>
    </row>
    <row r="101" spans="1:10" ht="12.95" customHeight="1">
      <c r="A101" s="16" t="s">
        <v>3775</v>
      </c>
      <c r="B101" s="17" t="s">
        <v>3776</v>
      </c>
      <c r="C101" s="13" t="s">
        <v>3777</v>
      </c>
      <c r="D101" s="13" t="s">
        <v>200</v>
      </c>
      <c r="E101" s="18">
        <v>1000000</v>
      </c>
      <c r="F101" s="19">
        <v>1005.83</v>
      </c>
      <c r="G101" s="20">
        <v>1E-3</v>
      </c>
      <c r="H101" s="21">
        <v>3.4743999999999997E-2</v>
      </c>
      <c r="I101" s="22"/>
      <c r="J101" s="2"/>
    </row>
    <row r="102" spans="1:10" ht="12.95" customHeight="1">
      <c r="A102" s="16" t="s">
        <v>3778</v>
      </c>
      <c r="B102" s="17" t="s">
        <v>3776</v>
      </c>
      <c r="C102" s="13" t="s">
        <v>3779</v>
      </c>
      <c r="D102" s="13" t="s">
        <v>200</v>
      </c>
      <c r="E102" s="18">
        <v>1000000</v>
      </c>
      <c r="F102" s="19">
        <v>1005.83</v>
      </c>
      <c r="G102" s="20">
        <v>1E-3</v>
      </c>
      <c r="H102" s="21">
        <v>3.4752999999999999E-2</v>
      </c>
      <c r="I102" s="22"/>
      <c r="J102" s="2"/>
    </row>
    <row r="103" spans="1:10" ht="12.95" customHeight="1">
      <c r="A103" s="16" t="s">
        <v>3780</v>
      </c>
      <c r="B103" s="17" t="s">
        <v>3781</v>
      </c>
      <c r="C103" s="13" t="s">
        <v>3782</v>
      </c>
      <c r="D103" s="13" t="s">
        <v>200</v>
      </c>
      <c r="E103" s="18">
        <v>1000000</v>
      </c>
      <c r="F103" s="19">
        <v>1005.81</v>
      </c>
      <c r="G103" s="20">
        <v>1E-3</v>
      </c>
      <c r="H103" s="21">
        <v>3.4741000000000001E-2</v>
      </c>
      <c r="I103" s="22"/>
      <c r="J103" s="2"/>
    </row>
    <row r="104" spans="1:10" ht="12.95" customHeight="1">
      <c r="A104" s="16" t="s">
        <v>3783</v>
      </c>
      <c r="B104" s="17" t="s">
        <v>3784</v>
      </c>
      <c r="C104" s="13" t="s">
        <v>3785</v>
      </c>
      <c r="D104" s="13" t="s">
        <v>200</v>
      </c>
      <c r="E104" s="18">
        <v>1015300</v>
      </c>
      <c r="F104" s="19">
        <v>915.28</v>
      </c>
      <c r="G104" s="20">
        <v>8.9999999999999998E-4</v>
      </c>
      <c r="H104" s="21">
        <v>4.7100000000000003E-2</v>
      </c>
      <c r="I104" s="22"/>
      <c r="J104" s="2"/>
    </row>
    <row r="105" spans="1:10" ht="12.95" customHeight="1">
      <c r="A105" s="16" t="s">
        <v>257</v>
      </c>
      <c r="B105" s="17" t="s">
        <v>258</v>
      </c>
      <c r="C105" s="13" t="s">
        <v>259</v>
      </c>
      <c r="D105" s="13" t="s">
        <v>200</v>
      </c>
      <c r="E105" s="18">
        <v>500000</v>
      </c>
      <c r="F105" s="19">
        <v>521.19000000000005</v>
      </c>
      <c r="G105" s="20">
        <v>5.0000000000000001E-4</v>
      </c>
      <c r="H105" s="21">
        <v>4.4408999999999997E-2</v>
      </c>
      <c r="I105" s="22"/>
      <c r="J105" s="2"/>
    </row>
    <row r="106" spans="1:10" ht="12.95" customHeight="1">
      <c r="A106" s="16" t="s">
        <v>311</v>
      </c>
      <c r="B106" s="17" t="s">
        <v>312</v>
      </c>
      <c r="C106" s="13" t="s">
        <v>313</v>
      </c>
      <c r="D106" s="13" t="s">
        <v>132</v>
      </c>
      <c r="E106" s="18">
        <v>50</v>
      </c>
      <c r="F106" s="19">
        <v>516.34</v>
      </c>
      <c r="G106" s="20">
        <v>5.0000000000000001E-4</v>
      </c>
      <c r="H106" s="21">
        <v>4.58E-2</v>
      </c>
      <c r="I106" s="22"/>
      <c r="J106" s="2"/>
    </row>
    <row r="107" spans="1:10" ht="12.95" customHeight="1">
      <c r="A107" s="16" t="s">
        <v>3786</v>
      </c>
      <c r="B107" s="17" t="s">
        <v>3787</v>
      </c>
      <c r="C107" s="13" t="s">
        <v>3788</v>
      </c>
      <c r="D107" s="13" t="s">
        <v>132</v>
      </c>
      <c r="E107" s="18">
        <v>40</v>
      </c>
      <c r="F107" s="19">
        <v>511.48</v>
      </c>
      <c r="G107" s="20">
        <v>5.0000000000000001E-4</v>
      </c>
      <c r="H107" s="21">
        <v>3.7499999999999999E-2</v>
      </c>
      <c r="I107" s="22"/>
      <c r="J107" s="2"/>
    </row>
    <row r="108" spans="1:10" ht="12.95" customHeight="1">
      <c r="A108" s="16" t="s">
        <v>3554</v>
      </c>
      <c r="B108" s="17" t="s">
        <v>3555</v>
      </c>
      <c r="C108" s="13" t="s">
        <v>3556</v>
      </c>
      <c r="D108" s="13" t="s">
        <v>200</v>
      </c>
      <c r="E108" s="18">
        <v>500000</v>
      </c>
      <c r="F108" s="19">
        <v>507.65</v>
      </c>
      <c r="G108" s="20">
        <v>5.0000000000000001E-4</v>
      </c>
      <c r="H108" s="21">
        <v>3.6999999999999998E-2</v>
      </c>
      <c r="I108" s="22"/>
      <c r="J108" s="2"/>
    </row>
    <row r="109" spans="1:10" ht="12.95" customHeight="1">
      <c r="A109" s="16" t="s">
        <v>628</v>
      </c>
      <c r="B109" s="17" t="s">
        <v>629</v>
      </c>
      <c r="C109" s="13" t="s">
        <v>630</v>
      </c>
      <c r="D109" s="13" t="s">
        <v>132</v>
      </c>
      <c r="E109" s="18">
        <v>50</v>
      </c>
      <c r="F109" s="19">
        <v>507.44</v>
      </c>
      <c r="G109" s="20">
        <v>5.0000000000000001E-4</v>
      </c>
      <c r="H109" s="21">
        <v>3.7000999999999999E-2</v>
      </c>
      <c r="I109" s="22"/>
      <c r="J109" s="2"/>
    </row>
    <row r="110" spans="1:10" ht="12.95" customHeight="1">
      <c r="A110" s="16" t="s">
        <v>3789</v>
      </c>
      <c r="B110" s="17" t="s">
        <v>3790</v>
      </c>
      <c r="C110" s="13" t="s">
        <v>3791</v>
      </c>
      <c r="D110" s="13" t="s">
        <v>200</v>
      </c>
      <c r="E110" s="18">
        <v>500000</v>
      </c>
      <c r="F110" s="19">
        <v>501.4</v>
      </c>
      <c r="G110" s="20">
        <v>5.0000000000000001E-4</v>
      </c>
      <c r="H110" s="21">
        <v>3.3952000000000003E-2</v>
      </c>
      <c r="I110" s="22"/>
      <c r="J110" s="2"/>
    </row>
    <row r="111" spans="1:10" ht="12.95" customHeight="1">
      <c r="A111" s="16" t="s">
        <v>152</v>
      </c>
      <c r="B111" s="17" t="s">
        <v>153</v>
      </c>
      <c r="C111" s="13" t="s">
        <v>154</v>
      </c>
      <c r="D111" s="13" t="s">
        <v>132</v>
      </c>
      <c r="E111" s="18">
        <v>30</v>
      </c>
      <c r="F111" s="19">
        <v>305.52</v>
      </c>
      <c r="G111" s="20">
        <v>2.9999999999999997E-4</v>
      </c>
      <c r="H111" s="21">
        <v>3.7999999999999999E-2</v>
      </c>
      <c r="I111" s="22"/>
      <c r="J111" s="2"/>
    </row>
    <row r="112" spans="1:10" ht="12.95" customHeight="1">
      <c r="A112" s="16" t="s">
        <v>275</v>
      </c>
      <c r="B112" s="17" t="s">
        <v>276</v>
      </c>
      <c r="C112" s="13" t="s">
        <v>277</v>
      </c>
      <c r="D112" s="13" t="s">
        <v>132</v>
      </c>
      <c r="E112" s="18">
        <v>20</v>
      </c>
      <c r="F112" s="19">
        <v>205.11</v>
      </c>
      <c r="G112" s="20">
        <v>2.0000000000000001E-4</v>
      </c>
      <c r="H112" s="21">
        <v>4.2200000000000001E-2</v>
      </c>
      <c r="I112" s="22"/>
      <c r="J112" s="2"/>
    </row>
    <row r="113" spans="1:10" ht="12.95" customHeight="1">
      <c r="A113" s="16" t="s">
        <v>145</v>
      </c>
      <c r="B113" s="17" t="s">
        <v>146</v>
      </c>
      <c r="C113" s="13" t="s">
        <v>147</v>
      </c>
      <c r="D113" s="13" t="s">
        <v>148</v>
      </c>
      <c r="E113" s="18">
        <v>9</v>
      </c>
      <c r="F113" s="19">
        <v>91.39</v>
      </c>
      <c r="G113" s="20">
        <v>1E-4</v>
      </c>
      <c r="H113" s="21">
        <v>3.6798999999999998E-2</v>
      </c>
      <c r="I113" s="22"/>
      <c r="J113" s="2"/>
    </row>
    <row r="114" spans="1:10" ht="12.95" customHeight="1">
      <c r="A114" s="2"/>
      <c r="B114" s="12" t="s">
        <v>172</v>
      </c>
      <c r="C114" s="13"/>
      <c r="D114" s="13"/>
      <c r="E114" s="13"/>
      <c r="F114" s="23">
        <v>522166.54</v>
      </c>
      <c r="G114" s="24">
        <v>0.49690000000000001</v>
      </c>
      <c r="H114" s="25"/>
      <c r="I114" s="26"/>
      <c r="J114" s="2"/>
    </row>
    <row r="115" spans="1:10" ht="12.95" customHeight="1">
      <c r="A115" s="2"/>
      <c r="B115" s="27" t="s">
        <v>173</v>
      </c>
      <c r="C115" s="1"/>
      <c r="D115" s="1"/>
      <c r="E115" s="1"/>
      <c r="F115" s="25" t="s">
        <v>204</v>
      </c>
      <c r="G115" s="25" t="s">
        <v>204</v>
      </c>
      <c r="H115" s="25"/>
      <c r="I115" s="26"/>
      <c r="J115" s="2"/>
    </row>
    <row r="116" spans="1:10" ht="12.95" customHeight="1">
      <c r="A116" s="2"/>
      <c r="B116" s="27" t="s">
        <v>172</v>
      </c>
      <c r="C116" s="1"/>
      <c r="D116" s="1"/>
      <c r="E116" s="1"/>
      <c r="F116" s="25" t="s">
        <v>204</v>
      </c>
      <c r="G116" s="25" t="s">
        <v>204</v>
      </c>
      <c r="H116" s="25"/>
      <c r="I116" s="26"/>
      <c r="J116" s="2"/>
    </row>
    <row r="117" spans="1:10" ht="12.95" customHeight="1">
      <c r="A117" s="2"/>
      <c r="B117" s="12" t="s">
        <v>1292</v>
      </c>
      <c r="C117" s="13"/>
      <c r="D117" s="13"/>
      <c r="E117" s="13"/>
      <c r="F117" s="2"/>
      <c r="G117" s="14"/>
      <c r="H117" s="14"/>
      <c r="I117" s="15"/>
      <c r="J117" s="2"/>
    </row>
    <row r="118" spans="1:10" ht="12.95" customHeight="1">
      <c r="A118" s="16" t="s">
        <v>2371</v>
      </c>
      <c r="B118" s="17" t="s">
        <v>2372</v>
      </c>
      <c r="C118" s="13" t="s">
        <v>2373</v>
      </c>
      <c r="D118" s="13" t="s">
        <v>1296</v>
      </c>
      <c r="E118" s="18">
        <v>19</v>
      </c>
      <c r="F118" s="19">
        <v>1857.71</v>
      </c>
      <c r="G118" s="20">
        <v>1.8E-3</v>
      </c>
      <c r="H118" s="21">
        <v>4.5650000000000003E-2</v>
      </c>
      <c r="I118" s="22"/>
      <c r="J118" s="2"/>
    </row>
    <row r="119" spans="1:10" ht="12.95" customHeight="1">
      <c r="A119" s="16" t="s">
        <v>3679</v>
      </c>
      <c r="B119" s="17" t="s">
        <v>3680</v>
      </c>
      <c r="C119" s="13" t="s">
        <v>3681</v>
      </c>
      <c r="D119" s="13" t="s">
        <v>1296</v>
      </c>
      <c r="E119" s="18">
        <v>19</v>
      </c>
      <c r="F119" s="19">
        <v>1835.01</v>
      </c>
      <c r="G119" s="20">
        <v>1.6999999999999999E-3</v>
      </c>
      <c r="H119" s="21">
        <v>4.7350000000000003E-2</v>
      </c>
      <c r="I119" s="22"/>
      <c r="J119" s="2"/>
    </row>
    <row r="120" spans="1:10" ht="12.95" customHeight="1">
      <c r="A120" s="16" t="s">
        <v>2374</v>
      </c>
      <c r="B120" s="17" t="s">
        <v>2375</v>
      </c>
      <c r="C120" s="13" t="s">
        <v>2376</v>
      </c>
      <c r="D120" s="13" t="s">
        <v>1296</v>
      </c>
      <c r="E120" s="18">
        <v>19</v>
      </c>
      <c r="F120" s="19">
        <v>1812.2</v>
      </c>
      <c r="G120" s="20">
        <v>1.6999999999999999E-3</v>
      </c>
      <c r="H120" s="21">
        <v>4.845E-2</v>
      </c>
      <c r="I120" s="22"/>
      <c r="J120" s="2"/>
    </row>
    <row r="121" spans="1:10" ht="12.95" customHeight="1">
      <c r="A121" s="16" t="s">
        <v>3792</v>
      </c>
      <c r="B121" s="17" t="s">
        <v>3793</v>
      </c>
      <c r="C121" s="13" t="s">
        <v>3794</v>
      </c>
      <c r="D121" s="13" t="s">
        <v>1296</v>
      </c>
      <c r="E121" s="18">
        <v>16</v>
      </c>
      <c r="F121" s="19">
        <v>1600</v>
      </c>
      <c r="G121" s="20">
        <v>1.5E-3</v>
      </c>
      <c r="H121" s="21">
        <v>3.9350000000000003E-2</v>
      </c>
      <c r="I121" s="22"/>
      <c r="J121" s="2"/>
    </row>
    <row r="122" spans="1:10" ht="12.95" customHeight="1">
      <c r="A122" s="16" t="s">
        <v>3795</v>
      </c>
      <c r="B122" s="17" t="s">
        <v>3796</v>
      </c>
      <c r="C122" s="13" t="s">
        <v>3797</v>
      </c>
      <c r="D122" s="13" t="s">
        <v>1296</v>
      </c>
      <c r="E122" s="18">
        <v>16</v>
      </c>
      <c r="F122" s="19">
        <v>1583</v>
      </c>
      <c r="G122" s="20">
        <v>1.5E-3</v>
      </c>
      <c r="H122" s="21">
        <v>4.2599999999999999E-2</v>
      </c>
      <c r="I122" s="22"/>
      <c r="J122" s="2"/>
    </row>
    <row r="123" spans="1:10" ht="12.95" customHeight="1">
      <c r="A123" s="2"/>
      <c r="B123" s="12" t="s">
        <v>172</v>
      </c>
      <c r="C123" s="13"/>
      <c r="D123" s="13"/>
      <c r="E123" s="13"/>
      <c r="F123" s="23">
        <v>8687.92</v>
      </c>
      <c r="G123" s="24">
        <v>8.2000000000000007E-3</v>
      </c>
      <c r="H123" s="25"/>
      <c r="I123" s="26"/>
      <c r="J123" s="2"/>
    </row>
    <row r="124" spans="1:10" ht="12.95" customHeight="1">
      <c r="A124" s="2"/>
      <c r="B124" s="27" t="s">
        <v>173</v>
      </c>
      <c r="C124" s="1"/>
      <c r="D124" s="1"/>
      <c r="E124" s="1"/>
      <c r="F124" s="25" t="s">
        <v>204</v>
      </c>
      <c r="G124" s="25" t="s">
        <v>204</v>
      </c>
      <c r="H124" s="25"/>
      <c r="I124" s="26"/>
      <c r="J124" s="2"/>
    </row>
    <row r="125" spans="1:10" ht="12.95" customHeight="1">
      <c r="A125" s="2"/>
      <c r="B125" s="27" t="s">
        <v>172</v>
      </c>
      <c r="C125" s="1"/>
      <c r="D125" s="1"/>
      <c r="E125" s="1"/>
      <c r="F125" s="25" t="s">
        <v>204</v>
      </c>
      <c r="G125" s="25" t="s">
        <v>204</v>
      </c>
      <c r="H125" s="25"/>
      <c r="I125" s="26"/>
      <c r="J125" s="2"/>
    </row>
    <row r="126" spans="1:10" ht="12.95" customHeight="1">
      <c r="A126" s="2"/>
      <c r="B126" s="27" t="s">
        <v>177</v>
      </c>
      <c r="C126" s="28"/>
      <c r="D126" s="1"/>
      <c r="E126" s="28"/>
      <c r="F126" s="23">
        <v>530854.46</v>
      </c>
      <c r="G126" s="24">
        <v>0.50509999999999999</v>
      </c>
      <c r="H126" s="25"/>
      <c r="I126" s="26"/>
      <c r="J126" s="2"/>
    </row>
    <row r="127" spans="1:10" ht="12.95" customHeight="1">
      <c r="A127" s="2"/>
      <c r="B127" s="12" t="s">
        <v>656</v>
      </c>
      <c r="C127" s="13"/>
      <c r="D127" s="13"/>
      <c r="E127" s="13"/>
      <c r="F127" s="13"/>
      <c r="G127" s="13"/>
      <c r="H127" s="14"/>
      <c r="I127" s="15"/>
      <c r="J127" s="2"/>
    </row>
    <row r="128" spans="1:10" ht="12.95" customHeight="1">
      <c r="A128" s="2"/>
      <c r="B128" s="12" t="s">
        <v>657</v>
      </c>
      <c r="C128" s="13"/>
      <c r="D128" s="13"/>
      <c r="E128" s="13"/>
      <c r="F128" s="2"/>
      <c r="G128" s="14"/>
      <c r="H128" s="14"/>
      <c r="I128" s="15"/>
      <c r="J128" s="2"/>
    </row>
    <row r="129" spans="1:10" ht="12.95" customHeight="1">
      <c r="A129" s="16" t="s">
        <v>3798</v>
      </c>
      <c r="B129" s="17" t="s">
        <v>3799</v>
      </c>
      <c r="C129" s="13" t="s">
        <v>3800</v>
      </c>
      <c r="D129" s="13" t="s">
        <v>661</v>
      </c>
      <c r="E129" s="18">
        <v>12500</v>
      </c>
      <c r="F129" s="19">
        <v>12454.49</v>
      </c>
      <c r="G129" s="20">
        <v>1.1900000000000001E-2</v>
      </c>
      <c r="H129" s="21">
        <v>3.5101E-2</v>
      </c>
      <c r="I129" s="22"/>
      <c r="J129" s="2"/>
    </row>
    <row r="130" spans="1:10" ht="12.95" customHeight="1">
      <c r="A130" s="16" t="s">
        <v>2998</v>
      </c>
      <c r="B130" s="17" t="s">
        <v>2999</v>
      </c>
      <c r="C130" s="13" t="s">
        <v>3000</v>
      </c>
      <c r="D130" s="13" t="s">
        <v>661</v>
      </c>
      <c r="E130" s="18">
        <v>10000</v>
      </c>
      <c r="F130" s="19">
        <v>9930.24</v>
      </c>
      <c r="G130" s="20">
        <v>9.4000000000000004E-3</v>
      </c>
      <c r="H130" s="21">
        <v>3.465E-2</v>
      </c>
      <c r="I130" s="22"/>
      <c r="J130" s="2"/>
    </row>
    <row r="131" spans="1:10" ht="12.95" customHeight="1">
      <c r="A131" s="16" t="s">
        <v>3801</v>
      </c>
      <c r="B131" s="17" t="s">
        <v>3802</v>
      </c>
      <c r="C131" s="13" t="s">
        <v>3803</v>
      </c>
      <c r="D131" s="13" t="s">
        <v>661</v>
      </c>
      <c r="E131" s="18">
        <v>10000</v>
      </c>
      <c r="F131" s="19">
        <v>9634.57</v>
      </c>
      <c r="G131" s="20">
        <v>9.1999999999999998E-3</v>
      </c>
      <c r="H131" s="21">
        <v>4.3950000000000003E-2</v>
      </c>
      <c r="I131" s="22"/>
      <c r="J131" s="2"/>
    </row>
    <row r="132" spans="1:10" ht="12.95" customHeight="1">
      <c r="A132" s="16" t="s">
        <v>3007</v>
      </c>
      <c r="B132" s="17" t="s">
        <v>3008</v>
      </c>
      <c r="C132" s="13" t="s">
        <v>3009</v>
      </c>
      <c r="D132" s="13" t="s">
        <v>661</v>
      </c>
      <c r="E132" s="18">
        <v>7500</v>
      </c>
      <c r="F132" s="19">
        <v>7412.84</v>
      </c>
      <c r="G132" s="20">
        <v>7.1000000000000004E-3</v>
      </c>
      <c r="H132" s="21">
        <v>3.6998999999999997E-2</v>
      </c>
      <c r="I132" s="22"/>
      <c r="J132" s="2"/>
    </row>
    <row r="133" spans="1:10" ht="12.95" customHeight="1">
      <c r="A133" s="16" t="s">
        <v>3804</v>
      </c>
      <c r="B133" s="17" t="s">
        <v>3805</v>
      </c>
      <c r="C133" s="13" t="s">
        <v>3806</v>
      </c>
      <c r="D133" s="13" t="s">
        <v>3685</v>
      </c>
      <c r="E133" s="18">
        <v>5000</v>
      </c>
      <c r="F133" s="19">
        <v>4942.5600000000004</v>
      </c>
      <c r="G133" s="20">
        <v>4.7000000000000002E-3</v>
      </c>
      <c r="H133" s="21">
        <v>3.5949000000000002E-2</v>
      </c>
      <c r="I133" s="22"/>
      <c r="J133" s="2"/>
    </row>
    <row r="134" spans="1:10" ht="12.95" customHeight="1">
      <c r="A134" s="2"/>
      <c r="B134" s="12" t="s">
        <v>172</v>
      </c>
      <c r="C134" s="13"/>
      <c r="D134" s="13"/>
      <c r="E134" s="13"/>
      <c r="F134" s="23">
        <v>44374.7</v>
      </c>
      <c r="G134" s="24">
        <v>4.2299999999999997E-2</v>
      </c>
      <c r="H134" s="25"/>
      <c r="I134" s="26"/>
      <c r="J134" s="2"/>
    </row>
    <row r="135" spans="1:10" ht="12.95" customHeight="1">
      <c r="A135" s="2"/>
      <c r="B135" s="12" t="s">
        <v>662</v>
      </c>
      <c r="C135" s="13"/>
      <c r="D135" s="13"/>
      <c r="E135" s="13"/>
      <c r="F135" s="2"/>
      <c r="G135" s="14"/>
      <c r="H135" s="14"/>
      <c r="I135" s="15"/>
      <c r="J135" s="2"/>
    </row>
    <row r="136" spans="1:10" ht="12.95" customHeight="1">
      <c r="A136" s="16" t="s">
        <v>3807</v>
      </c>
      <c r="B136" s="17" t="s">
        <v>3808</v>
      </c>
      <c r="C136" s="13" t="s">
        <v>3809</v>
      </c>
      <c r="D136" s="13" t="s">
        <v>661</v>
      </c>
      <c r="E136" s="18">
        <v>4000</v>
      </c>
      <c r="F136" s="19">
        <v>19668.599999999999</v>
      </c>
      <c r="G136" s="20">
        <v>1.8700000000000001E-2</v>
      </c>
      <c r="H136" s="21">
        <v>3.7499999999999999E-2</v>
      </c>
      <c r="I136" s="22"/>
      <c r="J136" s="2"/>
    </row>
    <row r="137" spans="1:10" ht="12.95" customHeight="1">
      <c r="A137" s="16" t="s">
        <v>3067</v>
      </c>
      <c r="B137" s="17" t="s">
        <v>3068</v>
      </c>
      <c r="C137" s="13" t="s">
        <v>3069</v>
      </c>
      <c r="D137" s="13" t="s">
        <v>661</v>
      </c>
      <c r="E137" s="18">
        <v>3500</v>
      </c>
      <c r="F137" s="19">
        <v>17433.5</v>
      </c>
      <c r="G137" s="20">
        <v>1.66E-2</v>
      </c>
      <c r="H137" s="21">
        <v>3.5700000000000003E-2</v>
      </c>
      <c r="I137" s="22"/>
      <c r="J137" s="2"/>
    </row>
    <row r="138" spans="1:10" ht="12.95" customHeight="1">
      <c r="A138" s="16" t="s">
        <v>3013</v>
      </c>
      <c r="B138" s="17" t="s">
        <v>3014</v>
      </c>
      <c r="C138" s="13" t="s">
        <v>3015</v>
      </c>
      <c r="D138" s="13" t="s">
        <v>661</v>
      </c>
      <c r="E138" s="18">
        <v>2500</v>
      </c>
      <c r="F138" s="19">
        <v>12394.53</v>
      </c>
      <c r="G138" s="20">
        <v>1.18E-2</v>
      </c>
      <c r="H138" s="21">
        <v>3.49E-2</v>
      </c>
      <c r="I138" s="22"/>
      <c r="J138" s="2"/>
    </row>
    <row r="139" spans="1:10" ht="12.95" customHeight="1">
      <c r="A139" s="16" t="s">
        <v>3810</v>
      </c>
      <c r="B139" s="17" t="s">
        <v>3811</v>
      </c>
      <c r="C139" s="13" t="s">
        <v>3812</v>
      </c>
      <c r="D139" s="13" t="s">
        <v>661</v>
      </c>
      <c r="E139" s="18">
        <v>2500</v>
      </c>
      <c r="F139" s="19">
        <v>12227.29</v>
      </c>
      <c r="G139" s="20">
        <v>1.1599999999999999E-2</v>
      </c>
      <c r="H139" s="21">
        <v>4.24E-2</v>
      </c>
      <c r="I139" s="22"/>
      <c r="J139" s="2"/>
    </row>
    <row r="140" spans="1:10" ht="12.95" customHeight="1">
      <c r="A140" s="16" t="s">
        <v>2859</v>
      </c>
      <c r="B140" s="17" t="s">
        <v>2860</v>
      </c>
      <c r="C140" s="13" t="s">
        <v>2861</v>
      </c>
      <c r="D140" s="13" t="s">
        <v>661</v>
      </c>
      <c r="E140" s="18">
        <v>2000</v>
      </c>
      <c r="F140" s="19">
        <v>9973.3700000000008</v>
      </c>
      <c r="G140" s="20">
        <v>9.4999999999999998E-3</v>
      </c>
      <c r="H140" s="21">
        <v>3.61E-2</v>
      </c>
      <c r="I140" s="22"/>
      <c r="J140" s="2"/>
    </row>
    <row r="141" spans="1:10" ht="12.95" customHeight="1">
      <c r="A141" s="16" t="s">
        <v>2018</v>
      </c>
      <c r="B141" s="17" t="s">
        <v>2019</v>
      </c>
      <c r="C141" s="13" t="s">
        <v>2020</v>
      </c>
      <c r="D141" s="13" t="s">
        <v>661</v>
      </c>
      <c r="E141" s="18">
        <v>1500</v>
      </c>
      <c r="F141" s="19">
        <v>7446.89</v>
      </c>
      <c r="G141" s="20">
        <v>7.1000000000000004E-3</v>
      </c>
      <c r="H141" s="21">
        <v>3.8850999999999997E-2</v>
      </c>
      <c r="I141" s="22"/>
      <c r="J141" s="2"/>
    </row>
    <row r="142" spans="1:10" ht="12.95" customHeight="1">
      <c r="A142" s="16" t="s">
        <v>3076</v>
      </c>
      <c r="B142" s="17" t="s">
        <v>3077</v>
      </c>
      <c r="C142" s="13" t="s">
        <v>3078</v>
      </c>
      <c r="D142" s="13" t="s">
        <v>661</v>
      </c>
      <c r="E142" s="18">
        <v>1500</v>
      </c>
      <c r="F142" s="19">
        <v>7256</v>
      </c>
      <c r="G142" s="20">
        <v>6.8999999999999999E-3</v>
      </c>
      <c r="H142" s="21">
        <v>5.3600000000000002E-2</v>
      </c>
      <c r="I142" s="22"/>
      <c r="J142" s="2"/>
    </row>
    <row r="143" spans="1:10" ht="12.95" customHeight="1">
      <c r="A143" s="16" t="s">
        <v>3813</v>
      </c>
      <c r="B143" s="17" t="s">
        <v>3814</v>
      </c>
      <c r="C143" s="13" t="s">
        <v>3815</v>
      </c>
      <c r="D143" s="13" t="s">
        <v>661</v>
      </c>
      <c r="E143" s="18">
        <v>1200</v>
      </c>
      <c r="F143" s="19">
        <v>5898.77</v>
      </c>
      <c r="G143" s="20">
        <v>5.5999999999999999E-3</v>
      </c>
      <c r="H143" s="21">
        <v>4.3200000000000002E-2</v>
      </c>
      <c r="I143" s="22"/>
      <c r="J143" s="2"/>
    </row>
    <row r="144" spans="1:10" ht="12.95" customHeight="1">
      <c r="A144" s="16" t="s">
        <v>3816</v>
      </c>
      <c r="B144" s="17" t="s">
        <v>3817</v>
      </c>
      <c r="C144" s="13" t="s">
        <v>3818</v>
      </c>
      <c r="D144" s="13" t="s">
        <v>661</v>
      </c>
      <c r="E144" s="18">
        <v>1000</v>
      </c>
      <c r="F144" s="19">
        <v>4986.16</v>
      </c>
      <c r="G144" s="20">
        <v>4.7000000000000002E-3</v>
      </c>
      <c r="H144" s="21">
        <v>3.6202999999999999E-2</v>
      </c>
      <c r="I144" s="22"/>
      <c r="J144" s="2"/>
    </row>
    <row r="145" spans="1:10" ht="12.95" customHeight="1">
      <c r="A145" s="16" t="s">
        <v>2386</v>
      </c>
      <c r="B145" s="17" t="s">
        <v>2387</v>
      </c>
      <c r="C145" s="13" t="s">
        <v>2388</v>
      </c>
      <c r="D145" s="13" t="s">
        <v>661</v>
      </c>
      <c r="E145" s="18">
        <v>1000</v>
      </c>
      <c r="F145" s="19">
        <v>4925.55</v>
      </c>
      <c r="G145" s="20">
        <v>4.7000000000000002E-3</v>
      </c>
      <c r="H145" s="21">
        <v>3.805E-2</v>
      </c>
      <c r="I145" s="22"/>
      <c r="J145" s="2"/>
    </row>
    <row r="146" spans="1:10" ht="12.95" customHeight="1">
      <c r="A146" s="16" t="s">
        <v>1309</v>
      </c>
      <c r="B146" s="17" t="s">
        <v>1310</v>
      </c>
      <c r="C146" s="13" t="s">
        <v>1311</v>
      </c>
      <c r="D146" s="13" t="s">
        <v>1312</v>
      </c>
      <c r="E146" s="18">
        <v>1000</v>
      </c>
      <c r="F146" s="19">
        <v>4919.87</v>
      </c>
      <c r="G146" s="20">
        <v>4.7000000000000002E-3</v>
      </c>
      <c r="H146" s="21">
        <v>4.1000000000000002E-2</v>
      </c>
      <c r="I146" s="22"/>
      <c r="J146" s="2"/>
    </row>
    <row r="147" spans="1:10" ht="12.95" customHeight="1">
      <c r="A147" s="16" t="s">
        <v>3819</v>
      </c>
      <c r="B147" s="17" t="s">
        <v>3820</v>
      </c>
      <c r="C147" s="13" t="s">
        <v>3821</v>
      </c>
      <c r="D147" s="13" t="s">
        <v>661</v>
      </c>
      <c r="E147" s="18">
        <v>1000</v>
      </c>
      <c r="F147" s="19">
        <v>4908.4799999999996</v>
      </c>
      <c r="G147" s="20">
        <v>4.7000000000000002E-3</v>
      </c>
      <c r="H147" s="21">
        <v>4.1000000000000002E-2</v>
      </c>
      <c r="I147" s="22"/>
      <c r="J147" s="2"/>
    </row>
    <row r="148" spans="1:10" ht="12.95" customHeight="1">
      <c r="A148" s="16" t="s">
        <v>3822</v>
      </c>
      <c r="B148" s="17" t="s">
        <v>3823</v>
      </c>
      <c r="C148" s="13" t="s">
        <v>3824</v>
      </c>
      <c r="D148" s="13" t="s">
        <v>661</v>
      </c>
      <c r="E148" s="18">
        <v>1000</v>
      </c>
      <c r="F148" s="19">
        <v>4836.33</v>
      </c>
      <c r="G148" s="20">
        <v>4.5999999999999999E-3</v>
      </c>
      <c r="H148" s="21">
        <v>4.5751E-2</v>
      </c>
      <c r="I148" s="22"/>
      <c r="J148" s="2"/>
    </row>
    <row r="149" spans="1:10" ht="12.95" customHeight="1">
      <c r="A149" s="16" t="s">
        <v>3825</v>
      </c>
      <c r="B149" s="17" t="s">
        <v>3826</v>
      </c>
      <c r="C149" s="13" t="s">
        <v>3827</v>
      </c>
      <c r="D149" s="13" t="s">
        <v>661</v>
      </c>
      <c r="E149" s="18">
        <v>1000</v>
      </c>
      <c r="F149" s="19">
        <v>4820.1499999999996</v>
      </c>
      <c r="G149" s="20">
        <v>4.5999999999999999E-3</v>
      </c>
      <c r="H149" s="21">
        <v>4.165E-2</v>
      </c>
      <c r="I149" s="22"/>
      <c r="J149" s="2"/>
    </row>
    <row r="150" spans="1:10" ht="12.95" customHeight="1">
      <c r="A150" s="16" t="s">
        <v>3828</v>
      </c>
      <c r="B150" s="17" t="s">
        <v>3829</v>
      </c>
      <c r="C150" s="13" t="s">
        <v>3830</v>
      </c>
      <c r="D150" s="13" t="s">
        <v>661</v>
      </c>
      <c r="E150" s="18">
        <v>600</v>
      </c>
      <c r="F150" s="19">
        <v>2977.64</v>
      </c>
      <c r="G150" s="20">
        <v>2.8E-3</v>
      </c>
      <c r="H150" s="21">
        <v>3.9150999999999998E-2</v>
      </c>
      <c r="I150" s="22"/>
      <c r="J150" s="2"/>
    </row>
    <row r="151" spans="1:10" ht="12.95" customHeight="1">
      <c r="A151" s="16" t="s">
        <v>3831</v>
      </c>
      <c r="B151" s="17" t="s">
        <v>3832</v>
      </c>
      <c r="C151" s="13" t="s">
        <v>3833</v>
      </c>
      <c r="D151" s="13" t="s">
        <v>661</v>
      </c>
      <c r="E151" s="18">
        <v>500</v>
      </c>
      <c r="F151" s="19">
        <v>2481.2199999999998</v>
      </c>
      <c r="G151" s="20">
        <v>2.3999999999999998E-3</v>
      </c>
      <c r="H151" s="21">
        <v>4.0051999999999997E-2</v>
      </c>
      <c r="I151" s="22"/>
      <c r="J151" s="2"/>
    </row>
    <row r="152" spans="1:10" ht="12.95" customHeight="1">
      <c r="A152" s="16" t="s">
        <v>2380</v>
      </c>
      <c r="B152" s="17" t="s">
        <v>2381</v>
      </c>
      <c r="C152" s="13" t="s">
        <v>2382</v>
      </c>
      <c r="D152" s="13" t="s">
        <v>661</v>
      </c>
      <c r="E152" s="18">
        <v>500</v>
      </c>
      <c r="F152" s="19">
        <v>2463.27</v>
      </c>
      <c r="G152" s="20">
        <v>2.3E-3</v>
      </c>
      <c r="H152" s="21">
        <v>4.3201000000000003E-2</v>
      </c>
      <c r="I152" s="22"/>
      <c r="J152" s="2"/>
    </row>
    <row r="153" spans="1:10" ht="12.95" customHeight="1">
      <c r="A153" s="16" t="s">
        <v>3834</v>
      </c>
      <c r="B153" s="17" t="s">
        <v>3835</v>
      </c>
      <c r="C153" s="13" t="s">
        <v>3836</v>
      </c>
      <c r="D153" s="13" t="s">
        <v>661</v>
      </c>
      <c r="E153" s="18">
        <v>500</v>
      </c>
      <c r="F153" s="19">
        <v>2445.9499999999998</v>
      </c>
      <c r="G153" s="20">
        <v>2.3E-3</v>
      </c>
      <c r="H153" s="21">
        <v>5.0099999999999999E-2</v>
      </c>
      <c r="I153" s="22"/>
      <c r="J153" s="2"/>
    </row>
    <row r="154" spans="1:10" ht="12.95" customHeight="1">
      <c r="A154" s="16" t="s">
        <v>3837</v>
      </c>
      <c r="B154" s="17" t="s">
        <v>3838</v>
      </c>
      <c r="C154" s="13" t="s">
        <v>3839</v>
      </c>
      <c r="D154" s="13" t="s">
        <v>661</v>
      </c>
      <c r="E154" s="18">
        <v>500</v>
      </c>
      <c r="F154" s="19">
        <v>2433.14</v>
      </c>
      <c r="G154" s="20">
        <v>2.3E-3</v>
      </c>
      <c r="H154" s="21">
        <v>3.9800000000000002E-2</v>
      </c>
      <c r="I154" s="22"/>
      <c r="J154" s="2"/>
    </row>
    <row r="155" spans="1:10" ht="12.95" customHeight="1">
      <c r="A155" s="2"/>
      <c r="B155" s="12" t="s">
        <v>172</v>
      </c>
      <c r="C155" s="13"/>
      <c r="D155" s="13"/>
      <c r="E155" s="13"/>
      <c r="F155" s="23">
        <v>134496.71</v>
      </c>
      <c r="G155" s="24">
        <v>0.12790000000000001</v>
      </c>
      <c r="H155" s="25"/>
      <c r="I155" s="26"/>
      <c r="J155" s="2"/>
    </row>
    <row r="156" spans="1:10" ht="12.95" customHeight="1">
      <c r="A156" s="2"/>
      <c r="B156" s="12" t="s">
        <v>1316</v>
      </c>
      <c r="C156" s="13"/>
      <c r="D156" s="13"/>
      <c r="E156" s="13"/>
      <c r="F156" s="2"/>
      <c r="G156" s="14"/>
      <c r="H156" s="14"/>
      <c r="I156" s="15"/>
      <c r="J156" s="2"/>
    </row>
    <row r="157" spans="1:10" ht="12.95" customHeight="1">
      <c r="A157" s="16" t="s">
        <v>3840</v>
      </c>
      <c r="B157" s="17" t="s">
        <v>3841</v>
      </c>
      <c r="C157" s="13" t="s">
        <v>3842</v>
      </c>
      <c r="D157" s="13" t="s">
        <v>200</v>
      </c>
      <c r="E157" s="18">
        <v>60000000</v>
      </c>
      <c r="F157" s="19">
        <v>59695.56</v>
      </c>
      <c r="G157" s="20">
        <v>5.6800000000000003E-2</v>
      </c>
      <c r="H157" s="21">
        <v>3.3848000000000003E-2</v>
      </c>
      <c r="I157" s="22"/>
      <c r="J157" s="2"/>
    </row>
    <row r="158" spans="1:10" ht="12.95" customHeight="1">
      <c r="A158" s="16" t="s">
        <v>3085</v>
      </c>
      <c r="B158" s="17" t="s">
        <v>3086</v>
      </c>
      <c r="C158" s="13" t="s">
        <v>3087</v>
      </c>
      <c r="D158" s="13" t="s">
        <v>200</v>
      </c>
      <c r="E158" s="18">
        <v>53000000</v>
      </c>
      <c r="F158" s="19">
        <v>52589.52</v>
      </c>
      <c r="G158" s="20">
        <v>0.05</v>
      </c>
      <c r="H158" s="21">
        <v>3.4325000000000001E-2</v>
      </c>
      <c r="I158" s="22"/>
      <c r="J158" s="2"/>
    </row>
    <row r="159" spans="1:10" ht="12.95" customHeight="1">
      <c r="A159" s="16" t="s">
        <v>2404</v>
      </c>
      <c r="B159" s="17" t="s">
        <v>2405</v>
      </c>
      <c r="C159" s="13" t="s">
        <v>2406</v>
      </c>
      <c r="D159" s="13" t="s">
        <v>200</v>
      </c>
      <c r="E159" s="18">
        <v>40000000</v>
      </c>
      <c r="F159" s="19">
        <v>39716.559999999998</v>
      </c>
      <c r="G159" s="20">
        <v>3.78E-2</v>
      </c>
      <c r="H159" s="21">
        <v>3.4277000000000002E-2</v>
      </c>
      <c r="I159" s="22"/>
      <c r="J159" s="2"/>
    </row>
    <row r="160" spans="1:10" ht="12.95" customHeight="1">
      <c r="A160" s="16" t="s">
        <v>3082</v>
      </c>
      <c r="B160" s="17" t="s">
        <v>3083</v>
      </c>
      <c r="C160" s="13" t="s">
        <v>3084</v>
      </c>
      <c r="D160" s="13" t="s">
        <v>200</v>
      </c>
      <c r="E160" s="18">
        <v>37500000</v>
      </c>
      <c r="F160" s="19">
        <v>37385.360000000001</v>
      </c>
      <c r="G160" s="20">
        <v>3.56E-2</v>
      </c>
      <c r="H160" s="21">
        <v>3.2924000000000002E-2</v>
      </c>
      <c r="I160" s="22"/>
      <c r="J160" s="2"/>
    </row>
    <row r="161" spans="1:10" ht="12.95" customHeight="1">
      <c r="A161" s="16" t="s">
        <v>2911</v>
      </c>
      <c r="B161" s="17" t="s">
        <v>2912</v>
      </c>
      <c r="C161" s="13" t="s">
        <v>2913</v>
      </c>
      <c r="D161" s="13" t="s">
        <v>200</v>
      </c>
      <c r="E161" s="18">
        <v>30000000</v>
      </c>
      <c r="F161" s="19">
        <v>29908.29</v>
      </c>
      <c r="G161" s="20">
        <v>2.8500000000000001E-2</v>
      </c>
      <c r="H161" s="21">
        <v>3.2924000000000002E-2</v>
      </c>
      <c r="I161" s="22"/>
      <c r="J161" s="2"/>
    </row>
    <row r="162" spans="1:10" ht="12.95" customHeight="1">
      <c r="A162" s="16" t="s">
        <v>3843</v>
      </c>
      <c r="B162" s="17" t="s">
        <v>3844</v>
      </c>
      <c r="C162" s="13" t="s">
        <v>3845</v>
      </c>
      <c r="D162" s="13" t="s">
        <v>200</v>
      </c>
      <c r="E162" s="18">
        <v>20000000</v>
      </c>
      <c r="F162" s="19">
        <v>19832.759999999998</v>
      </c>
      <c r="G162" s="20">
        <v>1.89E-2</v>
      </c>
      <c r="H162" s="21">
        <v>3.4200000000000001E-2</v>
      </c>
      <c r="I162" s="22"/>
      <c r="J162" s="2"/>
    </row>
    <row r="163" spans="1:10" ht="12.95" customHeight="1">
      <c r="A163" s="16" t="s">
        <v>2908</v>
      </c>
      <c r="B163" s="17" t="s">
        <v>2909</v>
      </c>
      <c r="C163" s="13" t="s">
        <v>2910</v>
      </c>
      <c r="D163" s="13" t="s">
        <v>200</v>
      </c>
      <c r="E163" s="18">
        <v>17500000</v>
      </c>
      <c r="F163" s="19">
        <v>17376</v>
      </c>
      <c r="G163" s="20">
        <v>1.6500000000000001E-2</v>
      </c>
      <c r="H163" s="21">
        <v>3.4277000000000002E-2</v>
      </c>
      <c r="I163" s="22"/>
      <c r="J163" s="2"/>
    </row>
    <row r="164" spans="1:10" ht="12.95" customHeight="1">
      <c r="A164" s="16" t="s">
        <v>2917</v>
      </c>
      <c r="B164" s="17" t="s">
        <v>2918</v>
      </c>
      <c r="C164" s="13" t="s">
        <v>2919</v>
      </c>
      <c r="D164" s="13" t="s">
        <v>200</v>
      </c>
      <c r="E164" s="18">
        <v>17500000</v>
      </c>
      <c r="F164" s="19">
        <v>17352.98</v>
      </c>
      <c r="G164" s="20">
        <v>1.6500000000000001E-2</v>
      </c>
      <c r="H164" s="21">
        <v>3.4359000000000001E-2</v>
      </c>
      <c r="I164" s="22"/>
      <c r="J164" s="2"/>
    </row>
    <row r="165" spans="1:10" ht="12.95" customHeight="1">
      <c r="A165" s="16" t="s">
        <v>3846</v>
      </c>
      <c r="B165" s="17" t="s">
        <v>3847</v>
      </c>
      <c r="C165" s="13" t="s">
        <v>3848</v>
      </c>
      <c r="D165" s="13" t="s">
        <v>200</v>
      </c>
      <c r="E165" s="18">
        <v>15000000</v>
      </c>
      <c r="F165" s="19">
        <v>14933.54</v>
      </c>
      <c r="G165" s="20">
        <v>1.4200000000000001E-2</v>
      </c>
      <c r="H165" s="21">
        <v>3.3848000000000003E-2</v>
      </c>
      <c r="I165" s="22"/>
      <c r="J165" s="2"/>
    </row>
    <row r="166" spans="1:10" ht="12.95" customHeight="1">
      <c r="A166" s="16" t="s">
        <v>3079</v>
      </c>
      <c r="B166" s="17" t="s">
        <v>3080</v>
      </c>
      <c r="C166" s="13" t="s">
        <v>3081</v>
      </c>
      <c r="D166" s="13" t="s">
        <v>200</v>
      </c>
      <c r="E166" s="18">
        <v>12500000</v>
      </c>
      <c r="F166" s="19">
        <v>12420.18</v>
      </c>
      <c r="G166" s="20">
        <v>1.18E-2</v>
      </c>
      <c r="H166" s="21">
        <v>3.4000000000000002E-2</v>
      </c>
      <c r="I166" s="22"/>
      <c r="J166" s="2"/>
    </row>
    <row r="167" spans="1:10" ht="12.95" customHeight="1">
      <c r="A167" s="16" t="s">
        <v>3088</v>
      </c>
      <c r="B167" s="17" t="s">
        <v>3089</v>
      </c>
      <c r="C167" s="13" t="s">
        <v>3090</v>
      </c>
      <c r="D167" s="13" t="s">
        <v>200</v>
      </c>
      <c r="E167" s="18">
        <v>5500000</v>
      </c>
      <c r="F167" s="19">
        <v>5493.67</v>
      </c>
      <c r="G167" s="20">
        <v>5.1999999999999998E-3</v>
      </c>
      <c r="H167" s="21">
        <v>3.2347500000000001E-2</v>
      </c>
      <c r="I167" s="22"/>
      <c r="J167" s="2"/>
    </row>
    <row r="168" spans="1:10" ht="12.95" customHeight="1">
      <c r="A168" s="2"/>
      <c r="B168" s="12" t="s">
        <v>172</v>
      </c>
      <c r="C168" s="13"/>
      <c r="D168" s="13"/>
      <c r="E168" s="13"/>
      <c r="F168" s="23">
        <v>306704.42</v>
      </c>
      <c r="G168" s="24">
        <v>0.2918</v>
      </c>
      <c r="H168" s="25"/>
      <c r="I168" s="26"/>
      <c r="J168" s="2"/>
    </row>
    <row r="169" spans="1:10" ht="12.95" customHeight="1">
      <c r="A169" s="2"/>
      <c r="B169" s="27" t="s">
        <v>177</v>
      </c>
      <c r="C169" s="28"/>
      <c r="D169" s="1"/>
      <c r="E169" s="28"/>
      <c r="F169" s="23">
        <v>485575.83</v>
      </c>
      <c r="G169" s="24">
        <v>0.46200000000000002</v>
      </c>
      <c r="H169" s="25"/>
      <c r="I169" s="26"/>
      <c r="J169" s="2"/>
    </row>
    <row r="170" spans="1:10" ht="12.95" customHeight="1">
      <c r="A170" s="2"/>
      <c r="B170" s="12" t="s">
        <v>178</v>
      </c>
      <c r="C170" s="13"/>
      <c r="D170" s="13"/>
      <c r="E170" s="13"/>
      <c r="F170" s="13"/>
      <c r="G170" s="13"/>
      <c r="H170" s="14"/>
      <c r="I170" s="15"/>
      <c r="J170" s="2"/>
    </row>
    <row r="171" spans="1:10" ht="12.95" customHeight="1">
      <c r="A171" s="16" t="s">
        <v>179</v>
      </c>
      <c r="B171" s="17" t="s">
        <v>180</v>
      </c>
      <c r="C171" s="13"/>
      <c r="D171" s="13"/>
      <c r="E171" s="18"/>
      <c r="F171" s="19">
        <v>23960.13</v>
      </c>
      <c r="G171" s="20">
        <v>2.2800000000000001E-2</v>
      </c>
      <c r="H171" s="21">
        <v>3.3046370557144267E-2</v>
      </c>
      <c r="I171" s="22"/>
      <c r="J171" s="2"/>
    </row>
    <row r="172" spans="1:10" ht="12.95" customHeight="1">
      <c r="A172" s="16" t="s">
        <v>3849</v>
      </c>
      <c r="B172" s="17" t="s">
        <v>733</v>
      </c>
      <c r="C172" s="13"/>
      <c r="D172" s="13"/>
      <c r="E172" s="18"/>
      <c r="F172" s="19">
        <v>2546.1999999999998</v>
      </c>
      <c r="G172" s="20">
        <v>2.3999999999999998E-3</v>
      </c>
      <c r="H172" s="21">
        <v>3.5999999999999997E-2</v>
      </c>
      <c r="I172" s="22"/>
      <c r="J172" s="2"/>
    </row>
    <row r="173" spans="1:10" ht="12.95" customHeight="1">
      <c r="A173" s="2"/>
      <c r="B173" s="12" t="s">
        <v>172</v>
      </c>
      <c r="C173" s="13"/>
      <c r="D173" s="13"/>
      <c r="E173" s="13"/>
      <c r="F173" s="23">
        <v>26506.33</v>
      </c>
      <c r="G173" s="24">
        <v>2.52E-2</v>
      </c>
      <c r="H173" s="25"/>
      <c r="I173" s="26"/>
      <c r="J173" s="2"/>
    </row>
    <row r="174" spans="1:10" ht="12.95" customHeight="1">
      <c r="A174" s="2"/>
      <c r="B174" s="27" t="s">
        <v>173</v>
      </c>
      <c r="C174" s="1"/>
      <c r="D174" s="1"/>
      <c r="E174" s="1"/>
      <c r="F174" s="25" t="s">
        <v>204</v>
      </c>
      <c r="G174" s="25" t="s">
        <v>204</v>
      </c>
      <c r="H174" s="25"/>
      <c r="I174" s="26"/>
      <c r="J174" s="2"/>
    </row>
    <row r="175" spans="1:10" ht="12.95" customHeight="1">
      <c r="A175" s="2"/>
      <c r="B175" s="27" t="s">
        <v>172</v>
      </c>
      <c r="C175" s="1"/>
      <c r="D175" s="1"/>
      <c r="E175" s="1"/>
      <c r="F175" s="25" t="s">
        <v>204</v>
      </c>
      <c r="G175" s="25" t="s">
        <v>204</v>
      </c>
      <c r="H175" s="25"/>
      <c r="I175" s="26"/>
      <c r="J175" s="2"/>
    </row>
    <row r="176" spans="1:10" ht="12.95" customHeight="1">
      <c r="A176" s="2"/>
      <c r="B176" s="27" t="s">
        <v>177</v>
      </c>
      <c r="C176" s="28"/>
      <c r="D176" s="1"/>
      <c r="E176" s="28"/>
      <c r="F176" s="23">
        <v>26506.33</v>
      </c>
      <c r="G176" s="24">
        <v>2.52E-2</v>
      </c>
      <c r="H176" s="25"/>
      <c r="I176" s="26"/>
      <c r="J176" s="2"/>
    </row>
    <row r="177" spans="1:10" ht="12.95" customHeight="1">
      <c r="A177" s="2"/>
      <c r="B177" s="27" t="s">
        <v>181</v>
      </c>
      <c r="C177" s="13"/>
      <c r="D177" s="1"/>
      <c r="E177" s="13"/>
      <c r="F177" s="29">
        <v>8000.3</v>
      </c>
      <c r="G177" s="24">
        <v>7.7000000000000002E-3</v>
      </c>
      <c r="H177" s="25"/>
      <c r="I177" s="26"/>
      <c r="J177" s="2"/>
    </row>
    <row r="178" spans="1:10" ht="12.95" customHeight="1">
      <c r="A178" s="2"/>
      <c r="B178" s="30" t="s">
        <v>182</v>
      </c>
      <c r="C178" s="31"/>
      <c r="D178" s="31"/>
      <c r="E178" s="31"/>
      <c r="F178" s="32">
        <v>1050924.67</v>
      </c>
      <c r="G178" s="33">
        <v>1</v>
      </c>
      <c r="H178" s="34"/>
      <c r="I178" s="35"/>
      <c r="J178" s="2"/>
    </row>
    <row r="179" spans="1:10" ht="12.95" customHeight="1">
      <c r="A179" s="2"/>
      <c r="B179" s="5"/>
      <c r="C179" s="2"/>
      <c r="D179" s="2"/>
      <c r="E179" s="2"/>
      <c r="F179" s="2"/>
      <c r="G179" s="2"/>
      <c r="H179" s="2"/>
      <c r="I179" s="2"/>
      <c r="J179" s="2"/>
    </row>
    <row r="180" spans="1:10" ht="12.95" customHeight="1">
      <c r="A180" s="2"/>
      <c r="B180" s="3" t="s">
        <v>1320</v>
      </c>
      <c r="C180" s="2"/>
      <c r="D180" s="2"/>
      <c r="E180" s="2"/>
      <c r="F180" s="2"/>
      <c r="G180" s="2"/>
      <c r="H180" s="2"/>
      <c r="I180" s="2"/>
      <c r="J180" s="2"/>
    </row>
    <row r="181" spans="1:10" ht="12.95" customHeight="1">
      <c r="A181" s="2"/>
      <c r="B181" s="3" t="s">
        <v>184</v>
      </c>
      <c r="C181" s="2"/>
      <c r="D181" s="2"/>
      <c r="E181" s="2"/>
      <c r="F181" s="2"/>
      <c r="G181" s="2"/>
      <c r="H181" s="2"/>
      <c r="I181" s="2"/>
      <c r="J181" s="2"/>
    </row>
    <row r="182" spans="1:10" ht="12.95" customHeight="1">
      <c r="A182" s="2"/>
      <c r="B182" s="3" t="s">
        <v>185</v>
      </c>
      <c r="C182" s="2"/>
      <c r="D182" s="2"/>
      <c r="E182" s="2"/>
      <c r="F182" s="2"/>
      <c r="G182" s="2"/>
      <c r="H182" s="2"/>
      <c r="I182" s="2"/>
      <c r="J182" s="2"/>
    </row>
    <row r="183" spans="1:10" ht="12.95" customHeight="1">
      <c r="A183" s="2"/>
      <c r="B183" s="3" t="s">
        <v>186</v>
      </c>
      <c r="C183" s="2"/>
      <c r="D183" s="2"/>
      <c r="E183" s="2"/>
      <c r="F183" s="2"/>
      <c r="G183" s="2"/>
      <c r="H183" s="2"/>
      <c r="I183" s="2"/>
      <c r="J183" s="2"/>
    </row>
    <row r="184" spans="1:10" ht="23.25" customHeight="1">
      <c r="A184" s="2"/>
      <c r="B184" s="189" t="s">
        <v>4025</v>
      </c>
      <c r="C184" s="189"/>
      <c r="D184" s="189"/>
      <c r="E184" s="189"/>
      <c r="F184" s="189"/>
      <c r="G184" s="189"/>
      <c r="H184" s="189"/>
      <c r="I184" s="189"/>
      <c r="J184" s="2"/>
    </row>
    <row r="185" spans="1:10" ht="12.95" customHeight="1">
      <c r="A185" s="2"/>
      <c r="B185" s="3"/>
      <c r="C185" s="2"/>
      <c r="D185" s="2"/>
      <c r="E185" s="2"/>
      <c r="F185" s="2"/>
      <c r="G185" s="2"/>
      <c r="H185" s="2"/>
      <c r="I185" s="2"/>
      <c r="J185" s="2"/>
    </row>
    <row r="186" spans="1:10">
      <c r="C186" s="111" t="s">
        <v>3973</v>
      </c>
    </row>
    <row r="187" spans="1:10">
      <c r="B187" s="111" t="s">
        <v>3933</v>
      </c>
      <c r="C187" s="111" t="s">
        <v>3934</v>
      </c>
    </row>
  </sheetData>
  <mergeCells count="2">
    <mergeCell ref="B2:I2"/>
    <mergeCell ref="B184:I184"/>
  </mergeCells>
  <hyperlinks>
    <hyperlink ref="A2" location="Index!A1" display="Index"/>
  </hyperlinks>
  <pageMargins left="0" right="0" top="0" bottom="0" header="0" footer="0"/>
  <pageSetup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0"/>
  <sheetViews>
    <sheetView workbookViewId="0"/>
  </sheetViews>
  <sheetFormatPr defaultRowHeight="15"/>
  <cols>
    <col min="1" max="1" width="3.28515625" customWidth="1"/>
    <col min="2" max="2" width="69.140625" customWidth="1"/>
    <col min="3" max="3" width="18.7109375" bestFit="1" customWidth="1"/>
    <col min="4" max="4" width="25.5703125" bestFit="1" customWidth="1"/>
    <col min="5" max="5" width="25.7109375" customWidth="1"/>
    <col min="6" max="6" width="20.85546875" bestFit="1" customWidth="1"/>
    <col min="7" max="9" width="10.7109375" customWidth="1"/>
    <col min="10" max="10" width="3.85546875" bestFit="1" customWidth="1"/>
  </cols>
  <sheetData>
    <row r="1" spans="1:13" ht="15.75" thickBot="1">
      <c r="A1" s="108" t="str">
        <f>M2</f>
        <v>AXISTAF</v>
      </c>
    </row>
    <row r="2" spans="1:13" ht="34.5" customHeight="1" thickBot="1">
      <c r="A2" s="135" t="str">
        <f>M2</f>
        <v>AXISTAF</v>
      </c>
      <c r="B2" s="186" t="s">
        <v>109</v>
      </c>
      <c r="C2" s="187"/>
      <c r="D2" s="187"/>
      <c r="E2" s="187"/>
      <c r="F2" s="187"/>
      <c r="G2" s="187"/>
      <c r="H2" s="187"/>
      <c r="I2" s="188"/>
      <c r="J2" s="2"/>
      <c r="M2" s="108" t="s">
        <v>108</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217</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740</v>
      </c>
      <c r="B8" s="17" t="s">
        <v>741</v>
      </c>
      <c r="C8" s="13" t="s">
        <v>742</v>
      </c>
      <c r="D8" s="13" t="s">
        <v>731</v>
      </c>
      <c r="E8" s="18">
        <v>437733</v>
      </c>
      <c r="F8" s="19">
        <v>7332.9</v>
      </c>
      <c r="G8" s="20">
        <v>5.11E-2</v>
      </c>
      <c r="H8" s="36"/>
      <c r="I8" s="22"/>
      <c r="J8" s="2"/>
    </row>
    <row r="9" spans="1:13" ht="12.95" customHeight="1">
      <c r="A9" s="16" t="s">
        <v>728</v>
      </c>
      <c r="B9" s="17" t="s">
        <v>729</v>
      </c>
      <c r="C9" s="13" t="s">
        <v>730</v>
      </c>
      <c r="D9" s="13" t="s">
        <v>731</v>
      </c>
      <c r="E9" s="18">
        <v>190722</v>
      </c>
      <c r="F9" s="19">
        <v>7200.8</v>
      </c>
      <c r="G9" s="20">
        <v>5.0200000000000002E-2</v>
      </c>
      <c r="H9" s="36"/>
      <c r="I9" s="22"/>
      <c r="J9" s="2"/>
    </row>
    <row r="10" spans="1:13" ht="12.95" customHeight="1">
      <c r="A10" s="16" t="s">
        <v>686</v>
      </c>
      <c r="B10" s="17" t="s">
        <v>687</v>
      </c>
      <c r="C10" s="13" t="s">
        <v>688</v>
      </c>
      <c r="D10" s="13" t="s">
        <v>685</v>
      </c>
      <c r="E10" s="18">
        <v>984910</v>
      </c>
      <c r="F10" s="19">
        <v>6902.74</v>
      </c>
      <c r="G10" s="20">
        <v>4.8099999999999997E-2</v>
      </c>
      <c r="H10" s="36"/>
      <c r="I10" s="22"/>
      <c r="J10" s="2"/>
    </row>
    <row r="11" spans="1:13" ht="12.95" customHeight="1">
      <c r="A11" s="16" t="s">
        <v>682</v>
      </c>
      <c r="B11" s="17" t="s">
        <v>683</v>
      </c>
      <c r="C11" s="13" t="s">
        <v>684</v>
      </c>
      <c r="D11" s="13" t="s">
        <v>685</v>
      </c>
      <c r="E11" s="18">
        <v>359986</v>
      </c>
      <c r="F11" s="19">
        <v>5741.6</v>
      </c>
      <c r="G11" s="20">
        <v>0.04</v>
      </c>
      <c r="H11" s="36"/>
      <c r="I11" s="22"/>
      <c r="J11" s="2"/>
    </row>
    <row r="12" spans="1:13" ht="12.95" customHeight="1">
      <c r="A12" s="16" t="s">
        <v>720</v>
      </c>
      <c r="B12" s="17" t="s">
        <v>721</v>
      </c>
      <c r="C12" s="13" t="s">
        <v>722</v>
      </c>
      <c r="D12" s="13" t="s">
        <v>723</v>
      </c>
      <c r="E12" s="18">
        <v>74002</v>
      </c>
      <c r="F12" s="19">
        <v>5674.55</v>
      </c>
      <c r="G12" s="20">
        <v>3.95E-2</v>
      </c>
      <c r="H12" s="36"/>
      <c r="I12" s="22"/>
      <c r="J12" s="2"/>
    </row>
    <row r="13" spans="1:13" ht="12.95" customHeight="1">
      <c r="A13" s="16" t="s">
        <v>736</v>
      </c>
      <c r="B13" s="17" t="s">
        <v>737</v>
      </c>
      <c r="C13" s="13" t="s">
        <v>738</v>
      </c>
      <c r="D13" s="13" t="s">
        <v>739</v>
      </c>
      <c r="E13" s="18">
        <v>132762</v>
      </c>
      <c r="F13" s="19">
        <v>5642.65</v>
      </c>
      <c r="G13" s="20">
        <v>3.9300000000000002E-2</v>
      </c>
      <c r="H13" s="36"/>
      <c r="I13" s="22"/>
      <c r="J13" s="2"/>
    </row>
    <row r="14" spans="1:13" ht="12.95" customHeight="1">
      <c r="A14" s="16" t="s">
        <v>692</v>
      </c>
      <c r="B14" s="17" t="s">
        <v>693</v>
      </c>
      <c r="C14" s="13" t="s">
        <v>694</v>
      </c>
      <c r="D14" s="13" t="s">
        <v>685</v>
      </c>
      <c r="E14" s="18">
        <v>268819</v>
      </c>
      <c r="F14" s="19">
        <v>5391.17</v>
      </c>
      <c r="G14" s="20">
        <v>3.7600000000000001E-2</v>
      </c>
      <c r="H14" s="36"/>
      <c r="I14" s="22"/>
      <c r="J14" s="2"/>
    </row>
    <row r="15" spans="1:13" ht="12.95" customHeight="1">
      <c r="A15" s="16" t="s">
        <v>743</v>
      </c>
      <c r="B15" s="17" t="s">
        <v>744</v>
      </c>
      <c r="C15" s="13" t="s">
        <v>745</v>
      </c>
      <c r="D15" s="13" t="s">
        <v>723</v>
      </c>
      <c r="E15" s="18">
        <v>191020</v>
      </c>
      <c r="F15" s="19">
        <v>5261.26</v>
      </c>
      <c r="G15" s="20">
        <v>3.6700000000000003E-2</v>
      </c>
      <c r="H15" s="36"/>
      <c r="I15" s="22"/>
      <c r="J15" s="2"/>
    </row>
    <row r="16" spans="1:13" ht="12.95" customHeight="1">
      <c r="A16" s="16" t="s">
        <v>732</v>
      </c>
      <c r="B16" s="17" t="s">
        <v>733</v>
      </c>
      <c r="C16" s="13" t="s">
        <v>734</v>
      </c>
      <c r="D16" s="13" t="s">
        <v>735</v>
      </c>
      <c r="E16" s="18">
        <v>176653</v>
      </c>
      <c r="F16" s="19">
        <v>4450.33</v>
      </c>
      <c r="G16" s="20">
        <v>3.1E-2</v>
      </c>
      <c r="H16" s="36"/>
      <c r="I16" s="22"/>
      <c r="J16" s="2"/>
    </row>
    <row r="17" spans="1:10" ht="12.95" customHeight="1">
      <c r="A17" s="16" t="s">
        <v>897</v>
      </c>
      <c r="B17" s="17" t="s">
        <v>898</v>
      </c>
      <c r="C17" s="13" t="s">
        <v>899</v>
      </c>
      <c r="D17" s="13" t="s">
        <v>900</v>
      </c>
      <c r="E17" s="18">
        <v>17938</v>
      </c>
      <c r="F17" s="19">
        <v>3190.59</v>
      </c>
      <c r="G17" s="20">
        <v>2.2200000000000001E-2</v>
      </c>
      <c r="H17" s="36"/>
      <c r="I17" s="22"/>
      <c r="J17" s="2"/>
    </row>
    <row r="18" spans="1:10" ht="12.95" customHeight="1">
      <c r="A18" s="16" t="s">
        <v>750</v>
      </c>
      <c r="B18" s="17" t="s">
        <v>751</v>
      </c>
      <c r="C18" s="13" t="s">
        <v>752</v>
      </c>
      <c r="D18" s="13" t="s">
        <v>753</v>
      </c>
      <c r="E18" s="18">
        <v>99862</v>
      </c>
      <c r="F18" s="19">
        <v>3173.96</v>
      </c>
      <c r="G18" s="20">
        <v>2.2100000000000002E-2</v>
      </c>
      <c r="H18" s="36"/>
      <c r="I18" s="22"/>
      <c r="J18" s="2"/>
    </row>
    <row r="19" spans="1:10" ht="12.95" customHeight="1">
      <c r="A19" s="16" t="s">
        <v>746</v>
      </c>
      <c r="B19" s="17" t="s">
        <v>747</v>
      </c>
      <c r="C19" s="13" t="s">
        <v>748</v>
      </c>
      <c r="D19" s="13" t="s">
        <v>749</v>
      </c>
      <c r="E19" s="18">
        <v>52523</v>
      </c>
      <c r="F19" s="19">
        <v>2520.42</v>
      </c>
      <c r="G19" s="20">
        <v>1.7600000000000001E-2</v>
      </c>
      <c r="H19" s="36"/>
      <c r="I19" s="22"/>
      <c r="J19" s="2"/>
    </row>
    <row r="20" spans="1:10" ht="12.95" customHeight="1">
      <c r="A20" s="16" t="s">
        <v>942</v>
      </c>
      <c r="B20" s="17" t="s">
        <v>943</v>
      </c>
      <c r="C20" s="13" t="s">
        <v>944</v>
      </c>
      <c r="D20" s="13" t="s">
        <v>945</v>
      </c>
      <c r="E20" s="18">
        <v>143434</v>
      </c>
      <c r="F20" s="19">
        <v>2442.61</v>
      </c>
      <c r="G20" s="20">
        <v>1.7000000000000001E-2</v>
      </c>
      <c r="H20" s="36"/>
      <c r="I20" s="22"/>
      <c r="J20" s="2"/>
    </row>
    <row r="21" spans="1:10" ht="12.95" customHeight="1">
      <c r="A21" s="16" t="s">
        <v>796</v>
      </c>
      <c r="B21" s="17" t="s">
        <v>797</v>
      </c>
      <c r="C21" s="13" t="s">
        <v>798</v>
      </c>
      <c r="D21" s="13" t="s">
        <v>771</v>
      </c>
      <c r="E21" s="18">
        <v>924339</v>
      </c>
      <c r="F21" s="19">
        <v>2088.54</v>
      </c>
      <c r="G21" s="20">
        <v>1.46E-2</v>
      </c>
      <c r="H21" s="36"/>
      <c r="I21" s="22"/>
      <c r="J21" s="2"/>
    </row>
    <row r="22" spans="1:10" ht="12.95" customHeight="1">
      <c r="A22" s="16" t="s">
        <v>775</v>
      </c>
      <c r="B22" s="17" t="s">
        <v>776</v>
      </c>
      <c r="C22" s="13" t="s">
        <v>777</v>
      </c>
      <c r="D22" s="13" t="s">
        <v>778</v>
      </c>
      <c r="E22" s="18">
        <v>27837</v>
      </c>
      <c r="F22" s="19">
        <v>2042.69</v>
      </c>
      <c r="G22" s="20">
        <v>1.4200000000000001E-2</v>
      </c>
      <c r="H22" s="36"/>
      <c r="I22" s="22"/>
      <c r="J22" s="2"/>
    </row>
    <row r="23" spans="1:10" ht="12.95" customHeight="1">
      <c r="A23" s="16" t="s">
        <v>757</v>
      </c>
      <c r="B23" s="17" t="s">
        <v>758</v>
      </c>
      <c r="C23" s="13" t="s">
        <v>759</v>
      </c>
      <c r="D23" s="13" t="s">
        <v>749</v>
      </c>
      <c r="E23" s="18">
        <v>50272</v>
      </c>
      <c r="F23" s="19">
        <v>1870.07</v>
      </c>
      <c r="G23" s="20">
        <v>1.2999999999999999E-2</v>
      </c>
      <c r="H23" s="36"/>
      <c r="I23" s="22"/>
      <c r="J23" s="2"/>
    </row>
    <row r="24" spans="1:10" ht="12.95" customHeight="1">
      <c r="A24" s="16" t="s">
        <v>799</v>
      </c>
      <c r="B24" s="17" t="s">
        <v>800</v>
      </c>
      <c r="C24" s="13" t="s">
        <v>801</v>
      </c>
      <c r="D24" s="13" t="s">
        <v>749</v>
      </c>
      <c r="E24" s="18">
        <v>220416</v>
      </c>
      <c r="F24" s="19">
        <v>1803.55</v>
      </c>
      <c r="G24" s="20">
        <v>1.26E-2</v>
      </c>
      <c r="H24" s="36"/>
      <c r="I24" s="22"/>
      <c r="J24" s="2"/>
    </row>
    <row r="25" spans="1:10" ht="12.95" customHeight="1">
      <c r="A25" s="16" t="s">
        <v>939</v>
      </c>
      <c r="B25" s="17" t="s">
        <v>940</v>
      </c>
      <c r="C25" s="13" t="s">
        <v>941</v>
      </c>
      <c r="D25" s="13" t="s">
        <v>782</v>
      </c>
      <c r="E25" s="18">
        <v>5388</v>
      </c>
      <c r="F25" s="19">
        <v>1557.22</v>
      </c>
      <c r="G25" s="20">
        <v>1.09E-2</v>
      </c>
      <c r="H25" s="36"/>
      <c r="I25" s="22"/>
      <c r="J25" s="2"/>
    </row>
    <row r="26" spans="1:10" ht="12.95" customHeight="1">
      <c r="A26" s="16" t="s">
        <v>851</v>
      </c>
      <c r="B26" s="17" t="s">
        <v>852</v>
      </c>
      <c r="C26" s="13" t="s">
        <v>853</v>
      </c>
      <c r="D26" s="13" t="s">
        <v>771</v>
      </c>
      <c r="E26" s="18">
        <v>190877</v>
      </c>
      <c r="F26" s="19">
        <v>1410.01</v>
      </c>
      <c r="G26" s="20">
        <v>9.7999999999999997E-3</v>
      </c>
      <c r="H26" s="36"/>
      <c r="I26" s="22"/>
      <c r="J26" s="2"/>
    </row>
    <row r="27" spans="1:10" ht="12.95" customHeight="1">
      <c r="A27" s="16" t="s">
        <v>873</v>
      </c>
      <c r="B27" s="17" t="s">
        <v>874</v>
      </c>
      <c r="C27" s="13" t="s">
        <v>875</v>
      </c>
      <c r="D27" s="13" t="s">
        <v>789</v>
      </c>
      <c r="E27" s="18">
        <v>7195</v>
      </c>
      <c r="F27" s="19">
        <v>1399.11</v>
      </c>
      <c r="G27" s="20">
        <v>9.7999999999999997E-3</v>
      </c>
      <c r="H27" s="36"/>
      <c r="I27" s="22"/>
      <c r="J27" s="2"/>
    </row>
    <row r="28" spans="1:10" ht="12.95" customHeight="1">
      <c r="A28" s="16" t="s">
        <v>3240</v>
      </c>
      <c r="B28" s="17" t="s">
        <v>1023</v>
      </c>
      <c r="C28" s="13" t="s">
        <v>1024</v>
      </c>
      <c r="D28" s="13" t="s">
        <v>1025</v>
      </c>
      <c r="E28" s="18">
        <v>93108</v>
      </c>
      <c r="F28" s="19">
        <v>1360.91</v>
      </c>
      <c r="G28" s="20">
        <v>9.4999999999999998E-3</v>
      </c>
      <c r="H28" s="36"/>
      <c r="I28" s="22"/>
      <c r="J28" s="2"/>
    </row>
    <row r="29" spans="1:10" ht="12.95" customHeight="1">
      <c r="A29" s="16" t="s">
        <v>1033</v>
      </c>
      <c r="B29" s="17" t="s">
        <v>1034</v>
      </c>
      <c r="C29" s="13" t="s">
        <v>1035</v>
      </c>
      <c r="D29" s="13" t="s">
        <v>814</v>
      </c>
      <c r="E29" s="18">
        <v>34000</v>
      </c>
      <c r="F29" s="19">
        <v>1291.49</v>
      </c>
      <c r="G29" s="20">
        <v>8.9999999999999993E-3</v>
      </c>
      <c r="H29" s="36"/>
      <c r="I29" s="22"/>
      <c r="J29" s="2"/>
    </row>
    <row r="30" spans="1:10" ht="12.95" customHeight="1">
      <c r="A30" s="16" t="s">
        <v>830</v>
      </c>
      <c r="B30" s="17" t="s">
        <v>831</v>
      </c>
      <c r="C30" s="13" t="s">
        <v>832</v>
      </c>
      <c r="D30" s="13" t="s">
        <v>763</v>
      </c>
      <c r="E30" s="18">
        <v>69033</v>
      </c>
      <c r="F30" s="19">
        <v>1288.5</v>
      </c>
      <c r="G30" s="20">
        <v>8.9999999999999993E-3</v>
      </c>
      <c r="H30" s="36"/>
      <c r="I30" s="22"/>
      <c r="J30" s="2"/>
    </row>
    <row r="31" spans="1:10" ht="12.95" customHeight="1">
      <c r="A31" s="16" t="s">
        <v>904</v>
      </c>
      <c r="B31" s="17" t="s">
        <v>905</v>
      </c>
      <c r="C31" s="13" t="s">
        <v>906</v>
      </c>
      <c r="D31" s="13" t="s">
        <v>731</v>
      </c>
      <c r="E31" s="18">
        <v>40273</v>
      </c>
      <c r="F31" s="19">
        <v>1250.24</v>
      </c>
      <c r="G31" s="20">
        <v>8.6999999999999994E-3</v>
      </c>
      <c r="H31" s="36"/>
      <c r="I31" s="22"/>
      <c r="J31" s="2"/>
    </row>
    <row r="32" spans="1:10" ht="12.95" customHeight="1">
      <c r="A32" s="16" t="s">
        <v>924</v>
      </c>
      <c r="B32" s="17" t="s">
        <v>925</v>
      </c>
      <c r="C32" s="13" t="s">
        <v>926</v>
      </c>
      <c r="D32" s="13" t="s">
        <v>771</v>
      </c>
      <c r="E32" s="18">
        <v>220000</v>
      </c>
      <c r="F32" s="19">
        <v>1222.8699999999999</v>
      </c>
      <c r="G32" s="20">
        <v>8.5000000000000006E-3</v>
      </c>
      <c r="H32" s="36"/>
      <c r="I32" s="22"/>
      <c r="J32" s="2"/>
    </row>
    <row r="33" spans="1:10" ht="12.95" customHeight="1">
      <c r="A33" s="16" t="s">
        <v>768</v>
      </c>
      <c r="B33" s="17" t="s">
        <v>769</v>
      </c>
      <c r="C33" s="13" t="s">
        <v>770</v>
      </c>
      <c r="D33" s="13" t="s">
        <v>771</v>
      </c>
      <c r="E33" s="18">
        <v>75142</v>
      </c>
      <c r="F33" s="19">
        <v>1190.5899999999999</v>
      </c>
      <c r="G33" s="20">
        <v>8.3000000000000001E-3</v>
      </c>
      <c r="H33" s="36"/>
      <c r="I33" s="22"/>
      <c r="J33" s="2"/>
    </row>
    <row r="34" spans="1:10" ht="12.95" customHeight="1">
      <c r="A34" s="16" t="s">
        <v>930</v>
      </c>
      <c r="B34" s="17" t="s">
        <v>931</v>
      </c>
      <c r="C34" s="13" t="s">
        <v>932</v>
      </c>
      <c r="D34" s="13" t="s">
        <v>723</v>
      </c>
      <c r="E34" s="18">
        <v>210991</v>
      </c>
      <c r="F34" s="19">
        <v>1190.52</v>
      </c>
      <c r="G34" s="20">
        <v>8.3000000000000001E-3</v>
      </c>
      <c r="H34" s="36"/>
      <c r="I34" s="22"/>
      <c r="J34" s="2"/>
    </row>
    <row r="35" spans="1:10" ht="12.95" customHeight="1">
      <c r="A35" s="16" t="s">
        <v>1036</v>
      </c>
      <c r="B35" s="17" t="s">
        <v>1037</v>
      </c>
      <c r="C35" s="13" t="s">
        <v>1038</v>
      </c>
      <c r="D35" s="13" t="s">
        <v>763</v>
      </c>
      <c r="E35" s="18">
        <v>178365</v>
      </c>
      <c r="F35" s="19">
        <v>1173.9100000000001</v>
      </c>
      <c r="G35" s="20">
        <v>8.2000000000000007E-3</v>
      </c>
      <c r="H35" s="36"/>
      <c r="I35" s="22"/>
      <c r="J35" s="2"/>
    </row>
    <row r="36" spans="1:10" ht="12.95" customHeight="1">
      <c r="A36" s="16" t="s">
        <v>1026</v>
      </c>
      <c r="B36" s="17" t="s">
        <v>1027</v>
      </c>
      <c r="C36" s="13" t="s">
        <v>1028</v>
      </c>
      <c r="D36" s="13" t="s">
        <v>763</v>
      </c>
      <c r="E36" s="18">
        <v>53876</v>
      </c>
      <c r="F36" s="19">
        <v>1102.98</v>
      </c>
      <c r="G36" s="20">
        <v>7.7000000000000002E-3</v>
      </c>
      <c r="H36" s="36"/>
      <c r="I36" s="22"/>
      <c r="J36" s="2"/>
    </row>
    <row r="37" spans="1:10" ht="12.95" customHeight="1">
      <c r="A37" s="16" t="s">
        <v>833</v>
      </c>
      <c r="B37" s="17" t="s">
        <v>834</v>
      </c>
      <c r="C37" s="13" t="s">
        <v>835</v>
      </c>
      <c r="D37" s="13" t="s">
        <v>836</v>
      </c>
      <c r="E37" s="18">
        <v>2374</v>
      </c>
      <c r="F37" s="19">
        <v>1085.26</v>
      </c>
      <c r="G37" s="20">
        <v>7.6E-3</v>
      </c>
      <c r="H37" s="36"/>
      <c r="I37" s="22"/>
      <c r="J37" s="2"/>
    </row>
    <row r="38" spans="1:10" ht="12.95" customHeight="1">
      <c r="A38" s="16" t="s">
        <v>891</v>
      </c>
      <c r="B38" s="17" t="s">
        <v>892</v>
      </c>
      <c r="C38" s="13" t="s">
        <v>893</v>
      </c>
      <c r="D38" s="13" t="s">
        <v>782</v>
      </c>
      <c r="E38" s="18">
        <v>14365</v>
      </c>
      <c r="F38" s="19">
        <v>1062.45</v>
      </c>
      <c r="G38" s="20">
        <v>7.4000000000000003E-3</v>
      </c>
      <c r="H38" s="36"/>
      <c r="I38" s="22"/>
      <c r="J38" s="2"/>
    </row>
    <row r="39" spans="1:10" ht="12.95" customHeight="1">
      <c r="A39" s="16" t="s">
        <v>821</v>
      </c>
      <c r="B39" s="17" t="s">
        <v>822</v>
      </c>
      <c r="C39" s="13" t="s">
        <v>823</v>
      </c>
      <c r="D39" s="13" t="s">
        <v>753</v>
      </c>
      <c r="E39" s="18">
        <v>249240</v>
      </c>
      <c r="F39" s="19">
        <v>1002.32</v>
      </c>
      <c r="G39" s="20">
        <v>7.0000000000000001E-3</v>
      </c>
      <c r="H39" s="36"/>
      <c r="I39" s="22"/>
      <c r="J39" s="2"/>
    </row>
    <row r="40" spans="1:10" ht="12.95" customHeight="1">
      <c r="A40" s="16" t="s">
        <v>818</v>
      </c>
      <c r="B40" s="17" t="s">
        <v>819</v>
      </c>
      <c r="C40" s="13" t="s">
        <v>820</v>
      </c>
      <c r="D40" s="13" t="s">
        <v>739</v>
      </c>
      <c r="E40" s="18">
        <v>11607</v>
      </c>
      <c r="F40" s="19">
        <v>972.54</v>
      </c>
      <c r="G40" s="20">
        <v>6.7999999999999996E-3</v>
      </c>
      <c r="H40" s="36"/>
      <c r="I40" s="22"/>
      <c r="J40" s="2"/>
    </row>
    <row r="41" spans="1:10" ht="12.95" customHeight="1">
      <c r="A41" s="16" t="s">
        <v>950</v>
      </c>
      <c r="B41" s="17" t="s">
        <v>951</v>
      </c>
      <c r="C41" s="13" t="s">
        <v>952</v>
      </c>
      <c r="D41" s="13" t="s">
        <v>910</v>
      </c>
      <c r="E41" s="18">
        <v>169700</v>
      </c>
      <c r="F41" s="19">
        <v>967.21</v>
      </c>
      <c r="G41" s="20">
        <v>6.7000000000000002E-3</v>
      </c>
      <c r="H41" s="36"/>
      <c r="I41" s="22"/>
      <c r="J41" s="2"/>
    </row>
    <row r="42" spans="1:10" ht="12.95" customHeight="1">
      <c r="A42" s="16" t="s">
        <v>848</v>
      </c>
      <c r="B42" s="17" t="s">
        <v>849</v>
      </c>
      <c r="C42" s="13" t="s">
        <v>850</v>
      </c>
      <c r="D42" s="13" t="s">
        <v>739</v>
      </c>
      <c r="E42" s="18">
        <v>629112</v>
      </c>
      <c r="F42" s="19">
        <v>859.37</v>
      </c>
      <c r="G42" s="20">
        <v>6.0000000000000001E-3</v>
      </c>
      <c r="H42" s="36"/>
      <c r="I42" s="22"/>
      <c r="J42" s="2"/>
    </row>
    <row r="43" spans="1:10" ht="12.95" customHeight="1">
      <c r="A43" s="16" t="s">
        <v>842</v>
      </c>
      <c r="B43" s="17" t="s">
        <v>843</v>
      </c>
      <c r="C43" s="13" t="s">
        <v>844</v>
      </c>
      <c r="D43" s="13" t="s">
        <v>771</v>
      </c>
      <c r="E43" s="18">
        <v>104505</v>
      </c>
      <c r="F43" s="19">
        <v>842.41</v>
      </c>
      <c r="G43" s="20">
        <v>5.8999999999999999E-3</v>
      </c>
      <c r="H43" s="36"/>
      <c r="I43" s="22"/>
      <c r="J43" s="2"/>
    </row>
    <row r="44" spans="1:10" ht="12.95" customHeight="1">
      <c r="A44" s="16" t="s">
        <v>927</v>
      </c>
      <c r="B44" s="17" t="s">
        <v>928</v>
      </c>
      <c r="C44" s="13" t="s">
        <v>929</v>
      </c>
      <c r="D44" s="13" t="s">
        <v>685</v>
      </c>
      <c r="E44" s="18">
        <v>526607</v>
      </c>
      <c r="F44" s="19">
        <v>830.2</v>
      </c>
      <c r="G44" s="20">
        <v>5.7999999999999996E-3</v>
      </c>
      <c r="H44" s="36"/>
      <c r="I44" s="22"/>
      <c r="J44" s="2"/>
    </row>
    <row r="45" spans="1:10" ht="12.95" customHeight="1">
      <c r="A45" s="16" t="s">
        <v>857</v>
      </c>
      <c r="B45" s="17" t="s">
        <v>858</v>
      </c>
      <c r="C45" s="13" t="s">
        <v>859</v>
      </c>
      <c r="D45" s="13" t="s">
        <v>763</v>
      </c>
      <c r="E45" s="18">
        <v>126092</v>
      </c>
      <c r="F45" s="19">
        <v>772.25</v>
      </c>
      <c r="G45" s="20">
        <v>5.4000000000000003E-3</v>
      </c>
      <c r="H45" s="36"/>
      <c r="I45" s="22"/>
      <c r="J45" s="2"/>
    </row>
    <row r="46" spans="1:10" ht="12.95" customHeight="1">
      <c r="A46" s="16" t="s">
        <v>1544</v>
      </c>
      <c r="B46" s="17" t="s">
        <v>1545</v>
      </c>
      <c r="C46" s="13" t="s">
        <v>1546</v>
      </c>
      <c r="D46" s="13" t="s">
        <v>771</v>
      </c>
      <c r="E46" s="18">
        <v>66656</v>
      </c>
      <c r="F46" s="19">
        <v>704.89</v>
      </c>
      <c r="G46" s="20">
        <v>4.8999999999999998E-3</v>
      </c>
      <c r="H46" s="36"/>
      <c r="I46" s="22"/>
      <c r="J46" s="2"/>
    </row>
    <row r="47" spans="1:10" ht="12.95" customHeight="1">
      <c r="A47" s="16" t="s">
        <v>907</v>
      </c>
      <c r="B47" s="17" t="s">
        <v>908</v>
      </c>
      <c r="C47" s="13" t="s">
        <v>909</v>
      </c>
      <c r="D47" s="13" t="s">
        <v>910</v>
      </c>
      <c r="E47" s="18">
        <v>54470</v>
      </c>
      <c r="F47" s="19">
        <v>665.24</v>
      </c>
      <c r="G47" s="20">
        <v>4.5999999999999999E-3</v>
      </c>
      <c r="H47" s="36"/>
      <c r="I47" s="22"/>
      <c r="J47" s="2"/>
    </row>
    <row r="48" spans="1:10" ht="12.95" customHeight="1">
      <c r="A48" s="16" t="s">
        <v>946</v>
      </c>
      <c r="B48" s="17" t="s">
        <v>947</v>
      </c>
      <c r="C48" s="13" t="s">
        <v>948</v>
      </c>
      <c r="D48" s="13" t="s">
        <v>949</v>
      </c>
      <c r="E48" s="18">
        <v>40000</v>
      </c>
      <c r="F48" s="19">
        <v>515.55999999999995</v>
      </c>
      <c r="G48" s="20">
        <v>3.5999999999999999E-3</v>
      </c>
      <c r="H48" s="36"/>
      <c r="I48" s="22"/>
      <c r="J48" s="2"/>
    </row>
    <row r="49" spans="1:10" ht="12.95" customHeight="1">
      <c r="A49" s="16" t="s">
        <v>845</v>
      </c>
      <c r="B49" s="17" t="s">
        <v>846</v>
      </c>
      <c r="C49" s="13" t="s">
        <v>847</v>
      </c>
      <c r="D49" s="13" t="s">
        <v>739</v>
      </c>
      <c r="E49" s="18">
        <v>40819</v>
      </c>
      <c r="F49" s="19">
        <v>504.56</v>
      </c>
      <c r="G49" s="20">
        <v>3.5000000000000001E-3</v>
      </c>
      <c r="H49" s="36"/>
      <c r="I49" s="22"/>
      <c r="J49" s="2"/>
    </row>
    <row r="50" spans="1:10" ht="12.95" customHeight="1">
      <c r="A50" s="16" t="s">
        <v>1042</v>
      </c>
      <c r="B50" s="17" t="s">
        <v>1043</v>
      </c>
      <c r="C50" s="13" t="s">
        <v>1044</v>
      </c>
      <c r="D50" s="13" t="s">
        <v>739</v>
      </c>
      <c r="E50" s="18">
        <v>149993</v>
      </c>
      <c r="F50" s="19">
        <v>369.51</v>
      </c>
      <c r="G50" s="20">
        <v>2.5999999999999999E-3</v>
      </c>
      <c r="H50" s="36"/>
      <c r="I50" s="22"/>
      <c r="J50" s="2"/>
    </row>
    <row r="51" spans="1:10" ht="12.95" customHeight="1">
      <c r="A51" s="16" t="s">
        <v>840</v>
      </c>
      <c r="B51" s="17" t="s">
        <v>3924</v>
      </c>
      <c r="C51" s="13" t="s">
        <v>841</v>
      </c>
      <c r="D51" s="13" t="s">
        <v>735</v>
      </c>
      <c r="E51" s="18">
        <v>5766</v>
      </c>
      <c r="F51" s="19">
        <v>107.89</v>
      </c>
      <c r="G51" s="20">
        <v>8.0000000000000004E-4</v>
      </c>
      <c r="H51" s="36"/>
      <c r="I51" s="22"/>
      <c r="J51" s="2"/>
    </row>
    <row r="52" spans="1:10" ht="12.95" customHeight="1">
      <c r="A52" s="16" t="s">
        <v>1045</v>
      </c>
      <c r="B52" s="17" t="s">
        <v>3930</v>
      </c>
      <c r="C52" s="13" t="s">
        <v>1046</v>
      </c>
      <c r="D52" s="13" t="s">
        <v>1047</v>
      </c>
      <c r="E52" s="18">
        <v>154480</v>
      </c>
      <c r="F52" s="19">
        <v>1099.9000000000001</v>
      </c>
      <c r="G52" s="20">
        <v>7.7000000000000002E-3</v>
      </c>
      <c r="H52" s="36"/>
      <c r="I52" s="22"/>
      <c r="J52" s="2"/>
    </row>
    <row r="53" spans="1:10" ht="12.95" customHeight="1">
      <c r="A53" s="2"/>
      <c r="B53" s="27" t="s">
        <v>177</v>
      </c>
      <c r="C53" s="28"/>
      <c r="D53" s="1"/>
      <c r="E53" s="28"/>
      <c r="F53" s="23">
        <v>100530.34</v>
      </c>
      <c r="G53" s="24">
        <v>0.70079999999999998</v>
      </c>
      <c r="H53" s="25"/>
      <c r="I53" s="26"/>
      <c r="J53" s="2"/>
    </row>
    <row r="54" spans="1:10" ht="12.95" customHeight="1">
      <c r="A54" s="2"/>
      <c r="B54" s="12" t="s">
        <v>127</v>
      </c>
      <c r="C54" s="13"/>
      <c r="D54" s="13"/>
      <c r="E54" s="13"/>
      <c r="F54" s="13"/>
      <c r="G54" s="13"/>
      <c r="H54" s="14"/>
      <c r="I54" s="15"/>
      <c r="J54" s="2"/>
    </row>
    <row r="55" spans="1:10" ht="12.95" customHeight="1">
      <c r="A55" s="2"/>
      <c r="B55" s="12" t="s">
        <v>128</v>
      </c>
      <c r="C55" s="13"/>
      <c r="D55" s="13"/>
      <c r="E55" s="13"/>
      <c r="F55" s="2"/>
      <c r="G55" s="14"/>
      <c r="H55" s="14"/>
      <c r="I55" s="15"/>
      <c r="J55" s="2"/>
    </row>
    <row r="56" spans="1:10" ht="12.95" customHeight="1">
      <c r="A56" s="16" t="s">
        <v>529</v>
      </c>
      <c r="B56" s="17" t="s">
        <v>530</v>
      </c>
      <c r="C56" s="13" t="s">
        <v>531</v>
      </c>
      <c r="D56" s="13" t="s">
        <v>132</v>
      </c>
      <c r="E56" s="18">
        <v>250</v>
      </c>
      <c r="F56" s="19">
        <v>2563.58</v>
      </c>
      <c r="G56" s="20">
        <v>1.7899999999999999E-2</v>
      </c>
      <c r="H56" s="21">
        <v>4.4600000000000001E-2</v>
      </c>
      <c r="I56" s="22"/>
      <c r="J56" s="2"/>
    </row>
    <row r="57" spans="1:10" ht="12.95" customHeight="1">
      <c r="A57" s="16" t="s">
        <v>1054</v>
      </c>
      <c r="B57" s="17" t="s">
        <v>1055</v>
      </c>
      <c r="C57" s="13" t="s">
        <v>1056</v>
      </c>
      <c r="D57" s="13" t="s">
        <v>161</v>
      </c>
      <c r="E57" s="18">
        <v>250</v>
      </c>
      <c r="F57" s="19">
        <v>2527.2399999999998</v>
      </c>
      <c r="G57" s="20">
        <v>1.7600000000000001E-2</v>
      </c>
      <c r="H57" s="21">
        <v>6.93E-2</v>
      </c>
      <c r="I57" s="22"/>
      <c r="J57" s="2"/>
    </row>
    <row r="58" spans="1:10" ht="12.95" customHeight="1">
      <c r="A58" s="16" t="s">
        <v>1244</v>
      </c>
      <c r="B58" s="17" t="s">
        <v>1245</v>
      </c>
      <c r="C58" s="13" t="s">
        <v>1246</v>
      </c>
      <c r="D58" s="13" t="s">
        <v>200</v>
      </c>
      <c r="E58" s="18">
        <v>1500000</v>
      </c>
      <c r="F58" s="19">
        <v>1636.12</v>
      </c>
      <c r="G58" s="20">
        <v>1.14E-2</v>
      </c>
      <c r="H58" s="21">
        <v>6.4860000000000001E-2</v>
      </c>
      <c r="I58" s="22"/>
      <c r="J58" s="2"/>
    </row>
    <row r="59" spans="1:10" ht="12.95" customHeight="1">
      <c r="A59" s="16" t="s">
        <v>1223</v>
      </c>
      <c r="B59" s="17" t="s">
        <v>1224</v>
      </c>
      <c r="C59" s="13" t="s">
        <v>1225</v>
      </c>
      <c r="D59" s="13" t="s">
        <v>200</v>
      </c>
      <c r="E59" s="18">
        <v>1500000</v>
      </c>
      <c r="F59" s="19">
        <v>1560.04</v>
      </c>
      <c r="G59" s="20">
        <v>1.09E-2</v>
      </c>
      <c r="H59" s="21">
        <v>5.9402000000000003E-2</v>
      </c>
      <c r="I59" s="22"/>
      <c r="J59" s="2"/>
    </row>
    <row r="60" spans="1:10" ht="12.95" customHeight="1">
      <c r="A60" s="16" t="s">
        <v>1048</v>
      </c>
      <c r="B60" s="17" t="s">
        <v>1049</v>
      </c>
      <c r="C60" s="13" t="s">
        <v>1050</v>
      </c>
      <c r="D60" s="13" t="s">
        <v>200</v>
      </c>
      <c r="E60" s="18">
        <v>1500000</v>
      </c>
      <c r="F60" s="19">
        <v>1527.39</v>
      </c>
      <c r="G60" s="20">
        <v>1.06E-2</v>
      </c>
      <c r="H60" s="21"/>
      <c r="I60" s="22"/>
      <c r="J60" s="2"/>
    </row>
    <row r="61" spans="1:10" ht="12.95" customHeight="1">
      <c r="A61" s="16" t="s">
        <v>1057</v>
      </c>
      <c r="B61" s="17" t="s">
        <v>1058</v>
      </c>
      <c r="C61" s="13" t="s">
        <v>1059</v>
      </c>
      <c r="D61" s="13" t="s">
        <v>200</v>
      </c>
      <c r="E61" s="18">
        <v>1500000</v>
      </c>
      <c r="F61" s="19">
        <v>1458.03</v>
      </c>
      <c r="G61" s="20">
        <v>1.0200000000000001E-2</v>
      </c>
      <c r="H61" s="21">
        <v>6.9682999999999995E-2</v>
      </c>
      <c r="I61" s="22"/>
      <c r="J61" s="2"/>
    </row>
    <row r="62" spans="1:10" ht="12.95" customHeight="1">
      <c r="A62" s="16" t="s">
        <v>1060</v>
      </c>
      <c r="B62" s="17" t="s">
        <v>1061</v>
      </c>
      <c r="C62" s="13" t="s">
        <v>1062</v>
      </c>
      <c r="D62" s="13" t="s">
        <v>200</v>
      </c>
      <c r="E62" s="18">
        <v>1000000</v>
      </c>
      <c r="F62" s="19">
        <v>1057.18</v>
      </c>
      <c r="G62" s="20">
        <v>7.4000000000000003E-3</v>
      </c>
      <c r="H62" s="21">
        <v>6.0576999999999999E-2</v>
      </c>
      <c r="I62" s="22"/>
      <c r="J62" s="2"/>
    </row>
    <row r="63" spans="1:10" ht="12.95" customHeight="1">
      <c r="A63" s="16" t="s">
        <v>1474</v>
      </c>
      <c r="B63" s="17" t="s">
        <v>1475</v>
      </c>
      <c r="C63" s="13" t="s">
        <v>1476</v>
      </c>
      <c r="D63" s="13" t="s">
        <v>132</v>
      </c>
      <c r="E63" s="18">
        <v>50</v>
      </c>
      <c r="F63" s="19">
        <v>560.53</v>
      </c>
      <c r="G63" s="20">
        <v>3.8999999999999998E-3</v>
      </c>
      <c r="H63" s="21">
        <v>6.7597000000000004E-2</v>
      </c>
      <c r="I63" s="22"/>
      <c r="J63" s="2"/>
    </row>
    <row r="64" spans="1:10" ht="12.95" customHeight="1">
      <c r="A64" s="16" t="s">
        <v>1280</v>
      </c>
      <c r="B64" s="17" t="s">
        <v>1281</v>
      </c>
      <c r="C64" s="13" t="s">
        <v>1282</v>
      </c>
      <c r="D64" s="13" t="s">
        <v>132</v>
      </c>
      <c r="E64" s="18">
        <v>500</v>
      </c>
      <c r="F64" s="19">
        <v>506.23</v>
      </c>
      <c r="G64" s="20">
        <v>3.5000000000000001E-3</v>
      </c>
      <c r="H64" s="21">
        <v>5.7480000000000003E-2</v>
      </c>
      <c r="I64" s="22"/>
      <c r="J64" s="2"/>
    </row>
    <row r="65" spans="1:10" ht="12.95" customHeight="1">
      <c r="A65" s="16" t="s">
        <v>2109</v>
      </c>
      <c r="B65" s="17" t="s">
        <v>2110</v>
      </c>
      <c r="C65" s="13" t="s">
        <v>2111</v>
      </c>
      <c r="D65" s="13" t="s">
        <v>1095</v>
      </c>
      <c r="E65" s="18">
        <v>50</v>
      </c>
      <c r="F65" s="19">
        <v>502.81</v>
      </c>
      <c r="G65" s="20">
        <v>3.5000000000000001E-3</v>
      </c>
      <c r="H65" s="21">
        <v>9.0593499999999993E-2</v>
      </c>
      <c r="I65" s="37">
        <v>7.5162725E-2</v>
      </c>
      <c r="J65" s="2"/>
    </row>
    <row r="66" spans="1:10" ht="12.95" customHeight="1">
      <c r="A66" s="16" t="s">
        <v>1083</v>
      </c>
      <c r="B66" s="17" t="s">
        <v>1084</v>
      </c>
      <c r="C66" s="13" t="s">
        <v>1085</v>
      </c>
      <c r="D66" s="13" t="s">
        <v>200</v>
      </c>
      <c r="E66" s="18">
        <v>500000</v>
      </c>
      <c r="F66" s="19">
        <v>479.67</v>
      </c>
      <c r="G66" s="20">
        <v>3.3E-3</v>
      </c>
      <c r="H66" s="21">
        <v>6.6629999999999995E-2</v>
      </c>
      <c r="I66" s="37"/>
      <c r="J66" s="2"/>
    </row>
    <row r="67" spans="1:10" ht="12.95" customHeight="1">
      <c r="A67" s="16" t="s">
        <v>2649</v>
      </c>
      <c r="B67" s="17" t="s">
        <v>2650</v>
      </c>
      <c r="C67" s="13" t="s">
        <v>2651</v>
      </c>
      <c r="D67" s="13" t="s">
        <v>132</v>
      </c>
      <c r="E67" s="18">
        <v>35</v>
      </c>
      <c r="F67" s="19">
        <v>386.29</v>
      </c>
      <c r="G67" s="20">
        <v>2.7000000000000001E-3</v>
      </c>
      <c r="H67" s="21">
        <v>5.4272000000000001E-2</v>
      </c>
      <c r="I67" s="37"/>
      <c r="J67" s="2"/>
    </row>
    <row r="68" spans="1:10" ht="12.95" customHeight="1">
      <c r="A68" s="16" t="s">
        <v>1525</v>
      </c>
      <c r="B68" s="17" t="s">
        <v>1526</v>
      </c>
      <c r="C68" s="13" t="s">
        <v>1527</v>
      </c>
      <c r="D68" s="13" t="s">
        <v>132</v>
      </c>
      <c r="E68" s="18">
        <v>25</v>
      </c>
      <c r="F68" s="19">
        <v>304.41000000000003</v>
      </c>
      <c r="G68" s="20">
        <v>2.0999999999999999E-3</v>
      </c>
      <c r="H68" s="21">
        <v>7.0749999999999993E-2</v>
      </c>
      <c r="I68" s="37"/>
      <c r="J68" s="2"/>
    </row>
    <row r="69" spans="1:10" ht="12.95" customHeight="1">
      <c r="A69" s="16" t="s">
        <v>2646</v>
      </c>
      <c r="B69" s="17" t="s">
        <v>2647</v>
      </c>
      <c r="C69" s="13" t="s">
        <v>2648</v>
      </c>
      <c r="D69" s="13" t="s">
        <v>132</v>
      </c>
      <c r="E69" s="18">
        <v>10</v>
      </c>
      <c r="F69" s="19">
        <v>108.59</v>
      </c>
      <c r="G69" s="20">
        <v>8.0000000000000004E-4</v>
      </c>
      <c r="H69" s="21">
        <v>5.5819000000000001E-2</v>
      </c>
      <c r="I69" s="37"/>
      <c r="J69" s="2"/>
    </row>
    <row r="70" spans="1:10" ht="12.95" customHeight="1">
      <c r="A70" s="16" t="s">
        <v>2652</v>
      </c>
      <c r="B70" s="17" t="s">
        <v>2653</v>
      </c>
      <c r="C70" s="13" t="s">
        <v>2654</v>
      </c>
      <c r="D70" s="13" t="s">
        <v>1073</v>
      </c>
      <c r="E70" s="18">
        <v>5</v>
      </c>
      <c r="F70" s="19">
        <v>51.99</v>
      </c>
      <c r="G70" s="20">
        <v>4.0000000000000002E-4</v>
      </c>
      <c r="H70" s="21">
        <v>4.58E-2</v>
      </c>
      <c r="I70" s="37"/>
      <c r="J70" s="2"/>
    </row>
    <row r="71" spans="1:10" ht="12.95" customHeight="1">
      <c r="A71" s="16" t="s">
        <v>3631</v>
      </c>
      <c r="B71" s="17" t="s">
        <v>3632</v>
      </c>
      <c r="C71" s="13" t="s">
        <v>3633</v>
      </c>
      <c r="D71" s="13" t="s">
        <v>200</v>
      </c>
      <c r="E71" s="18">
        <v>14200</v>
      </c>
      <c r="F71" s="19">
        <v>14.6</v>
      </c>
      <c r="G71" s="20">
        <v>1E-4</v>
      </c>
      <c r="H71" s="21">
        <v>3.6942000000000003E-2</v>
      </c>
      <c r="I71" s="37"/>
      <c r="J71" s="2"/>
    </row>
    <row r="72" spans="1:10" ht="12.95" customHeight="1">
      <c r="A72" s="2"/>
      <c r="B72" s="12" t="s">
        <v>172</v>
      </c>
      <c r="C72" s="13"/>
      <c r="D72" s="13"/>
      <c r="E72" s="13"/>
      <c r="F72" s="23">
        <v>15244.7</v>
      </c>
      <c r="G72" s="24">
        <v>0.10630000000000001</v>
      </c>
      <c r="H72" s="25"/>
      <c r="I72" s="26"/>
      <c r="J72" s="2"/>
    </row>
    <row r="73" spans="1:10" ht="12.95" customHeight="1">
      <c r="A73" s="2"/>
      <c r="B73" s="27" t="s">
        <v>173</v>
      </c>
      <c r="C73" s="1"/>
      <c r="D73" s="1"/>
      <c r="E73" s="1"/>
      <c r="F73" s="25" t="s">
        <v>204</v>
      </c>
      <c r="G73" s="25" t="s">
        <v>204</v>
      </c>
      <c r="H73" s="25"/>
      <c r="I73" s="26"/>
      <c r="J73" s="2"/>
    </row>
    <row r="74" spans="1:10" ht="12.95" customHeight="1">
      <c r="A74" s="2"/>
      <c r="B74" s="27" t="s">
        <v>172</v>
      </c>
      <c r="C74" s="1"/>
      <c r="D74" s="1"/>
      <c r="E74" s="1"/>
      <c r="F74" s="25" t="s">
        <v>204</v>
      </c>
      <c r="G74" s="25" t="s">
        <v>204</v>
      </c>
      <c r="H74" s="25"/>
      <c r="I74" s="26"/>
      <c r="J74" s="2"/>
    </row>
    <row r="75" spans="1:10" ht="12.95" customHeight="1">
      <c r="A75" s="2"/>
      <c r="B75" s="27" t="s">
        <v>177</v>
      </c>
      <c r="C75" s="28"/>
      <c r="D75" s="1"/>
      <c r="E75" s="28"/>
      <c r="F75" s="23">
        <v>15244.7</v>
      </c>
      <c r="G75" s="24">
        <v>0.10630000000000001</v>
      </c>
      <c r="H75" s="25"/>
      <c r="I75" s="26"/>
      <c r="J75" s="2"/>
    </row>
    <row r="76" spans="1:10" ht="12.95" customHeight="1">
      <c r="A76" s="2"/>
      <c r="B76" s="12" t="s">
        <v>219</v>
      </c>
      <c r="C76" s="13"/>
      <c r="D76" s="13"/>
      <c r="E76" s="13"/>
      <c r="F76" s="13"/>
      <c r="G76" s="13"/>
      <c r="H76" s="14"/>
      <c r="I76" s="15"/>
      <c r="J76" s="2"/>
    </row>
    <row r="77" spans="1:10" ht="12.95" customHeight="1">
      <c r="A77" s="2"/>
      <c r="B77" s="12" t="s">
        <v>2422</v>
      </c>
      <c r="C77" s="13"/>
      <c r="D77" s="13"/>
      <c r="E77" s="13"/>
      <c r="F77" s="2"/>
      <c r="G77" s="14"/>
      <c r="H77" s="14"/>
      <c r="I77" s="15"/>
      <c r="J77" s="2"/>
    </row>
    <row r="78" spans="1:10" ht="12.95" customHeight="1">
      <c r="A78" s="16" t="s">
        <v>2423</v>
      </c>
      <c r="B78" s="17" t="s">
        <v>53</v>
      </c>
      <c r="C78" s="13" t="s">
        <v>2424</v>
      </c>
      <c r="D78" s="13"/>
      <c r="E78" s="18">
        <v>35550400</v>
      </c>
      <c r="F78" s="19">
        <v>14156.17</v>
      </c>
      <c r="G78" s="20">
        <v>9.8699999999999996E-2</v>
      </c>
      <c r="H78" s="21"/>
      <c r="I78" s="37"/>
      <c r="J78" s="2"/>
    </row>
    <row r="79" spans="1:10" ht="12.95" customHeight="1">
      <c r="A79" s="2"/>
      <c r="B79" s="12" t="s">
        <v>172</v>
      </c>
      <c r="C79" s="13"/>
      <c r="D79" s="13"/>
      <c r="E79" s="13"/>
      <c r="F79" s="23">
        <v>14156.17</v>
      </c>
      <c r="G79" s="24">
        <v>9.8699999999999996E-2</v>
      </c>
      <c r="H79" s="25"/>
      <c r="I79" s="26"/>
      <c r="J79" s="2"/>
    </row>
    <row r="80" spans="1:10" ht="12.95" customHeight="1">
      <c r="A80" s="2"/>
      <c r="B80" s="12" t="s">
        <v>1106</v>
      </c>
      <c r="C80" s="13"/>
      <c r="D80" s="38" t="s">
        <v>1107</v>
      </c>
      <c r="E80" s="13"/>
      <c r="F80" s="2"/>
      <c r="G80" s="14"/>
      <c r="H80" s="14"/>
      <c r="I80" s="15"/>
      <c r="J80" s="2"/>
    </row>
    <row r="81" spans="1:10" ht="12.95" customHeight="1">
      <c r="A81" s="16" t="s">
        <v>3850</v>
      </c>
      <c r="B81" s="17" t="s">
        <v>3851</v>
      </c>
      <c r="C81" s="13"/>
      <c r="D81" s="39" t="s">
        <v>2077</v>
      </c>
      <c r="E81" s="40"/>
      <c r="F81" s="19">
        <v>491</v>
      </c>
      <c r="G81" s="20">
        <v>3.3999999999999998E-3</v>
      </c>
      <c r="H81" s="21">
        <v>2.9755434779999999E-2</v>
      </c>
      <c r="I81" s="37"/>
      <c r="J81" s="2"/>
    </row>
    <row r="82" spans="1:10" ht="12.95" customHeight="1">
      <c r="A82" s="2"/>
      <c r="B82" s="12" t="s">
        <v>172</v>
      </c>
      <c r="C82" s="13"/>
      <c r="D82" s="13"/>
      <c r="E82" s="13"/>
      <c r="F82" s="23">
        <v>491</v>
      </c>
      <c r="G82" s="24">
        <v>3.3999999999999998E-3</v>
      </c>
      <c r="H82" s="25"/>
      <c r="I82" s="26"/>
      <c r="J82" s="2"/>
    </row>
    <row r="83" spans="1:10" ht="12.95" customHeight="1">
      <c r="A83" s="2"/>
      <c r="B83" s="27" t="s">
        <v>177</v>
      </c>
      <c r="C83" s="28"/>
      <c r="D83" s="1"/>
      <c r="E83" s="28"/>
      <c r="F83" s="23">
        <v>14647.17</v>
      </c>
      <c r="G83" s="24">
        <v>0.1021</v>
      </c>
      <c r="H83" s="25"/>
      <c r="I83" s="26"/>
      <c r="J83" s="2"/>
    </row>
    <row r="84" spans="1:10" ht="12.95" customHeight="1">
      <c r="A84" s="2"/>
      <c r="B84" s="12" t="s">
        <v>178</v>
      </c>
      <c r="C84" s="13"/>
      <c r="D84" s="13"/>
      <c r="E84" s="13"/>
      <c r="F84" s="13"/>
      <c r="G84" s="13"/>
      <c r="H84" s="14"/>
      <c r="I84" s="15"/>
      <c r="J84" s="2"/>
    </row>
    <row r="85" spans="1:10" ht="12.95" customHeight="1">
      <c r="A85" s="16" t="s">
        <v>179</v>
      </c>
      <c r="B85" s="17" t="s">
        <v>180</v>
      </c>
      <c r="C85" s="13"/>
      <c r="D85" s="13"/>
      <c r="E85" s="18"/>
      <c r="F85" s="19">
        <v>15990.78</v>
      </c>
      <c r="G85" s="20">
        <v>0.1115</v>
      </c>
      <c r="H85" s="21">
        <v>3.3046283862919586E-2</v>
      </c>
      <c r="I85" s="37"/>
      <c r="J85" s="2"/>
    </row>
    <row r="86" spans="1:10" ht="12.95" customHeight="1">
      <c r="A86" s="2"/>
      <c r="B86" s="12" t="s">
        <v>172</v>
      </c>
      <c r="C86" s="13"/>
      <c r="D86" s="13"/>
      <c r="E86" s="13"/>
      <c r="F86" s="23">
        <v>15990.78</v>
      </c>
      <c r="G86" s="24">
        <v>0.1115</v>
      </c>
      <c r="H86" s="25"/>
      <c r="I86" s="26"/>
      <c r="J86" s="2"/>
    </row>
    <row r="87" spans="1:10" ht="12.95" customHeight="1">
      <c r="A87" s="2"/>
      <c r="B87" s="27" t="s">
        <v>173</v>
      </c>
      <c r="C87" s="1"/>
      <c r="D87" s="1"/>
      <c r="E87" s="1"/>
      <c r="F87" s="25" t="s">
        <v>204</v>
      </c>
      <c r="G87" s="25" t="s">
        <v>204</v>
      </c>
      <c r="H87" s="25"/>
      <c r="I87" s="26"/>
      <c r="J87" s="2"/>
    </row>
    <row r="88" spans="1:10" ht="12.95" customHeight="1">
      <c r="A88" s="2"/>
      <c r="B88" s="27" t="s">
        <v>172</v>
      </c>
      <c r="C88" s="1"/>
      <c r="D88" s="1"/>
      <c r="E88" s="1"/>
      <c r="F88" s="25" t="s">
        <v>204</v>
      </c>
      <c r="G88" s="25" t="s">
        <v>204</v>
      </c>
      <c r="H88" s="25"/>
      <c r="I88" s="26"/>
      <c r="J88" s="2"/>
    </row>
    <row r="89" spans="1:10" ht="12.95" customHeight="1">
      <c r="A89" s="2"/>
      <c r="B89" s="27" t="s">
        <v>177</v>
      </c>
      <c r="C89" s="28"/>
      <c r="D89" s="1"/>
      <c r="E89" s="28"/>
      <c r="F89" s="23">
        <v>15990.78</v>
      </c>
      <c r="G89" s="24">
        <v>0.1115</v>
      </c>
      <c r="H89" s="25"/>
      <c r="I89" s="26"/>
      <c r="J89" s="2"/>
    </row>
    <row r="90" spans="1:10" ht="12.95" customHeight="1">
      <c r="A90" s="2"/>
      <c r="B90" s="27" t="s">
        <v>181</v>
      </c>
      <c r="C90" s="13"/>
      <c r="D90" s="1"/>
      <c r="E90" s="13"/>
      <c r="F90" s="29">
        <v>-2934.82</v>
      </c>
      <c r="G90" s="24">
        <v>-2.07E-2</v>
      </c>
      <c r="H90" s="25"/>
      <c r="I90" s="26"/>
      <c r="J90" s="2"/>
    </row>
    <row r="91" spans="1:10" ht="12.95" customHeight="1">
      <c r="A91" s="2"/>
      <c r="B91" s="30" t="s">
        <v>182</v>
      </c>
      <c r="C91" s="31"/>
      <c r="D91" s="31"/>
      <c r="E91" s="31"/>
      <c r="F91" s="32">
        <v>143478.17000000001</v>
      </c>
      <c r="G91" s="33">
        <v>1</v>
      </c>
      <c r="H91" s="34"/>
      <c r="I91" s="35"/>
      <c r="J91" s="2"/>
    </row>
    <row r="92" spans="1:10" ht="12.95" customHeight="1">
      <c r="A92" s="2"/>
      <c r="B92" s="5"/>
      <c r="C92" s="2"/>
      <c r="D92" s="2"/>
      <c r="E92" s="2"/>
      <c r="F92" s="2"/>
      <c r="G92" s="2"/>
      <c r="H92" s="2"/>
      <c r="I92" s="2"/>
      <c r="J92" s="2"/>
    </row>
    <row r="93" spans="1:10" ht="12.95" customHeight="1">
      <c r="A93" s="2"/>
      <c r="B93" s="3" t="s">
        <v>244</v>
      </c>
      <c r="C93" s="2"/>
      <c r="D93" s="2"/>
      <c r="E93" s="2"/>
      <c r="F93" s="2"/>
      <c r="G93" s="2"/>
      <c r="H93" s="2"/>
      <c r="I93" s="2"/>
      <c r="J93" s="2"/>
    </row>
    <row r="94" spans="1:10" ht="12.95" customHeight="1">
      <c r="A94" s="2"/>
      <c r="B94" s="3" t="s">
        <v>184</v>
      </c>
      <c r="C94" s="2"/>
      <c r="D94" s="2"/>
      <c r="E94" s="2"/>
      <c r="F94" s="2"/>
      <c r="G94" s="2"/>
      <c r="H94" s="2"/>
      <c r="I94" s="2"/>
      <c r="J94" s="2"/>
    </row>
    <row r="95" spans="1:10" ht="12.95" customHeight="1">
      <c r="A95" s="2"/>
      <c r="B95" s="3"/>
      <c r="C95" s="2"/>
      <c r="D95" s="2"/>
      <c r="E95" s="2"/>
      <c r="F95" s="2"/>
      <c r="G95" s="2"/>
      <c r="H95" s="2"/>
      <c r="I95" s="2"/>
      <c r="J95" s="2"/>
    </row>
    <row r="96" spans="1:10" ht="12.95" customHeight="1">
      <c r="A96" s="2"/>
      <c r="B96" s="3" t="s">
        <v>186</v>
      </c>
      <c r="C96" s="2"/>
      <c r="D96" s="2"/>
      <c r="E96" s="2"/>
      <c r="F96" s="2"/>
      <c r="G96" s="2"/>
      <c r="H96" s="2"/>
      <c r="I96" s="2"/>
      <c r="J96" s="2"/>
    </row>
    <row r="97" spans="1:10" ht="23.25" customHeight="1">
      <c r="A97" s="2"/>
      <c r="B97" s="189" t="s">
        <v>4025</v>
      </c>
      <c r="C97" s="189"/>
      <c r="D97" s="189"/>
      <c r="E97" s="189"/>
      <c r="F97" s="189"/>
      <c r="G97" s="189"/>
      <c r="H97" s="189"/>
      <c r="I97" s="189"/>
      <c r="J97" s="2"/>
    </row>
    <row r="98" spans="1:10" ht="12.95" customHeight="1">
      <c r="A98" s="2"/>
      <c r="B98" s="3"/>
      <c r="C98" s="2"/>
      <c r="D98" s="2"/>
      <c r="E98" s="2"/>
      <c r="F98" s="2"/>
      <c r="G98" s="2"/>
      <c r="H98" s="2"/>
      <c r="I98" s="2"/>
      <c r="J98" s="2"/>
    </row>
    <row r="99" spans="1:10">
      <c r="C99" s="111" t="s">
        <v>3974</v>
      </c>
    </row>
    <row r="100" spans="1:10">
      <c r="B100" s="111" t="s">
        <v>3933</v>
      </c>
      <c r="C100" s="111" t="s">
        <v>3934</v>
      </c>
    </row>
  </sheetData>
  <mergeCells count="2">
    <mergeCell ref="B2:I2"/>
    <mergeCell ref="B97:I97"/>
  </mergeCells>
  <hyperlinks>
    <hyperlink ref="A2" location="Index!A1" display="Index"/>
  </hyperlinks>
  <pageMargins left="0" right="0" top="0" bottom="0" header="0" footer="0"/>
  <pageSetup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4"/>
  <sheetViews>
    <sheetView workbookViewId="0"/>
  </sheetViews>
  <sheetFormatPr defaultRowHeight="15"/>
  <cols>
    <col min="1" max="1" width="3.28515625" customWidth="1"/>
    <col min="2" max="2" width="69.140625" customWidth="1"/>
    <col min="3" max="3" width="18.7109375" bestFit="1" customWidth="1"/>
    <col min="4" max="4" width="33.28515625" customWidth="1"/>
    <col min="5" max="5" width="25.7109375" customWidth="1"/>
    <col min="6" max="6" width="15.28515625" bestFit="1" customWidth="1"/>
    <col min="7" max="9" width="10.7109375" customWidth="1"/>
    <col min="10" max="10" width="10.85546875" customWidth="1"/>
  </cols>
  <sheetData>
    <row r="1" spans="1:13" ht="15.75" thickBot="1">
      <c r="A1" s="108" t="str">
        <f>M2</f>
        <v>AXISTETF</v>
      </c>
    </row>
    <row r="2" spans="1:13" ht="34.5" customHeight="1" thickBot="1">
      <c r="A2" s="135" t="str">
        <f>M2</f>
        <v>AXISTETF</v>
      </c>
      <c r="B2" s="197" t="s">
        <v>111</v>
      </c>
      <c r="C2" s="198"/>
      <c r="D2" s="198"/>
      <c r="E2" s="198"/>
      <c r="F2" s="198"/>
      <c r="G2" s="198"/>
      <c r="H2" s="198"/>
      <c r="I2" s="199"/>
      <c r="J2" s="67"/>
      <c r="M2" s="108" t="s">
        <v>110</v>
      </c>
    </row>
    <row r="3" spans="1:13" ht="12.95" customHeight="1">
      <c r="A3" s="67"/>
      <c r="B3" s="69"/>
      <c r="C3" s="67"/>
      <c r="D3" s="67"/>
      <c r="E3" s="67"/>
      <c r="F3" s="67"/>
      <c r="G3" s="67"/>
      <c r="H3" s="67"/>
      <c r="I3" s="67"/>
      <c r="J3" s="67"/>
    </row>
    <row r="4" spans="1:13" ht="12.95" customHeight="1" thickBot="1">
      <c r="A4" s="70" t="s">
        <v>118</v>
      </c>
      <c r="B4" s="71" t="s">
        <v>4035</v>
      </c>
      <c r="C4" s="67"/>
      <c r="D4" s="67"/>
      <c r="E4" s="67"/>
      <c r="F4" s="67"/>
      <c r="G4" s="67"/>
      <c r="H4" s="67"/>
      <c r="I4" s="67"/>
      <c r="J4" s="67"/>
    </row>
    <row r="5" spans="1:13" ht="27.95" customHeight="1">
      <c r="A5" s="67"/>
      <c r="B5" s="72" t="s">
        <v>119</v>
      </c>
      <c r="C5" s="73" t="s">
        <v>120</v>
      </c>
      <c r="D5" s="74" t="s">
        <v>679</v>
      </c>
      <c r="E5" s="74" t="s">
        <v>122</v>
      </c>
      <c r="F5" s="74" t="s">
        <v>123</v>
      </c>
      <c r="G5" s="74" t="s">
        <v>124</v>
      </c>
      <c r="H5" s="74" t="s">
        <v>125</v>
      </c>
      <c r="I5" s="75" t="s">
        <v>126</v>
      </c>
      <c r="J5" s="76" t="s">
        <v>218</v>
      </c>
    </row>
    <row r="6" spans="1:13" ht="12.95" customHeight="1">
      <c r="A6" s="67"/>
      <c r="B6" s="77" t="s">
        <v>680</v>
      </c>
      <c r="C6" s="78"/>
      <c r="D6" s="78"/>
      <c r="E6" s="78"/>
      <c r="F6" s="78"/>
      <c r="G6" s="78"/>
      <c r="H6" s="79"/>
      <c r="I6" s="80"/>
      <c r="J6" s="67"/>
    </row>
    <row r="7" spans="1:13" ht="12.95" customHeight="1">
      <c r="A7" s="67"/>
      <c r="B7" s="77" t="s">
        <v>681</v>
      </c>
      <c r="C7" s="78"/>
      <c r="D7" s="78"/>
      <c r="E7" s="78"/>
      <c r="F7" s="67"/>
      <c r="G7" s="79"/>
      <c r="H7" s="79"/>
      <c r="I7" s="80"/>
      <c r="J7" s="67"/>
    </row>
    <row r="8" spans="1:13" ht="12.95" customHeight="1">
      <c r="A8" s="81" t="s">
        <v>740</v>
      </c>
      <c r="B8" s="82" t="s">
        <v>741</v>
      </c>
      <c r="C8" s="78" t="s">
        <v>742</v>
      </c>
      <c r="D8" s="78" t="s">
        <v>731</v>
      </c>
      <c r="E8" s="83">
        <v>37218</v>
      </c>
      <c r="F8" s="84">
        <v>623.48</v>
      </c>
      <c r="G8" s="85">
        <v>0.26729999999999998</v>
      </c>
      <c r="H8" s="86"/>
      <c r="I8" s="87"/>
      <c r="J8" s="67"/>
    </row>
    <row r="9" spans="1:13" ht="12.95" customHeight="1">
      <c r="A9" s="81" t="s">
        <v>728</v>
      </c>
      <c r="B9" s="82" t="s">
        <v>729</v>
      </c>
      <c r="C9" s="78" t="s">
        <v>730</v>
      </c>
      <c r="D9" s="78" t="s">
        <v>731</v>
      </c>
      <c r="E9" s="83">
        <v>16179</v>
      </c>
      <c r="F9" s="84">
        <v>610.85</v>
      </c>
      <c r="G9" s="85">
        <v>0.26179999999999998</v>
      </c>
      <c r="H9" s="86"/>
      <c r="I9" s="87"/>
      <c r="J9" s="67"/>
    </row>
    <row r="10" spans="1:13" ht="12.95" customHeight="1">
      <c r="A10" s="81" t="s">
        <v>1768</v>
      </c>
      <c r="B10" s="82" t="s">
        <v>1769</v>
      </c>
      <c r="C10" s="78" t="s">
        <v>1770</v>
      </c>
      <c r="D10" s="78" t="s">
        <v>731</v>
      </c>
      <c r="E10" s="83">
        <v>17025</v>
      </c>
      <c r="F10" s="84">
        <v>217.84</v>
      </c>
      <c r="G10" s="85">
        <v>9.3399999999999997E-2</v>
      </c>
      <c r="H10" s="86"/>
      <c r="I10" s="87"/>
      <c r="J10" s="67"/>
    </row>
    <row r="11" spans="1:13" ht="12.95" customHeight="1">
      <c r="A11" s="81" t="s">
        <v>2078</v>
      </c>
      <c r="B11" s="82" t="s">
        <v>2079</v>
      </c>
      <c r="C11" s="78" t="s">
        <v>2080</v>
      </c>
      <c r="D11" s="78" t="s">
        <v>731</v>
      </c>
      <c r="E11" s="83">
        <v>33603</v>
      </c>
      <c r="F11" s="84">
        <v>213.08</v>
      </c>
      <c r="G11" s="85">
        <v>9.1300000000000006E-2</v>
      </c>
      <c r="H11" s="86"/>
      <c r="I11" s="87"/>
      <c r="J11" s="67"/>
    </row>
    <row r="12" spans="1:13" ht="12.95" customHeight="1">
      <c r="A12" s="81" t="s">
        <v>772</v>
      </c>
      <c r="B12" s="82" t="s">
        <v>773</v>
      </c>
      <c r="C12" s="78" t="s">
        <v>774</v>
      </c>
      <c r="D12" s="78" t="s">
        <v>731</v>
      </c>
      <c r="E12" s="83">
        <v>15058</v>
      </c>
      <c r="F12" s="84">
        <v>207.89</v>
      </c>
      <c r="G12" s="85">
        <v>8.9099999999999999E-2</v>
      </c>
      <c r="H12" s="86"/>
      <c r="I12" s="87"/>
      <c r="J12" s="67"/>
    </row>
    <row r="13" spans="1:13" ht="12.95" customHeight="1">
      <c r="A13" s="81" t="s">
        <v>914</v>
      </c>
      <c r="B13" s="82" t="s">
        <v>915</v>
      </c>
      <c r="C13" s="78" t="s">
        <v>916</v>
      </c>
      <c r="D13" s="78" t="s">
        <v>731</v>
      </c>
      <c r="E13" s="83">
        <v>2784</v>
      </c>
      <c r="F13" s="84">
        <v>116.93</v>
      </c>
      <c r="G13" s="85">
        <v>5.0099999999999999E-2</v>
      </c>
      <c r="H13" s="86"/>
      <c r="I13" s="87"/>
      <c r="J13" s="67"/>
    </row>
    <row r="14" spans="1:13" ht="12.95" customHeight="1">
      <c r="A14" s="81" t="s">
        <v>1864</v>
      </c>
      <c r="B14" s="82" t="s">
        <v>1865</v>
      </c>
      <c r="C14" s="78" t="s">
        <v>1866</v>
      </c>
      <c r="D14" s="78" t="s">
        <v>731</v>
      </c>
      <c r="E14" s="83">
        <v>1974</v>
      </c>
      <c r="F14" s="84">
        <v>113.8</v>
      </c>
      <c r="G14" s="85">
        <v>4.8800000000000003E-2</v>
      </c>
      <c r="H14" s="86"/>
      <c r="I14" s="87"/>
      <c r="J14" s="67"/>
    </row>
    <row r="15" spans="1:13" ht="12.95" customHeight="1">
      <c r="A15" s="81" t="s">
        <v>904</v>
      </c>
      <c r="B15" s="82" t="s">
        <v>905</v>
      </c>
      <c r="C15" s="78" t="s">
        <v>906</v>
      </c>
      <c r="D15" s="78" t="s">
        <v>731</v>
      </c>
      <c r="E15" s="83">
        <v>3571</v>
      </c>
      <c r="F15" s="84">
        <v>110.86</v>
      </c>
      <c r="G15" s="85">
        <v>4.7500000000000001E-2</v>
      </c>
      <c r="H15" s="86"/>
      <c r="I15" s="87"/>
      <c r="J15" s="67"/>
    </row>
    <row r="16" spans="1:13" ht="12.95" customHeight="1">
      <c r="A16" s="81" t="s">
        <v>894</v>
      </c>
      <c r="B16" s="82" t="s">
        <v>895</v>
      </c>
      <c r="C16" s="78" t="s">
        <v>896</v>
      </c>
      <c r="D16" s="78" t="s">
        <v>731</v>
      </c>
      <c r="E16" s="83">
        <v>1129</v>
      </c>
      <c r="F16" s="84">
        <v>59.17</v>
      </c>
      <c r="G16" s="85">
        <v>2.5399999999999999E-2</v>
      </c>
      <c r="H16" s="86"/>
      <c r="I16" s="87"/>
      <c r="J16" s="67"/>
    </row>
    <row r="17" spans="1:10" ht="12.95" customHeight="1">
      <c r="A17" s="81" t="s">
        <v>802</v>
      </c>
      <c r="B17" s="82" t="s">
        <v>803</v>
      </c>
      <c r="C17" s="78" t="s">
        <v>804</v>
      </c>
      <c r="D17" s="78" t="s">
        <v>731</v>
      </c>
      <c r="E17" s="83">
        <v>1141</v>
      </c>
      <c r="F17" s="84">
        <v>53.6</v>
      </c>
      <c r="G17" s="85">
        <v>2.3E-2</v>
      </c>
      <c r="H17" s="86"/>
      <c r="I17" s="87"/>
      <c r="J17" s="67"/>
    </row>
    <row r="18" spans="1:10" ht="12.95" customHeight="1">
      <c r="A18" s="67"/>
      <c r="B18" s="77" t="s">
        <v>172</v>
      </c>
      <c r="C18" s="78"/>
      <c r="D18" s="78"/>
      <c r="E18" s="78"/>
      <c r="F18" s="88">
        <v>2327.5</v>
      </c>
      <c r="G18" s="89">
        <v>0.99770000000000003</v>
      </c>
      <c r="H18" s="90"/>
      <c r="I18" s="91"/>
      <c r="J18" s="67"/>
    </row>
    <row r="19" spans="1:10" ht="12.95" customHeight="1">
      <c r="A19" s="67"/>
      <c r="B19" s="92" t="s">
        <v>719</v>
      </c>
      <c r="C19" s="93"/>
      <c r="D19" s="93"/>
      <c r="E19" s="93"/>
      <c r="F19" s="90" t="s">
        <v>204</v>
      </c>
      <c r="G19" s="90" t="s">
        <v>204</v>
      </c>
      <c r="H19" s="90"/>
      <c r="I19" s="91"/>
      <c r="J19" s="67"/>
    </row>
    <row r="20" spans="1:10" ht="12.95" customHeight="1">
      <c r="A20" s="67"/>
      <c r="B20" s="92" t="s">
        <v>172</v>
      </c>
      <c r="C20" s="93"/>
      <c r="D20" s="93"/>
      <c r="E20" s="93"/>
      <c r="F20" s="90" t="s">
        <v>204</v>
      </c>
      <c r="G20" s="90" t="s">
        <v>204</v>
      </c>
      <c r="H20" s="90"/>
      <c r="I20" s="91"/>
      <c r="J20" s="67"/>
    </row>
    <row r="21" spans="1:10" ht="12.95" customHeight="1">
      <c r="A21" s="67"/>
      <c r="B21" s="92" t="s">
        <v>177</v>
      </c>
      <c r="C21" s="94"/>
      <c r="D21" s="93"/>
      <c r="E21" s="94"/>
      <c r="F21" s="88">
        <v>2327.5</v>
      </c>
      <c r="G21" s="89">
        <v>0.99770000000000003</v>
      </c>
      <c r="H21" s="90"/>
      <c r="I21" s="91"/>
      <c r="J21" s="67"/>
    </row>
    <row r="22" spans="1:10" ht="12.95" customHeight="1">
      <c r="A22" s="67"/>
      <c r="B22" s="77" t="s">
        <v>178</v>
      </c>
      <c r="C22" s="78"/>
      <c r="D22" s="78"/>
      <c r="E22" s="78"/>
      <c r="F22" s="78"/>
      <c r="G22" s="78"/>
      <c r="H22" s="79"/>
      <c r="I22" s="80"/>
      <c r="J22" s="67"/>
    </row>
    <row r="23" spans="1:10" ht="12.95" customHeight="1">
      <c r="A23" s="81" t="s">
        <v>179</v>
      </c>
      <c r="B23" s="82" t="s">
        <v>180</v>
      </c>
      <c r="C23" s="78"/>
      <c r="D23" s="78"/>
      <c r="E23" s="83"/>
      <c r="F23" s="84">
        <v>0.64</v>
      </c>
      <c r="G23" s="85">
        <v>2.9999999999999997E-4</v>
      </c>
      <c r="H23" s="95">
        <v>3.3195206189062819E-2</v>
      </c>
      <c r="I23" s="87"/>
      <c r="J23" s="67"/>
    </row>
    <row r="24" spans="1:10" ht="12.95" customHeight="1">
      <c r="A24" s="67"/>
      <c r="B24" s="77" t="s">
        <v>172</v>
      </c>
      <c r="C24" s="78"/>
      <c r="D24" s="78"/>
      <c r="E24" s="78"/>
      <c r="F24" s="88">
        <v>0.64</v>
      </c>
      <c r="G24" s="89">
        <v>2.9999999999999997E-4</v>
      </c>
      <c r="H24" s="90"/>
      <c r="I24" s="91"/>
      <c r="J24" s="67"/>
    </row>
    <row r="25" spans="1:10" ht="12.95" customHeight="1">
      <c r="A25" s="67"/>
      <c r="B25" s="92" t="s">
        <v>177</v>
      </c>
      <c r="C25" s="94"/>
      <c r="D25" s="93"/>
      <c r="E25" s="94"/>
      <c r="F25" s="88">
        <v>0.64</v>
      </c>
      <c r="G25" s="89">
        <v>2.9999999999999997E-4</v>
      </c>
      <c r="H25" s="90"/>
      <c r="I25" s="91"/>
      <c r="J25" s="67"/>
    </row>
    <row r="26" spans="1:10" ht="12.95" customHeight="1">
      <c r="A26" s="67"/>
      <c r="B26" s="92" t="s">
        <v>181</v>
      </c>
      <c r="C26" s="78"/>
      <c r="D26" s="93"/>
      <c r="E26" s="78"/>
      <c r="F26" s="96">
        <v>4.7699999999999996</v>
      </c>
      <c r="G26" s="89">
        <v>2E-3</v>
      </c>
      <c r="H26" s="90"/>
      <c r="I26" s="91"/>
      <c r="J26" s="67"/>
    </row>
    <row r="27" spans="1:10" ht="12.95" customHeight="1" thickBot="1">
      <c r="A27" s="67"/>
      <c r="B27" s="97" t="s">
        <v>182</v>
      </c>
      <c r="C27" s="98"/>
      <c r="D27" s="98"/>
      <c r="E27" s="98"/>
      <c r="F27" s="99">
        <v>2332.91</v>
      </c>
      <c r="G27" s="100">
        <v>1</v>
      </c>
      <c r="H27" s="101"/>
      <c r="I27" s="102"/>
      <c r="J27" s="67"/>
    </row>
    <row r="28" spans="1:10" ht="12.95" customHeight="1">
      <c r="A28" s="67"/>
      <c r="B28" s="70"/>
      <c r="C28" s="67"/>
      <c r="D28" s="67"/>
      <c r="E28" s="67"/>
      <c r="F28" s="67"/>
      <c r="G28" s="67"/>
      <c r="H28" s="67"/>
      <c r="I28" s="67"/>
      <c r="J28" s="67"/>
    </row>
    <row r="29" spans="1:10" ht="12.95" customHeight="1">
      <c r="A29" s="67"/>
      <c r="B29" s="68" t="s">
        <v>244</v>
      </c>
      <c r="C29" s="67"/>
      <c r="D29" s="67"/>
      <c r="E29" s="67"/>
      <c r="F29" s="67"/>
      <c r="G29" s="67"/>
      <c r="H29" s="67"/>
      <c r="I29" s="67"/>
      <c r="J29" s="67"/>
    </row>
    <row r="30" spans="1:10" ht="12.95" customHeight="1">
      <c r="A30" s="67"/>
      <c r="B30" s="68" t="s">
        <v>186</v>
      </c>
      <c r="C30" s="67"/>
      <c r="D30" s="67"/>
      <c r="E30" s="67"/>
      <c r="F30" s="67"/>
      <c r="G30" s="67"/>
      <c r="H30" s="67"/>
      <c r="I30" s="67"/>
      <c r="J30" s="67"/>
    </row>
    <row r="31" spans="1:10" ht="23.25" customHeight="1">
      <c r="A31" s="2"/>
      <c r="B31" s="189" t="s">
        <v>4025</v>
      </c>
      <c r="C31" s="189"/>
      <c r="D31" s="189"/>
      <c r="E31" s="189"/>
      <c r="F31" s="189"/>
      <c r="G31" s="189"/>
      <c r="H31" s="189"/>
      <c r="I31" s="189"/>
      <c r="J31" s="2"/>
    </row>
    <row r="32" spans="1:10" ht="12.95" customHeight="1">
      <c r="A32" s="67"/>
      <c r="B32" s="68"/>
      <c r="C32" s="67"/>
      <c r="D32" s="67"/>
      <c r="E32" s="67"/>
      <c r="F32" s="67"/>
      <c r="G32" s="67"/>
      <c r="H32" s="67"/>
      <c r="I32" s="67"/>
      <c r="J32" s="67"/>
    </row>
    <row r="33" spans="2:3">
      <c r="C33" s="111" t="s">
        <v>3975</v>
      </c>
    </row>
    <row r="34" spans="2:3">
      <c r="B34" s="111" t="s">
        <v>3933</v>
      </c>
      <c r="C34" s="111" t="s">
        <v>3934</v>
      </c>
    </row>
  </sheetData>
  <mergeCells count="2">
    <mergeCell ref="B2:I2"/>
    <mergeCell ref="B31:I31"/>
  </mergeCells>
  <hyperlinks>
    <hyperlink ref="A2" location="Index!A1" display="Index"/>
  </hyperlinks>
  <pageMargins left="0" right="0" top="0" bottom="0" header="0" footer="0"/>
  <pageSetup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0"/>
  <sheetViews>
    <sheetView workbookViewId="0"/>
  </sheetViews>
  <sheetFormatPr defaultRowHeight="15"/>
  <cols>
    <col min="1" max="1" width="3.28515625" customWidth="1"/>
    <col min="2" max="2" width="69.140625" customWidth="1"/>
    <col min="3" max="3" width="16.7109375" customWidth="1"/>
    <col min="4" max="4" width="23.42578125" bestFit="1" customWidth="1"/>
    <col min="5" max="5" width="25.7109375" customWidth="1"/>
    <col min="6" max="6" width="15.28515625" bestFit="1" customWidth="1"/>
    <col min="7" max="9" width="10.7109375" customWidth="1"/>
    <col min="10" max="10" width="10.85546875" customWidth="1"/>
  </cols>
  <sheetData>
    <row r="1" spans="1:13" ht="15.75" thickBot="1">
      <c r="A1" s="108" t="str">
        <f>M2</f>
        <v>AXISTSF</v>
      </c>
    </row>
    <row r="2" spans="1:13" ht="34.5" customHeight="1" thickBot="1">
      <c r="A2" s="135" t="str">
        <f>M2</f>
        <v>AXISTSF</v>
      </c>
      <c r="B2" s="186" t="s">
        <v>113</v>
      </c>
      <c r="C2" s="187"/>
      <c r="D2" s="187"/>
      <c r="E2" s="187"/>
      <c r="F2" s="187"/>
      <c r="G2" s="187"/>
      <c r="H2" s="187"/>
      <c r="I2" s="188"/>
      <c r="J2" s="2"/>
      <c r="M2" s="108" t="s">
        <v>112</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720</v>
      </c>
      <c r="B8" s="17" t="s">
        <v>721</v>
      </c>
      <c r="C8" s="13" t="s">
        <v>722</v>
      </c>
      <c r="D8" s="13" t="s">
        <v>723</v>
      </c>
      <c r="E8" s="18">
        <v>4596205</v>
      </c>
      <c r="F8" s="19">
        <v>352441.59999999998</v>
      </c>
      <c r="G8" s="20">
        <v>0.10249999999999999</v>
      </c>
      <c r="H8" s="36"/>
      <c r="I8" s="22"/>
      <c r="J8" s="2"/>
    </row>
    <row r="9" spans="1:13" ht="12.95" customHeight="1">
      <c r="A9" s="16" t="s">
        <v>736</v>
      </c>
      <c r="B9" s="17" t="s">
        <v>737</v>
      </c>
      <c r="C9" s="13" t="s">
        <v>738</v>
      </c>
      <c r="D9" s="13" t="s">
        <v>739</v>
      </c>
      <c r="E9" s="18">
        <v>6937429</v>
      </c>
      <c r="F9" s="19">
        <v>294854.61</v>
      </c>
      <c r="G9" s="20">
        <v>8.5800000000000001E-2</v>
      </c>
      <c r="H9" s="36"/>
      <c r="I9" s="22"/>
      <c r="J9" s="2"/>
    </row>
    <row r="10" spans="1:13" ht="12.95" customHeight="1">
      <c r="A10" s="16" t="s">
        <v>728</v>
      </c>
      <c r="B10" s="17" t="s">
        <v>729</v>
      </c>
      <c r="C10" s="13" t="s">
        <v>730</v>
      </c>
      <c r="D10" s="13" t="s">
        <v>731</v>
      </c>
      <c r="E10" s="18">
        <v>7451140</v>
      </c>
      <c r="F10" s="19">
        <v>281321.52</v>
      </c>
      <c r="G10" s="20">
        <v>8.1799999999999998E-2</v>
      </c>
      <c r="H10" s="36"/>
      <c r="I10" s="22"/>
      <c r="J10" s="2"/>
    </row>
    <row r="11" spans="1:13" ht="12.95" customHeight="1">
      <c r="A11" s="16" t="s">
        <v>963</v>
      </c>
      <c r="B11" s="17" t="s">
        <v>964</v>
      </c>
      <c r="C11" s="13" t="s">
        <v>965</v>
      </c>
      <c r="D11" s="13" t="s">
        <v>739</v>
      </c>
      <c r="E11" s="18">
        <v>4236101</v>
      </c>
      <c r="F11" s="19">
        <v>272440.59999999998</v>
      </c>
      <c r="G11" s="20">
        <v>7.9299999999999995E-2</v>
      </c>
      <c r="H11" s="36"/>
      <c r="I11" s="22"/>
      <c r="J11" s="2"/>
    </row>
    <row r="12" spans="1:13" ht="12.95" customHeight="1">
      <c r="A12" s="16" t="s">
        <v>743</v>
      </c>
      <c r="B12" s="17" t="s">
        <v>744</v>
      </c>
      <c r="C12" s="13" t="s">
        <v>745</v>
      </c>
      <c r="D12" s="13" t="s">
        <v>723</v>
      </c>
      <c r="E12" s="18">
        <v>6578691</v>
      </c>
      <c r="F12" s="19">
        <v>181196.89</v>
      </c>
      <c r="G12" s="20">
        <v>5.2699999999999997E-2</v>
      </c>
      <c r="H12" s="36"/>
      <c r="I12" s="22"/>
      <c r="J12" s="2"/>
    </row>
    <row r="13" spans="1:13" ht="12.95" customHeight="1">
      <c r="A13" s="16" t="s">
        <v>746</v>
      </c>
      <c r="B13" s="17" t="s">
        <v>747</v>
      </c>
      <c r="C13" s="13" t="s">
        <v>748</v>
      </c>
      <c r="D13" s="13" t="s">
        <v>749</v>
      </c>
      <c r="E13" s="18">
        <v>3631231</v>
      </c>
      <c r="F13" s="19">
        <v>174251.88</v>
      </c>
      <c r="G13" s="20">
        <v>5.0700000000000002E-2</v>
      </c>
      <c r="H13" s="36"/>
      <c r="I13" s="22"/>
      <c r="J13" s="2"/>
    </row>
    <row r="14" spans="1:13" ht="12.95" customHeight="1">
      <c r="A14" s="16" t="s">
        <v>873</v>
      </c>
      <c r="B14" s="17" t="s">
        <v>874</v>
      </c>
      <c r="C14" s="13" t="s">
        <v>875</v>
      </c>
      <c r="D14" s="13" t="s">
        <v>789</v>
      </c>
      <c r="E14" s="18">
        <v>865912</v>
      </c>
      <c r="F14" s="19">
        <v>168381.35</v>
      </c>
      <c r="G14" s="20">
        <v>4.9000000000000002E-2</v>
      </c>
      <c r="H14" s="36"/>
      <c r="I14" s="22"/>
      <c r="J14" s="2"/>
    </row>
    <row r="15" spans="1:13" ht="12.95" customHeight="1">
      <c r="A15" s="16" t="s">
        <v>682</v>
      </c>
      <c r="B15" s="17" t="s">
        <v>683</v>
      </c>
      <c r="C15" s="13" t="s">
        <v>684</v>
      </c>
      <c r="D15" s="13" t="s">
        <v>685</v>
      </c>
      <c r="E15" s="18">
        <v>10488502</v>
      </c>
      <c r="F15" s="19">
        <v>167286.35999999999</v>
      </c>
      <c r="G15" s="20">
        <v>4.87E-2</v>
      </c>
      <c r="H15" s="36"/>
      <c r="I15" s="22"/>
      <c r="J15" s="2"/>
    </row>
    <row r="16" spans="1:13" ht="12.95" customHeight="1">
      <c r="A16" s="16" t="s">
        <v>1726</v>
      </c>
      <c r="B16" s="17" t="s">
        <v>1727</v>
      </c>
      <c r="C16" s="13" t="s">
        <v>1728</v>
      </c>
      <c r="D16" s="13" t="s">
        <v>763</v>
      </c>
      <c r="E16" s="18">
        <v>6769674</v>
      </c>
      <c r="F16" s="19">
        <v>161250.25</v>
      </c>
      <c r="G16" s="20">
        <v>4.6899999999999997E-2</v>
      </c>
      <c r="H16" s="36"/>
      <c r="I16" s="22"/>
      <c r="J16" s="2"/>
    </row>
    <row r="17" spans="1:10" ht="12.95" customHeight="1">
      <c r="A17" s="16" t="s">
        <v>692</v>
      </c>
      <c r="B17" s="17" t="s">
        <v>693</v>
      </c>
      <c r="C17" s="13" t="s">
        <v>694</v>
      </c>
      <c r="D17" s="13" t="s">
        <v>685</v>
      </c>
      <c r="E17" s="18">
        <v>7997028</v>
      </c>
      <c r="F17" s="19">
        <v>160380.4</v>
      </c>
      <c r="G17" s="20">
        <v>4.6699999999999998E-2</v>
      </c>
      <c r="H17" s="36"/>
      <c r="I17" s="22"/>
      <c r="J17" s="2"/>
    </row>
    <row r="18" spans="1:10" ht="12.95" customHeight="1">
      <c r="A18" s="16" t="s">
        <v>897</v>
      </c>
      <c r="B18" s="17" t="s">
        <v>898</v>
      </c>
      <c r="C18" s="13" t="s">
        <v>899</v>
      </c>
      <c r="D18" s="13" t="s">
        <v>900</v>
      </c>
      <c r="E18" s="18">
        <v>835721</v>
      </c>
      <c r="F18" s="19">
        <v>148647.6</v>
      </c>
      <c r="G18" s="20">
        <v>4.3200000000000002E-2</v>
      </c>
      <c r="H18" s="36"/>
      <c r="I18" s="22"/>
      <c r="J18" s="2"/>
    </row>
    <row r="19" spans="1:10" ht="12.95" customHeight="1">
      <c r="A19" s="16" t="s">
        <v>1858</v>
      </c>
      <c r="B19" s="17" t="s">
        <v>1859</v>
      </c>
      <c r="C19" s="13" t="s">
        <v>1860</v>
      </c>
      <c r="D19" s="13" t="s">
        <v>1556</v>
      </c>
      <c r="E19" s="18">
        <v>27052587</v>
      </c>
      <c r="F19" s="19">
        <v>136629.09</v>
      </c>
      <c r="G19" s="20">
        <v>3.9800000000000002E-2</v>
      </c>
      <c r="H19" s="36"/>
      <c r="I19" s="22"/>
      <c r="J19" s="2"/>
    </row>
    <row r="20" spans="1:10" ht="12.95" customHeight="1">
      <c r="A20" s="16" t="s">
        <v>796</v>
      </c>
      <c r="B20" s="17" t="s">
        <v>797</v>
      </c>
      <c r="C20" s="13" t="s">
        <v>798</v>
      </c>
      <c r="D20" s="13" t="s">
        <v>771</v>
      </c>
      <c r="E20" s="18">
        <v>47763816</v>
      </c>
      <c r="F20" s="19">
        <v>107922.34</v>
      </c>
      <c r="G20" s="20">
        <v>3.1399999999999997E-2</v>
      </c>
      <c r="H20" s="36"/>
      <c r="I20" s="22"/>
      <c r="J20" s="2"/>
    </row>
    <row r="21" spans="1:10" ht="12.95" customHeight="1">
      <c r="A21" s="16" t="s">
        <v>939</v>
      </c>
      <c r="B21" s="17" t="s">
        <v>940</v>
      </c>
      <c r="C21" s="13" t="s">
        <v>941</v>
      </c>
      <c r="D21" s="13" t="s">
        <v>782</v>
      </c>
      <c r="E21" s="18">
        <v>337749</v>
      </c>
      <c r="F21" s="19">
        <v>97614.7</v>
      </c>
      <c r="G21" s="20">
        <v>2.8400000000000002E-2</v>
      </c>
      <c r="H21" s="36"/>
      <c r="I21" s="22"/>
      <c r="J21" s="2"/>
    </row>
    <row r="22" spans="1:10" ht="12.95" customHeight="1">
      <c r="A22" s="16" t="s">
        <v>750</v>
      </c>
      <c r="B22" s="17" t="s">
        <v>751</v>
      </c>
      <c r="C22" s="13" t="s">
        <v>752</v>
      </c>
      <c r="D22" s="13" t="s">
        <v>753</v>
      </c>
      <c r="E22" s="18">
        <v>2733167</v>
      </c>
      <c r="F22" s="19">
        <v>86869.61</v>
      </c>
      <c r="G22" s="20">
        <v>2.53E-2</v>
      </c>
      <c r="H22" s="36"/>
      <c r="I22" s="22"/>
      <c r="J22" s="2"/>
    </row>
    <row r="23" spans="1:10" ht="12.95" customHeight="1">
      <c r="A23" s="16" t="s">
        <v>930</v>
      </c>
      <c r="B23" s="17" t="s">
        <v>931</v>
      </c>
      <c r="C23" s="13" t="s">
        <v>932</v>
      </c>
      <c r="D23" s="13" t="s">
        <v>723</v>
      </c>
      <c r="E23" s="18">
        <v>12616218</v>
      </c>
      <c r="F23" s="19">
        <v>71187.009999999995</v>
      </c>
      <c r="G23" s="20">
        <v>2.07E-2</v>
      </c>
      <c r="H23" s="36"/>
      <c r="I23" s="22"/>
      <c r="J23" s="2"/>
    </row>
    <row r="24" spans="1:10" ht="12.95" customHeight="1">
      <c r="A24" s="16" t="s">
        <v>757</v>
      </c>
      <c r="B24" s="17" t="s">
        <v>758</v>
      </c>
      <c r="C24" s="13" t="s">
        <v>759</v>
      </c>
      <c r="D24" s="13" t="s">
        <v>749</v>
      </c>
      <c r="E24" s="18">
        <v>1869294</v>
      </c>
      <c r="F24" s="19">
        <v>69535.87</v>
      </c>
      <c r="G24" s="20">
        <v>2.0199999999999999E-2</v>
      </c>
      <c r="H24" s="36"/>
      <c r="I24" s="22"/>
      <c r="J24" s="2"/>
    </row>
    <row r="25" spans="1:10" ht="12.95" customHeight="1">
      <c r="A25" s="16" t="s">
        <v>894</v>
      </c>
      <c r="B25" s="17" t="s">
        <v>895</v>
      </c>
      <c r="C25" s="13" t="s">
        <v>896</v>
      </c>
      <c r="D25" s="13" t="s">
        <v>731</v>
      </c>
      <c r="E25" s="18">
        <v>1214718</v>
      </c>
      <c r="F25" s="19">
        <v>63667.01</v>
      </c>
      <c r="G25" s="20">
        <v>1.8499999999999999E-2</v>
      </c>
      <c r="H25" s="36"/>
      <c r="I25" s="22"/>
      <c r="J25" s="2"/>
    </row>
    <row r="26" spans="1:10" ht="12.95" customHeight="1">
      <c r="A26" s="16" t="s">
        <v>879</v>
      </c>
      <c r="B26" s="17" t="s">
        <v>880</v>
      </c>
      <c r="C26" s="13" t="s">
        <v>881</v>
      </c>
      <c r="D26" s="13" t="s">
        <v>723</v>
      </c>
      <c r="E26" s="18">
        <v>2509277</v>
      </c>
      <c r="F26" s="19">
        <v>61481.05</v>
      </c>
      <c r="G26" s="20">
        <v>1.7899999999999999E-2</v>
      </c>
      <c r="H26" s="36"/>
      <c r="I26" s="22"/>
      <c r="J26" s="2"/>
    </row>
    <row r="27" spans="1:10" ht="12.95" customHeight="1">
      <c r="A27" s="16" t="s">
        <v>724</v>
      </c>
      <c r="B27" s="17" t="s">
        <v>725</v>
      </c>
      <c r="C27" s="13" t="s">
        <v>726</v>
      </c>
      <c r="D27" s="13" t="s">
        <v>727</v>
      </c>
      <c r="E27" s="18">
        <v>2635963</v>
      </c>
      <c r="F27" s="19">
        <v>56947.34</v>
      </c>
      <c r="G27" s="20">
        <v>1.66E-2</v>
      </c>
      <c r="H27" s="36"/>
      <c r="I27" s="22"/>
      <c r="J27" s="2"/>
    </row>
    <row r="28" spans="1:10" ht="12.95" customHeight="1">
      <c r="A28" s="16" t="s">
        <v>2078</v>
      </c>
      <c r="B28" s="17" t="s">
        <v>2079</v>
      </c>
      <c r="C28" s="13" t="s">
        <v>2080</v>
      </c>
      <c r="D28" s="13" t="s">
        <v>731</v>
      </c>
      <c r="E28" s="18">
        <v>8974292</v>
      </c>
      <c r="F28" s="19">
        <v>56905.99</v>
      </c>
      <c r="G28" s="20">
        <v>1.66E-2</v>
      </c>
      <c r="H28" s="36"/>
      <c r="I28" s="22"/>
      <c r="J28" s="2"/>
    </row>
    <row r="29" spans="1:10" ht="12.95" customHeight="1">
      <c r="A29" s="16" t="s">
        <v>764</v>
      </c>
      <c r="B29" s="17" t="s">
        <v>765</v>
      </c>
      <c r="C29" s="13" t="s">
        <v>766</v>
      </c>
      <c r="D29" s="13" t="s">
        <v>767</v>
      </c>
      <c r="E29" s="18">
        <v>515805</v>
      </c>
      <c r="F29" s="19">
        <v>45821.02</v>
      </c>
      <c r="G29" s="20">
        <v>1.3299999999999999E-2</v>
      </c>
      <c r="H29" s="36"/>
      <c r="I29" s="22"/>
      <c r="J29" s="2"/>
    </row>
    <row r="30" spans="1:10" ht="12.95" customHeight="1">
      <c r="A30" s="16" t="s">
        <v>768</v>
      </c>
      <c r="B30" s="17" t="s">
        <v>769</v>
      </c>
      <c r="C30" s="13" t="s">
        <v>770</v>
      </c>
      <c r="D30" s="13" t="s">
        <v>771</v>
      </c>
      <c r="E30" s="18">
        <v>2334825</v>
      </c>
      <c r="F30" s="19">
        <v>36994.129999999997</v>
      </c>
      <c r="G30" s="20">
        <v>1.0800000000000001E-2</v>
      </c>
      <c r="H30" s="36"/>
      <c r="I30" s="22"/>
      <c r="J30" s="2"/>
    </row>
    <row r="31" spans="1:10" ht="12.95" customHeight="1">
      <c r="A31" s="16" t="s">
        <v>956</v>
      </c>
      <c r="B31" s="17" t="s">
        <v>957</v>
      </c>
      <c r="C31" s="13" t="s">
        <v>958</v>
      </c>
      <c r="D31" s="13" t="s">
        <v>959</v>
      </c>
      <c r="E31" s="18">
        <v>5300000</v>
      </c>
      <c r="F31" s="19">
        <v>36479.9</v>
      </c>
      <c r="G31" s="20">
        <v>1.06E-2</v>
      </c>
      <c r="H31" s="36"/>
      <c r="I31" s="22"/>
      <c r="J31" s="2"/>
    </row>
    <row r="32" spans="1:10" ht="12.95" customHeight="1">
      <c r="A32" s="16" t="s">
        <v>790</v>
      </c>
      <c r="B32" s="17" t="s">
        <v>791</v>
      </c>
      <c r="C32" s="13" t="s">
        <v>792</v>
      </c>
      <c r="D32" s="13" t="s">
        <v>767</v>
      </c>
      <c r="E32" s="18">
        <v>2833257</v>
      </c>
      <c r="F32" s="19">
        <v>30342.77</v>
      </c>
      <c r="G32" s="20">
        <v>8.8000000000000005E-3</v>
      </c>
      <c r="H32" s="36"/>
      <c r="I32" s="22"/>
      <c r="J32" s="2"/>
    </row>
    <row r="33" spans="1:10" ht="12.95" customHeight="1">
      <c r="A33" s="16" t="s">
        <v>924</v>
      </c>
      <c r="B33" s="17" t="s">
        <v>925</v>
      </c>
      <c r="C33" s="13" t="s">
        <v>926</v>
      </c>
      <c r="D33" s="13" t="s">
        <v>771</v>
      </c>
      <c r="E33" s="18">
        <v>4049068</v>
      </c>
      <c r="F33" s="19">
        <v>22506.74</v>
      </c>
      <c r="G33" s="20">
        <v>6.4999999999999997E-3</v>
      </c>
      <c r="H33" s="36"/>
      <c r="I33" s="22"/>
      <c r="J33" s="2"/>
    </row>
    <row r="34" spans="1:10" ht="12.95" customHeight="1">
      <c r="A34" s="16" t="s">
        <v>848</v>
      </c>
      <c r="B34" s="17" t="s">
        <v>849</v>
      </c>
      <c r="C34" s="13" t="s">
        <v>850</v>
      </c>
      <c r="D34" s="13" t="s">
        <v>739</v>
      </c>
      <c r="E34" s="18">
        <v>13111584</v>
      </c>
      <c r="F34" s="19">
        <v>17910.419999999998</v>
      </c>
      <c r="G34" s="20">
        <v>5.1999999999999998E-3</v>
      </c>
      <c r="H34" s="36"/>
      <c r="I34" s="22"/>
      <c r="J34" s="2"/>
    </row>
    <row r="35" spans="1:10" ht="12.95" customHeight="1">
      <c r="A35" s="16" t="s">
        <v>950</v>
      </c>
      <c r="B35" s="17" t="s">
        <v>951</v>
      </c>
      <c r="C35" s="13" t="s">
        <v>952</v>
      </c>
      <c r="D35" s="13" t="s">
        <v>910</v>
      </c>
      <c r="E35" s="18">
        <v>2727430</v>
      </c>
      <c r="F35" s="19">
        <v>15544.99</v>
      </c>
      <c r="G35" s="20">
        <v>4.4999999999999997E-3</v>
      </c>
      <c r="H35" s="36"/>
      <c r="I35" s="22"/>
      <c r="J35" s="2"/>
    </row>
    <row r="36" spans="1:10" ht="12.95" customHeight="1">
      <c r="A36" s="16" t="s">
        <v>3852</v>
      </c>
      <c r="B36" s="17" t="s">
        <v>3853</v>
      </c>
      <c r="C36" s="13" t="s">
        <v>3854</v>
      </c>
      <c r="D36" s="13" t="s">
        <v>1032</v>
      </c>
      <c r="E36" s="18">
        <v>652000</v>
      </c>
      <c r="F36" s="19">
        <v>15073.59</v>
      </c>
      <c r="G36" s="20">
        <v>4.4000000000000003E-3</v>
      </c>
      <c r="H36" s="36"/>
      <c r="I36" s="22"/>
      <c r="J36" s="2"/>
    </row>
    <row r="37" spans="1:10" ht="12.95" customHeight="1">
      <c r="A37" s="16" t="s">
        <v>3222</v>
      </c>
      <c r="B37" s="17" t="s">
        <v>3223</v>
      </c>
      <c r="C37" s="13" t="s">
        <v>3224</v>
      </c>
      <c r="D37" s="13" t="s">
        <v>723</v>
      </c>
      <c r="E37" s="18">
        <v>1547805</v>
      </c>
      <c r="F37" s="19">
        <v>12072.88</v>
      </c>
      <c r="G37" s="20">
        <v>3.5000000000000001E-3</v>
      </c>
      <c r="H37" s="36"/>
      <c r="I37" s="22"/>
      <c r="J37" s="2"/>
    </row>
    <row r="38" spans="1:10" ht="12.95" customHeight="1">
      <c r="A38" s="16" t="s">
        <v>1026</v>
      </c>
      <c r="B38" s="17" t="s">
        <v>1027</v>
      </c>
      <c r="C38" s="13" t="s">
        <v>1028</v>
      </c>
      <c r="D38" s="13" t="s">
        <v>763</v>
      </c>
      <c r="E38" s="18">
        <v>586685</v>
      </c>
      <c r="F38" s="19">
        <v>12010.91</v>
      </c>
      <c r="G38" s="20">
        <v>3.5000000000000001E-3</v>
      </c>
      <c r="H38" s="36"/>
      <c r="I38" s="22"/>
      <c r="J38" s="2"/>
    </row>
    <row r="39" spans="1:10" ht="12.95" customHeight="1">
      <c r="A39" s="16" t="s">
        <v>857</v>
      </c>
      <c r="B39" s="17" t="s">
        <v>858</v>
      </c>
      <c r="C39" s="13" t="s">
        <v>859</v>
      </c>
      <c r="D39" s="13" t="s">
        <v>763</v>
      </c>
      <c r="E39" s="18">
        <v>861354</v>
      </c>
      <c r="F39" s="19">
        <v>5275.36</v>
      </c>
      <c r="G39" s="20">
        <v>1.5E-3</v>
      </c>
      <c r="H39" s="36"/>
      <c r="I39" s="22"/>
      <c r="J39" s="2"/>
    </row>
    <row r="40" spans="1:10" ht="12.95" customHeight="1">
      <c r="A40" s="16" t="s">
        <v>3855</v>
      </c>
      <c r="B40" s="17" t="s">
        <v>3856</v>
      </c>
      <c r="C40" s="13" t="s">
        <v>3857</v>
      </c>
      <c r="D40" s="13" t="s">
        <v>749</v>
      </c>
      <c r="E40" s="18">
        <v>318477</v>
      </c>
      <c r="F40" s="19">
        <v>2139.5300000000002</v>
      </c>
      <c r="G40" s="20">
        <v>5.9999999999999995E-4</v>
      </c>
      <c r="H40" s="36"/>
      <c r="I40" s="22"/>
      <c r="J40" s="2"/>
    </row>
    <row r="41" spans="1:10" ht="12.95" customHeight="1">
      <c r="A41" s="16" t="s">
        <v>845</v>
      </c>
      <c r="B41" s="17" t="s">
        <v>846</v>
      </c>
      <c r="C41" s="13" t="s">
        <v>847</v>
      </c>
      <c r="D41" s="13" t="s">
        <v>739</v>
      </c>
      <c r="E41" s="18">
        <v>49670</v>
      </c>
      <c r="F41" s="19">
        <v>613.97</v>
      </c>
      <c r="G41" s="20">
        <v>2.0000000000000001E-4</v>
      </c>
      <c r="H41" s="36"/>
      <c r="I41" s="22"/>
      <c r="J41" s="2"/>
    </row>
    <row r="42" spans="1:10" ht="12.95" customHeight="1">
      <c r="A42" s="16" t="s">
        <v>818</v>
      </c>
      <c r="B42" s="17" t="s">
        <v>819</v>
      </c>
      <c r="C42" s="13" t="s">
        <v>820</v>
      </c>
      <c r="D42" s="13" t="s">
        <v>739</v>
      </c>
      <c r="E42" s="18">
        <v>60</v>
      </c>
      <c r="F42" s="19">
        <v>5.03</v>
      </c>
      <c r="G42" s="36" t="s">
        <v>643</v>
      </c>
      <c r="H42" s="36"/>
      <c r="I42" s="22"/>
      <c r="J42" s="2"/>
    </row>
    <row r="43" spans="1:10" ht="12.95" customHeight="1">
      <c r="A43" s="16" t="s">
        <v>2081</v>
      </c>
      <c r="B43" s="17" t="s">
        <v>3928</v>
      </c>
      <c r="C43" s="13" t="s">
        <v>2082</v>
      </c>
      <c r="D43" s="13" t="s">
        <v>959</v>
      </c>
      <c r="E43" s="18">
        <v>321428</v>
      </c>
      <c r="F43" s="19">
        <v>492.75</v>
      </c>
      <c r="G43" s="20">
        <v>1E-4</v>
      </c>
      <c r="H43" s="36"/>
      <c r="I43" s="22"/>
      <c r="J43" s="2"/>
    </row>
    <row r="44" spans="1:10" ht="12.95" customHeight="1">
      <c r="A44" s="2"/>
      <c r="B44" s="27" t="s">
        <v>177</v>
      </c>
      <c r="C44" s="28"/>
      <c r="D44" s="1"/>
      <c r="E44" s="28"/>
      <c r="F44" s="23">
        <v>3424497.06</v>
      </c>
      <c r="G44" s="24">
        <v>0.99619999999999997</v>
      </c>
      <c r="H44" s="25"/>
      <c r="I44" s="26"/>
      <c r="J44" s="2"/>
    </row>
    <row r="45" spans="1:10" ht="12.95" customHeight="1">
      <c r="A45" s="2"/>
      <c r="B45" s="12" t="s">
        <v>178</v>
      </c>
      <c r="C45" s="13"/>
      <c r="D45" s="13"/>
      <c r="E45" s="13"/>
      <c r="F45" s="13"/>
      <c r="G45" s="13"/>
      <c r="H45" s="14"/>
      <c r="I45" s="15"/>
      <c r="J45" s="2"/>
    </row>
    <row r="46" spans="1:10" ht="12.95" customHeight="1">
      <c r="A46" s="16" t="s">
        <v>179</v>
      </c>
      <c r="B46" s="17" t="s">
        <v>180</v>
      </c>
      <c r="C46" s="13"/>
      <c r="D46" s="13"/>
      <c r="E46" s="18"/>
      <c r="F46" s="19">
        <v>20529.72</v>
      </c>
      <c r="G46" s="20">
        <v>6.0000000000000001E-3</v>
      </c>
      <c r="H46" s="21">
        <v>3.304622027600352E-2</v>
      </c>
      <c r="I46" s="22"/>
      <c r="J46" s="2"/>
    </row>
    <row r="47" spans="1:10" ht="12.95" customHeight="1">
      <c r="A47" s="2"/>
      <c r="B47" s="12" t="s">
        <v>172</v>
      </c>
      <c r="C47" s="13"/>
      <c r="D47" s="13"/>
      <c r="E47" s="13"/>
      <c r="F47" s="23">
        <v>20529.72</v>
      </c>
      <c r="G47" s="24">
        <v>6.0000000000000001E-3</v>
      </c>
      <c r="H47" s="25"/>
      <c r="I47" s="26"/>
      <c r="J47" s="2"/>
    </row>
    <row r="48" spans="1:10" ht="12.95" customHeight="1">
      <c r="A48" s="2"/>
      <c r="B48" s="27" t="s">
        <v>177</v>
      </c>
      <c r="C48" s="28"/>
      <c r="D48" s="1"/>
      <c r="E48" s="28"/>
      <c r="F48" s="23">
        <v>20529.72</v>
      </c>
      <c r="G48" s="24">
        <v>6.0000000000000001E-3</v>
      </c>
      <c r="H48" s="25"/>
      <c r="I48" s="26"/>
      <c r="J48" s="2"/>
    </row>
    <row r="49" spans="1:10" ht="12.95" customHeight="1">
      <c r="A49" s="2"/>
      <c r="B49" s="27" t="s">
        <v>181</v>
      </c>
      <c r="C49" s="13"/>
      <c r="D49" s="1"/>
      <c r="E49" s="13"/>
      <c r="F49" s="29">
        <v>-7949.14</v>
      </c>
      <c r="G49" s="24">
        <v>-2.2000000000000001E-3</v>
      </c>
      <c r="H49" s="25"/>
      <c r="I49" s="26"/>
      <c r="J49" s="2"/>
    </row>
    <row r="50" spans="1:10" ht="12.95" customHeight="1">
      <c r="A50" s="2"/>
      <c r="B50" s="30" t="s">
        <v>182</v>
      </c>
      <c r="C50" s="31"/>
      <c r="D50" s="31"/>
      <c r="E50" s="31"/>
      <c r="F50" s="32">
        <v>3437077.64</v>
      </c>
      <c r="G50" s="33">
        <v>1</v>
      </c>
      <c r="H50" s="34"/>
      <c r="I50" s="35"/>
      <c r="J50" s="2"/>
    </row>
    <row r="51" spans="1:10" ht="12.95" customHeight="1">
      <c r="A51" s="2"/>
      <c r="B51" s="5"/>
      <c r="C51" s="2"/>
      <c r="D51" s="2"/>
      <c r="E51" s="2"/>
      <c r="F51" s="2"/>
      <c r="G51" s="2"/>
      <c r="H51" s="2"/>
      <c r="I51" s="2"/>
      <c r="J51" s="2"/>
    </row>
    <row r="52" spans="1:10" ht="12.95" customHeight="1">
      <c r="A52" s="2"/>
      <c r="B52" s="3" t="s">
        <v>244</v>
      </c>
      <c r="C52" s="2"/>
      <c r="D52" s="2"/>
      <c r="E52" s="2"/>
      <c r="F52" s="2"/>
      <c r="G52" s="2"/>
      <c r="H52" s="2"/>
      <c r="I52" s="2"/>
      <c r="J52" s="2"/>
    </row>
    <row r="53" spans="1:10" ht="12.95" customHeight="1">
      <c r="A53" s="2"/>
      <c r="B53" s="3" t="s">
        <v>184</v>
      </c>
      <c r="C53" s="2"/>
      <c r="D53" s="2"/>
      <c r="E53" s="2"/>
      <c r="F53" s="2"/>
      <c r="G53" s="2"/>
      <c r="H53" s="2"/>
      <c r="I53" s="2"/>
      <c r="J53" s="2"/>
    </row>
    <row r="54" spans="1:10" ht="12.95" customHeight="1">
      <c r="A54" s="2"/>
      <c r="B54" s="3"/>
      <c r="C54" s="2"/>
      <c r="D54" s="2"/>
      <c r="E54" s="2"/>
      <c r="F54" s="2"/>
      <c r="G54" s="2"/>
      <c r="H54" s="2"/>
      <c r="I54" s="2"/>
      <c r="J54" s="2"/>
    </row>
    <row r="55" spans="1:10" ht="12.95" customHeight="1">
      <c r="A55" s="2"/>
      <c r="B55" s="3" t="s">
        <v>678</v>
      </c>
      <c r="C55" s="2"/>
      <c r="D55" s="2"/>
      <c r="E55" s="2"/>
      <c r="F55" s="2"/>
      <c r="G55" s="2"/>
      <c r="H55" s="2"/>
      <c r="I55" s="2"/>
      <c r="J55" s="2"/>
    </row>
    <row r="56" spans="1:10" ht="12.95" customHeight="1">
      <c r="A56" s="2"/>
      <c r="B56" s="3" t="s">
        <v>186</v>
      </c>
      <c r="C56" s="2"/>
      <c r="D56" s="2"/>
      <c r="E56" s="2"/>
      <c r="F56" s="2"/>
      <c r="G56" s="2"/>
      <c r="H56" s="2"/>
      <c r="I56" s="2"/>
      <c r="J56" s="2"/>
    </row>
    <row r="57" spans="1:10" ht="23.25" customHeight="1">
      <c r="A57" s="2"/>
      <c r="B57" s="189" t="s">
        <v>4025</v>
      </c>
      <c r="C57" s="189"/>
      <c r="D57" s="189"/>
      <c r="E57" s="189"/>
      <c r="F57" s="189"/>
      <c r="G57" s="189"/>
      <c r="H57" s="189"/>
      <c r="I57" s="189"/>
      <c r="J57" s="2"/>
    </row>
    <row r="58" spans="1:10" ht="12.95" customHeight="1">
      <c r="A58" s="2"/>
      <c r="B58" s="3"/>
      <c r="C58" s="2"/>
      <c r="D58" s="2"/>
      <c r="E58" s="2"/>
      <c r="F58" s="2"/>
      <c r="G58" s="2"/>
      <c r="H58" s="2"/>
      <c r="I58" s="2"/>
      <c r="J58" s="2"/>
    </row>
    <row r="59" spans="1:10">
      <c r="C59" s="111" t="s">
        <v>3967</v>
      </c>
    </row>
    <row r="60" spans="1:10">
      <c r="B60" s="111" t="s">
        <v>3933</v>
      </c>
      <c r="C60" s="111" t="s">
        <v>3934</v>
      </c>
    </row>
  </sheetData>
  <mergeCells count="2">
    <mergeCell ref="B2:I2"/>
    <mergeCell ref="B57:I57"/>
  </mergeCells>
  <hyperlinks>
    <hyperlink ref="A2" location="Index!A1" display="Index"/>
  </hyperlinks>
  <pageMargins left="0" right="0" top="0" bottom="0" header="0" footer="0"/>
  <pageSetup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24"/>
  <sheetViews>
    <sheetView workbookViewId="0"/>
  </sheetViews>
  <sheetFormatPr defaultRowHeight="15"/>
  <cols>
    <col min="1" max="1" width="3.28515625" customWidth="1"/>
    <col min="2" max="2" width="69.140625" customWidth="1"/>
    <col min="3" max="3" width="28.28515625" bestFit="1" customWidth="1"/>
    <col min="4" max="4" width="33.28515625" customWidth="1"/>
    <col min="5" max="5" width="25.7109375" customWidth="1"/>
    <col min="6" max="6" width="25" customWidth="1"/>
    <col min="7" max="9" width="10.7109375" customWidth="1"/>
    <col min="10" max="10" width="10.85546875" customWidth="1"/>
  </cols>
  <sheetData>
    <row r="1" spans="1:13" ht="15.75" thickBot="1">
      <c r="A1" s="108" t="str">
        <f>M2</f>
        <v>AXISUSF</v>
      </c>
    </row>
    <row r="2" spans="1:13" ht="34.5" customHeight="1" thickBot="1">
      <c r="A2" s="135" t="str">
        <f>M2</f>
        <v>AXISUSF</v>
      </c>
      <c r="B2" s="186" t="s">
        <v>115</v>
      </c>
      <c r="C2" s="187"/>
      <c r="D2" s="187"/>
      <c r="E2" s="187"/>
      <c r="F2" s="187"/>
      <c r="G2" s="187"/>
      <c r="H2" s="187"/>
      <c r="I2" s="188"/>
      <c r="J2" s="2"/>
      <c r="M2" s="108" t="s">
        <v>114</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121</v>
      </c>
      <c r="E5" s="9" t="s">
        <v>122</v>
      </c>
      <c r="F5" s="9" t="s">
        <v>123</v>
      </c>
      <c r="G5" s="9" t="s">
        <v>124</v>
      </c>
      <c r="H5" s="9" t="s">
        <v>125</v>
      </c>
      <c r="I5" s="10" t="s">
        <v>126</v>
      </c>
      <c r="J5" s="11" t="s">
        <v>218</v>
      </c>
    </row>
    <row r="6" spans="1:13" ht="12.95" customHeight="1">
      <c r="A6" s="2"/>
      <c r="B6" s="12" t="s">
        <v>127</v>
      </c>
      <c r="C6" s="13"/>
      <c r="D6" s="13"/>
      <c r="E6" s="13"/>
      <c r="F6" s="13"/>
      <c r="G6" s="13"/>
      <c r="H6" s="14"/>
      <c r="I6" s="15"/>
      <c r="J6" s="2"/>
    </row>
    <row r="7" spans="1:13" ht="12.95" customHeight="1">
      <c r="A7" s="2"/>
      <c r="B7" s="12" t="s">
        <v>128</v>
      </c>
      <c r="C7" s="13"/>
      <c r="D7" s="13"/>
      <c r="E7" s="13"/>
      <c r="F7" s="2"/>
      <c r="G7" s="14"/>
      <c r="H7" s="14"/>
      <c r="I7" s="15"/>
      <c r="J7" s="2"/>
    </row>
    <row r="8" spans="1:13" ht="12.95" customHeight="1">
      <c r="A8" s="16" t="s">
        <v>152</v>
      </c>
      <c r="B8" s="17" t="s">
        <v>153</v>
      </c>
      <c r="C8" s="13" t="s">
        <v>154</v>
      </c>
      <c r="D8" s="13" t="s">
        <v>132</v>
      </c>
      <c r="E8" s="18">
        <v>1950</v>
      </c>
      <c r="F8" s="19">
        <v>19858.84</v>
      </c>
      <c r="G8" s="20">
        <v>3.5000000000000003E-2</v>
      </c>
      <c r="H8" s="21">
        <v>3.7999999999999999E-2</v>
      </c>
      <c r="I8" s="22"/>
      <c r="J8" s="2"/>
    </row>
    <row r="9" spans="1:13" ht="12.95" customHeight="1">
      <c r="A9" s="16" t="s">
        <v>3709</v>
      </c>
      <c r="B9" s="17" t="s">
        <v>3710</v>
      </c>
      <c r="C9" s="13" t="s">
        <v>3711</v>
      </c>
      <c r="D9" s="13" t="s">
        <v>132</v>
      </c>
      <c r="E9" s="18">
        <v>1650</v>
      </c>
      <c r="F9" s="19">
        <v>16576.66</v>
      </c>
      <c r="G9" s="20">
        <v>2.92E-2</v>
      </c>
      <c r="H9" s="21">
        <v>3.5999999999999997E-2</v>
      </c>
      <c r="I9" s="22"/>
      <c r="J9" s="2"/>
    </row>
    <row r="10" spans="1:13" ht="12.95" customHeight="1">
      <c r="A10" s="16" t="s">
        <v>2751</v>
      </c>
      <c r="B10" s="17" t="s">
        <v>2752</v>
      </c>
      <c r="C10" s="13" t="s">
        <v>2753</v>
      </c>
      <c r="D10" s="13" t="s">
        <v>200</v>
      </c>
      <c r="E10" s="18">
        <v>13000000</v>
      </c>
      <c r="F10" s="19">
        <v>13069.72</v>
      </c>
      <c r="G10" s="20">
        <v>2.3E-2</v>
      </c>
      <c r="H10" s="21">
        <v>3.3894000000000001E-2</v>
      </c>
      <c r="I10" s="22"/>
      <c r="J10" s="2"/>
    </row>
    <row r="11" spans="1:13" ht="12.95" customHeight="1">
      <c r="A11" s="16" t="s">
        <v>165</v>
      </c>
      <c r="B11" s="17" t="s">
        <v>166</v>
      </c>
      <c r="C11" s="13" t="s">
        <v>167</v>
      </c>
      <c r="D11" s="13" t="s">
        <v>132</v>
      </c>
      <c r="E11" s="18">
        <v>1250</v>
      </c>
      <c r="F11" s="19">
        <v>12749.79</v>
      </c>
      <c r="G11" s="20">
        <v>2.24E-2</v>
      </c>
      <c r="H11" s="21">
        <v>3.9751000000000002E-2</v>
      </c>
      <c r="I11" s="22"/>
      <c r="J11" s="2"/>
    </row>
    <row r="12" spans="1:13" ht="12.95" customHeight="1">
      <c r="A12" s="16" t="s">
        <v>272</v>
      </c>
      <c r="B12" s="17" t="s">
        <v>273</v>
      </c>
      <c r="C12" s="13" t="s">
        <v>274</v>
      </c>
      <c r="D12" s="13" t="s">
        <v>132</v>
      </c>
      <c r="E12" s="18">
        <v>1085</v>
      </c>
      <c r="F12" s="19">
        <v>11161.9</v>
      </c>
      <c r="G12" s="20">
        <v>1.9699999999999999E-2</v>
      </c>
      <c r="H12" s="21">
        <v>4.4499999999999998E-2</v>
      </c>
      <c r="I12" s="22"/>
      <c r="J12" s="2"/>
    </row>
    <row r="13" spans="1:13" ht="12.95" customHeight="1">
      <c r="A13" s="16" t="s">
        <v>2637</v>
      </c>
      <c r="B13" s="17" t="s">
        <v>2638</v>
      </c>
      <c r="C13" s="13" t="s">
        <v>2639</v>
      </c>
      <c r="D13" s="13" t="s">
        <v>2361</v>
      </c>
      <c r="E13" s="18">
        <v>800</v>
      </c>
      <c r="F13" s="19">
        <v>8052.36</v>
      </c>
      <c r="G13" s="20">
        <v>1.4200000000000001E-2</v>
      </c>
      <c r="H13" s="21">
        <v>8.8624999999999995E-2</v>
      </c>
      <c r="I13" s="22"/>
      <c r="J13" s="2"/>
    </row>
    <row r="14" spans="1:13" ht="12.95" customHeight="1">
      <c r="A14" s="16" t="s">
        <v>1124</v>
      </c>
      <c r="B14" s="17" t="s">
        <v>1125</v>
      </c>
      <c r="C14" s="13" t="s">
        <v>1126</v>
      </c>
      <c r="D14" s="13" t="s">
        <v>132</v>
      </c>
      <c r="E14" s="18">
        <v>750</v>
      </c>
      <c r="F14" s="19">
        <v>7935.73</v>
      </c>
      <c r="G14" s="20">
        <v>1.4E-2</v>
      </c>
      <c r="H14" s="21">
        <v>4.7550000000000002E-2</v>
      </c>
      <c r="I14" s="22"/>
      <c r="J14" s="2"/>
    </row>
    <row r="15" spans="1:13" ht="12.95" customHeight="1">
      <c r="A15" s="16" t="s">
        <v>395</v>
      </c>
      <c r="B15" s="17" t="s">
        <v>396</v>
      </c>
      <c r="C15" s="13" t="s">
        <v>397</v>
      </c>
      <c r="D15" s="13" t="s">
        <v>148</v>
      </c>
      <c r="E15" s="18">
        <v>750</v>
      </c>
      <c r="F15" s="19">
        <v>7562.15</v>
      </c>
      <c r="G15" s="20">
        <v>1.3299999999999999E-2</v>
      </c>
      <c r="H15" s="21">
        <v>3.5700999999999997E-2</v>
      </c>
      <c r="I15" s="22"/>
      <c r="J15" s="2"/>
    </row>
    <row r="16" spans="1:13" ht="12.95" customHeight="1">
      <c r="A16" s="16" t="s">
        <v>2735</v>
      </c>
      <c r="B16" s="17" t="s">
        <v>2736</v>
      </c>
      <c r="C16" s="13" t="s">
        <v>2737</v>
      </c>
      <c r="D16" s="13" t="s">
        <v>1069</v>
      </c>
      <c r="E16" s="18">
        <v>550</v>
      </c>
      <c r="F16" s="19">
        <v>5566.56</v>
      </c>
      <c r="G16" s="20">
        <v>9.7999999999999997E-3</v>
      </c>
      <c r="H16" s="21">
        <v>5.8200000000000002E-2</v>
      </c>
      <c r="I16" s="22"/>
      <c r="J16" s="2"/>
    </row>
    <row r="17" spans="1:10" ht="12.95" customHeight="1">
      <c r="A17" s="16" t="s">
        <v>538</v>
      </c>
      <c r="B17" s="17" t="s">
        <v>539</v>
      </c>
      <c r="C17" s="13" t="s">
        <v>540</v>
      </c>
      <c r="D17" s="13" t="s">
        <v>132</v>
      </c>
      <c r="E17" s="18">
        <v>500</v>
      </c>
      <c r="F17" s="19">
        <v>5156.54</v>
      </c>
      <c r="G17" s="20">
        <v>9.1000000000000004E-3</v>
      </c>
      <c r="H17" s="21">
        <v>4.7550000000000002E-2</v>
      </c>
      <c r="I17" s="22"/>
      <c r="J17" s="2"/>
    </row>
    <row r="18" spans="1:10" ht="12.95" customHeight="1">
      <c r="A18" s="16" t="s">
        <v>142</v>
      </c>
      <c r="B18" s="17" t="s">
        <v>143</v>
      </c>
      <c r="C18" s="13" t="s">
        <v>144</v>
      </c>
      <c r="D18" s="13" t="s">
        <v>132</v>
      </c>
      <c r="E18" s="18">
        <v>500</v>
      </c>
      <c r="F18" s="19">
        <v>5077.3999999999996</v>
      </c>
      <c r="G18" s="20">
        <v>8.8999999999999999E-3</v>
      </c>
      <c r="H18" s="21">
        <v>3.6999999999999998E-2</v>
      </c>
      <c r="I18" s="22"/>
      <c r="J18" s="2"/>
    </row>
    <row r="19" spans="1:10" ht="12.95" customHeight="1">
      <c r="A19" s="16" t="s">
        <v>3483</v>
      </c>
      <c r="B19" s="17" t="s">
        <v>3484</v>
      </c>
      <c r="C19" s="13" t="s">
        <v>3485</v>
      </c>
      <c r="D19" s="13" t="s">
        <v>132</v>
      </c>
      <c r="E19" s="18">
        <v>500</v>
      </c>
      <c r="F19" s="19">
        <v>5076.41</v>
      </c>
      <c r="G19" s="20">
        <v>8.8999999999999999E-3</v>
      </c>
      <c r="H19" s="21">
        <v>4.2049999999999997E-2</v>
      </c>
      <c r="I19" s="22"/>
      <c r="J19" s="2"/>
    </row>
    <row r="20" spans="1:10" ht="12.95" customHeight="1">
      <c r="A20" s="16" t="s">
        <v>3748</v>
      </c>
      <c r="B20" s="17" t="s">
        <v>3749</v>
      </c>
      <c r="C20" s="13" t="s">
        <v>3750</v>
      </c>
      <c r="D20" s="13" t="s">
        <v>132</v>
      </c>
      <c r="E20" s="18">
        <v>500</v>
      </c>
      <c r="F20" s="19">
        <v>5050.62</v>
      </c>
      <c r="G20" s="20">
        <v>8.8999999999999999E-3</v>
      </c>
      <c r="H20" s="21">
        <v>3.6052000000000001E-2</v>
      </c>
      <c r="I20" s="22"/>
      <c r="J20" s="2"/>
    </row>
    <row r="21" spans="1:10" ht="12.95" customHeight="1">
      <c r="A21" s="16" t="s">
        <v>3721</v>
      </c>
      <c r="B21" s="17" t="s">
        <v>3722</v>
      </c>
      <c r="C21" s="13" t="s">
        <v>3723</v>
      </c>
      <c r="D21" s="13" t="s">
        <v>1073</v>
      </c>
      <c r="E21" s="18">
        <v>500</v>
      </c>
      <c r="F21" s="19">
        <v>5027.0600000000004</v>
      </c>
      <c r="G21" s="20">
        <v>8.8999999999999999E-3</v>
      </c>
      <c r="H21" s="21">
        <v>7.8750000000000001E-2</v>
      </c>
      <c r="I21" s="22"/>
      <c r="J21" s="2"/>
    </row>
    <row r="22" spans="1:10" ht="12.95" customHeight="1">
      <c r="A22" s="16" t="s">
        <v>3489</v>
      </c>
      <c r="B22" s="17" t="s">
        <v>3490</v>
      </c>
      <c r="C22" s="13" t="s">
        <v>3491</v>
      </c>
      <c r="D22" s="13" t="s">
        <v>132</v>
      </c>
      <c r="E22" s="18">
        <v>500</v>
      </c>
      <c r="F22" s="19">
        <v>5023.21</v>
      </c>
      <c r="G22" s="20">
        <v>8.8000000000000005E-3</v>
      </c>
      <c r="H22" s="21">
        <v>3.6201999999999998E-2</v>
      </c>
      <c r="I22" s="22"/>
      <c r="J22" s="2"/>
    </row>
    <row r="23" spans="1:10" ht="12.95" customHeight="1">
      <c r="A23" s="16" t="s">
        <v>332</v>
      </c>
      <c r="B23" s="17" t="s">
        <v>333</v>
      </c>
      <c r="C23" s="13" t="s">
        <v>334</v>
      </c>
      <c r="D23" s="13" t="s">
        <v>171</v>
      </c>
      <c r="E23" s="18">
        <v>500</v>
      </c>
      <c r="F23" s="19">
        <v>5012.38</v>
      </c>
      <c r="G23" s="20">
        <v>8.8000000000000005E-3</v>
      </c>
      <c r="H23" s="21">
        <v>4.2549999999999998E-2</v>
      </c>
      <c r="I23" s="22"/>
      <c r="J23" s="2"/>
    </row>
    <row r="24" spans="1:10" ht="12.95" customHeight="1">
      <c r="A24" s="16" t="s">
        <v>2690</v>
      </c>
      <c r="B24" s="17" t="s">
        <v>2691</v>
      </c>
      <c r="C24" s="13" t="s">
        <v>2692</v>
      </c>
      <c r="D24" s="13" t="s">
        <v>2541</v>
      </c>
      <c r="E24" s="18">
        <v>450</v>
      </c>
      <c r="F24" s="19">
        <v>4508.6899999999996</v>
      </c>
      <c r="G24" s="20">
        <v>7.9000000000000008E-3</v>
      </c>
      <c r="H24" s="21">
        <v>6.7750000000000005E-2</v>
      </c>
      <c r="I24" s="22"/>
      <c r="J24" s="2"/>
    </row>
    <row r="25" spans="1:10" ht="12.95" customHeight="1">
      <c r="A25" s="16" t="s">
        <v>2554</v>
      </c>
      <c r="B25" s="17" t="s">
        <v>2555</v>
      </c>
      <c r="C25" s="13" t="s">
        <v>2556</v>
      </c>
      <c r="D25" s="13" t="s">
        <v>2541</v>
      </c>
      <c r="E25" s="18">
        <v>400</v>
      </c>
      <c r="F25" s="19">
        <v>4036.84</v>
      </c>
      <c r="G25" s="20">
        <v>7.1000000000000004E-3</v>
      </c>
      <c r="H25" s="21">
        <v>8.5449999999999998E-2</v>
      </c>
      <c r="I25" s="22"/>
      <c r="J25" s="2"/>
    </row>
    <row r="26" spans="1:10" ht="12.95" customHeight="1">
      <c r="A26" s="16" t="s">
        <v>3858</v>
      </c>
      <c r="B26" s="17" t="s">
        <v>3859</v>
      </c>
      <c r="C26" s="13" t="s">
        <v>3860</v>
      </c>
      <c r="D26" s="13" t="s">
        <v>2361</v>
      </c>
      <c r="E26" s="18">
        <v>390</v>
      </c>
      <c r="F26" s="19">
        <v>3925.02</v>
      </c>
      <c r="G26" s="20">
        <v>6.8999999999999999E-3</v>
      </c>
      <c r="H26" s="21">
        <v>6.2672000000000005E-2</v>
      </c>
      <c r="I26" s="22"/>
      <c r="J26" s="2"/>
    </row>
    <row r="27" spans="1:10" ht="12.95" customHeight="1">
      <c r="A27" s="16" t="s">
        <v>2066</v>
      </c>
      <c r="B27" s="17" t="s">
        <v>2067</v>
      </c>
      <c r="C27" s="13" t="s">
        <v>2068</v>
      </c>
      <c r="D27" s="13" t="s">
        <v>1073</v>
      </c>
      <c r="E27" s="18">
        <v>300</v>
      </c>
      <c r="F27" s="19">
        <v>3054.24</v>
      </c>
      <c r="G27" s="20">
        <v>5.4000000000000003E-3</v>
      </c>
      <c r="H27" s="21">
        <v>4.2986999999999997E-2</v>
      </c>
      <c r="I27" s="22"/>
      <c r="J27" s="2"/>
    </row>
    <row r="28" spans="1:10" ht="12.95" customHeight="1">
      <c r="A28" s="16" t="s">
        <v>3861</v>
      </c>
      <c r="B28" s="17" t="s">
        <v>3862</v>
      </c>
      <c r="C28" s="13" t="s">
        <v>3863</v>
      </c>
      <c r="D28" s="13" t="s">
        <v>2541</v>
      </c>
      <c r="E28" s="18">
        <v>300</v>
      </c>
      <c r="F28" s="19">
        <v>3049.72</v>
      </c>
      <c r="G28" s="20">
        <v>5.4000000000000003E-3</v>
      </c>
      <c r="H28" s="21">
        <v>4.7248999999999999E-2</v>
      </c>
      <c r="I28" s="22"/>
      <c r="J28" s="2"/>
    </row>
    <row r="29" spans="1:10" ht="12.95" customHeight="1">
      <c r="A29" s="16" t="s">
        <v>260</v>
      </c>
      <c r="B29" s="17" t="s">
        <v>261</v>
      </c>
      <c r="C29" s="13" t="s">
        <v>262</v>
      </c>
      <c r="D29" s="13" t="s">
        <v>132</v>
      </c>
      <c r="E29" s="18">
        <v>250</v>
      </c>
      <c r="F29" s="19">
        <v>2568.84</v>
      </c>
      <c r="G29" s="20">
        <v>4.4999999999999997E-3</v>
      </c>
      <c r="H29" s="21">
        <v>4.2200000000000001E-2</v>
      </c>
      <c r="I29" s="22"/>
      <c r="J29" s="2"/>
    </row>
    <row r="30" spans="1:10" ht="12.95" customHeight="1">
      <c r="A30" s="16" t="s">
        <v>442</v>
      </c>
      <c r="B30" s="17" t="s">
        <v>443</v>
      </c>
      <c r="C30" s="13" t="s">
        <v>444</v>
      </c>
      <c r="D30" s="13" t="s">
        <v>132</v>
      </c>
      <c r="E30" s="18">
        <v>250</v>
      </c>
      <c r="F30" s="19">
        <v>2556.66</v>
      </c>
      <c r="G30" s="20">
        <v>4.4999999999999997E-3</v>
      </c>
      <c r="H30" s="21">
        <v>4.2500000000000003E-2</v>
      </c>
      <c r="I30" s="22"/>
      <c r="J30" s="2"/>
    </row>
    <row r="31" spans="1:10" ht="12.95" customHeight="1">
      <c r="A31" s="16" t="s">
        <v>3864</v>
      </c>
      <c r="B31" s="17" t="s">
        <v>3865</v>
      </c>
      <c r="C31" s="13" t="s">
        <v>3866</v>
      </c>
      <c r="D31" s="13" t="s">
        <v>1073</v>
      </c>
      <c r="E31" s="18">
        <v>250</v>
      </c>
      <c r="F31" s="19">
        <v>2551.06</v>
      </c>
      <c r="G31" s="20">
        <v>4.4999999999999997E-3</v>
      </c>
      <c r="H31" s="21">
        <v>4.6149999999999997E-2</v>
      </c>
      <c r="I31" s="22"/>
      <c r="J31" s="2"/>
    </row>
    <row r="32" spans="1:10" ht="12.95" customHeight="1">
      <c r="A32" s="16" t="s">
        <v>3867</v>
      </c>
      <c r="B32" s="17" t="s">
        <v>3868</v>
      </c>
      <c r="C32" s="13" t="s">
        <v>3869</v>
      </c>
      <c r="D32" s="13" t="s">
        <v>200</v>
      </c>
      <c r="E32" s="18">
        <v>2500000</v>
      </c>
      <c r="F32" s="19">
        <v>2542.6799999999998</v>
      </c>
      <c r="G32" s="20">
        <v>4.4999999999999997E-3</v>
      </c>
      <c r="H32" s="21">
        <v>3.7420000000000002E-2</v>
      </c>
      <c r="I32" s="22"/>
      <c r="J32" s="2"/>
    </row>
    <row r="33" spans="1:10" ht="12.95" customHeight="1">
      <c r="A33" s="16" t="s">
        <v>3543</v>
      </c>
      <c r="B33" s="17" t="s">
        <v>3544</v>
      </c>
      <c r="C33" s="13" t="s">
        <v>3545</v>
      </c>
      <c r="D33" s="13" t="s">
        <v>148</v>
      </c>
      <c r="E33" s="18">
        <v>250</v>
      </c>
      <c r="F33" s="19">
        <v>2531.27</v>
      </c>
      <c r="G33" s="20">
        <v>4.4999999999999997E-3</v>
      </c>
      <c r="H33" s="21">
        <v>3.9550000000000002E-2</v>
      </c>
      <c r="I33" s="22"/>
      <c r="J33" s="2"/>
    </row>
    <row r="34" spans="1:10" ht="12.95" customHeight="1">
      <c r="A34" s="16" t="s">
        <v>3706</v>
      </c>
      <c r="B34" s="17" t="s">
        <v>3707</v>
      </c>
      <c r="C34" s="13" t="s">
        <v>3708</v>
      </c>
      <c r="D34" s="13" t="s">
        <v>1694</v>
      </c>
      <c r="E34" s="18">
        <v>250</v>
      </c>
      <c r="F34" s="19">
        <v>2512.87</v>
      </c>
      <c r="G34" s="20">
        <v>4.4000000000000003E-3</v>
      </c>
      <c r="H34" s="21">
        <v>5.8694999999999997E-2</v>
      </c>
      <c r="I34" s="22"/>
      <c r="J34" s="2"/>
    </row>
    <row r="35" spans="1:10" ht="12.95" customHeight="1">
      <c r="A35" s="16" t="s">
        <v>2708</v>
      </c>
      <c r="B35" s="17" t="s">
        <v>2709</v>
      </c>
      <c r="C35" s="13" t="s">
        <v>2710</v>
      </c>
      <c r="D35" s="13" t="s">
        <v>132</v>
      </c>
      <c r="E35" s="18">
        <v>200</v>
      </c>
      <c r="F35" s="19">
        <v>2027.82</v>
      </c>
      <c r="G35" s="20">
        <v>3.5999999999999999E-3</v>
      </c>
      <c r="H35" s="21">
        <v>4.1799999999999997E-2</v>
      </c>
      <c r="I35" s="22"/>
      <c r="J35" s="2"/>
    </row>
    <row r="36" spans="1:10" ht="12.95" customHeight="1">
      <c r="A36" s="16" t="s">
        <v>2542</v>
      </c>
      <c r="B36" s="17" t="s">
        <v>2543</v>
      </c>
      <c r="C36" s="13" t="s">
        <v>2544</v>
      </c>
      <c r="D36" s="13" t="s">
        <v>2062</v>
      </c>
      <c r="E36" s="18">
        <v>200</v>
      </c>
      <c r="F36" s="19">
        <v>2017.3</v>
      </c>
      <c r="G36" s="20">
        <v>3.5999999999999999E-3</v>
      </c>
      <c r="H36" s="21">
        <v>6.7848000000000006E-2</v>
      </c>
      <c r="I36" s="22"/>
      <c r="J36" s="2"/>
    </row>
    <row r="37" spans="1:10" ht="12.95" customHeight="1">
      <c r="A37" s="16" t="s">
        <v>2602</v>
      </c>
      <c r="B37" s="17" t="s">
        <v>2603</v>
      </c>
      <c r="C37" s="13" t="s">
        <v>2604</v>
      </c>
      <c r="D37" s="13" t="s">
        <v>2062</v>
      </c>
      <c r="E37" s="18">
        <v>200</v>
      </c>
      <c r="F37" s="19">
        <v>2002.25</v>
      </c>
      <c r="G37" s="20">
        <v>3.5000000000000001E-3</v>
      </c>
      <c r="H37" s="21">
        <v>7.0796999999999999E-2</v>
      </c>
      <c r="I37" s="22"/>
      <c r="J37" s="2"/>
    </row>
    <row r="38" spans="1:10" ht="12.95" customHeight="1">
      <c r="A38" s="16" t="s">
        <v>2551</v>
      </c>
      <c r="B38" s="17" t="s">
        <v>2552</v>
      </c>
      <c r="C38" s="13" t="s">
        <v>2553</v>
      </c>
      <c r="D38" s="13" t="s">
        <v>1694</v>
      </c>
      <c r="E38" s="18">
        <v>200</v>
      </c>
      <c r="F38" s="19">
        <v>1990.71</v>
      </c>
      <c r="G38" s="20">
        <v>3.5000000000000001E-3</v>
      </c>
      <c r="H38" s="21">
        <v>7.2940500000000005E-2</v>
      </c>
      <c r="I38" s="22"/>
      <c r="J38" s="2"/>
    </row>
    <row r="39" spans="1:10" ht="12.95" customHeight="1">
      <c r="A39" s="16" t="s">
        <v>2557</v>
      </c>
      <c r="B39" s="17" t="s">
        <v>2558</v>
      </c>
      <c r="C39" s="13" t="s">
        <v>2559</v>
      </c>
      <c r="D39" s="13" t="s">
        <v>2560</v>
      </c>
      <c r="E39" s="18">
        <v>150</v>
      </c>
      <c r="F39" s="19">
        <v>1546.98</v>
      </c>
      <c r="G39" s="20">
        <v>2.7000000000000001E-3</v>
      </c>
      <c r="H39" s="21">
        <v>6.4250000000000002E-2</v>
      </c>
      <c r="I39" s="22"/>
      <c r="J39" s="2"/>
    </row>
    <row r="40" spans="1:10" ht="12.95" customHeight="1">
      <c r="A40" s="16" t="s">
        <v>2045</v>
      </c>
      <c r="B40" s="17" t="s">
        <v>2046</v>
      </c>
      <c r="C40" s="13" t="s">
        <v>2047</v>
      </c>
      <c r="D40" s="13" t="s">
        <v>2048</v>
      </c>
      <c r="E40" s="18">
        <v>120</v>
      </c>
      <c r="F40" s="19">
        <v>1531.36</v>
      </c>
      <c r="G40" s="20">
        <v>2.7000000000000001E-3</v>
      </c>
      <c r="H40" s="21">
        <v>6.3958000000000001E-2</v>
      </c>
      <c r="I40" s="22"/>
      <c r="J40" s="2"/>
    </row>
    <row r="41" spans="1:10" ht="12.95" customHeight="1">
      <c r="A41" s="16" t="s">
        <v>3703</v>
      </c>
      <c r="B41" s="17" t="s">
        <v>3704</v>
      </c>
      <c r="C41" s="13" t="s">
        <v>3705</v>
      </c>
      <c r="D41" s="13" t="s">
        <v>1694</v>
      </c>
      <c r="E41" s="18">
        <v>150</v>
      </c>
      <c r="F41" s="19">
        <v>1510.57</v>
      </c>
      <c r="G41" s="20">
        <v>2.7000000000000001E-3</v>
      </c>
      <c r="H41" s="21">
        <v>6.4393000000000006E-2</v>
      </c>
      <c r="I41" s="22"/>
      <c r="J41" s="2"/>
    </row>
    <row r="42" spans="1:10" ht="12.95" customHeight="1">
      <c r="A42" s="16" t="s">
        <v>2741</v>
      </c>
      <c r="B42" s="17" t="s">
        <v>2742</v>
      </c>
      <c r="C42" s="13" t="s">
        <v>2743</v>
      </c>
      <c r="D42" s="13" t="s">
        <v>1704</v>
      </c>
      <c r="E42" s="18">
        <v>150</v>
      </c>
      <c r="F42" s="19">
        <v>1508.64</v>
      </c>
      <c r="G42" s="20">
        <v>2.7000000000000001E-3</v>
      </c>
      <c r="H42" s="21">
        <v>5.4545000000000003E-2</v>
      </c>
      <c r="I42" s="22"/>
      <c r="J42" s="2"/>
    </row>
    <row r="43" spans="1:10" ht="12.95" customHeight="1">
      <c r="A43" s="16" t="s">
        <v>1691</v>
      </c>
      <c r="B43" s="17" t="s">
        <v>1692</v>
      </c>
      <c r="C43" s="13" t="s">
        <v>1693</v>
      </c>
      <c r="D43" s="13" t="s">
        <v>1694</v>
      </c>
      <c r="E43" s="18">
        <v>150</v>
      </c>
      <c r="F43" s="19">
        <v>1498.9</v>
      </c>
      <c r="G43" s="20">
        <v>2.5999999999999999E-3</v>
      </c>
      <c r="H43" s="21">
        <v>9.3905000000000002E-2</v>
      </c>
      <c r="I43" s="22"/>
      <c r="J43" s="2"/>
    </row>
    <row r="44" spans="1:10" ht="12.95" customHeight="1">
      <c r="A44" s="16" t="s">
        <v>2643</v>
      </c>
      <c r="B44" s="17" t="s">
        <v>2644</v>
      </c>
      <c r="C44" s="13" t="s">
        <v>2645</v>
      </c>
      <c r="D44" s="13" t="s">
        <v>2612</v>
      </c>
      <c r="E44" s="18">
        <v>150</v>
      </c>
      <c r="F44" s="19">
        <v>1498.16</v>
      </c>
      <c r="G44" s="20">
        <v>2.5999999999999999E-3</v>
      </c>
      <c r="H44" s="21">
        <v>6.5792000000000003E-2</v>
      </c>
      <c r="I44" s="22"/>
      <c r="J44" s="2"/>
    </row>
    <row r="45" spans="1:10" ht="12.95" customHeight="1">
      <c r="A45" s="16" t="s">
        <v>392</v>
      </c>
      <c r="B45" s="17" t="s">
        <v>393</v>
      </c>
      <c r="C45" s="13" t="s">
        <v>394</v>
      </c>
      <c r="D45" s="13" t="s">
        <v>132</v>
      </c>
      <c r="E45" s="18">
        <v>100</v>
      </c>
      <c r="F45" s="19">
        <v>1033.68</v>
      </c>
      <c r="G45" s="20">
        <v>1.8E-3</v>
      </c>
      <c r="H45" s="21">
        <v>4.3999999999999997E-2</v>
      </c>
      <c r="I45" s="22"/>
      <c r="J45" s="2"/>
    </row>
    <row r="46" spans="1:10" ht="12.95" customHeight="1">
      <c r="A46" s="16" t="s">
        <v>1160</v>
      </c>
      <c r="B46" s="17" t="s">
        <v>1161</v>
      </c>
      <c r="C46" s="13" t="s">
        <v>1162</v>
      </c>
      <c r="D46" s="13" t="s">
        <v>132</v>
      </c>
      <c r="E46" s="18">
        <v>100</v>
      </c>
      <c r="F46" s="19">
        <v>1016.78</v>
      </c>
      <c r="G46" s="20">
        <v>1.8E-3</v>
      </c>
      <c r="H46" s="21">
        <v>4.1600999999999999E-2</v>
      </c>
      <c r="I46" s="22"/>
      <c r="J46" s="2"/>
    </row>
    <row r="47" spans="1:10" ht="12.95" customHeight="1">
      <c r="A47" s="16" t="s">
        <v>3870</v>
      </c>
      <c r="B47" s="17" t="s">
        <v>3871</v>
      </c>
      <c r="C47" s="13" t="s">
        <v>3872</v>
      </c>
      <c r="D47" s="13" t="s">
        <v>200</v>
      </c>
      <c r="E47" s="18">
        <v>1000000</v>
      </c>
      <c r="F47" s="19">
        <v>1011.47</v>
      </c>
      <c r="G47" s="20">
        <v>1.8E-3</v>
      </c>
      <c r="H47" s="21">
        <v>3.5089000000000002E-2</v>
      </c>
      <c r="I47" s="22"/>
      <c r="J47" s="2"/>
    </row>
    <row r="48" spans="1:10" ht="12.95" customHeight="1">
      <c r="A48" s="16" t="s">
        <v>2567</v>
      </c>
      <c r="B48" s="17" t="s">
        <v>2568</v>
      </c>
      <c r="C48" s="13" t="s">
        <v>2569</v>
      </c>
      <c r="D48" s="13" t="s">
        <v>2570</v>
      </c>
      <c r="E48" s="18">
        <v>100</v>
      </c>
      <c r="F48" s="19">
        <v>1009.65</v>
      </c>
      <c r="G48" s="20">
        <v>1.8E-3</v>
      </c>
      <c r="H48" s="21">
        <v>6.8877999999999995E-2</v>
      </c>
      <c r="I48" s="22"/>
      <c r="J48" s="2"/>
    </row>
    <row r="49" spans="1:10" ht="12.95" customHeight="1">
      <c r="A49" s="16" t="s">
        <v>3873</v>
      </c>
      <c r="B49" s="17" t="s">
        <v>3874</v>
      </c>
      <c r="C49" s="13" t="s">
        <v>3875</v>
      </c>
      <c r="D49" s="13" t="s">
        <v>200</v>
      </c>
      <c r="E49" s="18">
        <v>1000000</v>
      </c>
      <c r="F49" s="19">
        <v>1008.07</v>
      </c>
      <c r="G49" s="20">
        <v>1.8E-3</v>
      </c>
      <c r="H49" s="21">
        <v>3.4755000000000001E-2</v>
      </c>
      <c r="I49" s="22"/>
      <c r="J49" s="2"/>
    </row>
    <row r="50" spans="1:10" ht="12.95" customHeight="1">
      <c r="A50" s="16" t="s">
        <v>2616</v>
      </c>
      <c r="B50" s="17" t="s">
        <v>2617</v>
      </c>
      <c r="C50" s="13" t="s">
        <v>2618</v>
      </c>
      <c r="D50" s="13" t="s">
        <v>2541</v>
      </c>
      <c r="E50" s="18">
        <v>50</v>
      </c>
      <c r="F50" s="19">
        <v>512.57000000000005</v>
      </c>
      <c r="G50" s="20">
        <v>8.9999999999999998E-4</v>
      </c>
      <c r="H50" s="21">
        <v>4.555E-2</v>
      </c>
      <c r="I50" s="22"/>
      <c r="J50" s="2"/>
    </row>
    <row r="51" spans="1:10" ht="12.95" customHeight="1">
      <c r="A51" s="16" t="s">
        <v>2747</v>
      </c>
      <c r="B51" s="17" t="s">
        <v>2748</v>
      </c>
      <c r="C51" s="13" t="s">
        <v>2749</v>
      </c>
      <c r="D51" s="13" t="s">
        <v>1073</v>
      </c>
      <c r="E51" s="18">
        <v>50000</v>
      </c>
      <c r="F51" s="19">
        <v>510.78</v>
      </c>
      <c r="G51" s="20">
        <v>8.9999999999999998E-4</v>
      </c>
      <c r="H51" s="21">
        <v>4.8649999999999999E-2</v>
      </c>
      <c r="I51" s="22"/>
      <c r="J51" s="2"/>
    </row>
    <row r="52" spans="1:10" ht="12.95" customHeight="1">
      <c r="A52" s="16" t="s">
        <v>3876</v>
      </c>
      <c r="B52" s="17" t="s">
        <v>3877</v>
      </c>
      <c r="C52" s="13" t="s">
        <v>3878</v>
      </c>
      <c r="D52" s="13" t="s">
        <v>200</v>
      </c>
      <c r="E52" s="18">
        <v>500000</v>
      </c>
      <c r="F52" s="19">
        <v>501.23</v>
      </c>
      <c r="G52" s="20">
        <v>8.9999999999999998E-4</v>
      </c>
      <c r="H52" s="21">
        <v>3.4254E-2</v>
      </c>
      <c r="I52" s="22"/>
      <c r="J52" s="2"/>
    </row>
    <row r="53" spans="1:10" ht="12.95" customHeight="1">
      <c r="A53" s="16" t="s">
        <v>2619</v>
      </c>
      <c r="B53" s="17" t="s">
        <v>2620</v>
      </c>
      <c r="C53" s="13" t="s">
        <v>2621</v>
      </c>
      <c r="D53" s="13" t="s">
        <v>2612</v>
      </c>
      <c r="E53" s="18">
        <v>50</v>
      </c>
      <c r="F53" s="19">
        <v>498.24</v>
      </c>
      <c r="G53" s="20">
        <v>8.9999999999999998E-4</v>
      </c>
      <c r="H53" s="21">
        <v>6.7343E-2</v>
      </c>
      <c r="I53" s="22"/>
      <c r="J53" s="2"/>
    </row>
    <row r="54" spans="1:10" ht="12.95" customHeight="1">
      <c r="A54" s="16" t="s">
        <v>496</v>
      </c>
      <c r="B54" s="17" t="s">
        <v>497</v>
      </c>
      <c r="C54" s="13" t="s">
        <v>498</v>
      </c>
      <c r="D54" s="13" t="s">
        <v>132</v>
      </c>
      <c r="E54" s="18">
        <v>45</v>
      </c>
      <c r="F54" s="19">
        <v>460.23</v>
      </c>
      <c r="G54" s="20">
        <v>8.0000000000000004E-4</v>
      </c>
      <c r="H54" s="21">
        <v>4.3900000000000002E-2</v>
      </c>
      <c r="I54" s="22"/>
      <c r="J54" s="2"/>
    </row>
    <row r="55" spans="1:10" ht="12.95" customHeight="1">
      <c r="A55" s="2"/>
      <c r="B55" s="12" t="s">
        <v>172</v>
      </c>
      <c r="C55" s="13"/>
      <c r="D55" s="13"/>
      <c r="E55" s="13"/>
      <c r="F55" s="23">
        <v>196490.61</v>
      </c>
      <c r="G55" s="24">
        <v>0.34610000000000002</v>
      </c>
      <c r="H55" s="25"/>
      <c r="I55" s="26"/>
      <c r="J55" s="2"/>
    </row>
    <row r="56" spans="1:10" ht="12.95" customHeight="1">
      <c r="A56" s="2"/>
      <c r="B56" s="27" t="s">
        <v>173</v>
      </c>
      <c r="C56" s="1"/>
      <c r="D56" s="1"/>
      <c r="E56" s="1"/>
      <c r="F56" s="25" t="s">
        <v>204</v>
      </c>
      <c r="G56" s="25" t="s">
        <v>204</v>
      </c>
      <c r="H56" s="25"/>
      <c r="I56" s="26"/>
      <c r="J56" s="2"/>
    </row>
    <row r="57" spans="1:10" ht="12.95" customHeight="1">
      <c r="A57" s="2"/>
      <c r="B57" s="27" t="s">
        <v>172</v>
      </c>
      <c r="C57" s="1"/>
      <c r="D57" s="1"/>
      <c r="E57" s="1"/>
      <c r="F57" s="25" t="s">
        <v>204</v>
      </c>
      <c r="G57" s="25" t="s">
        <v>204</v>
      </c>
      <c r="H57" s="25"/>
      <c r="I57" s="26"/>
      <c r="J57" s="2"/>
    </row>
    <row r="58" spans="1:10" ht="12.95" customHeight="1">
      <c r="A58" s="2"/>
      <c r="B58" s="12" t="s">
        <v>1292</v>
      </c>
      <c r="C58" s="13"/>
      <c r="D58" s="13"/>
      <c r="E58" s="13"/>
      <c r="F58" s="2"/>
      <c r="G58" s="14"/>
      <c r="H58" s="14"/>
      <c r="I58" s="15"/>
      <c r="J58" s="2"/>
    </row>
    <row r="59" spans="1:10" ht="12.95" customHeight="1">
      <c r="A59" s="16" t="s">
        <v>2674</v>
      </c>
      <c r="B59" s="17" t="s">
        <v>2675</v>
      </c>
      <c r="C59" s="13" t="s">
        <v>2676</v>
      </c>
      <c r="D59" s="13" t="s">
        <v>3919</v>
      </c>
      <c r="E59" s="18">
        <v>5000</v>
      </c>
      <c r="F59" s="19">
        <v>4130.01</v>
      </c>
      <c r="G59" s="20">
        <v>7.3000000000000001E-3</v>
      </c>
      <c r="H59" s="21">
        <v>7.2700000000000001E-2</v>
      </c>
      <c r="I59" s="22"/>
      <c r="J59" s="2"/>
    </row>
    <row r="60" spans="1:10" ht="12.95" customHeight="1">
      <c r="A60" s="16" t="s">
        <v>3792</v>
      </c>
      <c r="B60" s="17" t="s">
        <v>3793</v>
      </c>
      <c r="C60" s="13" t="s">
        <v>3794</v>
      </c>
      <c r="D60" s="13" t="s">
        <v>1296</v>
      </c>
      <c r="E60" s="18">
        <v>5</v>
      </c>
      <c r="F60" s="19">
        <v>500</v>
      </c>
      <c r="G60" s="20">
        <v>8.9999999999999998E-4</v>
      </c>
      <c r="H60" s="21">
        <v>3.9350000000000003E-2</v>
      </c>
      <c r="I60" s="22"/>
      <c r="J60" s="2"/>
    </row>
    <row r="61" spans="1:10" ht="12.95" customHeight="1">
      <c r="A61" s="16" t="s">
        <v>3795</v>
      </c>
      <c r="B61" s="17" t="s">
        <v>3796</v>
      </c>
      <c r="C61" s="13" t="s">
        <v>3797</v>
      </c>
      <c r="D61" s="13" t="s">
        <v>1296</v>
      </c>
      <c r="E61" s="18">
        <v>4</v>
      </c>
      <c r="F61" s="19">
        <v>395.75</v>
      </c>
      <c r="G61" s="20">
        <v>6.9999999999999999E-4</v>
      </c>
      <c r="H61" s="21">
        <v>4.2599999999999999E-2</v>
      </c>
      <c r="I61" s="22"/>
      <c r="J61" s="2"/>
    </row>
    <row r="62" spans="1:10" ht="12.95" customHeight="1">
      <c r="A62" s="16" t="s">
        <v>2680</v>
      </c>
      <c r="B62" s="17" t="s">
        <v>2681</v>
      </c>
      <c r="C62" s="13" t="s">
        <v>2682</v>
      </c>
      <c r="D62" s="13" t="s">
        <v>2683</v>
      </c>
      <c r="E62" s="18">
        <v>260</v>
      </c>
      <c r="F62" s="19">
        <v>316.42</v>
      </c>
      <c r="G62" s="20">
        <v>5.9999999999999995E-4</v>
      </c>
      <c r="H62" s="21">
        <v>9.0747999999999995E-2</v>
      </c>
      <c r="I62" s="22"/>
      <c r="J62" s="2"/>
    </row>
    <row r="63" spans="1:10" ht="12.95" customHeight="1">
      <c r="A63" s="2"/>
      <c r="B63" s="12" t="s">
        <v>172</v>
      </c>
      <c r="C63" s="13"/>
      <c r="D63" s="13"/>
      <c r="E63" s="13"/>
      <c r="F63" s="23">
        <v>5342.18</v>
      </c>
      <c r="G63" s="24">
        <v>9.4999999999999998E-3</v>
      </c>
      <c r="H63" s="25"/>
      <c r="I63" s="26"/>
      <c r="J63" s="2"/>
    </row>
    <row r="64" spans="1:10" ht="12.95" customHeight="1">
      <c r="A64" s="2"/>
      <c r="B64" s="27" t="s">
        <v>173</v>
      </c>
      <c r="C64" s="1"/>
      <c r="D64" s="1"/>
      <c r="E64" s="1"/>
      <c r="F64" s="25" t="s">
        <v>204</v>
      </c>
      <c r="G64" s="25" t="s">
        <v>204</v>
      </c>
      <c r="H64" s="25"/>
      <c r="I64" s="26"/>
      <c r="J64" s="2"/>
    </row>
    <row r="65" spans="1:10" ht="12.95" customHeight="1">
      <c r="A65" s="2"/>
      <c r="B65" s="27" t="s">
        <v>172</v>
      </c>
      <c r="C65" s="1"/>
      <c r="D65" s="1"/>
      <c r="E65" s="1"/>
      <c r="F65" s="25" t="s">
        <v>204</v>
      </c>
      <c r="G65" s="25" t="s">
        <v>204</v>
      </c>
      <c r="H65" s="25"/>
      <c r="I65" s="26"/>
      <c r="J65" s="2"/>
    </row>
    <row r="66" spans="1:10" ht="12.95" customHeight="1">
      <c r="A66" s="2"/>
      <c r="B66" s="27" t="s">
        <v>177</v>
      </c>
      <c r="C66" s="28"/>
      <c r="D66" s="1"/>
      <c r="E66" s="28"/>
      <c r="F66" s="23">
        <v>201832.79</v>
      </c>
      <c r="G66" s="24">
        <v>0.35560000000000003</v>
      </c>
      <c r="H66" s="25"/>
      <c r="I66" s="26"/>
      <c r="J66" s="2"/>
    </row>
    <row r="67" spans="1:10" ht="12.95" customHeight="1">
      <c r="A67" s="2"/>
      <c r="B67" s="12" t="s">
        <v>656</v>
      </c>
      <c r="C67" s="13"/>
      <c r="D67" s="13"/>
      <c r="E67" s="13"/>
      <c r="F67" s="13"/>
      <c r="G67" s="13"/>
      <c r="H67" s="14"/>
      <c r="I67" s="15"/>
      <c r="J67" s="2"/>
    </row>
    <row r="68" spans="1:10" ht="12.95" customHeight="1">
      <c r="A68" s="2"/>
      <c r="B68" s="12" t="s">
        <v>657</v>
      </c>
      <c r="C68" s="13"/>
      <c r="D68" s="13"/>
      <c r="E68" s="13"/>
      <c r="F68" s="2"/>
      <c r="G68" s="14"/>
      <c r="H68" s="14"/>
      <c r="I68" s="15"/>
      <c r="J68" s="2"/>
    </row>
    <row r="69" spans="1:10" ht="12.95" customHeight="1">
      <c r="A69" s="16" t="s">
        <v>3804</v>
      </c>
      <c r="B69" s="17" t="s">
        <v>3805</v>
      </c>
      <c r="C69" s="13" t="s">
        <v>3806</v>
      </c>
      <c r="D69" s="13" t="s">
        <v>3685</v>
      </c>
      <c r="E69" s="18">
        <v>15000</v>
      </c>
      <c r="F69" s="19">
        <v>14827.68</v>
      </c>
      <c r="G69" s="20">
        <v>2.6100000000000002E-2</v>
      </c>
      <c r="H69" s="21">
        <v>3.5949000000000002E-2</v>
      </c>
      <c r="I69" s="22"/>
      <c r="J69" s="2"/>
    </row>
    <row r="70" spans="1:10" ht="12.95" customHeight="1">
      <c r="A70" s="16" t="s">
        <v>3007</v>
      </c>
      <c r="B70" s="17" t="s">
        <v>3008</v>
      </c>
      <c r="C70" s="13" t="s">
        <v>3009</v>
      </c>
      <c r="D70" s="13" t="s">
        <v>661</v>
      </c>
      <c r="E70" s="18">
        <v>10000</v>
      </c>
      <c r="F70" s="19">
        <v>9883.7800000000007</v>
      </c>
      <c r="G70" s="20">
        <v>1.7399999999999999E-2</v>
      </c>
      <c r="H70" s="21">
        <v>3.6998999999999997E-2</v>
      </c>
      <c r="I70" s="22"/>
      <c r="J70" s="2"/>
    </row>
    <row r="71" spans="1:10" ht="12.95" customHeight="1">
      <c r="A71" s="16" t="s">
        <v>3004</v>
      </c>
      <c r="B71" s="17" t="s">
        <v>3005</v>
      </c>
      <c r="C71" s="13" t="s">
        <v>3006</v>
      </c>
      <c r="D71" s="13" t="s">
        <v>661</v>
      </c>
      <c r="E71" s="18">
        <v>5000</v>
      </c>
      <c r="F71" s="19">
        <v>4918.16</v>
      </c>
      <c r="G71" s="20">
        <v>8.6999999999999994E-3</v>
      </c>
      <c r="H71" s="21">
        <v>3.8199999999999998E-2</v>
      </c>
      <c r="I71" s="22"/>
      <c r="J71" s="2"/>
    </row>
    <row r="72" spans="1:10" ht="12.95" customHeight="1">
      <c r="A72" s="16" t="s">
        <v>3010</v>
      </c>
      <c r="B72" s="17" t="s">
        <v>3011</v>
      </c>
      <c r="C72" s="13" t="s">
        <v>3012</v>
      </c>
      <c r="D72" s="13" t="s">
        <v>2865</v>
      </c>
      <c r="E72" s="18">
        <v>5000</v>
      </c>
      <c r="F72" s="19">
        <v>4911.92</v>
      </c>
      <c r="G72" s="20">
        <v>8.6E-3</v>
      </c>
      <c r="H72" s="21">
        <v>3.7400999999999997E-2</v>
      </c>
      <c r="I72" s="22"/>
      <c r="J72" s="2"/>
    </row>
    <row r="73" spans="1:10" ht="12.95" customHeight="1">
      <c r="A73" s="16" t="s">
        <v>3801</v>
      </c>
      <c r="B73" s="17" t="s">
        <v>3802</v>
      </c>
      <c r="C73" s="13" t="s">
        <v>3803</v>
      </c>
      <c r="D73" s="13" t="s">
        <v>661</v>
      </c>
      <c r="E73" s="18">
        <v>5000</v>
      </c>
      <c r="F73" s="19">
        <v>4817.29</v>
      </c>
      <c r="G73" s="20">
        <v>8.5000000000000006E-3</v>
      </c>
      <c r="H73" s="21">
        <v>4.3950000000000003E-2</v>
      </c>
      <c r="I73" s="22"/>
      <c r="J73" s="2"/>
    </row>
    <row r="74" spans="1:10" ht="12.95" customHeight="1">
      <c r="A74" s="2"/>
      <c r="B74" s="12" t="s">
        <v>172</v>
      </c>
      <c r="C74" s="13"/>
      <c r="D74" s="13"/>
      <c r="E74" s="13"/>
      <c r="F74" s="23">
        <v>39358.83</v>
      </c>
      <c r="G74" s="24">
        <v>6.93E-2</v>
      </c>
      <c r="H74" s="25"/>
      <c r="I74" s="26"/>
      <c r="J74" s="2"/>
    </row>
    <row r="75" spans="1:10" ht="12.95" customHeight="1">
      <c r="A75" s="2"/>
      <c r="B75" s="12" t="s">
        <v>662</v>
      </c>
      <c r="C75" s="13"/>
      <c r="D75" s="13"/>
      <c r="E75" s="13"/>
      <c r="F75" s="2"/>
      <c r="G75" s="14"/>
      <c r="H75" s="14"/>
      <c r="I75" s="15"/>
      <c r="J75" s="2"/>
    </row>
    <row r="76" spans="1:10" ht="12.95" customHeight="1">
      <c r="A76" s="16" t="s">
        <v>2805</v>
      </c>
      <c r="B76" s="17" t="s">
        <v>2806</v>
      </c>
      <c r="C76" s="13" t="s">
        <v>2807</v>
      </c>
      <c r="D76" s="13" t="s">
        <v>661</v>
      </c>
      <c r="E76" s="18">
        <v>3000</v>
      </c>
      <c r="F76" s="19">
        <v>14908.65</v>
      </c>
      <c r="G76" s="20">
        <v>2.6200000000000001E-2</v>
      </c>
      <c r="H76" s="21">
        <v>3.5499999999999997E-2</v>
      </c>
      <c r="I76" s="22"/>
      <c r="J76" s="2"/>
    </row>
    <row r="77" spans="1:10" ht="12.95" customHeight="1">
      <c r="A77" s="16" t="s">
        <v>3013</v>
      </c>
      <c r="B77" s="17" t="s">
        <v>3014</v>
      </c>
      <c r="C77" s="13" t="s">
        <v>3015</v>
      </c>
      <c r="D77" s="13" t="s">
        <v>661</v>
      </c>
      <c r="E77" s="18">
        <v>2500</v>
      </c>
      <c r="F77" s="19">
        <v>12394.53</v>
      </c>
      <c r="G77" s="20">
        <v>2.18E-2</v>
      </c>
      <c r="H77" s="21">
        <v>3.49E-2</v>
      </c>
      <c r="I77" s="22"/>
      <c r="J77" s="2"/>
    </row>
    <row r="78" spans="1:10" ht="12.95" customHeight="1">
      <c r="A78" s="16" t="s">
        <v>3067</v>
      </c>
      <c r="B78" s="17" t="s">
        <v>3068</v>
      </c>
      <c r="C78" s="13" t="s">
        <v>3069</v>
      </c>
      <c r="D78" s="13" t="s">
        <v>661</v>
      </c>
      <c r="E78" s="18">
        <v>2000</v>
      </c>
      <c r="F78" s="19">
        <v>9962</v>
      </c>
      <c r="G78" s="20">
        <v>1.7500000000000002E-2</v>
      </c>
      <c r="H78" s="21">
        <v>3.5700000000000003E-2</v>
      </c>
      <c r="I78" s="22"/>
      <c r="J78" s="2"/>
    </row>
    <row r="79" spans="1:10" ht="12.95" customHeight="1">
      <c r="A79" s="16" t="s">
        <v>2377</v>
      </c>
      <c r="B79" s="17" t="s">
        <v>2378</v>
      </c>
      <c r="C79" s="13" t="s">
        <v>2379</v>
      </c>
      <c r="D79" s="13" t="s">
        <v>661</v>
      </c>
      <c r="E79" s="18">
        <v>1400</v>
      </c>
      <c r="F79" s="19">
        <v>6724.24</v>
      </c>
      <c r="G79" s="20">
        <v>1.18E-2</v>
      </c>
      <c r="H79" s="21">
        <v>4.4549999999999999E-2</v>
      </c>
      <c r="I79" s="22"/>
      <c r="J79" s="2"/>
    </row>
    <row r="80" spans="1:10" ht="12.95" customHeight="1">
      <c r="A80" s="16" t="s">
        <v>3879</v>
      </c>
      <c r="B80" s="17" t="s">
        <v>3880</v>
      </c>
      <c r="C80" s="13" t="s">
        <v>3881</v>
      </c>
      <c r="D80" s="13" t="s">
        <v>661</v>
      </c>
      <c r="E80" s="18">
        <v>1000</v>
      </c>
      <c r="F80" s="19">
        <v>4972.21</v>
      </c>
      <c r="G80" s="20">
        <v>8.8000000000000005E-3</v>
      </c>
      <c r="H80" s="21">
        <v>3.85E-2</v>
      </c>
      <c r="I80" s="22"/>
      <c r="J80" s="2"/>
    </row>
    <row r="81" spans="1:10" ht="12.95" customHeight="1">
      <c r="A81" s="16" t="s">
        <v>3882</v>
      </c>
      <c r="B81" s="17" t="s">
        <v>3883</v>
      </c>
      <c r="C81" s="13" t="s">
        <v>3884</v>
      </c>
      <c r="D81" s="13" t="s">
        <v>661</v>
      </c>
      <c r="E81" s="18">
        <v>1000</v>
      </c>
      <c r="F81" s="19">
        <v>4946.3599999999997</v>
      </c>
      <c r="G81" s="20">
        <v>8.6999999999999994E-3</v>
      </c>
      <c r="H81" s="21">
        <v>4.5499999999999999E-2</v>
      </c>
      <c r="I81" s="22"/>
      <c r="J81" s="2"/>
    </row>
    <row r="82" spans="1:10" ht="12.95" customHeight="1">
      <c r="A82" s="16" t="s">
        <v>3885</v>
      </c>
      <c r="B82" s="17" t="s">
        <v>3886</v>
      </c>
      <c r="C82" s="13" t="s">
        <v>3887</v>
      </c>
      <c r="D82" s="13" t="s">
        <v>661</v>
      </c>
      <c r="E82" s="18">
        <v>1000</v>
      </c>
      <c r="F82" s="19">
        <v>4939.22</v>
      </c>
      <c r="G82" s="20">
        <v>8.6999999999999994E-3</v>
      </c>
      <c r="H82" s="21">
        <v>3.7748999999999998E-2</v>
      </c>
      <c r="I82" s="22"/>
      <c r="J82" s="2"/>
    </row>
    <row r="83" spans="1:10" ht="12.95" customHeight="1">
      <c r="A83" s="16" t="s">
        <v>3052</v>
      </c>
      <c r="B83" s="17" t="s">
        <v>3053</v>
      </c>
      <c r="C83" s="13" t="s">
        <v>3054</v>
      </c>
      <c r="D83" s="13" t="s">
        <v>661</v>
      </c>
      <c r="E83" s="18">
        <v>1000</v>
      </c>
      <c r="F83" s="19">
        <v>4935.3100000000004</v>
      </c>
      <c r="G83" s="20">
        <v>8.6999999999999994E-3</v>
      </c>
      <c r="H83" s="21">
        <v>6.8348999999999993E-2</v>
      </c>
      <c r="I83" s="22"/>
      <c r="J83" s="2"/>
    </row>
    <row r="84" spans="1:10" ht="12.95" customHeight="1">
      <c r="A84" s="16" t="s">
        <v>2401</v>
      </c>
      <c r="B84" s="17" t="s">
        <v>2402</v>
      </c>
      <c r="C84" s="13" t="s">
        <v>2403</v>
      </c>
      <c r="D84" s="13" t="s">
        <v>661</v>
      </c>
      <c r="E84" s="18">
        <v>1000</v>
      </c>
      <c r="F84" s="19">
        <v>4911.18</v>
      </c>
      <c r="G84" s="20">
        <v>8.6E-3</v>
      </c>
      <c r="H84" s="21">
        <v>4.1000000000000002E-2</v>
      </c>
      <c r="I84" s="22"/>
      <c r="J84" s="2"/>
    </row>
    <row r="85" spans="1:10" ht="12.95" customHeight="1">
      <c r="A85" s="16" t="s">
        <v>669</v>
      </c>
      <c r="B85" s="17" t="s">
        <v>670</v>
      </c>
      <c r="C85" s="13" t="s">
        <v>671</v>
      </c>
      <c r="D85" s="13" t="s">
        <v>661</v>
      </c>
      <c r="E85" s="18">
        <v>1000</v>
      </c>
      <c r="F85" s="19">
        <v>4910.29</v>
      </c>
      <c r="G85" s="20">
        <v>8.6E-3</v>
      </c>
      <c r="H85" s="21">
        <v>3.7048999999999999E-2</v>
      </c>
      <c r="I85" s="22"/>
      <c r="J85" s="2"/>
    </row>
    <row r="86" spans="1:10" ht="12.95" customHeight="1">
      <c r="A86" s="16" t="s">
        <v>3070</v>
      </c>
      <c r="B86" s="17" t="s">
        <v>3071</v>
      </c>
      <c r="C86" s="13" t="s">
        <v>3072</v>
      </c>
      <c r="D86" s="13" t="s">
        <v>661</v>
      </c>
      <c r="E86" s="18">
        <v>1000</v>
      </c>
      <c r="F86" s="19">
        <v>4906.55</v>
      </c>
      <c r="G86" s="20">
        <v>8.6E-3</v>
      </c>
      <c r="H86" s="21">
        <v>4.3450000000000003E-2</v>
      </c>
      <c r="I86" s="22"/>
      <c r="J86" s="2"/>
    </row>
    <row r="87" spans="1:10" ht="12.95" customHeight="1">
      <c r="A87" s="16" t="s">
        <v>3888</v>
      </c>
      <c r="B87" s="17" t="s">
        <v>3889</v>
      </c>
      <c r="C87" s="13" t="s">
        <v>3890</v>
      </c>
      <c r="D87" s="13" t="s">
        <v>661</v>
      </c>
      <c r="E87" s="18">
        <v>1000</v>
      </c>
      <c r="F87" s="19">
        <v>4884.26</v>
      </c>
      <c r="G87" s="20">
        <v>8.6E-3</v>
      </c>
      <c r="H87" s="21">
        <v>7.0900000000000005E-2</v>
      </c>
      <c r="I87" s="22"/>
      <c r="J87" s="2"/>
    </row>
    <row r="88" spans="1:10" ht="12.95" customHeight="1">
      <c r="A88" s="16" t="s">
        <v>3813</v>
      </c>
      <c r="B88" s="17" t="s">
        <v>3814</v>
      </c>
      <c r="C88" s="13" t="s">
        <v>3815</v>
      </c>
      <c r="D88" s="13" t="s">
        <v>661</v>
      </c>
      <c r="E88" s="18">
        <v>800</v>
      </c>
      <c r="F88" s="19">
        <v>3932.51</v>
      </c>
      <c r="G88" s="20">
        <v>6.8999999999999999E-3</v>
      </c>
      <c r="H88" s="21">
        <v>4.3200000000000002E-2</v>
      </c>
      <c r="I88" s="22"/>
      <c r="J88" s="2"/>
    </row>
    <row r="89" spans="1:10" ht="12.95" customHeight="1">
      <c r="A89" s="16" t="s">
        <v>3834</v>
      </c>
      <c r="B89" s="17" t="s">
        <v>3835</v>
      </c>
      <c r="C89" s="13" t="s">
        <v>3836</v>
      </c>
      <c r="D89" s="13" t="s">
        <v>661</v>
      </c>
      <c r="E89" s="18">
        <v>600</v>
      </c>
      <c r="F89" s="19">
        <v>2935.14</v>
      </c>
      <c r="G89" s="20">
        <v>5.1999999999999998E-3</v>
      </c>
      <c r="H89" s="21">
        <v>5.0099999999999999E-2</v>
      </c>
      <c r="I89" s="22"/>
      <c r="J89" s="2"/>
    </row>
    <row r="90" spans="1:10" ht="12.95" customHeight="1">
      <c r="A90" s="16" t="s">
        <v>3022</v>
      </c>
      <c r="B90" s="17" t="s">
        <v>3023</v>
      </c>
      <c r="C90" s="13" t="s">
        <v>3024</v>
      </c>
      <c r="D90" s="13" t="s">
        <v>1312</v>
      </c>
      <c r="E90" s="18">
        <v>500</v>
      </c>
      <c r="F90" s="19">
        <v>2470.2399999999998</v>
      </c>
      <c r="G90" s="20">
        <v>4.3E-3</v>
      </c>
      <c r="H90" s="21">
        <v>3.6049999999999999E-2</v>
      </c>
      <c r="I90" s="22"/>
      <c r="J90" s="2"/>
    </row>
    <row r="91" spans="1:10" ht="12.95" customHeight="1">
      <c r="A91" s="16" t="s">
        <v>3837</v>
      </c>
      <c r="B91" s="17" t="s">
        <v>3838</v>
      </c>
      <c r="C91" s="13" t="s">
        <v>3839</v>
      </c>
      <c r="D91" s="13" t="s">
        <v>661</v>
      </c>
      <c r="E91" s="18">
        <v>500</v>
      </c>
      <c r="F91" s="19">
        <v>2433.14</v>
      </c>
      <c r="G91" s="20">
        <v>4.3E-3</v>
      </c>
      <c r="H91" s="21">
        <v>3.9800000000000002E-2</v>
      </c>
      <c r="I91" s="22"/>
      <c r="J91" s="2"/>
    </row>
    <row r="92" spans="1:10" ht="12.95" customHeight="1">
      <c r="A92" s="16" t="s">
        <v>3689</v>
      </c>
      <c r="B92" s="17" t="s">
        <v>3690</v>
      </c>
      <c r="C92" s="13" t="s">
        <v>3691</v>
      </c>
      <c r="D92" s="13" t="s">
        <v>661</v>
      </c>
      <c r="E92" s="18">
        <v>200</v>
      </c>
      <c r="F92" s="19">
        <v>986.65</v>
      </c>
      <c r="G92" s="20">
        <v>1.6999999999999999E-3</v>
      </c>
      <c r="H92" s="21">
        <v>4.1500000000000002E-2</v>
      </c>
      <c r="I92" s="22"/>
      <c r="J92" s="2"/>
    </row>
    <row r="93" spans="1:10" ht="12.95" customHeight="1">
      <c r="A93" s="16" t="s">
        <v>3891</v>
      </c>
      <c r="B93" s="17" t="s">
        <v>3892</v>
      </c>
      <c r="C93" s="13" t="s">
        <v>3893</v>
      </c>
      <c r="D93" s="13" t="s">
        <v>661</v>
      </c>
      <c r="E93" s="18">
        <v>100</v>
      </c>
      <c r="F93" s="19">
        <v>496.57</v>
      </c>
      <c r="G93" s="20">
        <v>8.9999999999999998E-4</v>
      </c>
      <c r="H93" s="21">
        <v>4.1300999999999997E-2</v>
      </c>
      <c r="I93" s="22"/>
      <c r="J93" s="2"/>
    </row>
    <row r="94" spans="1:10" ht="12.95" customHeight="1">
      <c r="A94" s="2"/>
      <c r="B94" s="12" t="s">
        <v>172</v>
      </c>
      <c r="C94" s="13"/>
      <c r="D94" s="13"/>
      <c r="E94" s="13"/>
      <c r="F94" s="23">
        <v>96649.05</v>
      </c>
      <c r="G94" s="24">
        <v>0.1699</v>
      </c>
      <c r="H94" s="25"/>
      <c r="I94" s="26"/>
      <c r="J94" s="2"/>
    </row>
    <row r="95" spans="1:10" ht="12.95" customHeight="1">
      <c r="A95" s="2"/>
      <c r="B95" s="12" t="s">
        <v>1316</v>
      </c>
      <c r="C95" s="13"/>
      <c r="D95" s="13"/>
      <c r="E95" s="13"/>
      <c r="F95" s="2"/>
      <c r="G95" s="14"/>
      <c r="H95" s="14"/>
      <c r="I95" s="15"/>
      <c r="J95" s="2"/>
    </row>
    <row r="96" spans="1:10" ht="12.95" customHeight="1">
      <c r="A96" s="16" t="s">
        <v>2027</v>
      </c>
      <c r="B96" s="17" t="s">
        <v>2028</v>
      </c>
      <c r="C96" s="13" t="s">
        <v>2029</v>
      </c>
      <c r="D96" s="13" t="s">
        <v>200</v>
      </c>
      <c r="E96" s="18">
        <v>30000000</v>
      </c>
      <c r="F96" s="19">
        <v>29827.74</v>
      </c>
      <c r="G96" s="20">
        <v>5.2499999999999998E-2</v>
      </c>
      <c r="H96" s="21">
        <v>3.4000000000000002E-2</v>
      </c>
      <c r="I96" s="22"/>
      <c r="J96" s="2"/>
    </row>
    <row r="97" spans="1:10" ht="12.95" customHeight="1">
      <c r="A97" s="16" t="s">
        <v>2917</v>
      </c>
      <c r="B97" s="17" t="s">
        <v>2918</v>
      </c>
      <c r="C97" s="13" t="s">
        <v>2919</v>
      </c>
      <c r="D97" s="13" t="s">
        <v>200</v>
      </c>
      <c r="E97" s="18">
        <v>22500000</v>
      </c>
      <c r="F97" s="19">
        <v>22310.98</v>
      </c>
      <c r="G97" s="20">
        <v>3.9300000000000002E-2</v>
      </c>
      <c r="H97" s="21">
        <v>3.4359000000000001E-2</v>
      </c>
      <c r="I97" s="22"/>
      <c r="J97" s="2"/>
    </row>
    <row r="98" spans="1:10" ht="12.95" customHeight="1">
      <c r="A98" s="16" t="s">
        <v>2404</v>
      </c>
      <c r="B98" s="17" t="s">
        <v>2405</v>
      </c>
      <c r="C98" s="13" t="s">
        <v>2406</v>
      </c>
      <c r="D98" s="13" t="s">
        <v>200</v>
      </c>
      <c r="E98" s="18">
        <v>20000000</v>
      </c>
      <c r="F98" s="19">
        <v>19858.28</v>
      </c>
      <c r="G98" s="20">
        <v>3.5000000000000003E-2</v>
      </c>
      <c r="H98" s="21">
        <v>3.4277000000000002E-2</v>
      </c>
      <c r="I98" s="22"/>
      <c r="J98" s="2"/>
    </row>
    <row r="99" spans="1:10" ht="12.95" customHeight="1">
      <c r="A99" s="16" t="s">
        <v>2929</v>
      </c>
      <c r="B99" s="17" t="s">
        <v>2930</v>
      </c>
      <c r="C99" s="13" t="s">
        <v>2931</v>
      </c>
      <c r="D99" s="13" t="s">
        <v>200</v>
      </c>
      <c r="E99" s="18">
        <v>19000000</v>
      </c>
      <c r="F99" s="19">
        <v>18878.669999999998</v>
      </c>
      <c r="G99" s="20">
        <v>3.32E-2</v>
      </c>
      <c r="H99" s="21">
        <v>3.4000000000000002E-2</v>
      </c>
      <c r="I99" s="22"/>
      <c r="J99" s="2"/>
    </row>
    <row r="100" spans="1:10" ht="12.95" customHeight="1">
      <c r="A100" s="16" t="s">
        <v>3840</v>
      </c>
      <c r="B100" s="17" t="s">
        <v>3841</v>
      </c>
      <c r="C100" s="13" t="s">
        <v>3842</v>
      </c>
      <c r="D100" s="13" t="s">
        <v>200</v>
      </c>
      <c r="E100" s="18">
        <v>14000000</v>
      </c>
      <c r="F100" s="19">
        <v>13928.96</v>
      </c>
      <c r="G100" s="20">
        <v>2.4500000000000001E-2</v>
      </c>
      <c r="H100" s="21">
        <v>3.3848000000000003E-2</v>
      </c>
      <c r="I100" s="22"/>
      <c r="J100" s="2"/>
    </row>
    <row r="101" spans="1:10" ht="12.95" customHeight="1">
      <c r="A101" s="16" t="s">
        <v>3082</v>
      </c>
      <c r="B101" s="17" t="s">
        <v>3083</v>
      </c>
      <c r="C101" s="13" t="s">
        <v>3084</v>
      </c>
      <c r="D101" s="13" t="s">
        <v>200</v>
      </c>
      <c r="E101" s="18">
        <v>12000000</v>
      </c>
      <c r="F101" s="19">
        <v>11963.32</v>
      </c>
      <c r="G101" s="20">
        <v>2.1100000000000001E-2</v>
      </c>
      <c r="H101" s="21">
        <v>3.2924000000000002E-2</v>
      </c>
      <c r="I101" s="22"/>
      <c r="J101" s="2"/>
    </row>
    <row r="102" spans="1:10" ht="12.95" customHeight="1">
      <c r="A102" s="16" t="s">
        <v>3079</v>
      </c>
      <c r="B102" s="17" t="s">
        <v>3080</v>
      </c>
      <c r="C102" s="13" t="s">
        <v>3081</v>
      </c>
      <c r="D102" s="13" t="s">
        <v>200</v>
      </c>
      <c r="E102" s="18">
        <v>10000000</v>
      </c>
      <c r="F102" s="19">
        <v>9936.14</v>
      </c>
      <c r="G102" s="20">
        <v>1.7500000000000002E-2</v>
      </c>
      <c r="H102" s="21">
        <v>3.4000000000000002E-2</v>
      </c>
      <c r="I102" s="22"/>
      <c r="J102" s="2"/>
    </row>
    <row r="103" spans="1:10" ht="12.95" customHeight="1">
      <c r="A103" s="16" t="s">
        <v>3846</v>
      </c>
      <c r="B103" s="17" t="s">
        <v>3847</v>
      </c>
      <c r="C103" s="13" t="s">
        <v>3848</v>
      </c>
      <c r="D103" s="13" t="s">
        <v>200</v>
      </c>
      <c r="E103" s="18">
        <v>5000000</v>
      </c>
      <c r="F103" s="19">
        <v>4977.8500000000004</v>
      </c>
      <c r="G103" s="20">
        <v>8.8000000000000005E-3</v>
      </c>
      <c r="H103" s="21">
        <v>3.3848000000000003E-2</v>
      </c>
      <c r="I103" s="22"/>
      <c r="J103" s="2"/>
    </row>
    <row r="104" spans="1:10" ht="12.95" customHeight="1">
      <c r="A104" s="16" t="s">
        <v>3088</v>
      </c>
      <c r="B104" s="17" t="s">
        <v>3089</v>
      </c>
      <c r="C104" s="13" t="s">
        <v>3090</v>
      </c>
      <c r="D104" s="13" t="s">
        <v>200</v>
      </c>
      <c r="E104" s="18">
        <v>1462900</v>
      </c>
      <c r="F104" s="19">
        <v>1461.22</v>
      </c>
      <c r="G104" s="20">
        <v>2.5999999999999999E-3</v>
      </c>
      <c r="H104" s="21">
        <v>3.2347500000000001E-2</v>
      </c>
      <c r="I104" s="22"/>
      <c r="J104" s="2"/>
    </row>
    <row r="105" spans="1:10" ht="12.95" customHeight="1">
      <c r="A105" s="2"/>
      <c r="B105" s="12" t="s">
        <v>172</v>
      </c>
      <c r="C105" s="13"/>
      <c r="D105" s="13"/>
      <c r="E105" s="13"/>
      <c r="F105" s="23">
        <v>133143.16</v>
      </c>
      <c r="G105" s="24">
        <v>0.23449999999999999</v>
      </c>
      <c r="H105" s="25"/>
      <c r="I105" s="26"/>
      <c r="J105" s="2"/>
    </row>
    <row r="106" spans="1:10" ht="12.95" customHeight="1">
      <c r="A106" s="2"/>
      <c r="B106" s="27" t="s">
        <v>177</v>
      </c>
      <c r="C106" s="28"/>
      <c r="D106" s="1"/>
      <c r="E106" s="28"/>
      <c r="F106" s="23">
        <v>269151.03999999998</v>
      </c>
      <c r="G106" s="24">
        <v>0.47370000000000001</v>
      </c>
      <c r="H106" s="25"/>
      <c r="I106" s="26"/>
      <c r="J106" s="2"/>
    </row>
    <row r="107" spans="1:10" ht="12.95" customHeight="1">
      <c r="A107" s="2"/>
      <c r="B107" s="12" t="s">
        <v>178</v>
      </c>
      <c r="C107" s="13"/>
      <c r="D107" s="13"/>
      <c r="E107" s="13"/>
      <c r="F107" s="13"/>
      <c r="G107" s="13"/>
      <c r="H107" s="14"/>
      <c r="I107" s="15"/>
      <c r="J107" s="2"/>
    </row>
    <row r="108" spans="1:10" ht="12.95" customHeight="1">
      <c r="A108" s="16" t="s">
        <v>179</v>
      </c>
      <c r="B108" s="17" t="s">
        <v>180</v>
      </c>
      <c r="C108" s="13"/>
      <c r="D108" s="13"/>
      <c r="E108" s="18"/>
      <c r="F108" s="19">
        <v>53135.09</v>
      </c>
      <c r="G108" s="20">
        <v>9.35E-2</v>
      </c>
      <c r="H108" s="21">
        <v>3.3046283688036887E-2</v>
      </c>
      <c r="I108" s="22"/>
      <c r="J108" s="2"/>
    </row>
    <row r="109" spans="1:10" ht="12.95" customHeight="1">
      <c r="A109" s="2"/>
      <c r="B109" s="12" t="s">
        <v>172</v>
      </c>
      <c r="C109" s="13"/>
      <c r="D109" s="13"/>
      <c r="E109" s="13"/>
      <c r="F109" s="23">
        <v>53135.09</v>
      </c>
      <c r="G109" s="24">
        <v>9.35E-2</v>
      </c>
      <c r="H109" s="25"/>
      <c r="I109" s="26"/>
      <c r="J109" s="2"/>
    </row>
    <row r="110" spans="1:10" ht="12.95" customHeight="1">
      <c r="A110" s="2"/>
      <c r="B110" s="27" t="s">
        <v>173</v>
      </c>
      <c r="C110" s="1"/>
      <c r="D110" s="1"/>
      <c r="E110" s="1"/>
      <c r="F110" s="25" t="s">
        <v>204</v>
      </c>
      <c r="G110" s="25" t="s">
        <v>204</v>
      </c>
      <c r="H110" s="25"/>
      <c r="I110" s="26"/>
      <c r="J110" s="2"/>
    </row>
    <row r="111" spans="1:10" ht="12.95" customHeight="1">
      <c r="A111" s="2"/>
      <c r="B111" s="27" t="s">
        <v>172</v>
      </c>
      <c r="C111" s="1"/>
      <c r="D111" s="1"/>
      <c r="E111" s="1"/>
      <c r="F111" s="25" t="s">
        <v>204</v>
      </c>
      <c r="G111" s="25" t="s">
        <v>204</v>
      </c>
      <c r="H111" s="25"/>
      <c r="I111" s="26"/>
      <c r="J111" s="2"/>
    </row>
    <row r="112" spans="1:10" ht="12.95" customHeight="1">
      <c r="A112" s="2"/>
      <c r="B112" s="27" t="s">
        <v>177</v>
      </c>
      <c r="C112" s="28"/>
      <c r="D112" s="1"/>
      <c r="E112" s="28"/>
      <c r="F112" s="23">
        <v>53135.09</v>
      </c>
      <c r="G112" s="24">
        <v>9.35E-2</v>
      </c>
      <c r="H112" s="25"/>
      <c r="I112" s="26"/>
      <c r="J112" s="2"/>
    </row>
    <row r="113" spans="1:10" ht="12.95" customHeight="1">
      <c r="A113" s="2"/>
      <c r="B113" s="27" t="s">
        <v>181</v>
      </c>
      <c r="C113" s="13"/>
      <c r="D113" s="1"/>
      <c r="E113" s="13"/>
      <c r="F113" s="29">
        <v>43898.58</v>
      </c>
      <c r="G113" s="24">
        <v>7.7200000000000005E-2</v>
      </c>
      <c r="H113" s="25"/>
      <c r="I113" s="26"/>
      <c r="J113" s="2"/>
    </row>
    <row r="114" spans="1:10" ht="12.95" customHeight="1">
      <c r="A114" s="2"/>
      <c r="B114" s="30" t="s">
        <v>182</v>
      </c>
      <c r="C114" s="31"/>
      <c r="D114" s="31"/>
      <c r="E114" s="31"/>
      <c r="F114" s="32">
        <v>568017.5</v>
      </c>
      <c r="G114" s="33">
        <v>1</v>
      </c>
      <c r="H114" s="34"/>
      <c r="I114" s="35"/>
      <c r="J114" s="2"/>
    </row>
    <row r="115" spans="1:10" ht="12.95" customHeight="1">
      <c r="A115" s="2"/>
      <c r="B115" s="5"/>
      <c r="C115" s="2"/>
      <c r="D115" s="2"/>
      <c r="E115" s="2"/>
      <c r="F115" s="2"/>
      <c r="G115" s="2"/>
      <c r="H115" s="2"/>
      <c r="I115" s="2"/>
      <c r="J115" s="2"/>
    </row>
    <row r="116" spans="1:10" ht="12.95" customHeight="1">
      <c r="A116" s="2"/>
      <c r="B116" s="3" t="s">
        <v>1320</v>
      </c>
      <c r="C116" s="2"/>
      <c r="D116" s="2"/>
      <c r="E116" s="2"/>
      <c r="F116" s="2"/>
      <c r="G116" s="2"/>
      <c r="H116" s="2"/>
      <c r="I116" s="2"/>
      <c r="J116" s="2"/>
    </row>
    <row r="117" spans="1:10" ht="12.95" customHeight="1">
      <c r="A117" s="2"/>
      <c r="B117" s="3" t="s">
        <v>184</v>
      </c>
      <c r="C117" s="2"/>
      <c r="D117" s="2"/>
      <c r="E117" s="2"/>
      <c r="F117" s="2"/>
      <c r="G117" s="2"/>
      <c r="H117" s="2"/>
      <c r="I117" s="2"/>
      <c r="J117" s="2"/>
    </row>
    <row r="118" spans="1:10" ht="12.95" customHeight="1">
      <c r="A118" s="2"/>
      <c r="B118" s="3" t="s">
        <v>185</v>
      </c>
      <c r="C118" s="2"/>
      <c r="D118" s="2"/>
      <c r="E118" s="2"/>
      <c r="F118" s="2"/>
      <c r="G118" s="2"/>
      <c r="H118" s="2"/>
      <c r="I118" s="2"/>
      <c r="J118" s="2"/>
    </row>
    <row r="119" spans="1:10" ht="12.95" customHeight="1">
      <c r="A119" s="2"/>
      <c r="B119" s="3" t="s">
        <v>186</v>
      </c>
      <c r="C119" s="2"/>
      <c r="D119" s="2"/>
      <c r="E119" s="2"/>
      <c r="F119" s="2"/>
      <c r="G119" s="2"/>
      <c r="H119" s="2"/>
      <c r="I119" s="2"/>
      <c r="J119" s="2"/>
    </row>
    <row r="120" spans="1:10" ht="23.25" customHeight="1">
      <c r="A120" s="2"/>
      <c r="B120" s="189" t="s">
        <v>4025</v>
      </c>
      <c r="C120" s="189"/>
      <c r="D120" s="189"/>
      <c r="E120" s="189"/>
      <c r="F120" s="189"/>
      <c r="G120" s="189"/>
      <c r="H120" s="189"/>
      <c r="I120" s="189"/>
      <c r="J120" s="2"/>
    </row>
    <row r="121" spans="1:10" s="110" customFormat="1" ht="15" customHeight="1">
      <c r="B121" s="204" t="s">
        <v>4034</v>
      </c>
    </row>
    <row r="122" spans="1:10" s="110" customFormat="1" ht="15" customHeight="1"/>
    <row r="123" spans="1:10">
      <c r="C123" s="111" t="s">
        <v>3950</v>
      </c>
    </row>
    <row r="124" spans="1:10">
      <c r="B124" s="111" t="s">
        <v>3933</v>
      </c>
      <c r="C124" s="111" t="s">
        <v>3934</v>
      </c>
    </row>
  </sheetData>
  <mergeCells count="2">
    <mergeCell ref="B2:I2"/>
    <mergeCell ref="B120:I120"/>
  </mergeCells>
  <hyperlinks>
    <hyperlink ref="A2" location="Index!A1" display="Index"/>
  </hyperlinks>
  <pageMargins left="0" right="0" top="0" bottom="0" header="0" footer="0"/>
  <pageSetup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8"/>
  <sheetViews>
    <sheetView workbookViewId="0"/>
  </sheetViews>
  <sheetFormatPr defaultRowHeight="15"/>
  <cols>
    <col min="1" max="1" width="3.28515625" customWidth="1"/>
    <col min="2" max="2" width="69.140625" customWidth="1"/>
    <col min="3" max="3" width="21.140625" bestFit="1" customWidth="1"/>
    <col min="4" max="4" width="22.7109375" bestFit="1" customWidth="1"/>
    <col min="5" max="5" width="25.7109375" customWidth="1"/>
    <col min="6" max="6" width="25" customWidth="1"/>
    <col min="7" max="9" width="10.7109375" customWidth="1"/>
    <col min="10" max="10" width="10.85546875" customWidth="1"/>
  </cols>
  <sheetData>
    <row r="1" spans="1:13" ht="15.75" thickBot="1">
      <c r="A1" s="108" t="str">
        <f>M2</f>
        <v>AXISVAL</v>
      </c>
    </row>
    <row r="2" spans="1:13" ht="34.5" customHeight="1" thickBot="1">
      <c r="A2" s="135" t="str">
        <f>M2</f>
        <v>AXISVAL</v>
      </c>
      <c r="B2" s="186" t="s">
        <v>117</v>
      </c>
      <c r="C2" s="187"/>
      <c r="D2" s="187"/>
      <c r="E2" s="187"/>
      <c r="F2" s="187"/>
      <c r="G2" s="187"/>
      <c r="H2" s="187"/>
      <c r="I2" s="188"/>
      <c r="J2" s="2"/>
      <c r="M2" s="108" t="s">
        <v>116</v>
      </c>
    </row>
    <row r="3" spans="1:13" ht="12.95" customHeight="1">
      <c r="A3" s="2"/>
      <c r="B3" s="4"/>
      <c r="C3" s="2"/>
      <c r="D3" s="2"/>
      <c r="E3" s="2"/>
      <c r="F3" s="2"/>
      <c r="G3" s="2"/>
      <c r="H3" s="2"/>
      <c r="I3" s="2"/>
      <c r="J3" s="2"/>
    </row>
    <row r="4" spans="1:13" ht="12.95" customHeight="1">
      <c r="A4" s="5" t="s">
        <v>118</v>
      </c>
      <c r="B4" s="6" t="s">
        <v>4035</v>
      </c>
      <c r="C4" s="2"/>
      <c r="D4" s="2"/>
      <c r="E4" s="2"/>
      <c r="F4" s="2"/>
      <c r="G4" s="2"/>
      <c r="H4" s="2"/>
      <c r="I4" s="2"/>
      <c r="J4" s="2"/>
    </row>
    <row r="5" spans="1:13" ht="27.95" customHeight="1">
      <c r="A5" s="2"/>
      <c r="B5" s="7" t="s">
        <v>119</v>
      </c>
      <c r="C5" s="8" t="s">
        <v>120</v>
      </c>
      <c r="D5" s="9" t="s">
        <v>679</v>
      </c>
      <c r="E5" s="9" t="s">
        <v>122</v>
      </c>
      <c r="F5" s="9" t="s">
        <v>123</v>
      </c>
      <c r="G5" s="9" t="s">
        <v>124</v>
      </c>
      <c r="H5" s="9" t="s">
        <v>125</v>
      </c>
      <c r="I5" s="10" t="s">
        <v>126</v>
      </c>
      <c r="J5" s="11" t="s">
        <v>218</v>
      </c>
    </row>
    <row r="6" spans="1:13" ht="12.95" customHeight="1">
      <c r="A6" s="2"/>
      <c r="B6" s="12" t="s">
        <v>680</v>
      </c>
      <c r="C6" s="13"/>
      <c r="D6" s="13"/>
      <c r="E6" s="13"/>
      <c r="F6" s="13"/>
      <c r="G6" s="13"/>
      <c r="H6" s="14"/>
      <c r="I6" s="15"/>
      <c r="J6" s="2"/>
    </row>
    <row r="7" spans="1:13" ht="12.95" customHeight="1">
      <c r="A7" s="2"/>
      <c r="B7" s="12" t="s">
        <v>681</v>
      </c>
      <c r="C7" s="13"/>
      <c r="D7" s="13"/>
      <c r="E7" s="13"/>
      <c r="F7" s="2"/>
      <c r="G7" s="14"/>
      <c r="H7" s="14"/>
      <c r="I7" s="15"/>
      <c r="J7" s="2"/>
    </row>
    <row r="8" spans="1:13" ht="12.95" customHeight="1">
      <c r="A8" s="16" t="s">
        <v>1547</v>
      </c>
      <c r="B8" s="17" t="s">
        <v>1548</v>
      </c>
      <c r="C8" s="13" t="s">
        <v>1549</v>
      </c>
      <c r="D8" s="13" t="s">
        <v>778</v>
      </c>
      <c r="E8" s="18">
        <v>450000</v>
      </c>
      <c r="F8" s="19">
        <v>1500.08</v>
      </c>
      <c r="G8" s="20">
        <v>8.48E-2</v>
      </c>
      <c r="H8" s="36"/>
      <c r="I8" s="22"/>
      <c r="J8" s="2"/>
    </row>
    <row r="9" spans="1:13" ht="12.95" customHeight="1">
      <c r="A9" s="16" t="s">
        <v>799</v>
      </c>
      <c r="B9" s="17" t="s">
        <v>800</v>
      </c>
      <c r="C9" s="13" t="s">
        <v>801</v>
      </c>
      <c r="D9" s="13" t="s">
        <v>749</v>
      </c>
      <c r="E9" s="18">
        <v>175000</v>
      </c>
      <c r="F9" s="19">
        <v>1431.94</v>
      </c>
      <c r="G9" s="20">
        <v>8.1000000000000003E-2</v>
      </c>
      <c r="H9" s="36"/>
      <c r="I9" s="22"/>
      <c r="J9" s="2"/>
    </row>
    <row r="10" spans="1:13" ht="12.95" customHeight="1">
      <c r="A10" s="16" t="s">
        <v>3125</v>
      </c>
      <c r="B10" s="17" t="s">
        <v>3126</v>
      </c>
      <c r="C10" s="13" t="s">
        <v>3127</v>
      </c>
      <c r="D10" s="13" t="s">
        <v>723</v>
      </c>
      <c r="E10" s="18">
        <v>28788</v>
      </c>
      <c r="F10" s="19">
        <v>1384.3</v>
      </c>
      <c r="G10" s="20">
        <v>7.8299999999999995E-2</v>
      </c>
      <c r="H10" s="36"/>
      <c r="I10" s="22"/>
      <c r="J10" s="2"/>
    </row>
    <row r="11" spans="1:13" ht="12.95" customHeight="1">
      <c r="A11" s="16" t="s">
        <v>1768</v>
      </c>
      <c r="B11" s="17" t="s">
        <v>1769</v>
      </c>
      <c r="C11" s="13" t="s">
        <v>1770</v>
      </c>
      <c r="D11" s="13" t="s">
        <v>731</v>
      </c>
      <c r="E11" s="18">
        <v>95000</v>
      </c>
      <c r="F11" s="19">
        <v>1215.57</v>
      </c>
      <c r="G11" s="20">
        <v>6.88E-2</v>
      </c>
      <c r="H11" s="36"/>
      <c r="I11" s="22"/>
      <c r="J11" s="2"/>
    </row>
    <row r="12" spans="1:13" ht="12.95" customHeight="1">
      <c r="A12" s="16" t="s">
        <v>997</v>
      </c>
      <c r="B12" s="17" t="s">
        <v>998</v>
      </c>
      <c r="C12" s="13" t="s">
        <v>999</v>
      </c>
      <c r="D12" s="13" t="s">
        <v>1000</v>
      </c>
      <c r="E12" s="18">
        <v>300000</v>
      </c>
      <c r="F12" s="19">
        <v>909.6</v>
      </c>
      <c r="G12" s="20">
        <v>5.1400000000000001E-2</v>
      </c>
      <c r="H12" s="36"/>
      <c r="I12" s="22"/>
      <c r="J12" s="2"/>
    </row>
    <row r="13" spans="1:13" ht="12.95" customHeight="1">
      <c r="A13" s="16" t="s">
        <v>1786</v>
      </c>
      <c r="B13" s="17" t="s">
        <v>1787</v>
      </c>
      <c r="C13" s="13" t="s">
        <v>1788</v>
      </c>
      <c r="D13" s="13" t="s">
        <v>723</v>
      </c>
      <c r="E13" s="18">
        <v>475000</v>
      </c>
      <c r="F13" s="19">
        <v>879.7</v>
      </c>
      <c r="G13" s="20">
        <v>4.9799999999999997E-2</v>
      </c>
      <c r="H13" s="36"/>
      <c r="I13" s="22"/>
      <c r="J13" s="2"/>
    </row>
    <row r="14" spans="1:13" ht="12.95" customHeight="1">
      <c r="A14" s="16" t="s">
        <v>2951</v>
      </c>
      <c r="B14" s="17" t="s">
        <v>2952</v>
      </c>
      <c r="C14" s="13" t="s">
        <v>2953</v>
      </c>
      <c r="D14" s="13" t="s">
        <v>959</v>
      </c>
      <c r="E14" s="18">
        <v>62780</v>
      </c>
      <c r="F14" s="19">
        <v>873.74</v>
      </c>
      <c r="G14" s="20">
        <v>4.9399999999999999E-2</v>
      </c>
      <c r="H14" s="36"/>
      <c r="I14" s="22"/>
      <c r="J14" s="2"/>
    </row>
    <row r="15" spans="1:13" ht="12.95" customHeight="1">
      <c r="A15" s="16" t="s">
        <v>808</v>
      </c>
      <c r="B15" s="17" t="s">
        <v>809</v>
      </c>
      <c r="C15" s="13" t="s">
        <v>810</v>
      </c>
      <c r="D15" s="13" t="s">
        <v>778</v>
      </c>
      <c r="E15" s="18">
        <v>100000</v>
      </c>
      <c r="F15" s="19">
        <v>803.05</v>
      </c>
      <c r="G15" s="20">
        <v>4.5400000000000003E-2</v>
      </c>
      <c r="H15" s="36"/>
      <c r="I15" s="22"/>
      <c r="J15" s="2"/>
    </row>
    <row r="16" spans="1:13" ht="12.95" customHeight="1">
      <c r="A16" s="16" t="s">
        <v>716</v>
      </c>
      <c r="B16" s="17" t="s">
        <v>717</v>
      </c>
      <c r="C16" s="13" t="s">
        <v>718</v>
      </c>
      <c r="D16" s="13" t="s">
        <v>685</v>
      </c>
      <c r="E16" s="18">
        <v>400000</v>
      </c>
      <c r="F16" s="19">
        <v>763.6</v>
      </c>
      <c r="G16" s="20">
        <v>4.3200000000000002E-2</v>
      </c>
      <c r="H16" s="36"/>
      <c r="I16" s="22"/>
      <c r="J16" s="2"/>
    </row>
    <row r="17" spans="1:10" ht="12.95" customHeight="1">
      <c r="A17" s="16" t="s">
        <v>772</v>
      </c>
      <c r="B17" s="17" t="s">
        <v>773</v>
      </c>
      <c r="C17" s="13" t="s">
        <v>774</v>
      </c>
      <c r="D17" s="13" t="s">
        <v>731</v>
      </c>
      <c r="E17" s="18">
        <v>50000</v>
      </c>
      <c r="F17" s="19">
        <v>690.3</v>
      </c>
      <c r="G17" s="20">
        <v>3.9E-2</v>
      </c>
      <c r="H17" s="36"/>
      <c r="I17" s="22"/>
      <c r="J17" s="2"/>
    </row>
    <row r="18" spans="1:10" ht="12.95" customHeight="1">
      <c r="A18" s="16" t="s">
        <v>1795</v>
      </c>
      <c r="B18" s="17" t="s">
        <v>1796</v>
      </c>
      <c r="C18" s="13" t="s">
        <v>1797</v>
      </c>
      <c r="D18" s="13" t="s">
        <v>723</v>
      </c>
      <c r="E18" s="18">
        <v>100000</v>
      </c>
      <c r="F18" s="19">
        <v>686.8</v>
      </c>
      <c r="G18" s="20">
        <v>3.8800000000000001E-2</v>
      </c>
      <c r="H18" s="36"/>
      <c r="I18" s="22"/>
      <c r="J18" s="2"/>
    </row>
    <row r="19" spans="1:10" ht="12.95" customHeight="1">
      <c r="A19" s="16" t="s">
        <v>2954</v>
      </c>
      <c r="B19" s="17" t="s">
        <v>2955</v>
      </c>
      <c r="C19" s="13" t="s">
        <v>2956</v>
      </c>
      <c r="D19" s="13" t="s">
        <v>1569</v>
      </c>
      <c r="E19" s="18">
        <v>200000</v>
      </c>
      <c r="F19" s="19">
        <v>632</v>
      </c>
      <c r="G19" s="20">
        <v>3.5700000000000003E-2</v>
      </c>
      <c r="H19" s="36"/>
      <c r="I19" s="22"/>
      <c r="J19" s="2"/>
    </row>
    <row r="20" spans="1:10" ht="12.95" customHeight="1">
      <c r="A20" s="16" t="s">
        <v>1553</v>
      </c>
      <c r="B20" s="17" t="s">
        <v>1554</v>
      </c>
      <c r="C20" s="13" t="s">
        <v>1555</v>
      </c>
      <c r="D20" s="13" t="s">
        <v>1556</v>
      </c>
      <c r="E20" s="18">
        <v>124000</v>
      </c>
      <c r="F20" s="19">
        <v>196.85</v>
      </c>
      <c r="G20" s="20">
        <v>1.11E-2</v>
      </c>
      <c r="H20" s="36"/>
      <c r="I20" s="22"/>
      <c r="J20" s="2"/>
    </row>
    <row r="21" spans="1:10" ht="12.95" customHeight="1">
      <c r="A21" s="16" t="s">
        <v>793</v>
      </c>
      <c r="B21" s="17" t="s">
        <v>794</v>
      </c>
      <c r="C21" s="13" t="s">
        <v>795</v>
      </c>
      <c r="D21" s="13" t="s">
        <v>723</v>
      </c>
      <c r="E21" s="18">
        <v>6984</v>
      </c>
      <c r="F21" s="19">
        <v>48.07</v>
      </c>
      <c r="G21" s="20">
        <v>2.7000000000000001E-3</v>
      </c>
      <c r="H21" s="36"/>
      <c r="I21" s="22"/>
      <c r="J21" s="2"/>
    </row>
    <row r="22" spans="1:10" ht="12.95" customHeight="1">
      <c r="A22" s="2"/>
      <c r="B22" s="12" t="s">
        <v>172</v>
      </c>
      <c r="C22" s="13"/>
      <c r="D22" s="13"/>
      <c r="E22" s="13"/>
      <c r="F22" s="23">
        <v>12015.6</v>
      </c>
      <c r="G22" s="24">
        <v>0.6794</v>
      </c>
      <c r="H22" s="25"/>
      <c r="I22" s="26"/>
      <c r="J22" s="2"/>
    </row>
    <row r="23" spans="1:10" ht="12.95" customHeight="1">
      <c r="A23" s="2"/>
      <c r="B23" s="27" t="s">
        <v>719</v>
      </c>
      <c r="C23" s="1"/>
      <c r="D23" s="1"/>
      <c r="E23" s="1"/>
      <c r="F23" s="25" t="s">
        <v>204</v>
      </c>
      <c r="G23" s="25" t="s">
        <v>204</v>
      </c>
      <c r="H23" s="25"/>
      <c r="I23" s="26"/>
      <c r="J23" s="2"/>
    </row>
    <row r="24" spans="1:10" ht="12.95" customHeight="1">
      <c r="A24" s="2"/>
      <c r="B24" s="27" t="s">
        <v>172</v>
      </c>
      <c r="C24" s="1"/>
      <c r="D24" s="1"/>
      <c r="E24" s="1"/>
      <c r="F24" s="25" t="s">
        <v>204</v>
      </c>
      <c r="G24" s="25" t="s">
        <v>204</v>
      </c>
      <c r="H24" s="25"/>
      <c r="I24" s="26"/>
      <c r="J24" s="2"/>
    </row>
    <row r="25" spans="1:10" ht="12.95" customHeight="1">
      <c r="A25" s="2"/>
      <c r="B25" s="27" t="s">
        <v>177</v>
      </c>
      <c r="C25" s="28"/>
      <c r="D25" s="1"/>
      <c r="E25" s="28"/>
      <c r="F25" s="23">
        <v>12015.6</v>
      </c>
      <c r="G25" s="24">
        <v>0.6794</v>
      </c>
      <c r="H25" s="25"/>
      <c r="I25" s="26"/>
      <c r="J25" s="2"/>
    </row>
    <row r="26" spans="1:10" ht="12.95" customHeight="1">
      <c r="A26" s="2"/>
      <c r="B26" s="12" t="s">
        <v>178</v>
      </c>
      <c r="C26" s="13"/>
      <c r="D26" s="13"/>
      <c r="E26" s="13"/>
      <c r="F26" s="13"/>
      <c r="G26" s="13"/>
      <c r="H26" s="14"/>
      <c r="I26" s="15"/>
      <c r="J26" s="2"/>
    </row>
    <row r="27" spans="1:10" ht="12.95" customHeight="1">
      <c r="A27" s="16" t="s">
        <v>179</v>
      </c>
      <c r="B27" s="17" t="s">
        <v>180</v>
      </c>
      <c r="C27" s="13"/>
      <c r="D27" s="13"/>
      <c r="E27" s="18"/>
      <c r="F27" s="19">
        <v>5745.5</v>
      </c>
      <c r="G27" s="20">
        <v>0.32500000000000001</v>
      </c>
      <c r="H27" s="21">
        <v>3.3046205645189793E-2</v>
      </c>
      <c r="I27" s="22"/>
      <c r="J27" s="2"/>
    </row>
    <row r="28" spans="1:10" ht="12.95" customHeight="1">
      <c r="A28" s="2"/>
      <c r="B28" s="12" t="s">
        <v>172</v>
      </c>
      <c r="C28" s="13"/>
      <c r="D28" s="13"/>
      <c r="E28" s="13"/>
      <c r="F28" s="23">
        <v>5745.5</v>
      </c>
      <c r="G28" s="24">
        <v>0.32500000000000001</v>
      </c>
      <c r="H28" s="25"/>
      <c r="I28" s="26"/>
      <c r="J28" s="2"/>
    </row>
    <row r="29" spans="1:10" ht="12.95" customHeight="1">
      <c r="A29" s="2"/>
      <c r="B29" s="27" t="s">
        <v>177</v>
      </c>
      <c r="C29" s="28"/>
      <c r="D29" s="1"/>
      <c r="E29" s="28"/>
      <c r="F29" s="23">
        <v>5745.5</v>
      </c>
      <c r="G29" s="24">
        <v>0.32500000000000001</v>
      </c>
      <c r="H29" s="25"/>
      <c r="I29" s="26"/>
      <c r="J29" s="2"/>
    </row>
    <row r="30" spans="1:10" ht="12.95" customHeight="1">
      <c r="A30" s="2"/>
      <c r="B30" s="27" t="s">
        <v>181</v>
      </c>
      <c r="C30" s="13"/>
      <c r="D30" s="1"/>
      <c r="E30" s="13"/>
      <c r="F30" s="29">
        <v>-80.52</v>
      </c>
      <c r="G30" s="24">
        <v>-4.4000000000000003E-3</v>
      </c>
      <c r="H30" s="25"/>
      <c r="I30" s="26"/>
      <c r="J30" s="2"/>
    </row>
    <row r="31" spans="1:10" ht="12.95" customHeight="1">
      <c r="A31" s="2"/>
      <c r="B31" s="30" t="s">
        <v>182</v>
      </c>
      <c r="C31" s="31"/>
      <c r="D31" s="31"/>
      <c r="E31" s="31"/>
      <c r="F31" s="32">
        <v>17680.580000000002</v>
      </c>
      <c r="G31" s="33">
        <v>1</v>
      </c>
      <c r="H31" s="34"/>
      <c r="I31" s="35"/>
      <c r="J31" s="2"/>
    </row>
    <row r="32" spans="1:10" ht="12.95" customHeight="1">
      <c r="A32" s="2"/>
      <c r="B32" s="5"/>
      <c r="C32" s="2"/>
      <c r="D32" s="2"/>
      <c r="E32" s="2"/>
      <c r="F32" s="2"/>
      <c r="G32" s="2"/>
      <c r="H32" s="2"/>
      <c r="I32" s="2"/>
      <c r="J32" s="2"/>
    </row>
    <row r="33" spans="1:10" ht="12.95" customHeight="1">
      <c r="A33" s="2"/>
      <c r="B33" s="3" t="s">
        <v>244</v>
      </c>
      <c r="C33" s="2"/>
      <c r="D33" s="2"/>
      <c r="E33" s="2"/>
      <c r="F33" s="2"/>
      <c r="G33" s="2"/>
      <c r="H33" s="2"/>
      <c r="I33" s="2"/>
      <c r="J33" s="2"/>
    </row>
    <row r="34" spans="1:10" ht="12.95" customHeight="1">
      <c r="A34" s="2"/>
      <c r="B34" s="3" t="s">
        <v>186</v>
      </c>
      <c r="C34" s="2"/>
      <c r="D34" s="2"/>
      <c r="E34" s="2"/>
      <c r="F34" s="2"/>
      <c r="G34" s="2"/>
      <c r="H34" s="2"/>
      <c r="I34" s="2"/>
      <c r="J34" s="2"/>
    </row>
    <row r="35" spans="1:10" ht="23.25" customHeight="1">
      <c r="A35" s="2"/>
      <c r="B35" s="189" t="s">
        <v>4025</v>
      </c>
      <c r="C35" s="189"/>
      <c r="D35" s="189"/>
      <c r="E35" s="189"/>
      <c r="F35" s="189"/>
      <c r="G35" s="189"/>
      <c r="H35" s="189"/>
      <c r="I35" s="189"/>
      <c r="J35" s="2"/>
    </row>
    <row r="36" spans="1:10" ht="12.95" customHeight="1">
      <c r="A36" s="2"/>
      <c r="B36" s="3"/>
      <c r="C36" s="2"/>
      <c r="D36" s="2"/>
      <c r="E36" s="2"/>
      <c r="F36" s="2"/>
      <c r="G36" s="2"/>
      <c r="H36" s="2"/>
      <c r="I36" s="2"/>
      <c r="J36" s="2"/>
    </row>
    <row r="37" spans="1:10">
      <c r="C37" s="111" t="s">
        <v>3967</v>
      </c>
    </row>
    <row r="38" spans="1:10">
      <c r="B38" s="111" t="s">
        <v>3933</v>
      </c>
      <c r="C38" s="111" t="s">
        <v>3934</v>
      </c>
    </row>
  </sheetData>
  <mergeCells count="2">
    <mergeCell ref="B2:I2"/>
    <mergeCell ref="B35:I35"/>
  </mergeCells>
  <hyperlinks>
    <hyperlink ref="A2" location="Index!A1" display="Index"/>
  </hyperlinks>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58</vt:i4>
      </vt:variant>
      <vt:variant>
        <vt:lpstr>Named Ranges</vt:lpstr>
      </vt:variant>
      <vt:variant>
        <vt:i4>57</vt:i4>
      </vt:variant>
    </vt:vector>
  </HeadingPairs>
  <TitlesOfParts>
    <vt:vector size="115" baseType="lpstr">
      <vt:lpstr>Index</vt:lpstr>
      <vt:lpstr>AXIS100</vt:lpstr>
      <vt:lpstr>AXIS101</vt:lpstr>
      <vt:lpstr>AXIS102</vt:lpstr>
      <vt:lpstr>AXIS104</vt:lpstr>
      <vt:lpstr>AXISASD</vt:lpstr>
      <vt:lpstr>AXISBDF</vt:lpstr>
      <vt:lpstr>AXISBETF</vt:lpstr>
      <vt:lpstr>AXISCB1</vt:lpstr>
      <vt:lpstr>AXISCB4</vt:lpstr>
      <vt:lpstr>AXISCETF</vt:lpstr>
      <vt:lpstr>AXISCGF</vt:lpstr>
      <vt:lpstr>AXISCOF</vt:lpstr>
      <vt:lpstr>AXISDBF</vt:lpstr>
      <vt:lpstr>AXISDEF</vt:lpstr>
      <vt:lpstr>AXISEA1</vt:lpstr>
      <vt:lpstr>AXISEAF</vt:lpstr>
      <vt:lpstr>AXISEHF</vt:lpstr>
      <vt:lpstr>AXISEQF</vt:lpstr>
      <vt:lpstr>AXISESF</vt:lpstr>
      <vt:lpstr>AXISESG</vt:lpstr>
      <vt:lpstr>AXISF25</vt:lpstr>
      <vt:lpstr>AXISFLO</vt:lpstr>
      <vt:lpstr>AXISGCE</vt:lpstr>
      <vt:lpstr>AXISGEA</vt:lpstr>
      <vt:lpstr>AXISGETF</vt:lpstr>
      <vt:lpstr>AXISGIF</vt:lpstr>
      <vt:lpstr>AXISGLD</vt:lpstr>
      <vt:lpstr>AXISGOF</vt:lpstr>
      <vt:lpstr>AXISHETF</vt:lpstr>
      <vt:lpstr>AXISIFD</vt:lpstr>
      <vt:lpstr>AXISIOF</vt:lpstr>
      <vt:lpstr>AXISISF</vt:lpstr>
      <vt:lpstr>AXISLFA</vt:lpstr>
      <vt:lpstr>AXISM10</vt:lpstr>
      <vt:lpstr>AXISMCF</vt:lpstr>
      <vt:lpstr>AXISMLF</vt:lpstr>
      <vt:lpstr>AXISMMF</vt:lpstr>
      <vt:lpstr>AXISNETF</vt:lpstr>
      <vt:lpstr>AXISNIF</vt:lpstr>
      <vt:lpstr>AXISONF</vt:lpstr>
      <vt:lpstr>AXISQUA</vt:lpstr>
      <vt:lpstr>AXISRAP</vt:lpstr>
      <vt:lpstr>AXISRCP</vt:lpstr>
      <vt:lpstr>AXISRDP</vt:lpstr>
      <vt:lpstr>AXISS95</vt:lpstr>
      <vt:lpstr>AXISS96</vt:lpstr>
      <vt:lpstr>AXISS97</vt:lpstr>
      <vt:lpstr>AXISSCF</vt:lpstr>
      <vt:lpstr>AXISSETF</vt:lpstr>
      <vt:lpstr>AXISSSF</vt:lpstr>
      <vt:lpstr>AXISSTF</vt:lpstr>
      <vt:lpstr>AXISTAA</vt:lpstr>
      <vt:lpstr>AXISTAF</vt:lpstr>
      <vt:lpstr>AXISTETF</vt:lpstr>
      <vt:lpstr>AXISTSF</vt:lpstr>
      <vt:lpstr>AXISUSF</vt:lpstr>
      <vt:lpstr>AXISVAL</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2021-10-06T15:13:37Z</dcterms:created>
  <dcterms:modified xsi:type="dcterms:W3CDTF">2021-10-08T20:55:33Z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2e5aee-7e3e-4671-813f-7244f38888b2_Enabled">
    <vt:lpwstr>True</vt:lpwstr>
  </property>
  <property fmtid="{D5CDD505-2E9C-101B-9397-08002B2CF9AE}" pid="3" name="MSIP_Label_1c2e5aee-7e3e-4671-813f-7244f38888b2_SiteId">
    <vt:lpwstr>1e9b61e8-e590-4abc-b1af-24125e330d2a</vt:lpwstr>
  </property>
  <property fmtid="{D5CDD505-2E9C-101B-9397-08002B2CF9AE}" pid="4" name="MSIP_Label_1c2e5aee-7e3e-4671-813f-7244f38888b2_Owner">
    <vt:lpwstr>sajit.nayar@db.com</vt:lpwstr>
  </property>
  <property fmtid="{D5CDD505-2E9C-101B-9397-08002B2CF9AE}" pid="5" name="MSIP_Label_1c2e5aee-7e3e-4671-813f-7244f38888b2_SetDate">
    <vt:lpwstr>2021-10-07T13:01:16.9035241Z</vt:lpwstr>
  </property>
  <property fmtid="{D5CDD505-2E9C-101B-9397-08002B2CF9AE}" pid="6" name="MSIP_Label_1c2e5aee-7e3e-4671-813f-7244f38888b2_Name">
    <vt:lpwstr>Confidential</vt:lpwstr>
  </property>
  <property fmtid="{D5CDD505-2E9C-101B-9397-08002B2CF9AE}" pid="7" name="MSIP_Label_1c2e5aee-7e3e-4671-813f-7244f38888b2_Application">
    <vt:lpwstr>Microsoft Azure Information Protection</vt:lpwstr>
  </property>
  <property fmtid="{D5CDD505-2E9C-101B-9397-08002B2CF9AE}" pid="8" name="MSIP_Label_1c2e5aee-7e3e-4671-813f-7244f38888b2_ActionId">
    <vt:lpwstr>2d993631-e265-41ec-9eed-fce3d6c39eb5</vt:lpwstr>
  </property>
  <property fmtid="{D5CDD505-2E9C-101B-9397-08002B2CF9AE}" pid="9" name="MSIP_Label_1c2e5aee-7e3e-4671-813f-7244f38888b2_Extended_MSFT_Method">
    <vt:lpwstr>Automatic</vt:lpwstr>
  </property>
  <property fmtid="{D5CDD505-2E9C-101B-9397-08002B2CF9AE}" pid="10" name="db.comClassification">
    <vt:lpwstr>Confidential</vt:lpwstr>
  </property>
</Properties>
</file>