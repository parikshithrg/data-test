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C46DACE7-FAA8-4098-A104-8FA90B4CB245}" xr6:coauthVersionLast="47" xr6:coauthVersionMax="47" xr10:uidLastSave="{00000000-0000-0000-0000-000000000000}"/>
  <bookViews>
    <workbookView xWindow="-108" yWindow="-108" windowWidth="41496" windowHeight="16776" xr2:uid="{FAFAA757-16F0-4142-8764-DE3AA5ED32A1}"/>
  </bookViews>
  <sheets>
    <sheet name="AXISESG" sheetId="1" r:id="rId1"/>
  </sheets>
  <definedNames>
    <definedName name="_xlnm._FilterDatabase" localSheetId="0" hidden="1">AXISESG!$A$4:$L$58</definedName>
    <definedName name="JR_PAGE_ANCHOR_0_26">AXISESG!$A$1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3" i="1" l="1"/>
  <c r="B61" i="1" s="1"/>
  <c r="A52" i="1"/>
  <c r="B60" i="1" s="1"/>
</calcChain>
</file>

<file path=xl/sharedStrings.xml><?xml version="1.0" encoding="utf-8"?>
<sst xmlns="http://schemas.openxmlformats.org/spreadsheetml/2006/main" count="281" uniqueCount="247">
  <si>
    <t>AXISESG</t>
  </si>
  <si>
    <t>Axis ESG Integration Strategy Fund</t>
  </si>
  <si>
    <t xml:space="preserve">
  </t>
  </si>
  <si>
    <t>Monthly Portfolio Statement as on July 31, 2026</t>
  </si>
  <si>
    <t>Name of the Instrument</t>
  </si>
  <si>
    <t>ISIN</t>
  </si>
  <si>
    <t>Industry</t>
  </si>
  <si>
    <t>Quantity</t>
  </si>
  <si>
    <t>Market/Fair Value
 (Rs. in Lakhs)</t>
  </si>
  <si>
    <t>% to Net
 Assets</t>
  </si>
  <si>
    <t>YTM~</t>
  </si>
  <si>
    <t>YTC^</t>
  </si>
  <si>
    <t>ESG Score $</t>
  </si>
  <si>
    <t>Core ESG Score</t>
  </si>
  <si>
    <t>Link to BRSR</t>
  </si>
  <si>
    <t>Equity &amp; Equity related</t>
  </si>
  <si>
    <t>(a) Listed / awaiting listing on Stock Exchanges</t>
  </si>
  <si>
    <t>IBCL05</t>
  </si>
  <si>
    <t>ICICI Bank Limited</t>
  </si>
  <si>
    <t>INE090A01021</t>
  </si>
  <si>
    <t>Banks</t>
  </si>
  <si>
    <t>https://www.icicibank.com/content/dam/icicibank/managed-assets/docs/investor/annual-reports/2025/icici-bank-brsr-2025.pdf</t>
  </si>
  <si>
    <t>BAFL03</t>
  </si>
  <si>
    <t>Bajaj Finance Limited</t>
  </si>
  <si>
    <t>INE296A01032</t>
  </si>
  <si>
    <t>Finance</t>
  </si>
  <si>
    <t>https://www.bseindia.com/xml-data/corpfiling/AttachHis//b080fcc4-f9b5-4a8d-9cf5-fe5c4a1e7e92.pdf</t>
  </si>
  <si>
    <t>TWAT02</t>
  </si>
  <si>
    <t>Titan Company Limited</t>
  </si>
  <si>
    <t>INE280A01028</t>
  </si>
  <si>
    <t>Consumer Durables</t>
  </si>
  <si>
    <t>https://www.bseindia.com/stockinfo/AnnPdfOpen.aspx?Pname=\ca45f9c9-e992-4358-8886-6d82c856295c.pdf</t>
  </si>
  <si>
    <t>HDFB03</t>
  </si>
  <si>
    <t>HDFC Bank Limited</t>
  </si>
  <si>
    <t>INE040A01034</t>
  </si>
  <si>
    <t>https://nsearchives.nseindia.com/corporate/HDFCBANK_14072025080813_BRSR.pdf</t>
  </si>
  <si>
    <t>RIND01</t>
  </si>
  <si>
    <t>Reliance Industries Limited</t>
  </si>
  <si>
    <t>INE002A01018</t>
  </si>
  <si>
    <t>Petroleum Products</t>
  </si>
  <si>
    <t>https://www.bseindia.com/stockinfo/AnnPdfOpen.aspx?Pname=\648b7ceb-a0c5-4f5c-a8d9-80f687561427.pdf</t>
  </si>
  <si>
    <t>UTIB02</t>
  </si>
  <si>
    <t>Axis Bank Limited</t>
  </si>
  <si>
    <t>INE238A01034</t>
  </si>
  <si>
    <t>https://www.bseindia.com/stockinfo/AnnPdfOpen.aspx?Pname=\f9c525c6-500b-418a-ba1c-de529d668fed.pdf</t>
  </si>
  <si>
    <t>SHTR02</t>
  </si>
  <si>
    <t>Shriram Finance Limited</t>
  </si>
  <si>
    <t>INE721A01047</t>
  </si>
  <si>
    <t>Corporate Filings Bussiness and Sustainability Reports</t>
  </si>
  <si>
    <t>APOL02</t>
  </si>
  <si>
    <t>Apollo Hospitals Enterprise Limited</t>
  </si>
  <si>
    <t>INE437A01024</t>
  </si>
  <si>
    <t>Healthcare Services</t>
  </si>
  <si>
    <t>https://www.bseindia.com/stockinfo/AnnPdfOpen.aspx?Pname=\550ebf61-11e4-4de0-98ce-7e25abacd9eb.pdf</t>
  </si>
  <si>
    <t>MAUD01</t>
  </si>
  <si>
    <t>Maruti Suzuki India Limited</t>
  </si>
  <si>
    <t>INE585B01010</t>
  </si>
  <si>
    <t>Automobiles</t>
  </si>
  <si>
    <t>https://www.bseindia.com/XBRLFILES/BRSRDuplicateUploadDocument/BRSR_532500_582025212232_BRSR.html</t>
  </si>
  <si>
    <t>SPIL03</t>
  </si>
  <si>
    <t>Sun Pharmaceutical Industries Limited</t>
  </si>
  <si>
    <t>INE044A01036</t>
  </si>
  <si>
    <t>Pharmaceuticals &amp; Biotechnology</t>
  </si>
  <si>
    <t>https://www.bseindia.com/stockinfo/AnnPdfOpen.aspx?Pname=\fc38eee2-c7fa-44bb-81a2-f13c151eff8d.pdf</t>
  </si>
  <si>
    <t>BSEL02</t>
  </si>
  <si>
    <t>BSE Limited</t>
  </si>
  <si>
    <t>INE118H01025</t>
  </si>
  <si>
    <t>Capital Markets</t>
  </si>
  <si>
    <t>https://nsearchives.nseindia.com/corporate/BSE1_24072025105146_NSEIntimationBRSR.pdf</t>
  </si>
  <si>
    <t>RELC01</t>
  </si>
  <si>
    <t>REC Limited</t>
  </si>
  <si>
    <t>INE020B01018</t>
  </si>
  <si>
    <t>https://www.bseindia.com/stockinfo/AnnPdfOpen.aspx?Pname=\80b37781-d471-4059-9bd4-3565e171f547.pdf</t>
  </si>
  <si>
    <t>TOPH02</t>
  </si>
  <si>
    <t>Torrent Pharmaceuticals Limited</t>
  </si>
  <si>
    <t>INE685A01028</t>
  </si>
  <si>
    <t>https://www.bseindia.com/stockinfo/AnnPdfOpen.aspx?Pname=\a5e846a9-9190-4494-a112-590cf018c735.pdf</t>
  </si>
  <si>
    <t>BIOC01</t>
  </si>
  <si>
    <t>Biocon Limited</t>
  </si>
  <si>
    <t>INE376G01013</t>
  </si>
  <si>
    <t>https://www.biocon.com/docs/Biocon_BRSR_GRI_ESG_Databook_2025.pdf</t>
  </si>
  <si>
    <t>METR01</t>
  </si>
  <si>
    <t>Metropolis Healthcare Limited</t>
  </si>
  <si>
    <t>INE112L01020</t>
  </si>
  <si>
    <t>NA</t>
  </si>
  <si>
    <t>https://www.bseindia.com/stockinfo/AnnPdfOpen.aspx?Pname=\4c2b71cd-836b-4e11-b776-4585395c0469.pdf</t>
  </si>
  <si>
    <t>CROM02</t>
  </si>
  <si>
    <t>CG Power and Industrial Solutions Limited</t>
  </si>
  <si>
    <t>INE067A01029</t>
  </si>
  <si>
    <t>Electrical Equipment</t>
  </si>
  <si>
    <t>https://www.bseindia.com/stockinfo/AnnPdfOpen.aspx?Pname=\d67c6521-ce86-4409-ba8d-943b6f265a0d.pdf</t>
  </si>
  <si>
    <t>SBAI02</t>
  </si>
  <si>
    <t>State Bank of India</t>
  </si>
  <si>
    <t>INE062A01020</t>
  </si>
  <si>
    <t>https://www.bseindia.com/stockinfo/AnnPdfOpen.aspx?Pname=\938c3dc8-b424-40fc-836b-101415d323cd.pdf</t>
  </si>
  <si>
    <t>TTEA02</t>
  </si>
  <si>
    <t>Tata Consumer Products Limited</t>
  </si>
  <si>
    <t>INE192A01025</t>
  </si>
  <si>
    <t>Agricultural Food &amp; other Products</t>
  </si>
  <si>
    <t>https://www.bseindia.com/stockinfo/AnnPdfOpen.aspx?Pname=\4c8ef117-d14c-4e96-9224-3c9593fac70d.pdf</t>
  </si>
  <si>
    <t>VNBL03</t>
  </si>
  <si>
    <t>Varun Beverages Limited</t>
  </si>
  <si>
    <t>INE200M01039</t>
  </si>
  <si>
    <t>Beverages</t>
  </si>
  <si>
    <t>https://www.bseindia.com/stockinfo/AnnPdfOpen.aspx?Pname=\65486ad5-1835-4414-9038-51543138d964.pdf</t>
  </si>
  <si>
    <t>NITL02</t>
  </si>
  <si>
    <t>Coforge Limited</t>
  </si>
  <si>
    <t>INE591G01025</t>
  </si>
  <si>
    <t>IT - Software</t>
  </si>
  <si>
    <t>https://www.bseindia.com/stockinfo/AnnPdfOpen.aspx?Pname=\0f8fd330-0e79-4b82-95ac-cc7395551655.pdf</t>
  </si>
  <si>
    <t>BHAH02</t>
  </si>
  <si>
    <t>Bharat Heavy Electricals Limited</t>
  </si>
  <si>
    <t>INE257A01026</t>
  </si>
  <si>
    <t>https://www.bseindia.com/stockinfo/AnnPdfOpen.aspx?Pname=\c60c4660-b005-47f1-9a51-b07cdb1e4b55.pdf</t>
  </si>
  <si>
    <t>NTPC01</t>
  </si>
  <si>
    <t>NTPC Limited</t>
  </si>
  <si>
    <t>INE733E01010</t>
  </si>
  <si>
    <t>Power</t>
  </si>
  <si>
    <t>https://www.bseindia.com/stockinfo/AnnPdfOpen.aspx?Pname=\9ad15a94-9405-4bc8-9d30-107e2cad4558.pdf</t>
  </si>
  <si>
    <t>IHOT02</t>
  </si>
  <si>
    <t>The Indian Hotels Company Limited</t>
  </si>
  <si>
    <t>INE053A01029</t>
  </si>
  <si>
    <t>Leisure Services</t>
  </si>
  <si>
    <t>https://www.bseindia.com/stockinfo/AnnPdfOpen.aspx?Pname=\39c729e6-6af2-461f-9701-da762cd64cd7.pdf</t>
  </si>
  <si>
    <t>CHAL01</t>
  </si>
  <si>
    <t>Chalet Hotels Limited</t>
  </si>
  <si>
    <t>INE427F01016</t>
  </si>
  <si>
    <t>https://www.bseindia.com/stockinfo/AnnPdfOpen.aspx?Pname=\04fd42c2-744a-4d8c-aa09-754c178c30ed.pdf</t>
  </si>
  <si>
    <t>MAHI02</t>
  </si>
  <si>
    <t>Mahindra &amp; Mahindra Limited</t>
  </si>
  <si>
    <t>INE101A01026</t>
  </si>
  <si>
    <t>https://www.bseindia.com/stockinfo/AnnPdfOpen.aspx?Pname=\32937808-266c-4aec-86e0-8bf550558d19.pdf</t>
  </si>
  <si>
    <t>KCUL02</t>
  </si>
  <si>
    <t>Cummins India Limited</t>
  </si>
  <si>
    <t>INE298A01020</t>
  </si>
  <si>
    <t>Industrial Products</t>
  </si>
  <si>
    <t>https://www.bseindia.com/stockinfo/AnnPdfOpen.aspx?Pname=\c81a5ab1-eb1c-4935-9048-42a62678afc5.pdf</t>
  </si>
  <si>
    <t>KIMS02</t>
  </si>
  <si>
    <t>Krishna Institute Of Medical Sciences Limited</t>
  </si>
  <si>
    <t>INE967H01025</t>
  </si>
  <si>
    <t>https://www.bseindia.com/stockinfo/AnnPdfOpen.aspx?Pname=\9d54303c-b410-495d-9e5a-286afff541c6.pdf</t>
  </si>
  <si>
    <t>STHE01</t>
  </si>
  <si>
    <t>Star Health And Allied Insurance Company Limited</t>
  </si>
  <si>
    <t>INE575P01011</t>
  </si>
  <si>
    <t>Insurance</t>
  </si>
  <si>
    <t>https://www.bseindia.com/stockinfo/AnnPdfOpen.aspx?Pname=\c02901d2-813f-44b4-bbc9-4fe57675cfdb.pdf</t>
  </si>
  <si>
    <t>TBOT01</t>
  </si>
  <si>
    <t>TBO Tek Limited</t>
  </si>
  <si>
    <t>INE673O01025</t>
  </si>
  <si>
    <t>EIML02</t>
  </si>
  <si>
    <t>Eicher Motors Limited</t>
  </si>
  <si>
    <t>INE066A01021</t>
  </si>
  <si>
    <t>https://www.bseindia.com/stockinfo/AnnPdfOpen.aspx?Pname=\2c745f12-4715-4138-a7b4-d0f815caca9c.pdf</t>
  </si>
  <si>
    <t>IPCA03</t>
  </si>
  <si>
    <t>IPCA Laboratories Limited</t>
  </si>
  <si>
    <t>INE571A01038</t>
  </si>
  <si>
    <t>https://www.bseindia.com/stockinfo/AnnPdfOpen.aspx?Pname=\dd9f645e-4750-4110-bb36-d11d158b443f.pdf</t>
  </si>
  <si>
    <t>SLIF01</t>
  </si>
  <si>
    <t>SBI Life Insurance Company Limited</t>
  </si>
  <si>
    <t>INE123W01016</t>
  </si>
  <si>
    <t>https://www.bseindia.com/stockinfo/AnnPdfOpen.aspx?Pname=\802be001-1ba9-4d98-bcce-9c93d94cf1d2.pdf</t>
  </si>
  <si>
    <t>TMLC01</t>
  </si>
  <si>
    <t>Tata Motors Ltd</t>
  </si>
  <si>
    <t>INE1TAE01010</t>
  </si>
  <si>
    <t>Agricultural, Commercial &amp; Construction Vehicles</t>
  </si>
  <si>
    <t>CHOL02</t>
  </si>
  <si>
    <t>Cholamandalam Investment and Finance Company Ltd</t>
  </si>
  <si>
    <t>INE121A01024</t>
  </si>
  <si>
    <t>https://www.bseindia.com/stockinfo/AnnPdfOpen.aspx?Pname=\72687367-3a22-4292-b67a-6ab6728b0e3a.pdf</t>
  </si>
  <si>
    <t>SUPI02</t>
  </si>
  <si>
    <t>Supreme Industries Limited</t>
  </si>
  <si>
    <t>INE195A01028</t>
  </si>
  <si>
    <t>https://www.bseindia.com/stockinfo/AnnPdfOpen.aspx?Pname=\ed08d2b0-ed56-4f84-9d6b-15165dd7b7f8.pdf</t>
  </si>
  <si>
    <t>ALKE01</t>
  </si>
  <si>
    <t>Alkem Laboratories Limited</t>
  </si>
  <si>
    <t>INE540L01014</t>
  </si>
  <si>
    <t>https://www.bseindia.com/stockinfo/AnnPdfOpen.aspx?Pname=\a89bdeb8-c87e-4098-a338-15076bf2b4b0.pdf</t>
  </si>
  <si>
    <t>TDPS02</t>
  </si>
  <si>
    <t>TD Power Systems Limited</t>
  </si>
  <si>
    <t>INE419M01027</t>
  </si>
  <si>
    <t>https://nsearchives.nseindia.com/corporate/TDPOWERSYS_18072024160922_BRSR.pdf</t>
  </si>
  <si>
    <t>FRHL01</t>
  </si>
  <si>
    <t>Fortis Healthcare Limited</t>
  </si>
  <si>
    <t>INE061F01013</t>
  </si>
  <si>
    <t>https://www.bseindia.com/stockinfo/AnnPdfOpen.aspx?Pname=\86d392d2-816c-426f-8278-219405d97f5c.pdf</t>
  </si>
  <si>
    <t>CGCE01</t>
  </si>
  <si>
    <t>Crompton Greaves Consumer Electricals Limited</t>
  </si>
  <si>
    <t>INE299U01018</t>
  </si>
  <si>
    <t>https://reports.crompton.co.in/shopify/public/files/HzDYwJP48E_Business%20Responsibility%20&amp;%20Sustainability%20Report.pdf</t>
  </si>
  <si>
    <t>ASTP04</t>
  </si>
  <si>
    <t>Astral Limited</t>
  </si>
  <si>
    <t>INE006I01046</t>
  </si>
  <si>
    <t>https://www.bseindia.com/stockinfo/AnnPdfOpen.aspx?Pname=\0abe5c5a-84d3-4f7d-bd79-76b26c9c8d3a.pdf</t>
  </si>
  <si>
    <t>CRAF01</t>
  </si>
  <si>
    <t>Craftsman Automation Limited</t>
  </si>
  <si>
    <t>INE00LO01017</t>
  </si>
  <si>
    <t>Auto Components</t>
  </si>
  <si>
    <t>https://www.bseindia.com/stockinfo/AnnPdfOpen.aspx?Pname=\a1f1d737-cc7e-445f-bee8-ca4bf993e03e.pdf</t>
  </si>
  <si>
    <t>SPCO02</t>
  </si>
  <si>
    <t>Symphony Limited</t>
  </si>
  <si>
    <t>INE225D01027</t>
  </si>
  <si>
    <t>https://www.bseindia.com/stockinfo/AnnPdfOpen.aspx?Pname=\be63ce6e-1854-4bcb-abc4-f25e41f8c6b5.pdf</t>
  </si>
  <si>
    <t>Sub Total</t>
  </si>
  <si>
    <t>(b) Unlisted</t>
  </si>
  <si>
    <t>NIL</t>
  </si>
  <si>
    <t>Total</t>
  </si>
  <si>
    <t>Reverse Repo / TREPS</t>
  </si>
  <si>
    <t>TRP_030826</t>
  </si>
  <si>
    <t>Clearing Corporation of India Ltd</t>
  </si>
  <si>
    <t>Net Receivables / (Payables)</t>
  </si>
  <si>
    <t>GRAND TOTAL</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</si>
  <si>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</si>
  <si>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</si>
  <si>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 xml:space="preserve">During FY2025, the AMC had carried out stewardship engagement with various companies whose equity shares were held by Axis ESG Integration Strategy Fund. During the engagement, following aspects were broadly covered:     </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</si>
  <si>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</si>
  <si>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t>Security wise ESG scores disclosed above are provided by SES ESG Research Private Limited.</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</si>
  <si>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</si>
  <si>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</si>
  <si>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</si>
  <si>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</si>
  <si>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</si>
  <si>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</si>
  <si>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</si>
  <si>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</si>
  <si>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</si>
  <si>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</si>
  <si>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</si>
  <si>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</si>
  <si>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</si>
  <si>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</si>
  <si>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</si>
  <si>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</si>
  <si>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</si>
  <si>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</si>
  <si>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</si>
  <si>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</si>
  <si>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</si>
  <si>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</si>
  <si>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</si>
  <si>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There was no distribution (of income and capital) during the period ended July 31, 2026.</t>
  </si>
  <si>
    <t>(5) Total outstanding exposure in derivative instruments As on July 31, 2026 is Rs. Nil.</t>
  </si>
  <si>
    <t>(6) Total market value of investments in foreign securities/ American Depository Receipts/ Global Depository Receipts as at July 31, 2026 is Rs. Nil.</t>
  </si>
  <si>
    <t>(7) During the period, the portfolio turnover ratio is 0.16 times.</t>
  </si>
  <si>
    <t>(8) Repo transactions in corporate debt securities As on July 31, 2026 is Rs. Nil.</t>
  </si>
  <si>
    <t>Benchmark Name - NIFTY 100 ESG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</si>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</sst>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0.0000"/>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 fillId="0" borderId="0"/>
    <xf numFmtId="0" fontId="11" fillId="0" borderId="0"/>
    <xf numFmtId="0" fontId="1" fillId="0" borderId="0"/>
    <xf numFmtId="168" fontId="1" fillId="0" borderId="0" applyFont="0" applyFill="0" applyBorder="0" applyAlignment="0" applyProtection="0"/>
  </cellStyleXfs>
  <cellXfs count="72">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7" fillId="0" borderId="7" xfId="0" applyFont="1" applyBorder="1" applyAlignment="1">
      <alignment horizontal="right" vertical="top" wrapText="1"/>
    </xf>
    <xf numFmtId="0" fontId="7" fillId="0" borderId="8" xfId="0" applyFont="1" applyBorder="1" applyAlignment="1">
      <alignment horizontal="right" vertical="top" wrapText="1"/>
    </xf>
    <xf numFmtId="0" fontId="7" fillId="0" borderId="9" xfId="0" applyFont="1" applyBorder="1" applyAlignment="1">
      <alignment horizontal="left" vertical="top" wrapText="1"/>
    </xf>
    <xf numFmtId="0" fontId="8" fillId="0" borderId="0" xfId="0" applyFont="1" applyAlignment="1">
      <alignment horizontal="left" vertical="top" wrapText="1"/>
    </xf>
    <xf numFmtId="0" fontId="5" fillId="0" borderId="5" xfId="0" applyFont="1" applyBorder="1" applyAlignment="1">
      <alignment horizontal="left" vertical="top" wrapText="1"/>
    </xf>
    <xf numFmtId="3" fontId="5" fillId="0" borderId="6" xfId="0" applyNumberFormat="1" applyFont="1" applyBorder="1" applyAlignment="1">
      <alignment horizontal="right" vertical="top" wrapText="1"/>
    </xf>
    <xf numFmtId="164" fontId="5" fillId="0" borderId="8" xfId="0" applyNumberFormat="1" applyFont="1" applyBorder="1" applyAlignment="1">
      <alignment horizontal="right" vertical="top" wrapText="1"/>
    </xf>
    <xf numFmtId="165"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0" fontId="5" fillId="0" borderId="8" xfId="0" applyFont="1" applyBorder="1" applyAlignment="1">
      <alignment horizontal="right" vertical="top" wrapText="1"/>
    </xf>
    <xf numFmtId="0" fontId="5" fillId="0" borderId="9" xfId="0" applyFont="1" applyBorder="1" applyAlignment="1">
      <alignment horizontal="left" vertical="top" wrapText="1"/>
    </xf>
    <xf numFmtId="164" fontId="4" fillId="0" borderId="10" xfId="0" applyNumberFormat="1" applyFont="1" applyBorder="1" applyAlignment="1">
      <alignment horizontal="right" vertical="top" wrapText="1"/>
    </xf>
    <xf numFmtId="165" fontId="4" fillId="0" borderId="11" xfId="0" applyNumberFormat="1" applyFont="1" applyBorder="1" applyAlignment="1">
      <alignment horizontal="right" vertical="top" wrapText="1"/>
    </xf>
    <xf numFmtId="0" fontId="4" fillId="0" borderId="12" xfId="0" applyFont="1" applyBorder="1" applyAlignment="1">
      <alignment horizontal="right" vertical="top" wrapText="1"/>
    </xf>
    <xf numFmtId="0" fontId="4" fillId="0" borderId="11" xfId="0" applyFont="1" applyBorder="1" applyAlignment="1">
      <alignment horizontal="righ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5" fillId="0" borderId="11" xfId="0" applyFont="1" applyBorder="1" applyAlignment="1">
      <alignment horizontal="left" vertical="top" wrapText="1"/>
    </xf>
    <xf numFmtId="0" fontId="2" fillId="0" borderId="0" xfId="0" applyFont="1" applyAlignment="1" applyProtection="1">
      <alignment wrapText="1"/>
      <protection locked="0"/>
    </xf>
    <xf numFmtId="0" fontId="5" fillId="0" borderId="15" xfId="0" applyFont="1" applyBorder="1" applyAlignment="1">
      <alignment horizontal="left" vertical="top" wrapText="1"/>
    </xf>
    <xf numFmtId="166" fontId="5" fillId="0" borderId="7" xfId="0" applyNumberFormat="1" applyFont="1" applyBorder="1" applyAlignment="1">
      <alignment horizontal="right" vertical="top" wrapText="1"/>
    </xf>
    <xf numFmtId="164" fontId="4" fillId="0" borderId="11" xfId="0" applyNumberFormat="1" applyFont="1" applyBorder="1" applyAlignment="1">
      <alignment horizontal="right" vertical="top" wrapText="1"/>
    </xf>
    <xf numFmtId="0" fontId="4" fillId="0" borderId="16" xfId="0" applyFont="1" applyBorder="1" applyAlignment="1">
      <alignment horizontal="left" vertical="top" wrapText="1"/>
    </xf>
    <xf numFmtId="0" fontId="5" fillId="0" borderId="17" xfId="0" applyFont="1" applyBorder="1" applyAlignment="1">
      <alignment horizontal="left" vertical="top" wrapText="1"/>
    </xf>
    <xf numFmtId="164" fontId="4" fillId="0" borderId="18" xfId="0" applyNumberFormat="1" applyFont="1" applyBorder="1" applyAlignment="1">
      <alignment horizontal="right" vertical="top" wrapText="1"/>
    </xf>
    <xf numFmtId="166" fontId="4" fillId="0" borderId="18" xfId="0" applyNumberFormat="1" applyFont="1" applyBorder="1" applyAlignment="1">
      <alignment horizontal="right" vertical="top" wrapText="1"/>
    </xf>
    <xf numFmtId="0" fontId="4" fillId="0" borderId="19" xfId="0" applyFont="1" applyBorder="1" applyAlignment="1">
      <alignment horizontal="right" vertical="top" wrapText="1"/>
    </xf>
    <xf numFmtId="0" fontId="4" fillId="0" borderId="20" xfId="0" applyFont="1" applyBorder="1" applyAlignment="1">
      <alignment horizontal="right" vertical="top" wrapText="1"/>
    </xf>
    <xf numFmtId="0" fontId="4" fillId="0" borderId="21"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22" xfId="2" applyFont="1" applyBorder="1" applyAlignment="1">
      <alignment vertical="top"/>
    </xf>
    <xf numFmtId="0" fontId="9" fillId="0" borderId="23" xfId="2" applyFont="1" applyBorder="1" applyAlignment="1">
      <alignment vertical="top"/>
    </xf>
    <xf numFmtId="0" fontId="9" fillId="0" borderId="24" xfId="2" applyFont="1" applyBorder="1" applyAlignment="1">
      <alignment vertical="top"/>
    </xf>
    <xf numFmtId="0" fontId="11" fillId="0" borderId="0" xfId="3"/>
    <xf numFmtId="0" fontId="9" fillId="0" borderId="25" xfId="2" applyFont="1" applyBorder="1" applyAlignment="1">
      <alignment vertical="top"/>
    </xf>
    <xf numFmtId="0" fontId="9" fillId="0" borderId="26" xfId="2" applyFont="1" applyBorder="1" applyAlignment="1">
      <alignment vertical="top"/>
    </xf>
    <xf numFmtId="0" fontId="10" fillId="0" borderId="27" xfId="2" applyFont="1" applyBorder="1" applyAlignment="1">
      <alignment vertical="top"/>
    </xf>
    <xf numFmtId="0" fontId="10" fillId="0" borderId="27" xfId="3" applyFont="1" applyBorder="1" applyAlignment="1">
      <alignment horizontal="center" vertical="top"/>
    </xf>
    <xf numFmtId="0" fontId="10" fillId="0" borderId="27" xfId="2" applyFont="1" applyBorder="1" applyAlignment="1">
      <alignment horizontal="center" vertical="top"/>
    </xf>
    <xf numFmtId="0" fontId="2" fillId="0" borderId="0" xfId="4" applyFont="1" applyAlignment="1" applyProtection="1">
      <alignment wrapText="1"/>
      <protection locked="0"/>
    </xf>
    <xf numFmtId="0" fontId="5" fillId="0" borderId="11" xfId="2" applyFont="1" applyBorder="1" applyAlignment="1">
      <alignment horizontal="left" vertical="top"/>
    </xf>
    <xf numFmtId="167" fontId="12" fillId="0" borderId="27" xfId="2" applyNumberFormat="1" applyFont="1" applyBorder="1" applyAlignment="1">
      <alignment horizontal="center" vertical="top"/>
    </xf>
    <xf numFmtId="169" fontId="12" fillId="0" borderId="27" xfId="1" applyNumberFormat="1" applyFont="1" applyBorder="1" applyAlignment="1">
      <alignment horizontal="center" vertical="top"/>
    </xf>
    <xf numFmtId="170" fontId="5" fillId="0" borderId="0" xfId="0" applyNumberFormat="1" applyFont="1" applyAlignment="1">
      <alignment horizontal="right" vertical="top" wrapText="1"/>
    </xf>
    <xf numFmtId="0" fontId="5" fillId="0" borderId="28" xfId="2" applyFont="1" applyBorder="1" applyAlignment="1">
      <alignment horizontal="left" vertical="top"/>
    </xf>
    <xf numFmtId="167" fontId="12" fillId="0" borderId="0" xfId="2" applyNumberFormat="1" applyFont="1" applyAlignment="1">
      <alignment horizontal="center" vertical="top"/>
    </xf>
    <xf numFmtId="168" fontId="9" fillId="0" borderId="0" xfId="5" applyFont="1" applyFill="1" applyBorder="1" applyAlignment="1">
      <alignment vertical="top"/>
    </xf>
    <xf numFmtId="0" fontId="9" fillId="0" borderId="29" xfId="2" applyFont="1" applyBorder="1" applyAlignment="1">
      <alignment vertical="top"/>
    </xf>
    <xf numFmtId="0" fontId="9" fillId="0" borderId="30" xfId="2" applyFont="1" applyBorder="1" applyAlignment="1">
      <alignment vertical="top"/>
    </xf>
    <xf numFmtId="0" fontId="9" fillId="0" borderId="31" xfId="2" applyFont="1" applyBorder="1" applyAlignment="1">
      <alignment vertical="top"/>
    </xf>
    <xf numFmtId="0" fontId="13" fillId="0" borderId="0" xfId="3" applyFont="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6">
    <cellStyle name="Comma" xfId="1" builtinId="3"/>
    <cellStyle name="Comma 2 2" xfId="5" xr:uid="{BBA496D6-9137-44B3-806B-9C6B43E7FB10}"/>
    <cellStyle name="Normal" xfId="0" builtinId="0"/>
    <cellStyle name="Normal 2 2" xfId="2" xr:uid="{C30764D3-54BC-487D-8939-80DDA233A124}"/>
    <cellStyle name="Normal 5" xfId="3" xr:uid="{ED9CBB52-9369-4DDF-ADF0-631AC86FE18F}"/>
    <cellStyle name="Normal 6" xfId="4" xr:uid="{A21F1F1C-0756-4963-8300-CAA92C4E4C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0</xdr:colOff>
      <xdr:row>96</xdr:row>
      <xdr:rowOff>0</xdr:rowOff>
    </xdr:to>
    <xdr:pic>
      <xdr:nvPicPr>
        <xdr:cNvPr id="2" name="Picture">
          <a:extLst>
            <a:ext uri="{FF2B5EF4-FFF2-40B4-BE49-F238E27FC236}">
              <a16:creationId xmlns:a16="http://schemas.microsoft.com/office/drawing/2014/main" id="{EE038BB7-B58D-467D-92A4-C6A7F22D0F97}"/>
            </a:ext>
          </a:extLst>
        </xdr:cNvPr>
        <xdr:cNvPicPr/>
      </xdr:nvPicPr>
      <xdr:blipFill>
        <a:blip xmlns:r="http://schemas.openxmlformats.org/officeDocument/2006/relationships" r:embed="rId1"/>
        <a:srcRect/>
        <a:stretch>
          <a:fillRect r="54698"/>
        </a:stretch>
      </xdr:blipFill>
      <xdr:spPr>
        <a:xfrm>
          <a:off x="449580" y="17099280"/>
          <a:ext cx="4739640" cy="1714500"/>
        </a:xfrm>
        <a:prstGeom prst="rect">
          <a:avLst/>
        </a:prstGeom>
      </xdr:spPr>
    </xdr:pic>
    <xdr:clientData/>
  </xdr:twoCellAnchor>
  <xdr:twoCellAnchor editAs="oneCell">
    <xdr:from>
      <xdr:col>2</xdr:col>
      <xdr:colOff>0</xdr:colOff>
      <xdr:row>95</xdr:row>
      <xdr:rowOff>0</xdr:rowOff>
    </xdr:from>
    <xdr:to>
      <xdr:col>4</xdr:col>
      <xdr:colOff>0</xdr:colOff>
      <xdr:row>96</xdr:row>
      <xdr:rowOff>0</xdr:rowOff>
    </xdr:to>
    <xdr:pic>
      <xdr:nvPicPr>
        <xdr:cNvPr id="3" name="Picture">
          <a:extLst>
            <a:ext uri="{FF2B5EF4-FFF2-40B4-BE49-F238E27FC236}">
              <a16:creationId xmlns:a16="http://schemas.microsoft.com/office/drawing/2014/main" id="{8B468626-CA69-454C-B5CF-6A0F8EF08FC1}"/>
            </a:ext>
          </a:extLst>
        </xdr:cNvPr>
        <xdr:cNvPicPr/>
      </xdr:nvPicPr>
      <xdr:blipFill>
        <a:blip xmlns:r="http://schemas.openxmlformats.org/officeDocument/2006/relationships" r:embed="rId2"/>
        <a:srcRect/>
        <a:stretch>
          <a:fillRect r="38666"/>
        </a:stretch>
      </xdr:blipFill>
      <xdr:spPr>
        <a:xfrm>
          <a:off x="5189220" y="170992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8180-97F8-4F4D-BDBA-3882D89D076C}">
  <sheetPr codeName="Sheet26">
    <outlinePr summaryBelow="0"/>
  </sheetPr>
  <dimension ref="A1:Y96"/>
  <sheetViews>
    <sheetView tabSelected="1" topLeftCell="A66" workbookViewId="0">
      <selection activeCell="C80" sqref="C80"/>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12" width="16.5546875" customWidth="1"/>
  </cols>
  <sheetData>
    <row r="1" spans="1:12" ht="15.9" customHeight="1">
      <c r="A1" s="1" t="s">
        <v>0</v>
      </c>
      <c r="B1" s="2" t="s">
        <v>1</v>
      </c>
      <c r="C1" s="3"/>
      <c r="D1" s="3"/>
      <c r="E1" s="3"/>
      <c r="F1" s="3"/>
      <c r="G1" s="3"/>
      <c r="H1" s="3"/>
      <c r="I1" s="3"/>
      <c r="J1" s="3"/>
      <c r="K1" s="3"/>
      <c r="L1" s="3"/>
    </row>
    <row r="2" spans="1:12" ht="12.9" customHeight="1">
      <c r="A2" s="3"/>
      <c r="B2" s="4"/>
      <c r="C2" s="3"/>
      <c r="D2" s="3"/>
      <c r="E2" s="3"/>
      <c r="F2" s="3"/>
      <c r="G2" s="3"/>
      <c r="H2" s="3"/>
      <c r="I2" s="3"/>
      <c r="J2" s="3"/>
      <c r="K2" s="3"/>
      <c r="L2" s="3"/>
    </row>
    <row r="3" spans="1:12" ht="12.9" customHeight="1" thickBot="1">
      <c r="A3" s="5" t="s">
        <v>2</v>
      </c>
      <c r="B3" s="6" t="s">
        <v>3</v>
      </c>
      <c r="C3" s="3"/>
      <c r="D3" s="3"/>
      <c r="E3" s="3"/>
      <c r="F3" s="3"/>
      <c r="G3" s="3"/>
      <c r="H3" s="3"/>
      <c r="I3" s="3"/>
      <c r="J3" s="3"/>
      <c r="K3" s="3"/>
      <c r="L3" s="3"/>
    </row>
    <row r="4" spans="1:12" ht="27.9" customHeight="1">
      <c r="A4" s="3"/>
      <c r="B4" s="7" t="s">
        <v>4</v>
      </c>
      <c r="C4" s="8" t="s">
        <v>5</v>
      </c>
      <c r="D4" s="9" t="s">
        <v>6</v>
      </c>
      <c r="E4" s="9" t="s">
        <v>7</v>
      </c>
      <c r="F4" s="9" t="s">
        <v>8</v>
      </c>
      <c r="G4" s="9" t="s">
        <v>9</v>
      </c>
      <c r="H4" s="10" t="s">
        <v>10</v>
      </c>
      <c r="I4" s="9" t="s">
        <v>11</v>
      </c>
      <c r="J4" s="9" t="s">
        <v>12</v>
      </c>
      <c r="K4" s="9" t="s">
        <v>13</v>
      </c>
      <c r="L4" s="11" t="s">
        <v>14</v>
      </c>
    </row>
    <row r="5" spans="1:12" ht="12.9" customHeight="1">
      <c r="A5" s="3"/>
      <c r="B5" s="12" t="s">
        <v>15</v>
      </c>
      <c r="C5" s="13"/>
      <c r="D5" s="13"/>
      <c r="E5" s="13"/>
      <c r="F5" s="13"/>
      <c r="G5" s="13"/>
      <c r="H5" s="14"/>
      <c r="I5" s="15"/>
      <c r="J5" s="15"/>
      <c r="K5" s="15"/>
      <c r="L5" s="16"/>
    </row>
    <row r="6" spans="1:12" ht="12.9" customHeight="1">
      <c r="A6" s="3"/>
      <c r="B6" s="12" t="s">
        <v>16</v>
      </c>
      <c r="C6" s="13"/>
      <c r="D6" s="13"/>
      <c r="E6" s="13"/>
      <c r="F6" s="3"/>
      <c r="G6" s="15"/>
      <c r="H6" s="14"/>
      <c r="I6" s="15"/>
      <c r="J6" s="15"/>
      <c r="K6" s="15"/>
      <c r="L6" s="16"/>
    </row>
    <row r="7" spans="1:12" ht="12.9" customHeight="1">
      <c r="A7" s="17" t="s">
        <v>17</v>
      </c>
      <c r="B7" s="18" t="s">
        <v>18</v>
      </c>
      <c r="C7" s="13" t="s">
        <v>19</v>
      </c>
      <c r="D7" s="13" t="s">
        <v>20</v>
      </c>
      <c r="E7" s="19">
        <v>466909</v>
      </c>
      <c r="F7" s="20">
        <v>6702.0118000000002</v>
      </c>
      <c r="G7" s="21">
        <v>6.1899999999999997E-2</v>
      </c>
      <c r="H7" s="22"/>
      <c r="I7" s="23"/>
      <c r="J7" s="23">
        <v>76.7</v>
      </c>
      <c r="K7" s="23">
        <v>100</v>
      </c>
      <c r="L7" s="24" t="s">
        <v>21</v>
      </c>
    </row>
    <row r="8" spans="1:12" ht="12.9" customHeight="1">
      <c r="A8" s="17" t="s">
        <v>22</v>
      </c>
      <c r="B8" s="18" t="s">
        <v>23</v>
      </c>
      <c r="C8" s="13" t="s">
        <v>24</v>
      </c>
      <c r="D8" s="13" t="s">
        <v>25</v>
      </c>
      <c r="E8" s="19">
        <v>585900</v>
      </c>
      <c r="F8" s="20">
        <v>6686.2907999999998</v>
      </c>
      <c r="G8" s="21">
        <v>6.1699999999999998E-2</v>
      </c>
      <c r="H8" s="22"/>
      <c r="I8" s="23"/>
      <c r="J8" s="23">
        <v>78.7</v>
      </c>
      <c r="K8" s="23">
        <v>100</v>
      </c>
      <c r="L8" s="24" t="s">
        <v>26</v>
      </c>
    </row>
    <row r="9" spans="1:12" ht="12.9" customHeight="1">
      <c r="A9" s="17" t="s">
        <v>27</v>
      </c>
      <c r="B9" s="18" t="s">
        <v>28</v>
      </c>
      <c r="C9" s="13" t="s">
        <v>29</v>
      </c>
      <c r="D9" s="13" t="s">
        <v>30</v>
      </c>
      <c r="E9" s="19">
        <v>110005</v>
      </c>
      <c r="F9" s="20">
        <v>5362.9638000000004</v>
      </c>
      <c r="G9" s="21">
        <v>4.9500000000000002E-2</v>
      </c>
      <c r="H9" s="22"/>
      <c r="I9" s="23"/>
      <c r="J9" s="23">
        <v>71.099999999999994</v>
      </c>
      <c r="K9" s="23">
        <v>81</v>
      </c>
      <c r="L9" s="24" t="s">
        <v>31</v>
      </c>
    </row>
    <row r="10" spans="1:12" ht="12.9" customHeight="1">
      <c r="A10" s="17" t="s">
        <v>32</v>
      </c>
      <c r="B10" s="18" t="s">
        <v>33</v>
      </c>
      <c r="C10" s="13" t="s">
        <v>34</v>
      </c>
      <c r="D10" s="13" t="s">
        <v>20</v>
      </c>
      <c r="E10" s="19">
        <v>695448</v>
      </c>
      <c r="F10" s="20">
        <v>5202.9942000000001</v>
      </c>
      <c r="G10" s="21">
        <v>4.8000000000000001E-2</v>
      </c>
      <c r="H10" s="22"/>
      <c r="I10" s="23"/>
      <c r="J10" s="23">
        <v>80.099999999999994</v>
      </c>
      <c r="K10" s="23">
        <v>100</v>
      </c>
      <c r="L10" s="24" t="s">
        <v>35</v>
      </c>
    </row>
    <row r="11" spans="1:12" ht="12.9" customHeight="1">
      <c r="A11" s="17" t="s">
        <v>36</v>
      </c>
      <c r="B11" s="18" t="s">
        <v>37</v>
      </c>
      <c r="C11" s="13" t="s">
        <v>38</v>
      </c>
      <c r="D11" s="13" t="s">
        <v>39</v>
      </c>
      <c r="E11" s="19">
        <v>290740</v>
      </c>
      <c r="F11" s="20">
        <v>3802.2977000000001</v>
      </c>
      <c r="G11" s="21">
        <v>3.5099999999999999E-2</v>
      </c>
      <c r="H11" s="22"/>
      <c r="I11" s="23"/>
      <c r="J11" s="23">
        <v>68</v>
      </c>
      <c r="K11" s="23">
        <v>100</v>
      </c>
      <c r="L11" s="24" t="s">
        <v>40</v>
      </c>
    </row>
    <row r="12" spans="1:12" ht="12.9" customHeight="1">
      <c r="A12" s="17" t="s">
        <v>41</v>
      </c>
      <c r="B12" s="18" t="s">
        <v>42</v>
      </c>
      <c r="C12" s="13" t="s">
        <v>43</v>
      </c>
      <c r="D12" s="13" t="s">
        <v>20</v>
      </c>
      <c r="E12" s="19">
        <v>300000</v>
      </c>
      <c r="F12" s="20">
        <v>3688.5</v>
      </c>
      <c r="G12" s="21">
        <v>3.4099999999999998E-2</v>
      </c>
      <c r="H12" s="22"/>
      <c r="I12" s="23"/>
      <c r="J12" s="23">
        <v>81.7</v>
      </c>
      <c r="K12" s="23">
        <v>98.3</v>
      </c>
      <c r="L12" s="24" t="s">
        <v>44</v>
      </c>
    </row>
    <row r="13" spans="1:12" ht="12.9" customHeight="1">
      <c r="A13" s="17" t="s">
        <v>45</v>
      </c>
      <c r="B13" s="18" t="s">
        <v>46</v>
      </c>
      <c r="C13" s="13" t="s">
        <v>47</v>
      </c>
      <c r="D13" s="13" t="s">
        <v>25</v>
      </c>
      <c r="E13" s="19">
        <v>333549</v>
      </c>
      <c r="F13" s="20">
        <v>3491.2574</v>
      </c>
      <c r="G13" s="21">
        <v>3.2199999999999999E-2</v>
      </c>
      <c r="H13" s="22"/>
      <c r="I13" s="23"/>
      <c r="J13" s="23">
        <v>77</v>
      </c>
      <c r="K13" s="23">
        <v>100</v>
      </c>
      <c r="L13" s="24" t="s">
        <v>48</v>
      </c>
    </row>
    <row r="14" spans="1:12" ht="12.9" customHeight="1">
      <c r="A14" s="17" t="s">
        <v>49</v>
      </c>
      <c r="B14" s="18" t="s">
        <v>50</v>
      </c>
      <c r="C14" s="13" t="s">
        <v>51</v>
      </c>
      <c r="D14" s="13" t="s">
        <v>52</v>
      </c>
      <c r="E14" s="19">
        <v>37000</v>
      </c>
      <c r="F14" s="20">
        <v>3314.09</v>
      </c>
      <c r="G14" s="21">
        <v>3.0599999999999999E-2</v>
      </c>
      <c r="H14" s="22"/>
      <c r="I14" s="23"/>
      <c r="J14" s="23">
        <v>67.099999999999994</v>
      </c>
      <c r="K14" s="23">
        <v>74.7</v>
      </c>
      <c r="L14" s="24" t="s">
        <v>53</v>
      </c>
    </row>
    <row r="15" spans="1:12" ht="12.9" customHeight="1">
      <c r="A15" s="17" t="s">
        <v>54</v>
      </c>
      <c r="B15" s="18" t="s">
        <v>55</v>
      </c>
      <c r="C15" s="13" t="s">
        <v>56</v>
      </c>
      <c r="D15" s="13" t="s">
        <v>57</v>
      </c>
      <c r="E15" s="19">
        <v>22968</v>
      </c>
      <c r="F15" s="20">
        <v>3269.2651000000001</v>
      </c>
      <c r="G15" s="21">
        <v>3.0200000000000001E-2</v>
      </c>
      <c r="H15" s="22"/>
      <c r="I15" s="23"/>
      <c r="J15" s="23">
        <v>76.599999999999994</v>
      </c>
      <c r="K15" s="23">
        <v>100</v>
      </c>
      <c r="L15" s="24" t="s">
        <v>58</v>
      </c>
    </row>
    <row r="16" spans="1:12" ht="12.9" customHeight="1">
      <c r="A16" s="17" t="s">
        <v>59</v>
      </c>
      <c r="B16" s="18" t="s">
        <v>60</v>
      </c>
      <c r="C16" s="13" t="s">
        <v>61</v>
      </c>
      <c r="D16" s="13" t="s">
        <v>62</v>
      </c>
      <c r="E16" s="19">
        <v>150000</v>
      </c>
      <c r="F16" s="20">
        <v>2985.75</v>
      </c>
      <c r="G16" s="21">
        <v>2.76E-2</v>
      </c>
      <c r="H16" s="22"/>
      <c r="I16" s="23"/>
      <c r="J16" s="23">
        <v>66.900000000000006</v>
      </c>
      <c r="K16" s="23">
        <v>100</v>
      </c>
      <c r="L16" s="24" t="s">
        <v>63</v>
      </c>
    </row>
    <row r="17" spans="1:12" ht="12.9" customHeight="1">
      <c r="A17" s="17" t="s">
        <v>64</v>
      </c>
      <c r="B17" s="18" t="s">
        <v>65</v>
      </c>
      <c r="C17" s="13" t="s">
        <v>66</v>
      </c>
      <c r="D17" s="13" t="s">
        <v>67</v>
      </c>
      <c r="E17" s="19">
        <v>80523</v>
      </c>
      <c r="F17" s="20">
        <v>2936.0295999999998</v>
      </c>
      <c r="G17" s="21">
        <v>2.7099999999999999E-2</v>
      </c>
      <c r="H17" s="22"/>
      <c r="I17" s="23"/>
      <c r="J17" s="23">
        <v>78.5</v>
      </c>
      <c r="K17" s="23">
        <v>100</v>
      </c>
      <c r="L17" s="24" t="s">
        <v>68</v>
      </c>
    </row>
    <row r="18" spans="1:12" ht="12.9" customHeight="1">
      <c r="A18" s="17" t="s">
        <v>69</v>
      </c>
      <c r="B18" s="18" t="s">
        <v>70</v>
      </c>
      <c r="C18" s="13" t="s">
        <v>71</v>
      </c>
      <c r="D18" s="13" t="s">
        <v>25</v>
      </c>
      <c r="E18" s="19">
        <v>771261</v>
      </c>
      <c r="F18" s="20">
        <v>2876.4178999999999</v>
      </c>
      <c r="G18" s="21">
        <v>2.6599999999999999E-2</v>
      </c>
      <c r="H18" s="22"/>
      <c r="I18" s="23"/>
      <c r="J18" s="23">
        <v>79.3</v>
      </c>
      <c r="K18" s="23">
        <v>100</v>
      </c>
      <c r="L18" s="24" t="s">
        <v>72</v>
      </c>
    </row>
    <row r="19" spans="1:12" ht="12.9" customHeight="1">
      <c r="A19" s="17" t="s">
        <v>73</v>
      </c>
      <c r="B19" s="18" t="s">
        <v>74</v>
      </c>
      <c r="C19" s="13" t="s">
        <v>75</v>
      </c>
      <c r="D19" s="13" t="s">
        <v>62</v>
      </c>
      <c r="E19" s="19">
        <v>52553</v>
      </c>
      <c r="F19" s="20">
        <v>2692.1851000000001</v>
      </c>
      <c r="G19" s="21">
        <v>2.4899999999999999E-2</v>
      </c>
      <c r="H19" s="22"/>
      <c r="I19" s="23"/>
      <c r="J19" s="23">
        <v>69.599999999999994</v>
      </c>
      <c r="K19" s="23">
        <v>100</v>
      </c>
      <c r="L19" s="24" t="s">
        <v>76</v>
      </c>
    </row>
    <row r="20" spans="1:12" ht="12.9" customHeight="1">
      <c r="A20" s="17" t="s">
        <v>77</v>
      </c>
      <c r="B20" s="18" t="s">
        <v>78</v>
      </c>
      <c r="C20" s="13" t="s">
        <v>79</v>
      </c>
      <c r="D20" s="13" t="s">
        <v>62</v>
      </c>
      <c r="E20" s="19">
        <v>626000</v>
      </c>
      <c r="F20" s="20">
        <v>2664.8820000000001</v>
      </c>
      <c r="G20" s="21">
        <v>2.46E-2</v>
      </c>
      <c r="H20" s="22"/>
      <c r="I20" s="23"/>
      <c r="J20" s="23">
        <v>71.400000000000006</v>
      </c>
      <c r="K20" s="23">
        <v>100</v>
      </c>
      <c r="L20" s="24" t="s">
        <v>80</v>
      </c>
    </row>
    <row r="21" spans="1:12" ht="12.9" customHeight="1">
      <c r="A21" s="17" t="s">
        <v>81</v>
      </c>
      <c r="B21" s="18" t="s">
        <v>82</v>
      </c>
      <c r="C21" s="13" t="s">
        <v>83</v>
      </c>
      <c r="D21" s="13" t="s">
        <v>52</v>
      </c>
      <c r="E21" s="19">
        <v>445844</v>
      </c>
      <c r="F21" s="20">
        <v>2596.8184000000001</v>
      </c>
      <c r="G21" s="21">
        <v>2.4E-2</v>
      </c>
      <c r="H21" s="22"/>
      <c r="I21" s="23"/>
      <c r="J21" s="23">
        <v>68.099999999999994</v>
      </c>
      <c r="K21" s="23" t="s">
        <v>84</v>
      </c>
      <c r="L21" s="24" t="s">
        <v>85</v>
      </c>
    </row>
    <row r="22" spans="1:12" ht="12.9" customHeight="1">
      <c r="A22" s="17" t="s">
        <v>86</v>
      </c>
      <c r="B22" s="18" t="s">
        <v>87</v>
      </c>
      <c r="C22" s="13" t="s">
        <v>88</v>
      </c>
      <c r="D22" s="13" t="s">
        <v>89</v>
      </c>
      <c r="E22" s="19">
        <v>300000</v>
      </c>
      <c r="F22" s="20">
        <v>2590.1999999999998</v>
      </c>
      <c r="G22" s="21">
        <v>2.3900000000000001E-2</v>
      </c>
      <c r="H22" s="22"/>
      <c r="I22" s="23"/>
      <c r="J22" s="23">
        <v>64.7</v>
      </c>
      <c r="K22" s="23">
        <v>77.400000000000006</v>
      </c>
      <c r="L22" s="24" t="s">
        <v>90</v>
      </c>
    </row>
    <row r="23" spans="1:12" ht="12.9" customHeight="1">
      <c r="A23" s="17" t="s">
        <v>91</v>
      </c>
      <c r="B23" s="18" t="s">
        <v>92</v>
      </c>
      <c r="C23" s="13" t="s">
        <v>93</v>
      </c>
      <c r="D23" s="13" t="s">
        <v>20</v>
      </c>
      <c r="E23" s="19">
        <v>230000</v>
      </c>
      <c r="F23" s="20">
        <v>2363.02</v>
      </c>
      <c r="G23" s="21">
        <v>2.18E-2</v>
      </c>
      <c r="H23" s="22"/>
      <c r="I23" s="23"/>
      <c r="J23" s="23">
        <v>70.400000000000006</v>
      </c>
      <c r="K23" s="23">
        <v>100</v>
      </c>
      <c r="L23" s="24" t="s">
        <v>94</v>
      </c>
    </row>
    <row r="24" spans="1:12" ht="12.9" customHeight="1">
      <c r="A24" s="17" t="s">
        <v>95</v>
      </c>
      <c r="B24" s="18" t="s">
        <v>96</v>
      </c>
      <c r="C24" s="13" t="s">
        <v>97</v>
      </c>
      <c r="D24" s="13" t="s">
        <v>98</v>
      </c>
      <c r="E24" s="19">
        <v>216972</v>
      </c>
      <c r="F24" s="20">
        <v>2350.0237000000002</v>
      </c>
      <c r="G24" s="21">
        <v>2.1700000000000001E-2</v>
      </c>
      <c r="H24" s="22"/>
      <c r="I24" s="23"/>
      <c r="J24" s="23">
        <v>69.400000000000006</v>
      </c>
      <c r="K24" s="23">
        <v>100</v>
      </c>
      <c r="L24" s="24" t="s">
        <v>99</v>
      </c>
    </row>
    <row r="25" spans="1:12" ht="12.9" customHeight="1">
      <c r="A25" s="17" t="s">
        <v>100</v>
      </c>
      <c r="B25" s="18" t="s">
        <v>101</v>
      </c>
      <c r="C25" s="13" t="s">
        <v>102</v>
      </c>
      <c r="D25" s="13" t="s">
        <v>103</v>
      </c>
      <c r="E25" s="19">
        <v>525185</v>
      </c>
      <c r="F25" s="20">
        <v>2322.8933000000002</v>
      </c>
      <c r="G25" s="21">
        <v>2.1499999999999998E-2</v>
      </c>
      <c r="H25" s="22"/>
      <c r="I25" s="23"/>
      <c r="J25" s="23">
        <v>66</v>
      </c>
      <c r="K25" s="23">
        <v>92</v>
      </c>
      <c r="L25" s="24" t="s">
        <v>104</v>
      </c>
    </row>
    <row r="26" spans="1:12" ht="12.9" customHeight="1">
      <c r="A26" s="17" t="s">
        <v>105</v>
      </c>
      <c r="B26" s="18" t="s">
        <v>106</v>
      </c>
      <c r="C26" s="13" t="s">
        <v>107</v>
      </c>
      <c r="D26" s="13" t="s">
        <v>108</v>
      </c>
      <c r="E26" s="19">
        <v>131805</v>
      </c>
      <c r="F26" s="20">
        <v>2268.3640999999998</v>
      </c>
      <c r="G26" s="21">
        <v>2.0899999999999998E-2</v>
      </c>
      <c r="H26" s="22"/>
      <c r="I26" s="23"/>
      <c r="J26" s="23">
        <v>76.599999999999994</v>
      </c>
      <c r="K26" s="23">
        <v>100</v>
      </c>
      <c r="L26" s="24" t="s">
        <v>109</v>
      </c>
    </row>
    <row r="27" spans="1:12" ht="12.9" customHeight="1">
      <c r="A27" s="17" t="s">
        <v>110</v>
      </c>
      <c r="B27" s="18" t="s">
        <v>111</v>
      </c>
      <c r="C27" s="13" t="s">
        <v>112</v>
      </c>
      <c r="D27" s="13" t="s">
        <v>89</v>
      </c>
      <c r="E27" s="19">
        <v>556196</v>
      </c>
      <c r="F27" s="20">
        <v>2263.7177000000001</v>
      </c>
      <c r="G27" s="21">
        <v>2.0899999999999998E-2</v>
      </c>
      <c r="H27" s="22"/>
      <c r="I27" s="23"/>
      <c r="J27" s="23">
        <v>64.7</v>
      </c>
      <c r="K27" s="23">
        <v>80.2</v>
      </c>
      <c r="L27" s="24" t="s">
        <v>113</v>
      </c>
    </row>
    <row r="28" spans="1:12" ht="12.9" customHeight="1">
      <c r="A28" s="17" t="s">
        <v>114</v>
      </c>
      <c r="B28" s="18" t="s">
        <v>115</v>
      </c>
      <c r="C28" s="13" t="s">
        <v>116</v>
      </c>
      <c r="D28" s="13" t="s">
        <v>117</v>
      </c>
      <c r="E28" s="19">
        <v>600000</v>
      </c>
      <c r="F28" s="20">
        <v>2083.5</v>
      </c>
      <c r="G28" s="21">
        <v>1.9199999999999998E-2</v>
      </c>
      <c r="H28" s="22"/>
      <c r="I28" s="23"/>
      <c r="J28" s="23">
        <v>62.8</v>
      </c>
      <c r="K28" s="23">
        <v>100</v>
      </c>
      <c r="L28" s="24" t="s">
        <v>118</v>
      </c>
    </row>
    <row r="29" spans="1:12" ht="12.9" customHeight="1">
      <c r="A29" s="17" t="s">
        <v>119</v>
      </c>
      <c r="B29" s="18" t="s">
        <v>120</v>
      </c>
      <c r="C29" s="13" t="s">
        <v>121</v>
      </c>
      <c r="D29" s="13" t="s">
        <v>122</v>
      </c>
      <c r="E29" s="19">
        <v>250000</v>
      </c>
      <c r="F29" s="20">
        <v>1846.375</v>
      </c>
      <c r="G29" s="21">
        <v>1.7100000000000001E-2</v>
      </c>
      <c r="H29" s="22"/>
      <c r="I29" s="23"/>
      <c r="J29" s="23">
        <v>77</v>
      </c>
      <c r="K29" s="23">
        <v>100</v>
      </c>
      <c r="L29" s="24" t="s">
        <v>123</v>
      </c>
    </row>
    <row r="30" spans="1:12" ht="12.9" customHeight="1">
      <c r="A30" s="17" t="s">
        <v>124</v>
      </c>
      <c r="B30" s="18" t="s">
        <v>125</v>
      </c>
      <c r="C30" s="13" t="s">
        <v>126</v>
      </c>
      <c r="D30" s="13" t="s">
        <v>122</v>
      </c>
      <c r="E30" s="19">
        <v>210404</v>
      </c>
      <c r="F30" s="20">
        <v>1707.2181</v>
      </c>
      <c r="G30" s="21">
        <v>1.5800000000000002E-2</v>
      </c>
      <c r="H30" s="22"/>
      <c r="I30" s="23"/>
      <c r="J30" s="23">
        <v>77.400000000000006</v>
      </c>
      <c r="K30" s="23">
        <v>100</v>
      </c>
      <c r="L30" s="24" t="s">
        <v>127</v>
      </c>
    </row>
    <row r="31" spans="1:12" ht="12.9" customHeight="1">
      <c r="A31" s="17" t="s">
        <v>128</v>
      </c>
      <c r="B31" s="18" t="s">
        <v>129</v>
      </c>
      <c r="C31" s="13" t="s">
        <v>130</v>
      </c>
      <c r="D31" s="13" t="s">
        <v>57</v>
      </c>
      <c r="E31" s="19">
        <v>50000</v>
      </c>
      <c r="F31" s="20">
        <v>1699.25</v>
      </c>
      <c r="G31" s="21">
        <v>1.5699999999999999E-2</v>
      </c>
      <c r="H31" s="22"/>
      <c r="I31" s="23"/>
      <c r="J31" s="23">
        <v>77.900000000000006</v>
      </c>
      <c r="K31" s="23">
        <v>100</v>
      </c>
      <c r="L31" s="24" t="s">
        <v>131</v>
      </c>
    </row>
    <row r="32" spans="1:12" ht="12.9" customHeight="1">
      <c r="A32" s="17" t="s">
        <v>132</v>
      </c>
      <c r="B32" s="18" t="s">
        <v>133</v>
      </c>
      <c r="C32" s="13" t="s">
        <v>134</v>
      </c>
      <c r="D32" s="13" t="s">
        <v>135</v>
      </c>
      <c r="E32" s="19">
        <v>30000</v>
      </c>
      <c r="F32" s="20">
        <v>1655.7</v>
      </c>
      <c r="G32" s="21">
        <v>1.5299999999999999E-2</v>
      </c>
      <c r="H32" s="22"/>
      <c r="I32" s="23"/>
      <c r="J32" s="23">
        <v>70.5</v>
      </c>
      <c r="K32" s="23">
        <v>100</v>
      </c>
      <c r="L32" s="24" t="s">
        <v>136</v>
      </c>
    </row>
    <row r="33" spans="1:12" ht="12.9" customHeight="1">
      <c r="A33" s="17" t="s">
        <v>137</v>
      </c>
      <c r="B33" s="18" t="s">
        <v>138</v>
      </c>
      <c r="C33" s="13" t="s">
        <v>139</v>
      </c>
      <c r="D33" s="13" t="s">
        <v>52</v>
      </c>
      <c r="E33" s="19">
        <v>203770</v>
      </c>
      <c r="F33" s="20">
        <v>1639.7372</v>
      </c>
      <c r="G33" s="21">
        <v>1.5100000000000001E-2</v>
      </c>
      <c r="H33" s="22"/>
      <c r="I33" s="23"/>
      <c r="J33" s="23">
        <v>67.2</v>
      </c>
      <c r="K33" s="23" t="s">
        <v>84</v>
      </c>
      <c r="L33" s="24" t="s">
        <v>140</v>
      </c>
    </row>
    <row r="34" spans="1:12" ht="12.9" customHeight="1">
      <c r="A34" s="17" t="s">
        <v>141</v>
      </c>
      <c r="B34" s="18" t="s">
        <v>142</v>
      </c>
      <c r="C34" s="13" t="s">
        <v>143</v>
      </c>
      <c r="D34" s="13" t="s">
        <v>144</v>
      </c>
      <c r="E34" s="19">
        <v>255855</v>
      </c>
      <c r="F34" s="20">
        <v>1537.6886</v>
      </c>
      <c r="G34" s="21">
        <v>1.4200000000000001E-2</v>
      </c>
      <c r="H34" s="22"/>
      <c r="I34" s="23"/>
      <c r="J34" s="23">
        <v>72.7</v>
      </c>
      <c r="K34" s="23" t="s">
        <v>84</v>
      </c>
      <c r="L34" s="24" t="s">
        <v>145</v>
      </c>
    </row>
    <row r="35" spans="1:12" ht="12.9" customHeight="1">
      <c r="A35" s="17" t="s">
        <v>146</v>
      </c>
      <c r="B35" s="18" t="s">
        <v>147</v>
      </c>
      <c r="C35" s="13" t="s">
        <v>148</v>
      </c>
      <c r="D35" s="13" t="s">
        <v>122</v>
      </c>
      <c r="E35" s="19">
        <v>100000</v>
      </c>
      <c r="F35" s="20">
        <v>1531.2</v>
      </c>
      <c r="G35" s="21">
        <v>1.41E-2</v>
      </c>
      <c r="H35" s="22"/>
      <c r="I35" s="23"/>
      <c r="J35" s="23">
        <v>63.1</v>
      </c>
      <c r="K35" s="23" t="s">
        <v>84</v>
      </c>
      <c r="L35" s="24" t="e">
        <v>#N/A</v>
      </c>
    </row>
    <row r="36" spans="1:12" ht="12.9" customHeight="1">
      <c r="A36" s="17" t="s">
        <v>149</v>
      </c>
      <c r="B36" s="18" t="s">
        <v>150</v>
      </c>
      <c r="C36" s="13" t="s">
        <v>151</v>
      </c>
      <c r="D36" s="13" t="s">
        <v>57</v>
      </c>
      <c r="E36" s="19">
        <v>16294</v>
      </c>
      <c r="F36" s="20">
        <v>1276.3905</v>
      </c>
      <c r="G36" s="21">
        <v>1.18E-2</v>
      </c>
      <c r="H36" s="22"/>
      <c r="I36" s="23"/>
      <c r="J36" s="23">
        <v>73.599999999999994</v>
      </c>
      <c r="K36" s="23">
        <v>100</v>
      </c>
      <c r="L36" s="24" t="s">
        <v>152</v>
      </c>
    </row>
    <row r="37" spans="1:12" ht="12.9" customHeight="1">
      <c r="A37" s="17" t="s">
        <v>153</v>
      </c>
      <c r="B37" s="18" t="s">
        <v>154</v>
      </c>
      <c r="C37" s="13" t="s">
        <v>155</v>
      </c>
      <c r="D37" s="13" t="s">
        <v>62</v>
      </c>
      <c r="E37" s="19">
        <v>67594</v>
      </c>
      <c r="F37" s="20">
        <v>1181.4078999999999</v>
      </c>
      <c r="G37" s="21">
        <v>1.09E-2</v>
      </c>
      <c r="H37" s="22"/>
      <c r="I37" s="23"/>
      <c r="J37" s="23">
        <v>66.900000000000006</v>
      </c>
      <c r="K37" s="23">
        <v>100</v>
      </c>
      <c r="L37" s="24" t="s">
        <v>156</v>
      </c>
    </row>
    <row r="38" spans="1:12" ht="12.9" customHeight="1">
      <c r="A38" s="17" t="s">
        <v>157</v>
      </c>
      <c r="B38" s="18" t="s">
        <v>158</v>
      </c>
      <c r="C38" s="13" t="s">
        <v>159</v>
      </c>
      <c r="D38" s="13" t="s">
        <v>144</v>
      </c>
      <c r="E38" s="19">
        <v>60571</v>
      </c>
      <c r="F38" s="20">
        <v>1139.9462000000001</v>
      </c>
      <c r="G38" s="21">
        <v>1.0500000000000001E-2</v>
      </c>
      <c r="H38" s="22"/>
      <c r="I38" s="23"/>
      <c r="J38" s="23">
        <v>74.2</v>
      </c>
      <c r="K38" s="23">
        <v>100</v>
      </c>
      <c r="L38" s="24" t="s">
        <v>160</v>
      </c>
    </row>
    <row r="39" spans="1:12" ht="12.9" customHeight="1">
      <c r="A39" s="17" t="s">
        <v>161</v>
      </c>
      <c r="B39" s="18" t="s">
        <v>162</v>
      </c>
      <c r="C39" s="13" t="s">
        <v>163</v>
      </c>
      <c r="D39" s="13" t="s">
        <v>164</v>
      </c>
      <c r="E39" s="19">
        <v>218390</v>
      </c>
      <c r="F39" s="20">
        <v>953.92750000000001</v>
      </c>
      <c r="G39" s="21">
        <v>8.8000000000000005E-3</v>
      </c>
      <c r="H39" s="22"/>
      <c r="I39" s="23"/>
      <c r="J39" s="23">
        <v>0</v>
      </c>
      <c r="K39" s="23">
        <v>0</v>
      </c>
      <c r="L39" s="24" t="e">
        <v>#N/A</v>
      </c>
    </row>
    <row r="40" spans="1:12" ht="12.9" customHeight="1">
      <c r="A40" s="17" t="s">
        <v>165</v>
      </c>
      <c r="B40" s="18" t="s">
        <v>166</v>
      </c>
      <c r="C40" s="13" t="s">
        <v>167</v>
      </c>
      <c r="D40" s="13" t="s">
        <v>25</v>
      </c>
      <c r="E40" s="19">
        <v>50000</v>
      </c>
      <c r="F40" s="20">
        <v>924.95</v>
      </c>
      <c r="G40" s="21">
        <v>8.5000000000000006E-3</v>
      </c>
      <c r="H40" s="22"/>
      <c r="I40" s="23"/>
      <c r="J40" s="23">
        <v>79.8</v>
      </c>
      <c r="K40" s="23">
        <v>97</v>
      </c>
      <c r="L40" s="24" t="s">
        <v>168</v>
      </c>
    </row>
    <row r="41" spans="1:12" ht="12.9" customHeight="1">
      <c r="A41" s="17" t="s">
        <v>169</v>
      </c>
      <c r="B41" s="18" t="s">
        <v>170</v>
      </c>
      <c r="C41" s="13" t="s">
        <v>171</v>
      </c>
      <c r="D41" s="13" t="s">
        <v>135</v>
      </c>
      <c r="E41" s="19">
        <v>25000</v>
      </c>
      <c r="F41" s="20">
        <v>866.35</v>
      </c>
      <c r="G41" s="21">
        <v>8.0000000000000002E-3</v>
      </c>
      <c r="H41" s="22"/>
      <c r="I41" s="23"/>
      <c r="J41" s="23">
        <v>66.900000000000006</v>
      </c>
      <c r="K41" s="23">
        <v>100</v>
      </c>
      <c r="L41" s="24" t="s">
        <v>172</v>
      </c>
    </row>
    <row r="42" spans="1:12" ht="12.9" customHeight="1">
      <c r="A42" s="17" t="s">
        <v>173</v>
      </c>
      <c r="B42" s="18" t="s">
        <v>174</v>
      </c>
      <c r="C42" s="13" t="s">
        <v>175</v>
      </c>
      <c r="D42" s="13" t="s">
        <v>62</v>
      </c>
      <c r="E42" s="19">
        <v>13726</v>
      </c>
      <c r="F42" s="20">
        <v>789.45090000000005</v>
      </c>
      <c r="G42" s="21">
        <v>7.3000000000000001E-3</v>
      </c>
      <c r="H42" s="22"/>
      <c r="I42" s="23"/>
      <c r="J42" s="23">
        <v>66.3</v>
      </c>
      <c r="K42" s="23">
        <v>100</v>
      </c>
      <c r="L42" s="24" t="s">
        <v>176</v>
      </c>
    </row>
    <row r="43" spans="1:12" ht="12.9" customHeight="1">
      <c r="A43" s="17" t="s">
        <v>177</v>
      </c>
      <c r="B43" s="18" t="s">
        <v>178</v>
      </c>
      <c r="C43" s="13" t="s">
        <v>179</v>
      </c>
      <c r="D43" s="13" t="s">
        <v>89</v>
      </c>
      <c r="E43" s="19">
        <v>69414</v>
      </c>
      <c r="F43" s="20">
        <v>785.07230000000004</v>
      </c>
      <c r="G43" s="21">
        <v>7.1999999999999998E-3</v>
      </c>
      <c r="H43" s="22"/>
      <c r="I43" s="23"/>
      <c r="J43" s="23">
        <v>68.3</v>
      </c>
      <c r="K43" s="23" t="s">
        <v>84</v>
      </c>
      <c r="L43" s="24" t="s">
        <v>180</v>
      </c>
    </row>
    <row r="44" spans="1:12" ht="12.9" customHeight="1">
      <c r="A44" s="17" t="s">
        <v>181</v>
      </c>
      <c r="B44" s="18" t="s">
        <v>182</v>
      </c>
      <c r="C44" s="13" t="s">
        <v>183</v>
      </c>
      <c r="D44" s="13" t="s">
        <v>52</v>
      </c>
      <c r="E44" s="19">
        <v>80339</v>
      </c>
      <c r="F44" s="20">
        <v>759.20360000000005</v>
      </c>
      <c r="G44" s="21">
        <v>7.0000000000000001E-3</v>
      </c>
      <c r="H44" s="22"/>
      <c r="I44" s="23"/>
      <c r="J44" s="23">
        <v>67.3</v>
      </c>
      <c r="K44" s="23">
        <v>100</v>
      </c>
      <c r="L44" s="24" t="s">
        <v>184</v>
      </c>
    </row>
    <row r="45" spans="1:12" ht="12.9" customHeight="1">
      <c r="A45" s="17" t="s">
        <v>185</v>
      </c>
      <c r="B45" s="18" t="s">
        <v>186</v>
      </c>
      <c r="C45" s="13" t="s">
        <v>187</v>
      </c>
      <c r="D45" s="13" t="s">
        <v>30</v>
      </c>
      <c r="E45" s="19">
        <v>261452</v>
      </c>
      <c r="F45" s="20">
        <v>680.29809999999998</v>
      </c>
      <c r="G45" s="21">
        <v>6.3E-3</v>
      </c>
      <c r="H45" s="22"/>
      <c r="I45" s="23"/>
      <c r="J45" s="23">
        <v>76.3</v>
      </c>
      <c r="K45" s="23">
        <v>82.1</v>
      </c>
      <c r="L45" s="24" t="s">
        <v>188</v>
      </c>
    </row>
    <row r="46" spans="1:12" ht="12.9" customHeight="1">
      <c r="A46" s="17" t="s">
        <v>189</v>
      </c>
      <c r="B46" s="18" t="s">
        <v>190</v>
      </c>
      <c r="C46" s="13" t="s">
        <v>191</v>
      </c>
      <c r="D46" s="13" t="s">
        <v>135</v>
      </c>
      <c r="E46" s="19">
        <v>37775</v>
      </c>
      <c r="F46" s="20">
        <v>547.20870000000002</v>
      </c>
      <c r="G46" s="21">
        <v>5.1000000000000004E-3</v>
      </c>
      <c r="H46" s="22"/>
      <c r="I46" s="23"/>
      <c r="J46" s="23">
        <v>66.599999999999994</v>
      </c>
      <c r="K46" s="23">
        <v>100</v>
      </c>
      <c r="L46" s="24" t="s">
        <v>192</v>
      </c>
    </row>
    <row r="47" spans="1:12" ht="12.9" customHeight="1">
      <c r="A47" s="17" t="s">
        <v>193</v>
      </c>
      <c r="B47" s="18" t="s">
        <v>194</v>
      </c>
      <c r="C47" s="13" t="s">
        <v>195</v>
      </c>
      <c r="D47" s="13" t="s">
        <v>196</v>
      </c>
      <c r="E47" s="19">
        <v>5527</v>
      </c>
      <c r="F47" s="20">
        <v>545.70830000000001</v>
      </c>
      <c r="G47" s="21">
        <v>5.0000000000000001E-3</v>
      </c>
      <c r="H47" s="22"/>
      <c r="I47" s="23"/>
      <c r="J47" s="23">
        <v>73.2</v>
      </c>
      <c r="K47" s="23">
        <v>100</v>
      </c>
      <c r="L47" s="24" t="s">
        <v>197</v>
      </c>
    </row>
    <row r="48" spans="1:12" ht="12.9" customHeight="1">
      <c r="A48" s="17" t="s">
        <v>198</v>
      </c>
      <c r="B48" s="18" t="s">
        <v>199</v>
      </c>
      <c r="C48" s="13" t="s">
        <v>200</v>
      </c>
      <c r="D48" s="13" t="s">
        <v>30</v>
      </c>
      <c r="E48" s="19">
        <v>23824</v>
      </c>
      <c r="F48" s="20">
        <v>163.95679999999999</v>
      </c>
      <c r="G48" s="21">
        <v>1.5E-3</v>
      </c>
      <c r="H48" s="22"/>
      <c r="I48" s="23"/>
      <c r="J48" s="23">
        <v>73.3</v>
      </c>
      <c r="K48" s="23">
        <v>90.9</v>
      </c>
      <c r="L48" s="24" t="s">
        <v>201</v>
      </c>
    </row>
    <row r="49" spans="1:12" ht="12.9" customHeight="1">
      <c r="A49" s="3"/>
      <c r="B49" s="12" t="s">
        <v>202</v>
      </c>
      <c r="C49" s="13"/>
      <c r="D49" s="13"/>
      <c r="E49" s="13"/>
      <c r="F49" s="25">
        <v>96744.512100000007</v>
      </c>
      <c r="G49" s="26">
        <v>0.89339999999999997</v>
      </c>
      <c r="H49" s="27"/>
      <c r="I49" s="28"/>
      <c r="J49" s="28"/>
      <c r="K49" s="28"/>
      <c r="L49" s="29"/>
    </row>
    <row r="50" spans="1:12" ht="12.9" customHeight="1">
      <c r="A50" s="3"/>
      <c r="B50" s="30" t="s">
        <v>203</v>
      </c>
      <c r="C50" s="31"/>
      <c r="D50" s="31"/>
      <c r="E50" s="31"/>
      <c r="F50" s="28" t="s">
        <v>204</v>
      </c>
      <c r="G50" s="28" t="s">
        <v>204</v>
      </c>
      <c r="H50" s="27"/>
      <c r="I50" s="28"/>
      <c r="J50" s="28"/>
      <c r="K50" s="28"/>
      <c r="L50" s="29"/>
    </row>
    <row r="51" spans="1:12" ht="12.9" customHeight="1">
      <c r="A51" s="3"/>
      <c r="B51" s="30" t="s">
        <v>202</v>
      </c>
      <c r="C51" s="31"/>
      <c r="D51" s="31"/>
      <c r="E51" s="31"/>
      <c r="F51" s="28" t="s">
        <v>204</v>
      </c>
      <c r="G51" s="28" t="s">
        <v>204</v>
      </c>
      <c r="H51" s="27"/>
      <c r="I51" s="28"/>
      <c r="J51" s="28"/>
      <c r="K51" s="28"/>
      <c r="L51" s="29"/>
    </row>
    <row r="52" spans="1:12" ht="12.9" customHeight="1">
      <c r="A52" s="32">
        <f>ROUND(SUMPRODUCT($F$5:$F51,$J$5:$J51)/$F52,2)</f>
        <v>72.180000000000007</v>
      </c>
      <c r="B52" s="30" t="s">
        <v>205</v>
      </c>
      <c r="C52" s="33"/>
      <c r="D52" s="31"/>
      <c r="E52" s="33"/>
      <c r="F52" s="25">
        <v>96744.512100000007</v>
      </c>
      <c r="G52" s="26">
        <v>0.89339999999999997</v>
      </c>
      <c r="H52" s="27"/>
      <c r="I52" s="28"/>
      <c r="J52" s="28"/>
      <c r="K52" s="28"/>
      <c r="L52" s="29"/>
    </row>
    <row r="53" spans="1:12" ht="12.9" customHeight="1">
      <c r="A53" s="32">
        <f>ROUND(SUMPRODUCT($F$5:$F51,$J$5:$J51)/$F52,2)</f>
        <v>72.180000000000007</v>
      </c>
      <c r="B53" s="12" t="s">
        <v>206</v>
      </c>
      <c r="C53" s="13"/>
      <c r="D53" s="13"/>
      <c r="E53" s="13"/>
      <c r="F53" s="13"/>
      <c r="G53" s="13"/>
      <c r="H53" s="14"/>
      <c r="I53" s="15"/>
      <c r="J53" s="15"/>
      <c r="K53" s="15"/>
      <c r="L53" s="16"/>
    </row>
    <row r="54" spans="1:12" ht="12.9" customHeight="1">
      <c r="A54" s="17" t="s">
        <v>207</v>
      </c>
      <c r="B54" s="18" t="s">
        <v>208</v>
      </c>
      <c r="C54" s="13"/>
      <c r="D54" s="13"/>
      <c r="E54" s="19"/>
      <c r="F54" s="20">
        <v>11356.7222</v>
      </c>
      <c r="G54" s="21">
        <v>0.10489999999999999</v>
      </c>
      <c r="H54" s="34">
        <v>5.2995256833565603E-2</v>
      </c>
      <c r="I54" s="23"/>
      <c r="J54" s="23"/>
      <c r="K54" s="23"/>
      <c r="L54" s="24"/>
    </row>
    <row r="55" spans="1:12" ht="12.9" customHeight="1">
      <c r="A55" s="3"/>
      <c r="B55" s="12" t="s">
        <v>202</v>
      </c>
      <c r="C55" s="13"/>
      <c r="D55" s="13"/>
      <c r="E55" s="13"/>
      <c r="F55" s="25">
        <v>11356.7222</v>
      </c>
      <c r="G55" s="26">
        <v>0.10489999999999999</v>
      </c>
      <c r="H55" s="27"/>
      <c r="I55" s="28"/>
      <c r="J55" s="28"/>
      <c r="K55" s="28"/>
      <c r="L55" s="29"/>
    </row>
    <row r="56" spans="1:12" ht="12.9" customHeight="1">
      <c r="A56" s="3"/>
      <c r="B56" s="30" t="s">
        <v>205</v>
      </c>
      <c r="C56" s="33"/>
      <c r="D56" s="31"/>
      <c r="E56" s="33"/>
      <c r="F56" s="25">
        <v>11356.7222</v>
      </c>
      <c r="G56" s="26">
        <v>0.10489999999999999</v>
      </c>
      <c r="H56" s="27"/>
      <c r="I56" s="28"/>
      <c r="J56" s="28"/>
      <c r="K56" s="28"/>
      <c r="L56" s="29"/>
    </row>
    <row r="57" spans="1:12" ht="12.9" customHeight="1">
      <c r="A57" s="3"/>
      <c r="B57" s="30" t="s">
        <v>209</v>
      </c>
      <c r="C57" s="13"/>
      <c r="D57" s="31"/>
      <c r="E57" s="13"/>
      <c r="F57" s="35">
        <v>187.78569999999999</v>
      </c>
      <c r="G57" s="26">
        <v>1.6999999999999999E-3</v>
      </c>
      <c r="H57" s="27"/>
      <c r="I57" s="28"/>
      <c r="J57" s="28"/>
      <c r="K57" s="28"/>
      <c r="L57" s="29"/>
    </row>
    <row r="58" spans="1:12" ht="12.9" customHeight="1" thickBot="1">
      <c r="A58" s="3"/>
      <c r="B58" s="36" t="s">
        <v>210</v>
      </c>
      <c r="C58" s="37"/>
      <c r="D58" s="37"/>
      <c r="E58" s="37"/>
      <c r="F58" s="38">
        <v>108289.02</v>
      </c>
      <c r="G58" s="39">
        <v>1</v>
      </c>
      <c r="H58" s="40"/>
      <c r="I58" s="41"/>
      <c r="J58" s="41"/>
      <c r="K58" s="41"/>
      <c r="L58" s="42"/>
    </row>
    <row r="59" spans="1:12" ht="12.9" customHeight="1">
      <c r="A59" s="3"/>
      <c r="B59" s="5"/>
      <c r="C59" s="3"/>
      <c r="D59" s="3"/>
      <c r="E59" s="3"/>
      <c r="F59" s="3"/>
      <c r="G59" s="3"/>
      <c r="H59" s="3"/>
      <c r="I59" s="3"/>
      <c r="J59" s="3"/>
      <c r="K59" s="3"/>
      <c r="L59" s="3"/>
    </row>
    <row r="60" spans="1:12" ht="12.9" customHeight="1">
      <c r="A60" s="3"/>
      <c r="B60" s="43" t="str">
        <f>"• $ Weighted average score - excluding foreign securities -" &amp; TEXT(A$52,"0.00")</f>
        <v>• $ Weighted average score - excluding foreign securities -72.18</v>
      </c>
      <c r="C60" s="43"/>
      <c r="D60" s="43"/>
      <c r="E60" s="43"/>
      <c r="F60" s="43"/>
      <c r="G60" s="3"/>
      <c r="H60" s="3"/>
      <c r="I60" s="3"/>
      <c r="J60" s="3"/>
      <c r="K60" s="3"/>
      <c r="L60" s="3"/>
    </row>
    <row r="61" spans="1:12" ht="12.9" customHeight="1">
      <c r="A61" s="3"/>
      <c r="B61" s="43" t="str">
        <f>"• $ Weighted average score - including foreign securities -" &amp; TEXT(A$53,"0.00")</f>
        <v>• $ Weighted average score - including foreign securities -72.18</v>
      </c>
      <c r="C61" s="43"/>
      <c r="D61" s="43"/>
      <c r="E61" s="43"/>
      <c r="F61" s="43"/>
      <c r="G61" s="3"/>
      <c r="H61" s="3"/>
      <c r="I61" s="3"/>
      <c r="J61" s="3"/>
      <c r="K61" s="3"/>
      <c r="L61" s="3"/>
    </row>
    <row r="62" spans="1:12" ht="12.9" customHeight="1">
      <c r="A62" s="3"/>
      <c r="B62" s="43" t="s">
        <v>211</v>
      </c>
      <c r="C62" s="43"/>
      <c r="D62" s="43"/>
      <c r="E62" s="43"/>
      <c r="F62" s="43"/>
      <c r="G62" s="3"/>
      <c r="H62" s="3"/>
      <c r="I62" s="3"/>
      <c r="J62" s="3"/>
      <c r="K62" s="3"/>
      <c r="L62" s="3"/>
    </row>
    <row r="63" spans="1:12" ht="12.9" customHeight="1">
      <c r="A63" s="3"/>
      <c r="B63" s="43" t="s">
        <v>212</v>
      </c>
      <c r="C63" s="43"/>
      <c r="D63" s="43"/>
      <c r="E63" s="43"/>
      <c r="F63" s="43"/>
      <c r="G63" s="3"/>
      <c r="H63" s="3"/>
      <c r="I63" s="3"/>
      <c r="J63" s="3"/>
      <c r="K63" s="3"/>
      <c r="L63" s="3"/>
    </row>
    <row r="64" spans="1:12" ht="12.9" customHeight="1">
      <c r="A64" s="3"/>
      <c r="B64" s="43" t="s">
        <v>213</v>
      </c>
      <c r="C64" s="43"/>
      <c r="D64" s="43"/>
      <c r="E64" s="43"/>
      <c r="F64" s="43"/>
      <c r="G64" s="3"/>
      <c r="H64" s="3"/>
      <c r="I64" s="3"/>
      <c r="J64" s="3"/>
      <c r="K64" s="3"/>
      <c r="L64" s="3"/>
    </row>
    <row r="65" spans="1:25" ht="100.5" customHeight="1">
      <c r="A65" s="3"/>
      <c r="B65" s="43" t="s">
        <v>214</v>
      </c>
      <c r="C65" s="43"/>
      <c r="D65" s="43"/>
      <c r="E65" s="43"/>
      <c r="F65" s="43"/>
      <c r="G65" s="3"/>
      <c r="H65" s="3"/>
      <c r="I65" s="3"/>
      <c r="J65" s="3"/>
      <c r="K65" s="3"/>
      <c r="L65" s="3"/>
    </row>
    <row r="66" spans="1:25" ht="12.9" customHeight="1">
      <c r="A66" s="3"/>
      <c r="B66" s="43" t="s">
        <v>215</v>
      </c>
      <c r="C66" s="43"/>
      <c r="D66" s="43"/>
      <c r="E66" s="43"/>
      <c r="F66" s="43"/>
      <c r="G66" s="3"/>
      <c r="H66" s="3"/>
      <c r="I66" s="3"/>
      <c r="J66" s="3"/>
      <c r="K66" s="3"/>
      <c r="L66" s="3"/>
    </row>
    <row r="67" spans="1:25" ht="12.9" customHeight="1">
      <c r="A67" s="3"/>
      <c r="B67" s="44" t="s">
        <v>216</v>
      </c>
      <c r="C67" s="45"/>
      <c r="D67" s="45"/>
      <c r="E67" s="45"/>
      <c r="F67" s="45"/>
      <c r="G67" s="45"/>
      <c r="H67" s="45"/>
      <c r="I67" s="45"/>
      <c r="J67" s="45"/>
      <c r="K67" s="45"/>
      <c r="L67" s="45"/>
    </row>
    <row r="68" spans="1:25" ht="12.9" customHeight="1">
      <c r="A68" s="3"/>
      <c r="B68" s="44" t="s">
        <v>217</v>
      </c>
      <c r="C68" s="45"/>
      <c r="D68" s="45"/>
      <c r="E68" s="45"/>
      <c r="F68" s="45"/>
      <c r="G68" s="45"/>
      <c r="H68" s="45"/>
      <c r="I68" s="45"/>
      <c r="J68" s="45"/>
      <c r="K68" s="45"/>
      <c r="L68" s="45"/>
    </row>
    <row r="69" spans="1:25" ht="12.9" customHeight="1">
      <c r="A69" s="3"/>
      <c r="B69" s="2" t="s">
        <v>218</v>
      </c>
      <c r="C69" s="3"/>
      <c r="D69" s="3"/>
      <c r="E69" s="3"/>
      <c r="F69" s="3"/>
      <c r="G69" s="3"/>
      <c r="H69" s="3"/>
      <c r="I69" s="3"/>
      <c r="J69" s="3"/>
      <c r="K69" s="3"/>
      <c r="L69" s="3"/>
    </row>
    <row r="70" spans="1:25" ht="26.1" customHeight="1">
      <c r="A70" s="3"/>
      <c r="B70" s="46" t="s">
        <v>219</v>
      </c>
      <c r="C70" s="46"/>
      <c r="D70" s="46"/>
      <c r="E70" s="46"/>
      <c r="F70" s="46"/>
      <c r="G70" s="46"/>
      <c r="H70" s="46"/>
      <c r="I70" s="46"/>
      <c r="J70" s="46"/>
      <c r="K70" s="46"/>
      <c r="L70" s="46"/>
    </row>
    <row r="71" spans="1:25" ht="12.9" customHeight="1">
      <c r="A71" s="3"/>
      <c r="B71" s="46" t="s">
        <v>220</v>
      </c>
      <c r="C71" s="46"/>
      <c r="D71" s="46"/>
      <c r="E71" s="46"/>
      <c r="F71" s="46"/>
      <c r="G71" s="46"/>
      <c r="H71" s="46"/>
      <c r="I71" s="46"/>
      <c r="J71" s="46"/>
      <c r="K71" s="46"/>
      <c r="L71" s="46"/>
    </row>
    <row r="72" spans="1:25" ht="12.9" customHeight="1">
      <c r="A72" s="3"/>
      <c r="B72" s="46" t="s">
        <v>221</v>
      </c>
      <c r="C72" s="46"/>
      <c r="D72" s="46"/>
      <c r="E72" s="46"/>
      <c r="F72" s="46"/>
      <c r="G72" s="3"/>
      <c r="H72" s="3"/>
      <c r="I72" s="3"/>
      <c r="J72" s="3"/>
      <c r="K72" s="3"/>
      <c r="L72" s="3"/>
    </row>
    <row r="73" spans="1:25" ht="12.9" customHeight="1">
      <c r="A73" s="3"/>
      <c r="B73" s="46" t="s">
        <v>222</v>
      </c>
      <c r="C73" s="46"/>
      <c r="D73" s="46"/>
      <c r="E73" s="46"/>
      <c r="F73" s="46"/>
      <c r="G73" s="3"/>
      <c r="H73" s="3"/>
      <c r="I73" s="3"/>
      <c r="J73" s="3"/>
      <c r="K73" s="3"/>
      <c r="L73" s="3"/>
    </row>
    <row r="74" spans="1:25" ht="12.9" customHeight="1">
      <c r="A74" s="3"/>
      <c r="B74" s="46" t="s">
        <v>223</v>
      </c>
      <c r="C74" s="46"/>
      <c r="D74" s="46"/>
      <c r="E74" s="46"/>
      <c r="F74" s="46"/>
      <c r="G74" s="3"/>
      <c r="H74" s="3"/>
      <c r="I74" s="3"/>
      <c r="J74" s="3"/>
      <c r="K74" s="3"/>
      <c r="L74" s="3"/>
    </row>
    <row r="75" spans="1:25" ht="12.9" customHeight="1">
      <c r="A75" s="3"/>
      <c r="B75" s="46"/>
      <c r="C75" s="46"/>
      <c r="D75" s="46"/>
      <c r="E75" s="46"/>
      <c r="F75" s="46"/>
      <c r="G75" s="46"/>
      <c r="H75" s="46"/>
      <c r="I75" s="46"/>
      <c r="J75" s="46"/>
      <c r="K75" s="46"/>
      <c r="L75" s="46"/>
    </row>
    <row r="76" spans="1:25">
      <c r="A76" s="47"/>
      <c r="B76" s="48" t="s">
        <v>224</v>
      </c>
      <c r="C76" s="49"/>
      <c r="D76" s="49"/>
      <c r="E76" s="49"/>
      <c r="F76" s="49"/>
      <c r="G76" s="49"/>
      <c r="H76" s="49"/>
      <c r="I76" s="50"/>
      <c r="J76" s="50"/>
      <c r="K76" s="50"/>
      <c r="L76" s="50"/>
      <c r="M76" s="51"/>
      <c r="N76" s="51"/>
      <c r="O76" s="51"/>
      <c r="P76" s="51"/>
      <c r="Q76" s="51"/>
      <c r="R76" s="51"/>
      <c r="S76" s="51"/>
      <c r="T76" s="51"/>
      <c r="U76" s="51"/>
      <c r="V76" s="51"/>
      <c r="W76" s="51"/>
      <c r="X76" s="51"/>
      <c r="Y76" s="51"/>
    </row>
    <row r="77" spans="1:25">
      <c r="A77" s="47"/>
      <c r="B77" s="52" t="s">
        <v>225</v>
      </c>
      <c r="C77" s="47"/>
      <c r="D77" s="47"/>
      <c r="E77" s="47"/>
      <c r="F77" s="47"/>
      <c r="G77" s="47"/>
      <c r="H77" s="47"/>
      <c r="I77" s="53"/>
      <c r="J77" s="53"/>
      <c r="K77" s="53"/>
      <c r="L77" s="53"/>
      <c r="M77" s="51"/>
      <c r="N77" s="51"/>
      <c r="O77" s="51"/>
      <c r="P77" s="51"/>
      <c r="Q77" s="51"/>
      <c r="R77" s="51"/>
      <c r="S77" s="51"/>
      <c r="T77" s="51"/>
      <c r="U77" s="51"/>
      <c r="V77" s="51"/>
      <c r="W77" s="51"/>
      <c r="X77" s="51"/>
      <c r="Y77" s="51"/>
    </row>
    <row r="78" spans="1:25">
      <c r="A78" s="47"/>
      <c r="B78" s="52" t="s">
        <v>226</v>
      </c>
      <c r="C78" s="47"/>
      <c r="D78" s="47"/>
      <c r="E78" s="47"/>
      <c r="F78" s="47"/>
      <c r="G78" s="47"/>
      <c r="H78" s="47"/>
      <c r="I78" s="53"/>
      <c r="J78" s="53"/>
      <c r="K78" s="53"/>
      <c r="L78" s="53"/>
      <c r="M78" s="51"/>
      <c r="N78" s="51"/>
      <c r="O78" s="51"/>
      <c r="P78" s="51"/>
      <c r="Q78" s="51"/>
      <c r="R78" s="51"/>
      <c r="S78" s="51"/>
      <c r="T78" s="51"/>
      <c r="U78" s="51"/>
      <c r="V78" s="51"/>
      <c r="W78" s="51"/>
      <c r="X78" s="51"/>
      <c r="Y78" s="51"/>
    </row>
    <row r="79" spans="1:25">
      <c r="A79" s="47"/>
      <c r="B79" s="52" t="s">
        <v>227</v>
      </c>
      <c r="C79" s="47"/>
      <c r="D79" s="47"/>
      <c r="E79" s="47"/>
      <c r="F79" s="47"/>
      <c r="G79" s="47"/>
      <c r="H79" s="47"/>
      <c r="I79" s="53"/>
      <c r="J79" s="53"/>
      <c r="K79" s="53"/>
      <c r="L79" s="53"/>
      <c r="M79" s="51"/>
      <c r="N79" s="51"/>
      <c r="O79" s="51"/>
      <c r="P79" s="51"/>
      <c r="Q79" s="51"/>
      <c r="R79" s="51"/>
      <c r="S79" s="51"/>
      <c r="T79" s="51"/>
      <c r="U79" s="51"/>
      <c r="V79" s="51"/>
      <c r="W79" s="51"/>
      <c r="X79" s="51"/>
      <c r="Y79" s="51"/>
    </row>
    <row r="80" spans="1:25">
      <c r="A80" s="47"/>
      <c r="B80" s="54" t="s">
        <v>228</v>
      </c>
      <c r="C80" s="55" t="s">
        <v>229</v>
      </c>
      <c r="D80" s="56" t="s">
        <v>230</v>
      </c>
      <c r="E80" s="47"/>
      <c r="F80" s="47"/>
      <c r="G80" s="47"/>
      <c r="H80" s="47"/>
      <c r="I80" s="53"/>
      <c r="J80" s="53"/>
      <c r="K80" s="53"/>
      <c r="L80" s="53"/>
      <c r="M80" s="51"/>
      <c r="N80" s="51"/>
      <c r="O80" s="51"/>
      <c r="P80" s="51"/>
      <c r="Q80" s="51"/>
      <c r="R80" s="51"/>
      <c r="S80" s="51"/>
      <c r="T80" s="51"/>
      <c r="U80" s="51"/>
      <c r="V80" s="51"/>
      <c r="W80" s="51"/>
      <c r="X80" s="51"/>
      <c r="Y80" s="51"/>
    </row>
    <row r="81" spans="1:25">
      <c r="A81" s="57" t="s">
        <v>231</v>
      </c>
      <c r="B81" s="58" t="s">
        <v>232</v>
      </c>
      <c r="C81" s="59">
        <v>20.8</v>
      </c>
      <c r="D81" s="60">
        <v>21.15</v>
      </c>
      <c r="E81" s="47"/>
      <c r="F81" s="5"/>
      <c r="G81" s="61"/>
      <c r="H81" s="47"/>
      <c r="I81" s="53"/>
      <c r="J81" s="53"/>
      <c r="K81" s="53"/>
      <c r="L81" s="53"/>
      <c r="M81" s="51"/>
      <c r="N81" s="51"/>
      <c r="O81" s="51"/>
      <c r="P81" s="51"/>
      <c r="Q81" s="51"/>
      <c r="R81" s="51"/>
      <c r="S81" s="51"/>
      <c r="T81" s="51"/>
      <c r="U81" s="51"/>
      <c r="V81" s="51"/>
      <c r="W81" s="51"/>
      <c r="X81" s="51"/>
      <c r="Y81" s="51"/>
    </row>
    <row r="82" spans="1:25">
      <c r="A82" s="57" t="s">
        <v>233</v>
      </c>
      <c r="B82" s="58" t="s">
        <v>234</v>
      </c>
      <c r="C82" s="59">
        <v>13.58</v>
      </c>
      <c r="D82" s="60">
        <v>13.81</v>
      </c>
      <c r="E82" s="47"/>
      <c r="F82" s="5"/>
      <c r="G82" s="61"/>
      <c r="H82" s="47"/>
      <c r="I82" s="53"/>
      <c r="J82" s="53"/>
      <c r="K82" s="53"/>
      <c r="L82" s="53"/>
      <c r="M82" s="51"/>
      <c r="N82" s="51"/>
      <c r="O82" s="51"/>
      <c r="P82" s="51"/>
      <c r="Q82" s="51"/>
      <c r="R82" s="51"/>
      <c r="S82" s="51"/>
      <c r="T82" s="51"/>
      <c r="U82" s="51"/>
      <c r="V82" s="51"/>
      <c r="W82" s="51"/>
      <c r="X82" s="51"/>
      <c r="Y82" s="51"/>
    </row>
    <row r="83" spans="1:25">
      <c r="A83" s="57" t="s">
        <v>235</v>
      </c>
      <c r="B83" s="58" t="s">
        <v>236</v>
      </c>
      <c r="C83" s="59">
        <v>22.51</v>
      </c>
      <c r="D83" s="60">
        <v>22.91</v>
      </c>
      <c r="E83" s="47"/>
      <c r="F83" s="5"/>
      <c r="G83" s="61"/>
      <c r="H83" s="47"/>
      <c r="I83" s="53"/>
      <c r="J83" s="53"/>
      <c r="K83" s="53"/>
      <c r="L83" s="53"/>
      <c r="M83" s="51"/>
      <c r="N83" s="51"/>
      <c r="O83" s="51"/>
      <c r="P83" s="51"/>
      <c r="Q83" s="51"/>
      <c r="R83" s="51"/>
      <c r="S83" s="51"/>
      <c r="T83" s="51"/>
      <c r="U83" s="51"/>
      <c r="V83" s="51"/>
      <c r="W83" s="51"/>
      <c r="X83" s="51"/>
      <c r="Y83" s="51"/>
    </row>
    <row r="84" spans="1:25">
      <c r="A84" s="57" t="s">
        <v>237</v>
      </c>
      <c r="B84" s="58" t="s">
        <v>238</v>
      </c>
      <c r="C84" s="59">
        <v>14.72</v>
      </c>
      <c r="D84" s="60">
        <v>14.98</v>
      </c>
      <c r="E84" s="47"/>
      <c r="F84" s="5"/>
      <c r="G84" s="61"/>
      <c r="H84" s="47"/>
      <c r="I84" s="53"/>
      <c r="J84" s="53"/>
      <c r="K84" s="53"/>
      <c r="L84" s="53"/>
      <c r="M84" s="51"/>
      <c r="N84" s="51"/>
      <c r="O84" s="51"/>
      <c r="P84" s="51"/>
      <c r="Q84" s="51"/>
      <c r="R84" s="51"/>
      <c r="S84" s="51"/>
      <c r="T84" s="51"/>
      <c r="U84" s="51"/>
      <c r="V84" s="51"/>
      <c r="W84" s="51"/>
      <c r="X84" s="51"/>
      <c r="Y84" s="51"/>
    </row>
    <row r="85" spans="1:25">
      <c r="A85" s="47"/>
      <c r="B85" s="62"/>
      <c r="C85" s="63"/>
      <c r="D85" s="63"/>
      <c r="E85" s="47"/>
      <c r="F85" s="64"/>
      <c r="G85" s="47"/>
      <c r="H85" s="47"/>
      <c r="I85" s="53"/>
      <c r="J85" s="53"/>
      <c r="K85" s="53"/>
      <c r="L85" s="53"/>
      <c r="M85" s="51"/>
      <c r="N85" s="51"/>
      <c r="O85" s="51"/>
      <c r="P85" s="51"/>
      <c r="Q85" s="51"/>
      <c r="R85" s="51"/>
      <c r="S85" s="51"/>
      <c r="T85" s="51"/>
      <c r="U85" s="51"/>
      <c r="V85" s="51"/>
      <c r="W85" s="51"/>
      <c r="X85" s="51"/>
      <c r="Y85" s="51"/>
    </row>
    <row r="86" spans="1:25">
      <c r="A86" s="47"/>
      <c r="B86" s="52" t="s">
        <v>239</v>
      </c>
      <c r="C86" s="47"/>
      <c r="D86" s="47"/>
      <c r="E86" s="47"/>
      <c r="F86" s="47"/>
      <c r="G86" s="47"/>
      <c r="H86" s="47"/>
      <c r="I86" s="53"/>
      <c r="J86" s="53"/>
      <c r="K86" s="53"/>
      <c r="L86" s="53"/>
      <c r="M86" s="51"/>
      <c r="N86" s="51"/>
      <c r="O86" s="51"/>
      <c r="P86" s="51"/>
      <c r="Q86" s="51"/>
      <c r="R86" s="51"/>
      <c r="S86" s="51"/>
      <c r="T86" s="51"/>
      <c r="U86" s="51"/>
      <c r="V86" s="51"/>
      <c r="W86" s="51"/>
      <c r="X86" s="51"/>
      <c r="Y86" s="51"/>
    </row>
    <row r="87" spans="1:25">
      <c r="A87" s="47"/>
      <c r="B87" s="52" t="s">
        <v>240</v>
      </c>
      <c r="C87" s="47"/>
      <c r="D87" s="47"/>
      <c r="E87" s="47"/>
      <c r="F87" s="47"/>
      <c r="G87" s="47"/>
      <c r="H87" s="47"/>
      <c r="I87" s="53"/>
      <c r="J87" s="53"/>
      <c r="K87" s="53"/>
      <c r="L87" s="53"/>
      <c r="M87" s="51"/>
      <c r="N87" s="51"/>
      <c r="O87" s="51"/>
      <c r="P87" s="51"/>
      <c r="Q87" s="51"/>
      <c r="R87" s="51"/>
      <c r="S87" s="51"/>
      <c r="T87" s="51"/>
      <c r="U87" s="51"/>
      <c r="V87" s="51"/>
      <c r="W87" s="51"/>
      <c r="X87" s="51"/>
      <c r="Y87" s="51"/>
    </row>
    <row r="88" spans="1:25">
      <c r="A88" s="47"/>
      <c r="B88" s="52" t="s">
        <v>241</v>
      </c>
      <c r="C88" s="47"/>
      <c r="D88" s="47"/>
      <c r="E88" s="47"/>
      <c r="F88" s="47"/>
      <c r="G88" s="47"/>
      <c r="H88" s="47"/>
      <c r="I88" s="53"/>
      <c r="J88" s="53"/>
      <c r="K88" s="53"/>
      <c r="L88" s="53"/>
      <c r="M88" s="51"/>
      <c r="N88" s="51"/>
      <c r="O88" s="51"/>
      <c r="P88" s="51"/>
      <c r="Q88" s="51"/>
      <c r="R88" s="51"/>
      <c r="S88" s="51"/>
      <c r="T88" s="51"/>
      <c r="U88" s="51"/>
      <c r="V88" s="51"/>
      <c r="W88" s="51"/>
      <c r="X88" s="51"/>
      <c r="Y88" s="51"/>
    </row>
    <row r="89" spans="1:25">
      <c r="A89" s="47"/>
      <c r="B89" s="52" t="s">
        <v>242</v>
      </c>
      <c r="C89" s="47"/>
      <c r="D89" s="47"/>
      <c r="E89" s="47"/>
      <c r="F89" s="47"/>
      <c r="G89" s="47"/>
      <c r="H89" s="47"/>
      <c r="I89" s="53"/>
      <c r="J89" s="53"/>
      <c r="K89" s="53"/>
      <c r="L89" s="53"/>
      <c r="M89" s="51"/>
      <c r="N89" s="51"/>
      <c r="O89" s="51"/>
      <c r="P89" s="51"/>
      <c r="Q89" s="51"/>
      <c r="R89" s="51"/>
      <c r="S89" s="51"/>
      <c r="T89" s="51"/>
      <c r="U89" s="51"/>
      <c r="V89" s="51"/>
      <c r="W89" s="51"/>
      <c r="X89" s="51"/>
      <c r="Y89" s="51"/>
    </row>
    <row r="90" spans="1:25">
      <c r="A90" s="47"/>
      <c r="B90" s="52" t="s">
        <v>243</v>
      </c>
      <c r="C90" s="47"/>
      <c r="D90" s="47"/>
      <c r="E90" s="47"/>
      <c r="F90" s="47"/>
      <c r="G90" s="47"/>
      <c r="H90" s="47"/>
      <c r="I90" s="53"/>
      <c r="J90" s="53"/>
      <c r="K90" s="53"/>
      <c r="L90" s="53"/>
      <c r="M90" s="51"/>
      <c r="N90" s="51"/>
      <c r="O90" s="51"/>
      <c r="P90" s="51"/>
      <c r="Q90" s="51"/>
      <c r="R90" s="51"/>
      <c r="S90" s="51"/>
      <c r="T90" s="51"/>
      <c r="U90" s="51"/>
      <c r="V90" s="51"/>
      <c r="W90" s="51"/>
      <c r="X90" s="51"/>
      <c r="Y90" s="51"/>
    </row>
    <row r="91" spans="1:25">
      <c r="A91" s="47"/>
      <c r="B91" s="65"/>
      <c r="C91" s="66"/>
      <c r="D91" s="66"/>
      <c r="E91" s="66"/>
      <c r="F91" s="66"/>
      <c r="G91" s="66"/>
      <c r="H91" s="66"/>
      <c r="I91" s="67"/>
      <c r="J91" s="67"/>
      <c r="K91" s="67"/>
      <c r="L91" s="67"/>
      <c r="M91" s="51"/>
      <c r="N91" s="51"/>
      <c r="O91" s="51"/>
      <c r="P91" s="51"/>
      <c r="Q91" s="51"/>
      <c r="R91" s="51"/>
      <c r="S91" s="51"/>
      <c r="T91" s="51"/>
      <c r="U91" s="51"/>
      <c r="V91" s="51"/>
      <c r="W91" s="51"/>
      <c r="X91" s="51"/>
      <c r="Y91" s="51"/>
    </row>
    <row r="92" spans="1:25">
      <c r="A92" s="68"/>
      <c r="B92" s="51"/>
      <c r="C92" s="51"/>
      <c r="D92" s="51"/>
      <c r="E92" s="51"/>
      <c r="F92" s="51"/>
      <c r="G92" s="51"/>
      <c r="H92" s="51"/>
      <c r="I92" s="51"/>
      <c r="J92" s="51"/>
      <c r="K92" s="51"/>
      <c r="L92" s="51"/>
      <c r="M92" s="51"/>
      <c r="N92" s="51"/>
      <c r="O92" s="51"/>
      <c r="P92" s="51"/>
      <c r="Q92" s="51"/>
      <c r="R92" s="51"/>
      <c r="S92" s="51"/>
      <c r="T92" s="51"/>
      <c r="U92" s="51"/>
      <c r="V92" s="51"/>
      <c r="W92" s="51"/>
      <c r="X92" s="51"/>
      <c r="Y92" s="51"/>
    </row>
    <row r="93" spans="1:25" ht="12.9" customHeight="1">
      <c r="A93" s="3"/>
      <c r="B93" s="46"/>
      <c r="C93" s="46"/>
      <c r="D93" s="46"/>
      <c r="E93" s="46"/>
      <c r="F93" s="46"/>
      <c r="G93" s="46"/>
      <c r="H93" s="46"/>
      <c r="I93" s="46"/>
      <c r="J93" s="46"/>
      <c r="K93" s="46"/>
      <c r="L93" s="46"/>
    </row>
    <row r="94" spans="1:25" ht="12.9" customHeight="1">
      <c r="A94" s="3"/>
      <c r="B94" s="3"/>
      <c r="C94" s="69" t="s">
        <v>244</v>
      </c>
      <c r="D94" s="69"/>
      <c r="E94" s="69"/>
      <c r="F94" s="69"/>
      <c r="G94" s="3"/>
      <c r="H94" s="3"/>
      <c r="I94" s="3"/>
      <c r="J94" s="3"/>
      <c r="K94" s="3"/>
      <c r="L94" s="3"/>
    </row>
    <row r="95" spans="1:25" ht="12.9" customHeight="1">
      <c r="A95" s="3"/>
      <c r="B95" s="70" t="s">
        <v>245</v>
      </c>
      <c r="C95" s="69" t="s">
        <v>246</v>
      </c>
      <c r="D95" s="69"/>
      <c r="E95" s="69"/>
      <c r="F95" s="69"/>
      <c r="G95" s="3"/>
      <c r="H95" s="3"/>
      <c r="I95" s="3"/>
      <c r="J95" s="3"/>
      <c r="K95" s="3"/>
      <c r="L95" s="3"/>
    </row>
    <row r="96" spans="1:25" ht="135" customHeight="1">
      <c r="A96" s="3"/>
      <c r="B96" s="3"/>
      <c r="C96" s="71"/>
      <c r="D96" s="71"/>
      <c r="E96" s="3"/>
      <c r="F96" s="3"/>
      <c r="G96" s="3"/>
      <c r="H96" s="3"/>
      <c r="I96" s="3"/>
      <c r="J96" s="3"/>
      <c r="K96" s="3"/>
      <c r="L96" s="3"/>
    </row>
  </sheetData>
  <mergeCells count="19">
    <mergeCell ref="C96:D96"/>
    <mergeCell ref="B73:F73"/>
    <mergeCell ref="B74:F74"/>
    <mergeCell ref="B75:L75"/>
    <mergeCell ref="B93:L93"/>
    <mergeCell ref="C94:F94"/>
    <mergeCell ref="C95:F95"/>
    <mergeCell ref="B66:F66"/>
    <mergeCell ref="B67:L67"/>
    <mergeCell ref="B68:L68"/>
    <mergeCell ref="B70:L70"/>
    <mergeCell ref="B71:L71"/>
    <mergeCell ref="B72:F72"/>
    <mergeCell ref="B60:F60"/>
    <mergeCell ref="B61:F61"/>
    <mergeCell ref="B62:F62"/>
    <mergeCell ref="B63:F63"/>
    <mergeCell ref="B64:F64"/>
    <mergeCell ref="B65:F65"/>
  </mergeCells>
  <hyperlinks>
    <hyperlink ref="A1" location="AxisESGIntegrationStrategyFund" display="AXISESG" xr:uid="{C8D181AA-C0D7-4E08-9FFC-A661A38F5277}"/>
    <hyperlink ref="B1" location="AxisESGIntegrationStrategyFund" display="Axis ESG Integration Strategy Fund" xr:uid="{D2A0B4BE-32BD-4BDA-83B3-A08FD4ADC6EA}"/>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AXISESG</vt:lpstr>
      <vt:lpstr>JR_PAGE_ANCHOR_0_26</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2026-08-07T10:39:12Z</dcterms:created>
  <dcterms:modified xsi:type="dcterms:W3CDTF">2026-08-07T10:39:13Z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2026-08-07T10:39:12Z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d6bf1315-9d51-471f-861a-7ff5a9769c44</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