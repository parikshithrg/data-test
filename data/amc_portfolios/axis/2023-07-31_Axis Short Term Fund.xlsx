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8F34DE32-7D19-4D25-804C-55CE2E9184A6}" xr6:coauthVersionLast="47" xr6:coauthVersionMax="47" xr10:uidLastSave="{00000000-0000-0000-0000-000000000000}"/>
  <bookViews>
    <workbookView xWindow="-120" yWindow="-120" windowWidth="29040" windowHeight="15840" xr2:uid="{8CE68F2F-9DC3-40CD-86CE-4258E8F7635C}"/>
  </bookViews>
  <sheets>
    <sheet name="AXISSTF" sheetId="1" r:id="rId1"/>
  </sheets>
  <definedNames>
    <definedName name="JR_PAGE_ANCHOR_0_63">AXISSTF!$A$1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5" i="1" s="1"/>
</calcChain>
</file>

<file path=xl/sharedStrings.xml><?xml version="1.0" encoding="utf-8"?>
<sst xmlns="http://schemas.openxmlformats.org/spreadsheetml/2006/main" count="710" uniqueCount="538">
  <si>
    <t>AXISSTF</t>
  </si>
  <si>
    <t>Axis Short Term Fund</t>
  </si>
  <si>
    <t xml:space="preserve">
  </t>
  </si>
  <si>
    <t>Monthly Portfolio Statement as on July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</si>
  <si>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</si>
  <si>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</si>
  <si>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</si>
  <si>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</si>
  <si>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</si>
  <si>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</si>
  <si>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</si>
  <si>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</si>
  <si>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</si>
  <si>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</si>
  <si>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</si>
  <si>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IRS1110638</t>
  </si>
  <si>
    <t>Interest Rate Swaps Pay Floating Receive Fix -ICISECPD (31/07/2028) (FV 2500 Lacs)</t>
  </si>
  <si>
    <t>$0.00%</t>
  </si>
  <si>
    <t>IRS1110628</t>
  </si>
  <si>
    <t>Interest Rate Swaps Pay Floating Receive Fix -HSBC BANK (31/07/2028) (FV 3500 Lacs)</t>
  </si>
  <si>
    <t>IRS1106742</t>
  </si>
  <si>
    <t>Interest Rate Swaps Pay Floating Receive Fix -HSBC BANK (18/07/2024) (FV 5000 Lacs)</t>
  </si>
  <si>
    <t>IRS1110735</t>
  </si>
  <si>
    <t>Interest Rate Swaps Pay Floating Receive Fix -IDFC BANK (31/07/2028) (FV 2500 Lacs)</t>
  </si>
  <si>
    <t>IRS1103934</t>
  </si>
  <si>
    <t>Interest Rate Swaps Pay Floating Receive Fix -NOMURA (24/07/2024) (FV 5000 Lacs)</t>
  </si>
  <si>
    <t>IRS1103926</t>
  </si>
  <si>
    <t>Interest Rate Swaps Pay Floating Receive Fix -ICISECPD (18/07/2024) (FV 5000 Lacs)</t>
  </si>
  <si>
    <t>IRS1107870</t>
  </si>
  <si>
    <t>Interest Rate Swaps Pay Floating Receive Fix -ICISECPD (26/07/2028) (FV 2500 Lacs)</t>
  </si>
  <si>
    <t>IRS1106591</t>
  </si>
  <si>
    <t>Interest Rate Swaps Pay Floating Receive Fix -IDFC BANK (26/07/2028) (FV 2500 Lacs)</t>
  </si>
  <si>
    <t>IRS1106593</t>
  </si>
  <si>
    <t>Interest Rate Swaps Pay Floating Receive Fix -ICICI BANK (26/07/2028) (FV 2500 Lacs)</t>
  </si>
  <si>
    <t>IRS1091924</t>
  </si>
  <si>
    <t>Interest Rate Swaps Pay Floating Receive Fix -HSBC BANK (07/07/2028) (FV 3000 Lacs)</t>
  </si>
  <si>
    <t>IRS1092013</t>
  </si>
  <si>
    <t>Interest Rate Swaps Pay Floating Receive Fix -ICICI BANK (07/07/2028) (FV 3000 Lacs)</t>
  </si>
  <si>
    <t>IRS1099462</t>
  </si>
  <si>
    <t>Interest Rate Swaps Pay Floating Receive Fix -IDFC BANK (18/07/2025) (FV 5000 Lacs)</t>
  </si>
  <si>
    <t>IRS1098396</t>
  </si>
  <si>
    <t>Interest Rate Swaps Pay Floating Receive Fix -ICISECPD (17/07/2025) (FV 5000 Lacs)</t>
  </si>
  <si>
    <t>IRS1083297</t>
  </si>
  <si>
    <t>Interest Rate Swaps Pay Floating Receive Fix -IDFC BANK (23/06/2025) (FV 5000 Lacs)</t>
  </si>
  <si>
    <t>IRS1095232</t>
  </si>
  <si>
    <t>Interest Rate Swaps Pay Floating Receive Fix -HSBC BANK (12/07/2028) (FV 5000 Lacs)</t>
  </si>
  <si>
    <t>IRS1090308</t>
  </si>
  <si>
    <t>Interest Rate Swaps Pay Floating Receive Fix -ICISECPD (05/07/2026) (FV 6000 Lacs)</t>
  </si>
  <si>
    <t>IRS1108153</t>
  </si>
  <si>
    <t>Interest Rate Swaps Pay Floating Receive Fix -ICISECPD (27/07/2028) (FV 5000 Lacs)</t>
  </si>
  <si>
    <t>Sub Total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</si>
  <si>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</si>
  <si>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</si>
  <si>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</si>
  <si>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</si>
  <si>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</si>
  <si>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</si>
  <si>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</si>
  <si>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NBAR677</t>
  </si>
  <si>
    <t>7.4% National Bank For Agriculture and Rural Development (30/01/2026) **</t>
  </si>
  <si>
    <t>INE261F08DO9</t>
  </si>
  <si>
    <t>CRISIL AAA</t>
  </si>
  <si>
    <t>POWF497</t>
  </si>
  <si>
    <t>7.58% Power Finance Corporation Limited (15/01/2026) **</t>
  </si>
  <si>
    <t>INE134E08LZ0</t>
  </si>
  <si>
    <t>NBAR689</t>
  </si>
  <si>
    <t>7.5% National Bank For Agriculture and Rural Development (17/12/2025)</t>
  </si>
  <si>
    <t>INE261F08DT8</t>
  </si>
  <si>
    <t>HDFB916</t>
  </si>
  <si>
    <t>7.75% HDFC Bank Limited (13/06/2033) **</t>
  </si>
  <si>
    <t>INE040A08AF2</t>
  </si>
  <si>
    <t>SBAI204</t>
  </si>
  <si>
    <t>5.83% State Bank of India (25/10/2030) **</t>
  </si>
  <si>
    <t>INE062A08264</t>
  </si>
  <si>
    <t>HHFL172</t>
  </si>
  <si>
    <t>5.16% Hero Fincorp Limited (19/07/2024) (FRN) **</t>
  </si>
  <si>
    <t>INE957N07625</t>
  </si>
  <si>
    <t>CRISIL AA+</t>
  </si>
  <si>
    <t>SIDB488</t>
  </si>
  <si>
    <t>7.54% Small Industries Dev Bank of India (12/01/2026) **</t>
  </si>
  <si>
    <t>INE556F08KF5</t>
  </si>
  <si>
    <t>ICRA AAA</t>
  </si>
  <si>
    <t>GOI3607</t>
  </si>
  <si>
    <t>4.04% Government of India (04/10/2028)</t>
  </si>
  <si>
    <t>IN0020210160</t>
  </si>
  <si>
    <t>HDFB912</t>
  </si>
  <si>
    <t>7.80% HDFC Bank Limited (03/05/2033)</t>
  </si>
  <si>
    <t>INE040A08666</t>
  </si>
  <si>
    <t>SIDB483</t>
  </si>
  <si>
    <t>7.75% Small Industries Dev Bank of India (27/10/2025) **</t>
  </si>
  <si>
    <t>INE556F08KD0</t>
  </si>
  <si>
    <t>GOI2936</t>
  </si>
  <si>
    <t>4.7% Government of India (22/09/2033)</t>
  </si>
  <si>
    <t>IN0020200120</t>
  </si>
  <si>
    <t>MRHF90</t>
  </si>
  <si>
    <t>6.7% Mahindra Rural Housing Finance Limited (28/05/2024) **</t>
  </si>
  <si>
    <t>INE950O08238</t>
  </si>
  <si>
    <t>IND AA+</t>
  </si>
  <si>
    <t>BHAT52</t>
  </si>
  <si>
    <t>8.7% Bharti Telecom Limited (21/11/2024) **</t>
  </si>
  <si>
    <t>INE403D08116</t>
  </si>
  <si>
    <t>GODP219</t>
  </si>
  <si>
    <t>8.15% Godrej Properties Limited (03/07/2026) **</t>
  </si>
  <si>
    <t>INE484J08048</t>
  </si>
  <si>
    <t>ICRA AA+</t>
  </si>
  <si>
    <t>SIDB513</t>
  </si>
  <si>
    <t>7.43% Small Industries Dev Bank of India (31/08/2026) **</t>
  </si>
  <si>
    <t>INE556F08KH1</t>
  </si>
  <si>
    <t>SIDB472</t>
  </si>
  <si>
    <t>7.11% Small Industries Dev Bank of India (27/02/2026) **</t>
  </si>
  <si>
    <t>INE556F08KB4</t>
  </si>
  <si>
    <t>GOI4976</t>
  </si>
  <si>
    <t>7.26% Government of India (06/02/2033)</t>
  </si>
  <si>
    <t>IN0020220151</t>
  </si>
  <si>
    <t>HDBF312</t>
  </si>
  <si>
    <t>8.1965% HDB Financial Services Limited (30/05/2025) **</t>
  </si>
  <si>
    <t>INE756I07ES3</t>
  </si>
  <si>
    <t>GOI5012</t>
  </si>
  <si>
    <t>7.21% State Government Securities (09/08/2027)</t>
  </si>
  <si>
    <t>IN3120170086</t>
  </si>
  <si>
    <t>RECL407</t>
  </si>
  <si>
    <t>5.81% REC Limited (31/12/2025) **</t>
  </si>
  <si>
    <t>INE020B08DH2</t>
  </si>
  <si>
    <t>HDFB829</t>
  </si>
  <si>
    <t>7.86% HDFC Bank Limited (02/12/2032) **</t>
  </si>
  <si>
    <t>INE040A08427</t>
  </si>
  <si>
    <t>GOI4656</t>
  </si>
  <si>
    <t>7.40% Government of India (19/03/2026)</t>
  </si>
  <si>
    <t>IN000326C040</t>
  </si>
  <si>
    <t>TCFS658</t>
  </si>
  <si>
    <t>8.30% Tata Capital Financial Services Limited (13/03/2026) **</t>
  </si>
  <si>
    <t>INE306N07NL3</t>
  </si>
  <si>
    <t>HDFB830</t>
  </si>
  <si>
    <t>7.84% HDFC Bank Limited (16/12/2032) **</t>
  </si>
  <si>
    <t>INE040A08435</t>
  </si>
  <si>
    <t>NBAR723</t>
  </si>
  <si>
    <t>7.49% National Bank For Agriculture and Rural Development (15/10/2026) **</t>
  </si>
  <si>
    <t>INE261F08EB4</t>
  </si>
  <si>
    <t>NBAR680</t>
  </si>
  <si>
    <t>7.25% National Bank For Agriculture and Rural Development (01/08/2025)</t>
  </si>
  <si>
    <t>INE261F08DQ4</t>
  </si>
  <si>
    <t>POWF486</t>
  </si>
  <si>
    <t>7.13% Power Finance Corporation Limited (08/08/2025)</t>
  </si>
  <si>
    <t>INE134E08LO4</t>
  </si>
  <si>
    <t>PGCI453</t>
  </si>
  <si>
    <t>7.40% Power Grid Corporation of India Limited (17/02/2033) **</t>
  </si>
  <si>
    <t>INE752E08676</t>
  </si>
  <si>
    <t>NXST20</t>
  </si>
  <si>
    <t>7.86% Nexus Select Trust - REIT (16/06/2026) **</t>
  </si>
  <si>
    <t>INE0NDH07019</t>
  </si>
  <si>
    <t>GOI4481</t>
  </si>
  <si>
    <t>6.95% Government of India (16/12/2025)</t>
  </si>
  <si>
    <t>IN001225C076</t>
  </si>
  <si>
    <t>TMLF465</t>
  </si>
  <si>
    <t>7.7% TMF Holdings Limited (25/02/2025) **</t>
  </si>
  <si>
    <t>INE909H08444</t>
  </si>
  <si>
    <t>CRISIL AA</t>
  </si>
  <si>
    <t>EXIM719</t>
  </si>
  <si>
    <t>5.20% Export Import Bank of India (04/03/2025)</t>
  </si>
  <si>
    <t>INE514E08FW2</t>
  </si>
  <si>
    <t>MEBP28</t>
  </si>
  <si>
    <t>7.75% Mindspace Business Parks REIT (30/06/2026) **</t>
  </si>
  <si>
    <t>INE0CCU07082</t>
  </si>
  <si>
    <t>BAFL840</t>
  </si>
  <si>
    <t>Bajaj Finance Limited (18/02/2026) (ZCB) **</t>
  </si>
  <si>
    <t>INE296A07RY7</t>
  </si>
  <si>
    <t>GOI1462</t>
  </si>
  <si>
    <t>8.67% State Government Securities (24/02/2026)</t>
  </si>
  <si>
    <t>IN2220150196</t>
  </si>
  <si>
    <t>PGCI455</t>
  </si>
  <si>
    <t>7.52% Power Grid Corporation of India Limited (23/03/2033) **</t>
  </si>
  <si>
    <t>INE752E08684</t>
  </si>
  <si>
    <t>BHAT55</t>
  </si>
  <si>
    <t>8.6% Bharti Telecom Limited (05/12/2024) **</t>
  </si>
  <si>
    <t>INE403D08140</t>
  </si>
  <si>
    <t>SBAI198</t>
  </si>
  <si>
    <t>7.99% State Bank of India (28/06/2029) **</t>
  </si>
  <si>
    <t>INE062A08207</t>
  </si>
  <si>
    <t>NBAR701</t>
  </si>
  <si>
    <t>7.58% National Bank For Agriculture and Rural Development (31/07/2026) **</t>
  </si>
  <si>
    <t>INE261F08DX0</t>
  </si>
  <si>
    <t>MMFS1145</t>
  </si>
  <si>
    <t>4.88% Mahindra &amp; Mahindra Financial Services Limited (23/07/2024) (FRN) **</t>
  </si>
  <si>
    <t>INE774D07UF0</t>
  </si>
  <si>
    <t>IND AAA</t>
  </si>
  <si>
    <t>POWF511</t>
  </si>
  <si>
    <t>7.44% Power Finance Corporation Limited (10/05/2028) **</t>
  </si>
  <si>
    <t>INE134E08MN4</t>
  </si>
  <si>
    <t>HDFB901</t>
  </si>
  <si>
    <t>7.77% HDFC Bank Limited (28/06/2027) **</t>
  </si>
  <si>
    <t>INE040A08823</t>
  </si>
  <si>
    <t>POWF512</t>
  </si>
  <si>
    <t>7.37% Power Finance Corporation Limited (22/05/2026) **</t>
  </si>
  <si>
    <t>INE134E08MO2</t>
  </si>
  <si>
    <t>EOPR24</t>
  </si>
  <si>
    <t>6.4% Embassy Office Parks REIT (15/02/2024) **</t>
  </si>
  <si>
    <t>INE041007050</t>
  </si>
  <si>
    <t>SWPL20</t>
  </si>
  <si>
    <t>6.1% Sundew Properties Limited (28/06/2024) **</t>
  </si>
  <si>
    <t>INE424L07018</t>
  </si>
  <si>
    <t>SUMM22</t>
  </si>
  <si>
    <t>7.4% Summit Digitel Infrastructure Limited (28/09/2028) **</t>
  </si>
  <si>
    <t>INE507T07070</t>
  </si>
  <si>
    <t>TCHF351</t>
  </si>
  <si>
    <t>6.50% Tata Capital Housing Finance Limited (15/06/2026) **</t>
  </si>
  <si>
    <t>INE033L07HF1</t>
  </si>
  <si>
    <t>MOSU199</t>
  </si>
  <si>
    <t>8.15% Samvardhana Motherson International Limited (23/01/2026) **</t>
  </si>
  <si>
    <t>INE775A08089</t>
  </si>
  <si>
    <t>TCHF371</t>
  </si>
  <si>
    <t>7.75% Tata Capital Housing Finance Limited (18/05/2027) **</t>
  </si>
  <si>
    <t>INE033L07HQ8</t>
  </si>
  <si>
    <t>GOI3124</t>
  </si>
  <si>
    <t>6.76% Government of India (22/02/2029)</t>
  </si>
  <si>
    <t>IN000229C020</t>
  </si>
  <si>
    <t>GOI2383</t>
  </si>
  <si>
    <t>6.80% Government of India (15/06/2025)</t>
  </si>
  <si>
    <t>IN000625C052</t>
  </si>
  <si>
    <t>SIDB486</t>
  </si>
  <si>
    <t>7.47% Small Industries Dev Bank of India (25/11/2025)</t>
  </si>
  <si>
    <t>INE556F08KE8</t>
  </si>
  <si>
    <t>NBAR678</t>
  </si>
  <si>
    <t>7.35% National Bank For Agriculture and Rural Development (08/07/2025) **</t>
  </si>
  <si>
    <t>INE261F08DP6</t>
  </si>
  <si>
    <t>GOI3117</t>
  </si>
  <si>
    <t>6.76% Government of India (22/08/2025)</t>
  </si>
  <si>
    <t>IN000825C025</t>
  </si>
  <si>
    <t>KMIL465</t>
  </si>
  <si>
    <t>8.1059% Kotak Mahindra Investments Limited (18/07/2025) **</t>
  </si>
  <si>
    <t>INE975F07II7</t>
  </si>
  <si>
    <t>TCFS665</t>
  </si>
  <si>
    <t>7.82% Tata Capital Financial Services Limited (08/12/2025) **</t>
  </si>
  <si>
    <t>INE306N07NG3</t>
  </si>
  <si>
    <t>GOI4655</t>
  </si>
  <si>
    <t>7.40% Government of India (19/09/2025)</t>
  </si>
  <si>
    <t>IN000925C049</t>
  </si>
  <si>
    <t>EOPR26</t>
  </si>
  <si>
    <t>6.25% Embassy Office Parks REIT (18/10/2024) **</t>
  </si>
  <si>
    <t>INE041007076</t>
  </si>
  <si>
    <t>RECL287</t>
  </si>
  <si>
    <t>8.11% REC Limited (07/10/2025) **</t>
  </si>
  <si>
    <t>INE020B08963</t>
  </si>
  <si>
    <t>YIPL20</t>
  </si>
  <si>
    <t>6.49% Yarrow Infrastructure Private Limited (01/07/2024) **</t>
  </si>
  <si>
    <t>INE001W07011</t>
  </si>
  <si>
    <t>BHFL100</t>
  </si>
  <si>
    <t>7.90% Bajaj Housing Finance Limited (28/04/2028)</t>
  </si>
  <si>
    <t>INE377Y07417</t>
  </si>
  <si>
    <t>SUMM23</t>
  </si>
  <si>
    <t>8.05% Summit Digitel Infrastructure Limited (31/05/2027) **</t>
  </si>
  <si>
    <t>INE507T07096</t>
  </si>
  <si>
    <t>NUCL133</t>
  </si>
  <si>
    <t>7.7% Nuclear Power Corporation Of India Limited (21/03/2038) **</t>
  </si>
  <si>
    <t>INE206D08501</t>
  </si>
  <si>
    <t>FICC534</t>
  </si>
  <si>
    <t>8.54% Smfg India Credit Company Limited (24/03/2025) **</t>
  </si>
  <si>
    <t>INE535H07BY7</t>
  </si>
  <si>
    <t>RIND369</t>
  </si>
  <si>
    <t>7.2% Reliance Industries Limited (21/09/2023) (FRN) **</t>
  </si>
  <si>
    <t>INE002A08658</t>
  </si>
  <si>
    <t>MUFL394</t>
  </si>
  <si>
    <t>8.50% Muthoot Finance Limited (29/01/2026) **</t>
  </si>
  <si>
    <t>INE414G07HK3</t>
  </si>
  <si>
    <t>RECL433</t>
  </si>
  <si>
    <t>7.51% REC Limited (31/07/2026) **</t>
  </si>
  <si>
    <t>INE020B08EI8</t>
  </si>
  <si>
    <t>HDBF314</t>
  </si>
  <si>
    <t>7.988% HDB Financial Services Limited (08/12/2026) **</t>
  </si>
  <si>
    <t>INE756I07EU9</t>
  </si>
  <si>
    <t>MAHT34</t>
  </si>
  <si>
    <t>7.59% Mahanagar Telephone Nigam Limited (20/07/2033) **</t>
  </si>
  <si>
    <t>INE153A08154</t>
  </si>
  <si>
    <t>IND AAA(CE)</t>
  </si>
  <si>
    <t>IRLY371</t>
  </si>
  <si>
    <t>7.23% Indian Railway Finance Corporation Limited (15/10/2026) **</t>
  </si>
  <si>
    <t>INE053F08304</t>
  </si>
  <si>
    <t>SIDB460</t>
  </si>
  <si>
    <t>5.4% Small Industries Dev Bank of India (17/03/2025) **</t>
  </si>
  <si>
    <t>INE556F08JW2</t>
  </si>
  <si>
    <t>IBCL1121</t>
  </si>
  <si>
    <t>7.1% ICICI Bank Limited (17/02/2030) **</t>
  </si>
  <si>
    <t>INE090A08UD0</t>
  </si>
  <si>
    <t>SUMM21</t>
  </si>
  <si>
    <t>6.59% Summit Digitel Infrastructure Limited (16/06/2026) **</t>
  </si>
  <si>
    <t>INE507T07062</t>
  </si>
  <si>
    <t>RECL421</t>
  </si>
  <si>
    <t>6.92% REC Limited (20/03/2032) **</t>
  </si>
  <si>
    <t>INE020B08DV3</t>
  </si>
  <si>
    <t>POWF479</t>
  </si>
  <si>
    <t>6.35% Power Finance Corporation Limited (30/06/2025) **</t>
  </si>
  <si>
    <t>INE134E08LF2</t>
  </si>
  <si>
    <t>GOI4657</t>
  </si>
  <si>
    <t>7.40% Government of India (19/09/2026)</t>
  </si>
  <si>
    <t>IN000926C047</t>
  </si>
  <si>
    <t>GOI4584</t>
  </si>
  <si>
    <t>7.26% Government of India (22/08/2032)</t>
  </si>
  <si>
    <t>IN0020220060</t>
  </si>
  <si>
    <t>IGIF36</t>
  </si>
  <si>
    <t>6.72% India Grid Trust InvIT Fund (14/09/2026) **</t>
  </si>
  <si>
    <t>INE219X07306</t>
  </si>
  <si>
    <t>HDBF310</t>
  </si>
  <si>
    <t>8.3774% HDB Financial Services Limited (24/04/2026) **</t>
  </si>
  <si>
    <t>INE756I07ER5</t>
  </si>
  <si>
    <t>RECL379</t>
  </si>
  <si>
    <t>7.55% REC Limited (26/09/2023) **</t>
  </si>
  <si>
    <t>INE020B08CC5</t>
  </si>
  <si>
    <t>HDFB905</t>
  </si>
  <si>
    <t>7.7% HDFC Bank Limited (18/11/2025)</t>
  </si>
  <si>
    <t>INE040A08641</t>
  </si>
  <si>
    <t>POWF470</t>
  </si>
  <si>
    <t>6.5% Power Finance Corporation Limited (17/09/2025) **</t>
  </si>
  <si>
    <t>INE134E08LD7</t>
  </si>
  <si>
    <t>RECL276</t>
  </si>
  <si>
    <t>8.30% REC Limited (10/04/2025) **</t>
  </si>
  <si>
    <t>INE020B08930</t>
  </si>
  <si>
    <t>GOI2357</t>
  </si>
  <si>
    <t>6.80% Government of India (15/06/2029)</t>
  </si>
  <si>
    <t>IN000629C054</t>
  </si>
  <si>
    <t>GOI3121</t>
  </si>
  <si>
    <t>6.76% Government of India (22/08/2027)</t>
  </si>
  <si>
    <t>IN000827C021</t>
  </si>
  <si>
    <t>HDBF309</t>
  </si>
  <si>
    <t>HDB Financial Services Limited (30/07/2024) (ZCB) **</t>
  </si>
  <si>
    <t>INE756I07DY3</t>
  </si>
  <si>
    <t>RECL429</t>
  </si>
  <si>
    <t>7.6% REC Limited (27/02/2026) **</t>
  </si>
  <si>
    <t>INE020B08EF4</t>
  </si>
  <si>
    <t>LARS378</t>
  </si>
  <si>
    <t>7.25% Larsen &amp; Toubro Limited (06/05/2024) **</t>
  </si>
  <si>
    <t>INE018A08BB5</t>
  </si>
  <si>
    <t>SBAI203</t>
  </si>
  <si>
    <t>6.24% State Bank of India (20/09/2030) **</t>
  </si>
  <si>
    <t>INE062A08256</t>
  </si>
  <si>
    <t>POWF483</t>
  </si>
  <si>
    <t>6.09% Power Finance Corporation Limited (27/08/2026) **</t>
  </si>
  <si>
    <t>INE134E08LK2</t>
  </si>
  <si>
    <t>GOI2511</t>
  </si>
  <si>
    <t>6.54% State Government Securities (01/07/2030)</t>
  </si>
  <si>
    <t>IN1520200073</t>
  </si>
  <si>
    <t>RSOP20</t>
  </si>
  <si>
    <t>6.49% RattanIndia Solar 2 Private Limited (01/07/2024) **</t>
  </si>
  <si>
    <t>INE935V07012</t>
  </si>
  <si>
    <t>EXIM515</t>
  </si>
  <si>
    <t>8.18% Export Import Bank of India (07/12/2025) **</t>
  </si>
  <si>
    <t>INE514E08EU9</t>
  </si>
  <si>
    <t>RECL405</t>
  </si>
  <si>
    <t>5.85% REC Limited (20/12/2025) **</t>
  </si>
  <si>
    <t>INE020B08DF6</t>
  </si>
  <si>
    <t>IOIC535</t>
  </si>
  <si>
    <t>5.50% Indian Oil Corporation Limited (20/10/2025) **</t>
  </si>
  <si>
    <t>INE242A08486</t>
  </si>
  <si>
    <t>GOI1089</t>
  </si>
  <si>
    <t>9.20% Government of India (30/09/2030)</t>
  </si>
  <si>
    <t>IN0020130053</t>
  </si>
  <si>
    <t>GOI1133</t>
  </si>
  <si>
    <t>8.83% Government of India (25/11/2023)</t>
  </si>
  <si>
    <t>IN0020130061</t>
  </si>
  <si>
    <t>NBAR471</t>
  </si>
  <si>
    <t>8.22% National Bank For Agriculture and Rural Development (13/12/2028) **</t>
  </si>
  <si>
    <t>INE261F08AV0</t>
  </si>
  <si>
    <t>GOI1609</t>
  </si>
  <si>
    <t>8.65% State Government Securities (24/02/2026)</t>
  </si>
  <si>
    <t>IN2920150256</t>
  </si>
  <si>
    <t>HDFB631</t>
  </si>
  <si>
    <t>8.44% HDFC Bank Limited (28/12/2028) **</t>
  </si>
  <si>
    <t>INE040A08393</t>
  </si>
  <si>
    <t>GOI1453</t>
  </si>
  <si>
    <t>8.39% State Government Securities (27/01/2026)</t>
  </si>
  <si>
    <t>IN2120150098</t>
  </si>
  <si>
    <t>PGCI373</t>
  </si>
  <si>
    <t>8.40% Power Grid Corporation of India Limited (27/05/2025) **</t>
  </si>
  <si>
    <t>INE752E07MR6</t>
  </si>
  <si>
    <t>GOI1370</t>
  </si>
  <si>
    <t>7.98% State Government Securities (14/10/2025)</t>
  </si>
  <si>
    <t>IN1920150019</t>
  </si>
  <si>
    <t>LICH537</t>
  </si>
  <si>
    <t>7.99% LIC Housing Finance Limited (12/07/2029) **</t>
  </si>
  <si>
    <t>INE115A07OF5</t>
  </si>
  <si>
    <t>LICH267</t>
  </si>
  <si>
    <t>8.5% LIC Housing Finance Limited (24/02/2025) **</t>
  </si>
  <si>
    <t>INE115A07GS4</t>
  </si>
  <si>
    <t>GOI2186</t>
  </si>
  <si>
    <t>7.32% Government of India (28/01/2024)</t>
  </si>
  <si>
    <t>IN0020180488</t>
  </si>
  <si>
    <t>GOI5077</t>
  </si>
  <si>
    <t>7.06% Government of India (10/04/2028)</t>
  </si>
  <si>
    <t>IN0020230010</t>
  </si>
  <si>
    <t>GOI1904</t>
  </si>
  <si>
    <t>7.2% State Government Securities (09/08/2027)</t>
  </si>
  <si>
    <t>IN2220170061</t>
  </si>
  <si>
    <t>POWF459</t>
  </si>
  <si>
    <t>7.17% Power Finance Corporation Limited (22/05/2025) **</t>
  </si>
  <si>
    <t>INE134E08KT5</t>
  </si>
  <si>
    <t>SIDB479</t>
  </si>
  <si>
    <t>7.23% Small Industries Dev Bank of India (09/03/2026) **</t>
  </si>
  <si>
    <t>INE556F08KC2</t>
  </si>
  <si>
    <t>GOI2738</t>
  </si>
  <si>
    <t>6.69% State Government Securities (23/09/2030)</t>
  </si>
  <si>
    <t>IN3120200297</t>
  </si>
  <si>
    <t>INBK359</t>
  </si>
  <si>
    <t>6.18% Indian Bank (13/01/2031) **</t>
  </si>
  <si>
    <t>INE562A08081</t>
  </si>
  <si>
    <t>EXIM524</t>
  </si>
  <si>
    <t>8.02% Export Import Bank of India (29/10/2025) **</t>
  </si>
  <si>
    <t>INE514E08EQ7</t>
  </si>
  <si>
    <t>GOI1430</t>
  </si>
  <si>
    <t>7.59% Government of India (11/01/2026)</t>
  </si>
  <si>
    <t>IN0020150093</t>
  </si>
  <si>
    <t>GOI3588</t>
  </si>
  <si>
    <t>6.67% Government of India (15/12/2035)</t>
  </si>
  <si>
    <t>IN0020210152</t>
  </si>
  <si>
    <t>GOI3102</t>
  </si>
  <si>
    <t>6.64% Government of India (16/06/2035)</t>
  </si>
  <si>
    <t>IN0020210020</t>
  </si>
  <si>
    <t>NTPC206</t>
  </si>
  <si>
    <t>5.45% NTPC Limited (15/10/2025) **</t>
  </si>
  <si>
    <t>INE733E08163</t>
  </si>
  <si>
    <t>GOI3358</t>
  </si>
  <si>
    <t>8.31% State Government Securities (13/01/2026)</t>
  </si>
  <si>
    <t>IN3420150127</t>
  </si>
  <si>
    <t>GOI1623</t>
  </si>
  <si>
    <t>7.58% State Government Securities (24/08/2026)</t>
  </si>
  <si>
    <t>IN2220160054</t>
  </si>
  <si>
    <t>IOIC485</t>
  </si>
  <si>
    <t>6.39% Indian Oil Corporation Limited (06/03/2025) **</t>
  </si>
  <si>
    <t>INE242A08452</t>
  </si>
  <si>
    <t>GOI4352</t>
  </si>
  <si>
    <t>6.18% State Government Securities (25/01/2026)</t>
  </si>
  <si>
    <t>IN1520210171</t>
  </si>
  <si>
    <t>GOI2470</t>
  </si>
  <si>
    <t>5.95% State Government Securities (13/05/2025)</t>
  </si>
  <si>
    <t>IN3120200057</t>
  </si>
  <si>
    <t>GOI4067</t>
  </si>
  <si>
    <t>7.17% State Government Securities (02/03/2032)</t>
  </si>
  <si>
    <t>IN3420210269</t>
  </si>
  <si>
    <t>GOI1290</t>
  </si>
  <si>
    <t>7.68% Government of India (15/12/2023)</t>
  </si>
  <si>
    <t>IN0020150010</t>
  </si>
  <si>
    <t>GOI1252</t>
  </si>
  <si>
    <t>8.15% Government of India (24/11/2026)</t>
  </si>
  <si>
    <t>IN0020140060</t>
  </si>
  <si>
    <t>HDFB879</t>
  </si>
  <si>
    <t>8.55% HDFC Bank Limited (27/03/2029) **</t>
  </si>
  <si>
    <t>INE040A08724</t>
  </si>
  <si>
    <t>GOI1871</t>
  </si>
  <si>
    <t>7.53% State Government Securities (24/05/2027)</t>
  </si>
  <si>
    <t>IN1620170010</t>
  </si>
  <si>
    <t>GOI3764</t>
  </si>
  <si>
    <t>7.52% State Government Securities (24/05/2027)</t>
  </si>
  <si>
    <t>IN3320170043</t>
  </si>
  <si>
    <t>GOI3528</t>
  </si>
  <si>
    <t>6.1% Government of India (12/07/2031)</t>
  </si>
  <si>
    <t>IN0020210095</t>
  </si>
  <si>
    <t>GOI1690</t>
  </si>
  <si>
    <t>8.08% State Government Securities (11/03/2025)</t>
  </si>
  <si>
    <t>IN1920140119</t>
  </si>
  <si>
    <t>POWF306</t>
  </si>
  <si>
    <t>8.39% Power Finance Corporation Limited (19/04/2025) **</t>
  </si>
  <si>
    <t>INE134E08HD5</t>
  </si>
  <si>
    <t>FCOI31</t>
  </si>
  <si>
    <t>7.64% Food Corporation Of India (12/12/2029) **</t>
  </si>
  <si>
    <t>INE861G08050</t>
  </si>
  <si>
    <t>CRISIL AAA(CE)</t>
  </si>
  <si>
    <t>IILD56</t>
  </si>
  <si>
    <t>7.5% India Infradebt Limited (30/06/2025) **</t>
  </si>
  <si>
    <t>INE537P07562</t>
  </si>
  <si>
    <t>GOI1864</t>
  </si>
  <si>
    <t>6.79% Government of India (15/05/2027)</t>
  </si>
  <si>
    <t>IN0020170026</t>
  </si>
  <si>
    <t>GOI1673</t>
  </si>
  <si>
    <t>6.79% Government of India (26/12/2029)</t>
  </si>
  <si>
    <t>IN0020160118</t>
  </si>
  <si>
    <t>GOI922</t>
  </si>
  <si>
    <t>8.20% Government of India (24/09/2025)</t>
  </si>
  <si>
    <t>IN0020120047</t>
  </si>
  <si>
    <t>GOI2849</t>
  </si>
  <si>
    <t>7.23% State Government Securities (14/06/2027)</t>
  </si>
  <si>
    <t>IN3120170045</t>
  </si>
  <si>
    <t>GOI1197</t>
  </si>
  <si>
    <t>8.60% Government of India (02/06/2028)</t>
  </si>
  <si>
    <t>IN0020140011</t>
  </si>
  <si>
    <t>GOI1380</t>
  </si>
  <si>
    <t>7.59% Government of India (20/03/2029)</t>
  </si>
  <si>
    <t>IN0020150069</t>
  </si>
  <si>
    <t>GOI1398</t>
  </si>
  <si>
    <t>8.12% State Government Securities (13/11/2025)</t>
  </si>
  <si>
    <t>IN2220150121</t>
  </si>
  <si>
    <t>GOI838</t>
  </si>
  <si>
    <t>8.97% Government of India (05/12/2030)</t>
  </si>
  <si>
    <t>IN0020110055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</si>
  <si>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</si>
  <si>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</si>
  <si>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</si>
  <si>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</si>
  <si>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</si>
  <si>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</si>
  <si>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</si>
  <si>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NIL</t>
  </si>
  <si>
    <t>(c) Securitised Debt</t>
  </si>
  <si>
    <t>FBRT36</t>
  </si>
  <si>
    <t>First Business Receivables Trust (01/04/2024) **</t>
  </si>
  <si>
    <t>INE0BTV15170</t>
  </si>
  <si>
    <t>CRISIL AAA(SO)</t>
  </si>
  <si>
    <t>FBRT37</t>
  </si>
  <si>
    <t>First Business Receivables Trust (01/07/2024) **</t>
  </si>
  <si>
    <t>INE0BTV15188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</si>
  <si>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</si>
  <si>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</si>
  <si>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</si>
  <si>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</si>
  <si>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</si>
  <si>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</si>
  <si>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FBRT35</t>
  </si>
  <si>
    <t>First Business Receivables Trust (01/01/2024) **</t>
  </si>
  <si>
    <t>INE0BTV15162</t>
  </si>
  <si>
    <t>FBRT38</t>
  </si>
  <si>
    <t>First Business Receivables Trust (01/10/2024) **</t>
  </si>
  <si>
    <t>INE0BTV15196</t>
  </si>
  <si>
    <t>Money Market Instruments</t>
  </si>
  <si>
    <t>Certificate of Deposit</t>
  </si>
  <si>
    <t>SIDB517</t>
  </si>
  <si>
    <t>Small Industries Dev Bank of India (06/06/2024)</t>
  </si>
  <si>
    <t>INE556F16AK9</t>
  </si>
  <si>
    <t>CARE A1+</t>
  </si>
  <si>
    <t>Reverse Repo / TREPS</t>
  </si>
  <si>
    <t>TRP_010823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</si>
  <si>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</si>
  <si>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</si>
  <si>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</si>
  <si>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</si>
  <si>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</si>
  <si>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</si>
  <si>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</si>
  <si>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</si>
  <si>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July 31, 2023 RS 954.72 Lakh's</t>
  </si>
  <si>
    <t>Benchmark Name - NIFTY SHORT DURATION DEBT INDEX B-II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</si>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</sst>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0</xdr:colOff>
      <xdr:row>206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2BAFEA3-1DA7-4FE7-8F2B-D36FBC215CD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335851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205</xdr:row>
      <xdr:rowOff>0</xdr:rowOff>
    </xdr:from>
    <xdr:to>
      <xdr:col>4</xdr:col>
      <xdr:colOff>0</xdr:colOff>
      <xdr:row>206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34D5153-2D16-4DA0-81EF-51BE5B7B23E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335851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B98F-AE60-44EC-8C19-826F64D98E54}">
  <sheetPr codeName="Sheet63">
    <outlinePr summaryBelow="0"/>
  </sheetPr>
  <dimension ref="A1:J206"/>
  <sheetViews>
    <sheetView tabSelected="1" topLeftCell="A13" workbookViewId="0">
      <selection activeCell="A47" sqref="A4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0.10249999999999999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-1.33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-2.58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-3.0575000000000001</v>
      </c>
      <c r="G10" s="20" t="s">
        <v>17</v>
      </c>
      <c r="H10" s="20"/>
      <c r="I10" s="21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-3.3</v>
      </c>
      <c r="G11" s="20" t="s">
        <v>17</v>
      </c>
      <c r="H11" s="20"/>
      <c r="I11" s="21"/>
      <c r="J11" s="3"/>
    </row>
    <row r="12" spans="1:10" ht="12.95" customHeight="1">
      <c r="A12" s="16" t="s">
        <v>26</v>
      </c>
      <c r="B12" s="17" t="s">
        <v>27</v>
      </c>
      <c r="C12" s="13"/>
      <c r="D12" s="13"/>
      <c r="E12" s="18"/>
      <c r="F12" s="19">
        <v>-3.7149999999999999</v>
      </c>
      <c r="G12" s="20" t="s">
        <v>17</v>
      </c>
      <c r="H12" s="20"/>
      <c r="I12" s="21"/>
      <c r="J12" s="3"/>
    </row>
    <row r="13" spans="1:10" ht="12.95" customHeight="1">
      <c r="A13" s="16" t="s">
        <v>28</v>
      </c>
      <c r="B13" s="17" t="s">
        <v>29</v>
      </c>
      <c r="C13" s="13"/>
      <c r="D13" s="13"/>
      <c r="E13" s="18"/>
      <c r="F13" s="19">
        <v>-14.637499999999999</v>
      </c>
      <c r="G13" s="20" t="s">
        <v>17</v>
      </c>
      <c r="H13" s="20"/>
      <c r="I13" s="21"/>
      <c r="J13" s="3"/>
    </row>
    <row r="14" spans="1:10" ht="12.95" customHeight="1">
      <c r="A14" s="16" t="s">
        <v>30</v>
      </c>
      <c r="B14" s="17" t="s">
        <v>31</v>
      </c>
      <c r="C14" s="13"/>
      <c r="D14" s="13"/>
      <c r="E14" s="18"/>
      <c r="F14" s="19">
        <v>-16.215</v>
      </c>
      <c r="G14" s="20" t="s">
        <v>17</v>
      </c>
      <c r="H14" s="20"/>
      <c r="I14" s="21"/>
      <c r="J14" s="3"/>
    </row>
    <row r="15" spans="1:10" ht="12.95" customHeight="1">
      <c r="A15" s="16" t="s">
        <v>32</v>
      </c>
      <c r="B15" s="17" t="s">
        <v>33</v>
      </c>
      <c r="C15" s="13"/>
      <c r="D15" s="13"/>
      <c r="E15" s="18"/>
      <c r="F15" s="19">
        <v>-16.215</v>
      </c>
      <c r="G15" s="20" t="s">
        <v>17</v>
      </c>
      <c r="H15" s="20"/>
      <c r="I15" s="21"/>
      <c r="J15" s="3"/>
    </row>
    <row r="16" spans="1:10" ht="12.95" customHeight="1">
      <c r="A16" s="16" t="s">
        <v>34</v>
      </c>
      <c r="B16" s="17" t="s">
        <v>35</v>
      </c>
      <c r="C16" s="13"/>
      <c r="D16" s="13"/>
      <c r="E16" s="18"/>
      <c r="F16" s="19">
        <v>-16.925999999999998</v>
      </c>
      <c r="G16" s="20" t="s">
        <v>17</v>
      </c>
      <c r="H16" s="20"/>
      <c r="I16" s="21"/>
      <c r="J16" s="3"/>
    </row>
    <row r="17" spans="1:10" ht="12.95" customHeight="1">
      <c r="A17" s="16" t="s">
        <v>36</v>
      </c>
      <c r="B17" s="17" t="s">
        <v>37</v>
      </c>
      <c r="C17" s="13"/>
      <c r="D17" s="13"/>
      <c r="E17" s="18"/>
      <c r="F17" s="19">
        <v>-17.238</v>
      </c>
      <c r="G17" s="20" t="s">
        <v>17</v>
      </c>
      <c r="H17" s="20"/>
      <c r="I17" s="21"/>
      <c r="J17" s="3"/>
    </row>
    <row r="18" spans="1:10" ht="12.95" customHeight="1">
      <c r="A18" s="16" t="s">
        <v>38</v>
      </c>
      <c r="B18" s="17" t="s">
        <v>39</v>
      </c>
      <c r="C18" s="13"/>
      <c r="D18" s="13"/>
      <c r="E18" s="18"/>
      <c r="F18" s="19">
        <v>-18.940000000000001</v>
      </c>
      <c r="G18" s="20" t="s">
        <v>17</v>
      </c>
      <c r="H18" s="20"/>
      <c r="I18" s="21"/>
      <c r="J18" s="3"/>
    </row>
    <row r="19" spans="1:10" ht="12.95" customHeight="1">
      <c r="A19" s="16" t="s">
        <v>40</v>
      </c>
      <c r="B19" s="17" t="s">
        <v>41</v>
      </c>
      <c r="C19" s="13"/>
      <c r="D19" s="13"/>
      <c r="E19" s="18"/>
      <c r="F19" s="19">
        <v>-19.63</v>
      </c>
      <c r="G19" s="20" t="s">
        <v>17</v>
      </c>
      <c r="H19" s="20"/>
      <c r="I19" s="21"/>
      <c r="J19" s="3"/>
    </row>
    <row r="20" spans="1:10" ht="12.95" customHeight="1">
      <c r="A20" s="16" t="s">
        <v>42</v>
      </c>
      <c r="B20" s="17" t="s">
        <v>43</v>
      </c>
      <c r="C20" s="13"/>
      <c r="D20" s="13"/>
      <c r="E20" s="18"/>
      <c r="F20" s="19">
        <v>-20.22</v>
      </c>
      <c r="G20" s="20" t="s">
        <v>17</v>
      </c>
      <c r="H20" s="20"/>
      <c r="I20" s="21"/>
      <c r="J20" s="3"/>
    </row>
    <row r="21" spans="1:10" ht="12.95" customHeight="1">
      <c r="A21" s="16" t="s">
        <v>44</v>
      </c>
      <c r="B21" s="17" t="s">
        <v>45</v>
      </c>
      <c r="C21" s="13"/>
      <c r="D21" s="13"/>
      <c r="E21" s="18"/>
      <c r="F21" s="19">
        <v>-26.12</v>
      </c>
      <c r="G21" s="20" t="s">
        <v>17</v>
      </c>
      <c r="H21" s="20"/>
      <c r="I21" s="21"/>
      <c r="J21" s="3"/>
    </row>
    <row r="22" spans="1:10" ht="12.95" customHeight="1">
      <c r="A22" s="16" t="s">
        <v>46</v>
      </c>
      <c r="B22" s="17" t="s">
        <v>47</v>
      </c>
      <c r="C22" s="13"/>
      <c r="D22" s="13"/>
      <c r="E22" s="18"/>
      <c r="F22" s="19">
        <v>-27.288</v>
      </c>
      <c r="G22" s="20" t="s">
        <v>17</v>
      </c>
      <c r="H22" s="20"/>
      <c r="I22" s="21"/>
      <c r="J22" s="3"/>
    </row>
    <row r="23" spans="1:10" ht="12.95" customHeight="1">
      <c r="A23" s="16" t="s">
        <v>48</v>
      </c>
      <c r="B23" s="17" t="s">
        <v>49</v>
      </c>
      <c r="C23" s="13"/>
      <c r="D23" s="13"/>
      <c r="E23" s="18"/>
      <c r="F23" s="19">
        <v>-29.274999999999999</v>
      </c>
      <c r="G23" s="20" t="s">
        <v>17</v>
      </c>
      <c r="H23" s="20"/>
      <c r="I23" s="21"/>
      <c r="J23" s="3"/>
    </row>
    <row r="24" spans="1:10" ht="12.95" customHeight="1">
      <c r="A24" s="3"/>
      <c r="B24" s="12" t="s">
        <v>50</v>
      </c>
      <c r="C24" s="13"/>
      <c r="D24" s="13"/>
      <c r="E24" s="13"/>
      <c r="F24" s="22">
        <v>-236.58450000000002</v>
      </c>
      <c r="G24" s="23">
        <f>ROUND(F24/F194,4)</f>
        <v>-2.9999999999999997E-4</v>
      </c>
      <c r="H24" s="24"/>
      <c r="I24" s="25"/>
      <c r="J24" s="3"/>
    </row>
    <row r="25" spans="1:10" ht="12.95" customHeight="1">
      <c r="A25" s="3"/>
      <c r="B25" s="26" t="s">
        <v>51</v>
      </c>
      <c r="C25" s="27"/>
      <c r="D25" s="28"/>
      <c r="E25" s="27"/>
      <c r="F25" s="22">
        <v>-236.58450000000002</v>
      </c>
      <c r="G25" s="23">
        <f>G24</f>
        <v>-2.9999999999999997E-4</v>
      </c>
      <c r="H25" s="24"/>
      <c r="I25" s="25"/>
      <c r="J25" s="3"/>
    </row>
    <row r="26" spans="1:10" ht="12.95" customHeight="1">
      <c r="A26" s="3"/>
      <c r="B26" s="12" t="s">
        <v>52</v>
      </c>
      <c r="C26" s="13"/>
      <c r="D26" s="13"/>
      <c r="E26" s="13"/>
      <c r="F26" s="13"/>
      <c r="G26" s="13"/>
      <c r="H26" s="14"/>
      <c r="I26" s="15"/>
      <c r="J26" s="3"/>
    </row>
    <row r="27" spans="1:10" ht="12.95" customHeight="1">
      <c r="A27" s="3"/>
      <c r="B27" s="12" t="s">
        <v>53</v>
      </c>
      <c r="C27" s="13"/>
      <c r="D27" s="13"/>
      <c r="E27" s="13"/>
      <c r="F27" s="3"/>
      <c r="G27" s="14"/>
      <c r="H27" s="14"/>
      <c r="I27" s="15"/>
      <c r="J27" s="3"/>
    </row>
    <row r="28" spans="1:10" ht="12.95" customHeight="1">
      <c r="A28" s="16" t="s">
        <v>54</v>
      </c>
      <c r="B28" s="17" t="s">
        <v>55</v>
      </c>
      <c r="C28" s="13" t="s">
        <v>56</v>
      </c>
      <c r="D28" s="13" t="s">
        <v>57</v>
      </c>
      <c r="E28" s="29">
        <v>42634600</v>
      </c>
      <c r="F28" s="19">
        <v>42944.383000000002</v>
      </c>
      <c r="G28" s="30">
        <v>5.7299999999999997E-2</v>
      </c>
      <c r="H28" s="31">
        <v>7.2872000000000006E-2</v>
      </c>
      <c r="I28" s="21"/>
      <c r="J28" s="3"/>
    </row>
    <row r="29" spans="1:10" ht="12.95" customHeight="1">
      <c r="A29" s="16" t="s">
        <v>58</v>
      </c>
      <c r="B29" s="17" t="s">
        <v>59</v>
      </c>
      <c r="C29" s="13" t="s">
        <v>60</v>
      </c>
      <c r="D29" s="13" t="s">
        <v>61</v>
      </c>
      <c r="E29" s="29">
        <v>2300</v>
      </c>
      <c r="F29" s="19">
        <v>22883.183000000001</v>
      </c>
      <c r="G29" s="30">
        <v>3.0599999999999999E-2</v>
      </c>
      <c r="H29" s="31">
        <v>7.5999999999999998E-2</v>
      </c>
      <c r="I29" s="21"/>
      <c r="J29" s="3"/>
    </row>
    <row r="30" spans="1:10" ht="12.95" customHeight="1">
      <c r="A30" s="16" t="s">
        <v>62</v>
      </c>
      <c r="B30" s="17" t="s">
        <v>63</v>
      </c>
      <c r="C30" s="13" t="s">
        <v>64</v>
      </c>
      <c r="D30" s="13" t="s">
        <v>61</v>
      </c>
      <c r="E30" s="29">
        <v>1750</v>
      </c>
      <c r="F30" s="19">
        <v>17526.494999999999</v>
      </c>
      <c r="G30" s="30">
        <v>2.3400000000000001E-2</v>
      </c>
      <c r="H30" s="31">
        <v>7.485E-2</v>
      </c>
      <c r="I30" s="21"/>
      <c r="J30" s="3"/>
    </row>
    <row r="31" spans="1:10" ht="12.95" customHeight="1">
      <c r="A31" s="16" t="s">
        <v>65</v>
      </c>
      <c r="B31" s="17" t="s">
        <v>66</v>
      </c>
      <c r="C31" s="13" t="s">
        <v>67</v>
      </c>
      <c r="D31" s="13" t="s">
        <v>61</v>
      </c>
      <c r="E31" s="29">
        <v>1750</v>
      </c>
      <c r="F31" s="19">
        <v>17451.21</v>
      </c>
      <c r="G31" s="30">
        <v>2.3300000000000001E-2</v>
      </c>
      <c r="H31" s="31">
        <v>7.5999999999999998E-2</v>
      </c>
      <c r="I31" s="21"/>
      <c r="J31" s="3"/>
    </row>
    <row r="32" spans="1:10" ht="12.95" customHeight="1">
      <c r="A32" s="16" t="s">
        <v>68</v>
      </c>
      <c r="B32" s="17" t="s">
        <v>69</v>
      </c>
      <c r="C32" s="13" t="s">
        <v>70</v>
      </c>
      <c r="D32" s="13" t="s">
        <v>61</v>
      </c>
      <c r="E32" s="29">
        <v>17500</v>
      </c>
      <c r="F32" s="19">
        <v>17433.150000000001</v>
      </c>
      <c r="G32" s="30">
        <v>2.3300000000000001E-2</v>
      </c>
      <c r="H32" s="31">
        <v>7.8020000000000006E-2</v>
      </c>
      <c r="I32" s="21"/>
      <c r="J32" s="3"/>
    </row>
    <row r="33" spans="1:10" ht="12.95" customHeight="1">
      <c r="A33" s="16" t="s">
        <v>71</v>
      </c>
      <c r="B33" s="17" t="s">
        <v>72</v>
      </c>
      <c r="C33" s="13" t="s">
        <v>73</v>
      </c>
      <c r="D33" s="13" t="s">
        <v>61</v>
      </c>
      <c r="E33" s="29">
        <v>1600</v>
      </c>
      <c r="F33" s="19">
        <v>15301.312</v>
      </c>
      <c r="G33" s="30">
        <v>2.0400000000000001E-2</v>
      </c>
      <c r="H33" s="31">
        <v>6.6027500000000003E-2</v>
      </c>
      <c r="I33" s="32">
        <v>8.0257537000000004E-2</v>
      </c>
      <c r="J33" s="3"/>
    </row>
    <row r="34" spans="1:10" ht="12.95" customHeight="1">
      <c r="A34" s="16" t="s">
        <v>74</v>
      </c>
      <c r="B34" s="17" t="s">
        <v>75</v>
      </c>
      <c r="C34" s="13" t="s">
        <v>76</v>
      </c>
      <c r="D34" s="13" t="s">
        <v>77</v>
      </c>
      <c r="E34" s="29">
        <v>1500</v>
      </c>
      <c r="F34" s="19">
        <v>15023.91</v>
      </c>
      <c r="G34" s="30">
        <v>2.01E-2</v>
      </c>
      <c r="H34" s="31">
        <v>8.45635E-2</v>
      </c>
      <c r="I34" s="32"/>
      <c r="J34" s="3"/>
    </row>
    <row r="35" spans="1:10" ht="12.95" customHeight="1">
      <c r="A35" s="16" t="s">
        <v>78</v>
      </c>
      <c r="B35" s="17" t="s">
        <v>79</v>
      </c>
      <c r="C35" s="13" t="s">
        <v>80</v>
      </c>
      <c r="D35" s="13" t="s">
        <v>81</v>
      </c>
      <c r="E35" s="29">
        <v>1500</v>
      </c>
      <c r="F35" s="19">
        <v>14982.81</v>
      </c>
      <c r="G35" s="30">
        <v>0.02</v>
      </c>
      <c r="H35" s="31">
        <v>7.5749999999999998E-2</v>
      </c>
      <c r="I35" s="32"/>
      <c r="J35" s="3"/>
    </row>
    <row r="36" spans="1:10" ht="12.95" customHeight="1">
      <c r="A36" s="16" t="s">
        <v>82</v>
      </c>
      <c r="B36" s="17" t="s">
        <v>83</v>
      </c>
      <c r="C36" s="13" t="s">
        <v>84</v>
      </c>
      <c r="D36" s="13" t="s">
        <v>57</v>
      </c>
      <c r="E36" s="29">
        <v>15000000</v>
      </c>
      <c r="F36" s="19">
        <v>14936.25</v>
      </c>
      <c r="G36" s="30">
        <v>1.9900000000000001E-2</v>
      </c>
      <c r="H36" s="31"/>
      <c r="I36" s="32"/>
      <c r="J36" s="3"/>
    </row>
    <row r="37" spans="1:10" ht="12.95" customHeight="1">
      <c r="A37" s="16" t="s">
        <v>85</v>
      </c>
      <c r="B37" s="17" t="s">
        <v>86</v>
      </c>
      <c r="C37" s="13" t="s">
        <v>87</v>
      </c>
      <c r="D37" s="13" t="s">
        <v>61</v>
      </c>
      <c r="E37" s="29">
        <v>14600</v>
      </c>
      <c r="F37" s="19">
        <v>14598.058199999999</v>
      </c>
      <c r="G37" s="30">
        <v>1.95E-2</v>
      </c>
      <c r="H37" s="31">
        <v>7.7938999999999994E-2</v>
      </c>
      <c r="I37" s="32"/>
      <c r="J37" s="3"/>
    </row>
    <row r="38" spans="1:10" ht="12.95" customHeight="1">
      <c r="A38" s="16" t="s">
        <v>88</v>
      </c>
      <c r="B38" s="17" t="s">
        <v>89</v>
      </c>
      <c r="C38" s="13" t="s">
        <v>90</v>
      </c>
      <c r="D38" s="13" t="s">
        <v>81</v>
      </c>
      <c r="E38" s="29">
        <v>1450</v>
      </c>
      <c r="F38" s="19">
        <v>14546.458000000001</v>
      </c>
      <c r="G38" s="30">
        <v>1.9400000000000001E-2</v>
      </c>
      <c r="H38" s="31">
        <v>7.5700000000000003E-2</v>
      </c>
      <c r="I38" s="32"/>
      <c r="J38" s="3"/>
    </row>
    <row r="39" spans="1:10" ht="12.95" customHeight="1">
      <c r="A39" s="16" t="s">
        <v>91</v>
      </c>
      <c r="B39" s="17" t="s">
        <v>92</v>
      </c>
      <c r="C39" s="13" t="s">
        <v>93</v>
      </c>
      <c r="D39" s="13" t="s">
        <v>57</v>
      </c>
      <c r="E39" s="29">
        <v>14162000</v>
      </c>
      <c r="F39" s="19">
        <v>14293.395</v>
      </c>
      <c r="G39" s="30">
        <v>1.9099999999999999E-2</v>
      </c>
      <c r="H39" s="31"/>
      <c r="I39" s="32"/>
      <c r="J39" s="3"/>
    </row>
    <row r="40" spans="1:10" ht="12.95" customHeight="1">
      <c r="A40" s="16" t="s">
        <v>94</v>
      </c>
      <c r="B40" s="17" t="s">
        <v>95</v>
      </c>
      <c r="C40" s="13" t="s">
        <v>96</v>
      </c>
      <c r="D40" s="13" t="s">
        <v>97</v>
      </c>
      <c r="E40" s="29">
        <v>1400</v>
      </c>
      <c r="F40" s="19">
        <v>13876.38</v>
      </c>
      <c r="G40" s="30">
        <v>1.8499999999999999E-2</v>
      </c>
      <c r="H40" s="31">
        <v>7.7499999999999999E-2</v>
      </c>
      <c r="I40" s="32"/>
      <c r="J40" s="3"/>
    </row>
    <row r="41" spans="1:10" ht="12.95" customHeight="1">
      <c r="A41" s="16" t="s">
        <v>98</v>
      </c>
      <c r="B41" s="17" t="s">
        <v>99</v>
      </c>
      <c r="C41" s="13" t="s">
        <v>100</v>
      </c>
      <c r="D41" s="13" t="s">
        <v>77</v>
      </c>
      <c r="E41" s="29">
        <v>1250</v>
      </c>
      <c r="F41" s="19">
        <v>12538.3125</v>
      </c>
      <c r="G41" s="30">
        <v>1.67E-2</v>
      </c>
      <c r="H41" s="31">
        <v>8.3798999999999998E-2</v>
      </c>
      <c r="I41" s="32"/>
      <c r="J41" s="3"/>
    </row>
    <row r="42" spans="1:10" ht="12.95" customHeight="1">
      <c r="A42" s="16" t="s">
        <v>101</v>
      </c>
      <c r="B42" s="17" t="s">
        <v>102</v>
      </c>
      <c r="C42" s="13" t="s">
        <v>103</v>
      </c>
      <c r="D42" s="13" t="s">
        <v>104</v>
      </c>
      <c r="E42" s="29">
        <v>12500</v>
      </c>
      <c r="F42" s="19">
        <v>12457.174999999999</v>
      </c>
      <c r="G42" s="30">
        <v>1.66E-2</v>
      </c>
      <c r="H42" s="31">
        <v>8.2775000000000001E-2</v>
      </c>
      <c r="I42" s="32"/>
      <c r="J42" s="3"/>
    </row>
    <row r="43" spans="1:10" ht="12.95" customHeight="1">
      <c r="A43" s="16" t="s">
        <v>105</v>
      </c>
      <c r="B43" s="17" t="s">
        <v>106</v>
      </c>
      <c r="C43" s="13" t="s">
        <v>107</v>
      </c>
      <c r="D43" s="13" t="s">
        <v>61</v>
      </c>
      <c r="E43" s="29">
        <v>12500</v>
      </c>
      <c r="F43" s="19">
        <v>12451.5625</v>
      </c>
      <c r="G43" s="30">
        <v>1.66E-2</v>
      </c>
      <c r="H43" s="31">
        <v>7.5800000000000006E-2</v>
      </c>
      <c r="I43" s="32"/>
      <c r="J43" s="3"/>
    </row>
    <row r="44" spans="1:10" ht="12.95" customHeight="1">
      <c r="A44" s="16" t="s">
        <v>108</v>
      </c>
      <c r="B44" s="17" t="s">
        <v>109</v>
      </c>
      <c r="C44" s="13" t="s">
        <v>110</v>
      </c>
      <c r="D44" s="13" t="s">
        <v>81</v>
      </c>
      <c r="E44" s="29">
        <v>1250</v>
      </c>
      <c r="F44" s="19">
        <v>12373.7875</v>
      </c>
      <c r="G44" s="30">
        <v>1.6500000000000001E-2</v>
      </c>
      <c r="H44" s="31">
        <v>7.5749999999999998E-2</v>
      </c>
      <c r="I44" s="32"/>
      <c r="J44" s="3"/>
    </row>
    <row r="45" spans="1:10" ht="12.95" customHeight="1">
      <c r="A45" s="16" t="s">
        <v>111</v>
      </c>
      <c r="B45" s="17" t="s">
        <v>112</v>
      </c>
      <c r="C45" s="13" t="s">
        <v>113</v>
      </c>
      <c r="D45" s="13" t="s">
        <v>57</v>
      </c>
      <c r="E45" s="29">
        <v>12250000</v>
      </c>
      <c r="F45" s="19">
        <v>12322.960999999999</v>
      </c>
      <c r="G45" s="30">
        <v>1.6500000000000001E-2</v>
      </c>
      <c r="H45" s="31">
        <v>7.3009000000000004E-2</v>
      </c>
      <c r="I45" s="32"/>
      <c r="J45" s="3"/>
    </row>
    <row r="46" spans="1:10" ht="12.95" customHeight="1">
      <c r="A46" s="16" t="s">
        <v>114</v>
      </c>
      <c r="B46" s="17" t="s">
        <v>115</v>
      </c>
      <c r="C46" s="13" t="s">
        <v>116</v>
      </c>
      <c r="D46" s="13" t="s">
        <v>61</v>
      </c>
      <c r="E46" s="29">
        <v>10000</v>
      </c>
      <c r="F46" s="19">
        <v>10032.120000000001</v>
      </c>
      <c r="G46" s="30">
        <v>1.34E-2</v>
      </c>
      <c r="H46" s="31">
        <v>7.9786999999999997E-2</v>
      </c>
      <c r="I46" s="32"/>
      <c r="J46" s="3"/>
    </row>
    <row r="47" spans="1:10" ht="12.95" customHeight="1">
      <c r="A47" s="16" t="s">
        <v>117</v>
      </c>
      <c r="B47" s="17" t="s">
        <v>118</v>
      </c>
      <c r="C47" s="13" t="s">
        <v>119</v>
      </c>
      <c r="D47" s="13" t="s">
        <v>57</v>
      </c>
      <c r="E47" s="29">
        <v>10000000</v>
      </c>
      <c r="F47" s="19">
        <v>9957.7800000000007</v>
      </c>
      <c r="G47" s="30">
        <v>1.3299999999999999E-2</v>
      </c>
      <c r="H47" s="31">
        <v>7.4666999999999997E-2</v>
      </c>
      <c r="I47" s="32"/>
      <c r="J47" s="3"/>
    </row>
    <row r="48" spans="1:10" ht="12.95" customHeight="1">
      <c r="A48" s="16" t="s">
        <v>120</v>
      </c>
      <c r="B48" s="17" t="s">
        <v>121</v>
      </c>
      <c r="C48" s="13" t="s">
        <v>122</v>
      </c>
      <c r="D48" s="13" t="s">
        <v>61</v>
      </c>
      <c r="E48" s="29">
        <v>1023</v>
      </c>
      <c r="F48" s="19">
        <v>9854.0884000000005</v>
      </c>
      <c r="G48" s="30">
        <v>1.32E-2</v>
      </c>
      <c r="H48" s="31">
        <v>7.5050000000000006E-2</v>
      </c>
      <c r="I48" s="32"/>
      <c r="J48" s="3"/>
    </row>
    <row r="49" spans="1:10" ht="12.95" customHeight="1">
      <c r="A49" s="16" t="s">
        <v>123</v>
      </c>
      <c r="B49" s="17" t="s">
        <v>124</v>
      </c>
      <c r="C49" s="13" t="s">
        <v>125</v>
      </c>
      <c r="D49" s="13" t="s">
        <v>61</v>
      </c>
      <c r="E49" s="29">
        <v>95</v>
      </c>
      <c r="F49" s="19">
        <v>9523.2085000000006</v>
      </c>
      <c r="G49" s="30">
        <v>1.2699999999999999E-2</v>
      </c>
      <c r="H49" s="31">
        <v>7.8118999999999994E-2</v>
      </c>
      <c r="I49" s="32"/>
      <c r="J49" s="3"/>
    </row>
    <row r="50" spans="1:10" ht="12.95" customHeight="1">
      <c r="A50" s="16" t="s">
        <v>126</v>
      </c>
      <c r="B50" s="17" t="s">
        <v>127</v>
      </c>
      <c r="C50" s="13" t="s">
        <v>128</v>
      </c>
      <c r="D50" s="13" t="s">
        <v>57</v>
      </c>
      <c r="E50" s="29">
        <v>11263000</v>
      </c>
      <c r="F50" s="19">
        <v>9348.6504000000004</v>
      </c>
      <c r="G50" s="30">
        <v>1.2500000000000001E-2</v>
      </c>
      <c r="H50" s="31">
        <v>7.3307999999999998E-2</v>
      </c>
      <c r="I50" s="32"/>
      <c r="J50" s="3"/>
    </row>
    <row r="51" spans="1:10" ht="12.95" customHeight="1">
      <c r="A51" s="16" t="s">
        <v>129</v>
      </c>
      <c r="B51" s="17" t="s">
        <v>130</v>
      </c>
      <c r="C51" s="13" t="s">
        <v>131</v>
      </c>
      <c r="D51" s="13" t="s">
        <v>81</v>
      </c>
      <c r="E51" s="29">
        <v>7500</v>
      </c>
      <c r="F51" s="19">
        <v>7562.085</v>
      </c>
      <c r="G51" s="30">
        <v>1.01E-2</v>
      </c>
      <c r="H51" s="31">
        <v>7.9049999999999995E-2</v>
      </c>
      <c r="I51" s="32"/>
      <c r="J51" s="3"/>
    </row>
    <row r="52" spans="1:10" ht="12.95" customHeight="1">
      <c r="A52" s="16" t="s">
        <v>132</v>
      </c>
      <c r="B52" s="17" t="s">
        <v>133</v>
      </c>
      <c r="C52" s="13" t="s">
        <v>134</v>
      </c>
      <c r="D52" s="13" t="s">
        <v>61</v>
      </c>
      <c r="E52" s="29">
        <v>75</v>
      </c>
      <c r="F52" s="19">
        <v>7512.66</v>
      </c>
      <c r="G52" s="30">
        <v>0.01</v>
      </c>
      <c r="H52" s="31">
        <v>7.8033000000000005E-2</v>
      </c>
      <c r="I52" s="32"/>
      <c r="J52" s="3"/>
    </row>
    <row r="53" spans="1:10" ht="12.95" customHeight="1">
      <c r="A53" s="16" t="s">
        <v>135</v>
      </c>
      <c r="B53" s="17" t="s">
        <v>136</v>
      </c>
      <c r="C53" s="13" t="s">
        <v>137</v>
      </c>
      <c r="D53" s="13" t="s">
        <v>61</v>
      </c>
      <c r="E53" s="29">
        <v>7500</v>
      </c>
      <c r="F53" s="19">
        <v>7478.46</v>
      </c>
      <c r="G53" s="30">
        <v>0.01</v>
      </c>
      <c r="H53" s="31">
        <v>7.6050000000000006E-2</v>
      </c>
      <c r="I53" s="32"/>
      <c r="J53" s="3"/>
    </row>
    <row r="54" spans="1:10" ht="12.95" customHeight="1">
      <c r="A54" s="16" t="s">
        <v>138</v>
      </c>
      <c r="B54" s="17" t="s">
        <v>139</v>
      </c>
      <c r="C54" s="13" t="s">
        <v>140</v>
      </c>
      <c r="D54" s="13" t="s">
        <v>61</v>
      </c>
      <c r="E54" s="29">
        <v>750</v>
      </c>
      <c r="F54" s="19">
        <v>7453.56</v>
      </c>
      <c r="G54" s="30">
        <v>0.01</v>
      </c>
      <c r="H54" s="31">
        <v>7.5899999999999995E-2</v>
      </c>
      <c r="I54" s="32"/>
      <c r="J54" s="3"/>
    </row>
    <row r="55" spans="1:10" ht="12.95" customHeight="1">
      <c r="A55" s="16" t="s">
        <v>141</v>
      </c>
      <c r="B55" s="17" t="s">
        <v>142</v>
      </c>
      <c r="C55" s="13" t="s">
        <v>143</v>
      </c>
      <c r="D55" s="13" t="s">
        <v>61</v>
      </c>
      <c r="E55" s="29">
        <v>750</v>
      </c>
      <c r="F55" s="19">
        <v>7449.3525</v>
      </c>
      <c r="G55" s="30">
        <v>9.9000000000000008E-3</v>
      </c>
      <c r="H55" s="31">
        <v>7.4999999999999997E-2</v>
      </c>
      <c r="I55" s="32"/>
      <c r="J55" s="3"/>
    </row>
    <row r="56" spans="1:10" ht="12.95" customHeight="1">
      <c r="A56" s="16" t="s">
        <v>144</v>
      </c>
      <c r="B56" s="17" t="s">
        <v>145</v>
      </c>
      <c r="C56" s="13" t="s">
        <v>146</v>
      </c>
      <c r="D56" s="13" t="s">
        <v>61</v>
      </c>
      <c r="E56" s="29">
        <v>7500</v>
      </c>
      <c r="F56" s="19">
        <v>7343.4525000000003</v>
      </c>
      <c r="G56" s="30">
        <v>9.7999999999999997E-3</v>
      </c>
      <c r="H56" s="31">
        <v>7.4899999999999994E-2</v>
      </c>
      <c r="I56" s="32"/>
      <c r="J56" s="3"/>
    </row>
    <row r="57" spans="1:10" ht="12.95" customHeight="1">
      <c r="A57" s="16" t="s">
        <v>147</v>
      </c>
      <c r="B57" s="17" t="s">
        <v>148</v>
      </c>
      <c r="C57" s="13" t="s">
        <v>149</v>
      </c>
      <c r="D57" s="13" t="s">
        <v>61</v>
      </c>
      <c r="E57" s="29">
        <v>7000</v>
      </c>
      <c r="F57" s="19">
        <v>6975.57</v>
      </c>
      <c r="G57" s="30">
        <v>9.2999999999999992E-3</v>
      </c>
      <c r="H57" s="31">
        <v>8.2375000000000004E-2</v>
      </c>
      <c r="I57" s="32"/>
      <c r="J57" s="3"/>
    </row>
    <row r="58" spans="1:10" ht="12.95" customHeight="1">
      <c r="A58" s="16" t="s">
        <v>150</v>
      </c>
      <c r="B58" s="17" t="s">
        <v>151</v>
      </c>
      <c r="C58" s="13" t="s">
        <v>152</v>
      </c>
      <c r="D58" s="13" t="s">
        <v>57</v>
      </c>
      <c r="E58" s="29">
        <v>8243200</v>
      </c>
      <c r="F58" s="19">
        <v>6973.3845000000001</v>
      </c>
      <c r="G58" s="30">
        <v>9.2999999999999992E-3</v>
      </c>
      <c r="H58" s="31">
        <v>7.2978000000000001E-2</v>
      </c>
      <c r="I58" s="32"/>
      <c r="J58" s="3"/>
    </row>
    <row r="59" spans="1:10" ht="12.95" customHeight="1">
      <c r="A59" s="16" t="s">
        <v>153</v>
      </c>
      <c r="B59" s="17" t="s">
        <v>154</v>
      </c>
      <c r="C59" s="13" t="s">
        <v>155</v>
      </c>
      <c r="D59" s="13" t="s">
        <v>156</v>
      </c>
      <c r="E59" s="29">
        <v>650</v>
      </c>
      <c r="F59" s="19">
        <v>6421.0119999999997</v>
      </c>
      <c r="G59" s="30">
        <v>8.6E-3</v>
      </c>
      <c r="H59" s="31">
        <v>8.5050000000000001E-2</v>
      </c>
      <c r="I59" s="32"/>
      <c r="J59" s="3"/>
    </row>
    <row r="60" spans="1:10" ht="12.95" customHeight="1">
      <c r="A60" s="16" t="s">
        <v>157</v>
      </c>
      <c r="B60" s="17" t="s">
        <v>158</v>
      </c>
      <c r="C60" s="13" t="s">
        <v>159</v>
      </c>
      <c r="D60" s="13" t="s">
        <v>61</v>
      </c>
      <c r="E60" s="29">
        <v>650</v>
      </c>
      <c r="F60" s="19">
        <v>6418.1584999999995</v>
      </c>
      <c r="G60" s="30">
        <v>8.6E-3</v>
      </c>
      <c r="H60" s="31">
        <v>7.2700000000000001E-2</v>
      </c>
      <c r="I60" s="32"/>
      <c r="J60" s="3"/>
    </row>
    <row r="61" spans="1:10" ht="12.95" customHeight="1">
      <c r="A61" s="16" t="s">
        <v>160</v>
      </c>
      <c r="B61" s="17" t="s">
        <v>161</v>
      </c>
      <c r="C61" s="13" t="s">
        <v>162</v>
      </c>
      <c r="D61" s="13" t="s">
        <v>61</v>
      </c>
      <c r="E61" s="29">
        <v>5500</v>
      </c>
      <c r="F61" s="19">
        <v>5479.4354999999996</v>
      </c>
      <c r="G61" s="30">
        <v>7.3000000000000001E-3</v>
      </c>
      <c r="H61" s="31">
        <v>8.1299999999999997E-2</v>
      </c>
      <c r="I61" s="32"/>
      <c r="J61" s="3"/>
    </row>
    <row r="62" spans="1:10" ht="12.95" customHeight="1">
      <c r="A62" s="16" t="s">
        <v>163</v>
      </c>
      <c r="B62" s="17" t="s">
        <v>164</v>
      </c>
      <c r="C62" s="13" t="s">
        <v>165</v>
      </c>
      <c r="D62" s="13" t="s">
        <v>61</v>
      </c>
      <c r="E62" s="29">
        <v>500</v>
      </c>
      <c r="F62" s="19">
        <v>5292.73</v>
      </c>
      <c r="G62" s="30">
        <v>7.1000000000000004E-3</v>
      </c>
      <c r="H62" s="31">
        <v>7.825E-2</v>
      </c>
      <c r="I62" s="32"/>
      <c r="J62" s="3"/>
    </row>
    <row r="63" spans="1:10" ht="12.95" customHeight="1">
      <c r="A63" s="16" t="s">
        <v>166</v>
      </c>
      <c r="B63" s="17" t="s">
        <v>167</v>
      </c>
      <c r="C63" s="13" t="s">
        <v>168</v>
      </c>
      <c r="D63" s="13" t="s">
        <v>57</v>
      </c>
      <c r="E63" s="29">
        <v>5000000</v>
      </c>
      <c r="F63" s="19">
        <v>5154.9650000000001</v>
      </c>
      <c r="G63" s="30">
        <v>6.8999999999999999E-3</v>
      </c>
      <c r="H63" s="31">
        <v>7.4524000000000007E-2</v>
      </c>
      <c r="I63" s="32"/>
      <c r="J63" s="3"/>
    </row>
    <row r="64" spans="1:10" ht="12.95" customHeight="1">
      <c r="A64" s="16" t="s">
        <v>169</v>
      </c>
      <c r="B64" s="17" t="s">
        <v>170</v>
      </c>
      <c r="C64" s="13" t="s">
        <v>171</v>
      </c>
      <c r="D64" s="13" t="s">
        <v>61</v>
      </c>
      <c r="E64" s="29">
        <v>5000</v>
      </c>
      <c r="F64" s="19">
        <v>5044.9399999999996</v>
      </c>
      <c r="G64" s="30">
        <v>6.7000000000000002E-3</v>
      </c>
      <c r="H64" s="31">
        <v>7.4899999999999994E-2</v>
      </c>
      <c r="I64" s="32"/>
      <c r="J64" s="3"/>
    </row>
    <row r="65" spans="1:10" ht="12.95" customHeight="1">
      <c r="A65" s="16" t="s">
        <v>172</v>
      </c>
      <c r="B65" s="17" t="s">
        <v>173</v>
      </c>
      <c r="C65" s="13" t="s">
        <v>174</v>
      </c>
      <c r="D65" s="13" t="s">
        <v>77</v>
      </c>
      <c r="E65" s="29">
        <v>500</v>
      </c>
      <c r="F65" s="19">
        <v>5009.5450000000001</v>
      </c>
      <c r="G65" s="30">
        <v>6.7000000000000002E-3</v>
      </c>
      <c r="H65" s="31">
        <v>8.3798999999999998E-2</v>
      </c>
      <c r="I65" s="32"/>
      <c r="J65" s="3"/>
    </row>
    <row r="66" spans="1:10" ht="12.95" customHeight="1">
      <c r="A66" s="16" t="s">
        <v>175</v>
      </c>
      <c r="B66" s="17" t="s">
        <v>176</v>
      </c>
      <c r="C66" s="13" t="s">
        <v>177</v>
      </c>
      <c r="D66" s="13" t="s">
        <v>61</v>
      </c>
      <c r="E66" s="29">
        <v>500</v>
      </c>
      <c r="F66" s="19">
        <v>4996.9650000000001</v>
      </c>
      <c r="G66" s="30">
        <v>6.7000000000000002E-3</v>
      </c>
      <c r="H66" s="31">
        <v>7.9977000000000006E-2</v>
      </c>
      <c r="I66" s="32">
        <v>8.0023676000000002E-2</v>
      </c>
      <c r="J66" s="3"/>
    </row>
    <row r="67" spans="1:10" ht="12.95" customHeight="1">
      <c r="A67" s="16" t="s">
        <v>178</v>
      </c>
      <c r="B67" s="17" t="s">
        <v>179</v>
      </c>
      <c r="C67" s="13" t="s">
        <v>180</v>
      </c>
      <c r="D67" s="13" t="s">
        <v>61</v>
      </c>
      <c r="E67" s="29">
        <v>5000</v>
      </c>
      <c r="F67" s="19">
        <v>4996.7250000000004</v>
      </c>
      <c r="G67" s="30">
        <v>6.7000000000000002E-3</v>
      </c>
      <c r="H67" s="31">
        <v>7.6050000000000006E-2</v>
      </c>
      <c r="I67" s="32"/>
      <c r="J67" s="3"/>
    </row>
    <row r="68" spans="1:10" ht="12.95" customHeight="1">
      <c r="A68" s="16" t="s">
        <v>181</v>
      </c>
      <c r="B68" s="17" t="s">
        <v>182</v>
      </c>
      <c r="C68" s="13" t="s">
        <v>183</v>
      </c>
      <c r="D68" s="13" t="s">
        <v>184</v>
      </c>
      <c r="E68" s="29">
        <v>500</v>
      </c>
      <c r="F68" s="19">
        <v>4994.2150000000001</v>
      </c>
      <c r="G68" s="30">
        <v>6.7000000000000002E-3</v>
      </c>
      <c r="H68" s="31">
        <v>8.4979499999999999E-2</v>
      </c>
      <c r="I68" s="32"/>
      <c r="J68" s="3"/>
    </row>
    <row r="69" spans="1:10" ht="12.95" customHeight="1">
      <c r="A69" s="16" t="s">
        <v>185</v>
      </c>
      <c r="B69" s="17" t="s">
        <v>186</v>
      </c>
      <c r="C69" s="13" t="s">
        <v>187</v>
      </c>
      <c r="D69" s="13" t="s">
        <v>61</v>
      </c>
      <c r="E69" s="29">
        <v>5000</v>
      </c>
      <c r="F69" s="19">
        <v>4992.88</v>
      </c>
      <c r="G69" s="30">
        <v>6.7000000000000002E-3</v>
      </c>
      <c r="H69" s="31">
        <v>7.4999999999999997E-2</v>
      </c>
      <c r="I69" s="32"/>
      <c r="J69" s="3"/>
    </row>
    <row r="70" spans="1:10" ht="12.95" customHeight="1">
      <c r="A70" s="16" t="s">
        <v>188</v>
      </c>
      <c r="B70" s="17" t="s">
        <v>189</v>
      </c>
      <c r="C70" s="13" t="s">
        <v>190</v>
      </c>
      <c r="D70" s="13" t="s">
        <v>61</v>
      </c>
      <c r="E70" s="29">
        <v>500</v>
      </c>
      <c r="F70" s="19">
        <v>4991.08</v>
      </c>
      <c r="G70" s="30">
        <v>6.7000000000000002E-3</v>
      </c>
      <c r="H70" s="31">
        <v>7.825E-2</v>
      </c>
      <c r="I70" s="32"/>
      <c r="J70" s="3"/>
    </row>
    <row r="71" spans="1:10" ht="12.95" customHeight="1">
      <c r="A71" s="16" t="s">
        <v>191</v>
      </c>
      <c r="B71" s="17" t="s">
        <v>192</v>
      </c>
      <c r="C71" s="13" t="s">
        <v>193</v>
      </c>
      <c r="D71" s="13" t="s">
        <v>61</v>
      </c>
      <c r="E71" s="29">
        <v>5000</v>
      </c>
      <c r="F71" s="19">
        <v>4983.8549999999996</v>
      </c>
      <c r="G71" s="30">
        <v>6.7000000000000002E-3</v>
      </c>
      <c r="H71" s="31">
        <v>7.485E-2</v>
      </c>
      <c r="I71" s="32"/>
      <c r="J71" s="3"/>
    </row>
    <row r="72" spans="1:10" ht="12.95" customHeight="1">
      <c r="A72" s="16" t="s">
        <v>194</v>
      </c>
      <c r="B72" s="17" t="s">
        <v>195</v>
      </c>
      <c r="C72" s="13" t="s">
        <v>196</v>
      </c>
      <c r="D72" s="13" t="s">
        <v>61</v>
      </c>
      <c r="E72" s="29">
        <v>500</v>
      </c>
      <c r="F72" s="19">
        <v>4969.625</v>
      </c>
      <c r="G72" s="30">
        <v>6.6E-3</v>
      </c>
      <c r="H72" s="31">
        <v>7.7700000000000005E-2</v>
      </c>
      <c r="I72" s="32"/>
      <c r="J72" s="3"/>
    </row>
    <row r="73" spans="1:10" ht="12.95" customHeight="1">
      <c r="A73" s="16" t="s">
        <v>197</v>
      </c>
      <c r="B73" s="17" t="s">
        <v>198</v>
      </c>
      <c r="C73" s="13" t="s">
        <v>199</v>
      </c>
      <c r="D73" s="13" t="s">
        <v>61</v>
      </c>
      <c r="E73" s="29">
        <v>500</v>
      </c>
      <c r="F73" s="19">
        <v>4922.8050000000003</v>
      </c>
      <c r="G73" s="30">
        <v>6.6E-3</v>
      </c>
      <c r="H73" s="31">
        <v>8.1100000000000005E-2</v>
      </c>
      <c r="I73" s="32"/>
      <c r="J73" s="3"/>
    </row>
    <row r="74" spans="1:10" ht="12.95" customHeight="1">
      <c r="A74" s="16" t="s">
        <v>200</v>
      </c>
      <c r="B74" s="17" t="s">
        <v>201</v>
      </c>
      <c r="C74" s="13" t="s">
        <v>202</v>
      </c>
      <c r="D74" s="13" t="s">
        <v>61</v>
      </c>
      <c r="E74" s="29">
        <v>500</v>
      </c>
      <c r="F74" s="19">
        <v>4903.0050000000001</v>
      </c>
      <c r="G74" s="30">
        <v>6.4999999999999997E-3</v>
      </c>
      <c r="H74" s="31">
        <v>8.0965999999999996E-2</v>
      </c>
      <c r="I74" s="32"/>
      <c r="J74" s="3"/>
    </row>
    <row r="75" spans="1:10" ht="12.95" customHeight="1">
      <c r="A75" s="16" t="s">
        <v>203</v>
      </c>
      <c r="B75" s="17" t="s">
        <v>204</v>
      </c>
      <c r="C75" s="13" t="s">
        <v>205</v>
      </c>
      <c r="D75" s="13" t="s">
        <v>61</v>
      </c>
      <c r="E75" s="29">
        <v>500</v>
      </c>
      <c r="F75" s="19">
        <v>4843.07</v>
      </c>
      <c r="G75" s="30">
        <v>6.4999999999999997E-3</v>
      </c>
      <c r="H75" s="31">
        <v>7.7499999999999999E-2</v>
      </c>
      <c r="I75" s="32"/>
      <c r="J75" s="3"/>
    </row>
    <row r="76" spans="1:10" ht="12.95" customHeight="1">
      <c r="A76" s="16" t="s">
        <v>206</v>
      </c>
      <c r="B76" s="17" t="s">
        <v>207</v>
      </c>
      <c r="C76" s="13" t="s">
        <v>208</v>
      </c>
      <c r="D76" s="13" t="s">
        <v>184</v>
      </c>
      <c r="E76" s="29">
        <v>4500</v>
      </c>
      <c r="F76" s="19">
        <v>4504.7610000000004</v>
      </c>
      <c r="G76" s="30">
        <v>6.0000000000000001E-3</v>
      </c>
      <c r="H76" s="31">
        <v>8.0648999999999998E-2</v>
      </c>
      <c r="I76" s="32"/>
      <c r="J76" s="3"/>
    </row>
    <row r="77" spans="1:10" ht="12.95" customHeight="1">
      <c r="A77" s="16" t="s">
        <v>209</v>
      </c>
      <c r="B77" s="17" t="s">
        <v>210</v>
      </c>
      <c r="C77" s="13" t="s">
        <v>211</v>
      </c>
      <c r="D77" s="13" t="s">
        <v>61</v>
      </c>
      <c r="E77" s="29">
        <v>450</v>
      </c>
      <c r="F77" s="19">
        <v>4497.8985000000002</v>
      </c>
      <c r="G77" s="30">
        <v>6.0000000000000001E-3</v>
      </c>
      <c r="H77" s="31">
        <v>7.7499999999999999E-2</v>
      </c>
      <c r="I77" s="32"/>
      <c r="J77" s="3"/>
    </row>
    <row r="78" spans="1:10" ht="12.95" customHeight="1">
      <c r="A78" s="16" t="s">
        <v>212</v>
      </c>
      <c r="B78" s="17" t="s">
        <v>213</v>
      </c>
      <c r="C78" s="13" t="s">
        <v>214</v>
      </c>
      <c r="D78" s="13" t="s">
        <v>57</v>
      </c>
      <c r="E78" s="29">
        <v>6598000</v>
      </c>
      <c r="F78" s="19">
        <v>4438.6066000000001</v>
      </c>
      <c r="G78" s="30">
        <v>5.8999999999999999E-3</v>
      </c>
      <c r="H78" s="31">
        <v>7.3927999999999994E-2</v>
      </c>
      <c r="I78" s="32"/>
      <c r="J78" s="3"/>
    </row>
    <row r="79" spans="1:10" ht="12.95" customHeight="1">
      <c r="A79" s="16" t="s">
        <v>215</v>
      </c>
      <c r="B79" s="17" t="s">
        <v>216</v>
      </c>
      <c r="C79" s="13" t="s">
        <v>217</v>
      </c>
      <c r="D79" s="13" t="s">
        <v>57</v>
      </c>
      <c r="E79" s="29">
        <v>4613000</v>
      </c>
      <c r="F79" s="19">
        <v>4044.5769</v>
      </c>
      <c r="G79" s="30">
        <v>5.4000000000000003E-3</v>
      </c>
      <c r="H79" s="31">
        <v>7.2764999999999996E-2</v>
      </c>
      <c r="I79" s="32"/>
      <c r="J79" s="3"/>
    </row>
    <row r="80" spans="1:10" ht="12.95" customHeight="1">
      <c r="A80" s="16" t="s">
        <v>218</v>
      </c>
      <c r="B80" s="17" t="s">
        <v>219</v>
      </c>
      <c r="C80" s="13" t="s">
        <v>220</v>
      </c>
      <c r="D80" s="13" t="s">
        <v>81</v>
      </c>
      <c r="E80" s="29">
        <v>400</v>
      </c>
      <c r="F80" s="19">
        <v>3989.7640000000001</v>
      </c>
      <c r="G80" s="30">
        <v>5.3E-3</v>
      </c>
      <c r="H80" s="31">
        <v>7.5700000000000003E-2</v>
      </c>
      <c r="I80" s="32"/>
      <c r="J80" s="3"/>
    </row>
    <row r="81" spans="1:10" ht="12.95" customHeight="1">
      <c r="A81" s="16" t="s">
        <v>221</v>
      </c>
      <c r="B81" s="17" t="s">
        <v>222</v>
      </c>
      <c r="C81" s="13" t="s">
        <v>223</v>
      </c>
      <c r="D81" s="13" t="s">
        <v>61</v>
      </c>
      <c r="E81" s="29">
        <v>400</v>
      </c>
      <c r="F81" s="19">
        <v>3982.1959999999999</v>
      </c>
      <c r="G81" s="30">
        <v>5.3E-3</v>
      </c>
      <c r="H81" s="31">
        <v>7.5899999999999995E-2</v>
      </c>
      <c r="I81" s="32"/>
      <c r="J81" s="3"/>
    </row>
    <row r="82" spans="1:10" ht="12.95" customHeight="1">
      <c r="A82" s="16" t="s">
        <v>224</v>
      </c>
      <c r="B82" s="17" t="s">
        <v>225</v>
      </c>
      <c r="C82" s="13" t="s">
        <v>226</v>
      </c>
      <c r="D82" s="13" t="s">
        <v>57</v>
      </c>
      <c r="E82" s="29">
        <v>4289200</v>
      </c>
      <c r="F82" s="19">
        <v>3710.7799</v>
      </c>
      <c r="G82" s="30">
        <v>5.0000000000000001E-3</v>
      </c>
      <c r="H82" s="31">
        <v>7.2914000000000007E-2</v>
      </c>
      <c r="I82" s="32"/>
      <c r="J82" s="3"/>
    </row>
    <row r="83" spans="1:10" ht="12.95" customHeight="1">
      <c r="A83" s="16" t="s">
        <v>227</v>
      </c>
      <c r="B83" s="17" t="s">
        <v>228</v>
      </c>
      <c r="C83" s="13" t="s">
        <v>229</v>
      </c>
      <c r="D83" s="13" t="s">
        <v>61</v>
      </c>
      <c r="E83" s="29">
        <v>3500</v>
      </c>
      <c r="F83" s="19">
        <v>3512.4879999999998</v>
      </c>
      <c r="G83" s="30">
        <v>4.7000000000000002E-3</v>
      </c>
      <c r="H83" s="31">
        <v>7.8950000000000006E-2</v>
      </c>
      <c r="I83" s="32"/>
      <c r="J83" s="3"/>
    </row>
    <row r="84" spans="1:10" ht="12.95" customHeight="1">
      <c r="A84" s="16" t="s">
        <v>230</v>
      </c>
      <c r="B84" s="17" t="s">
        <v>231</v>
      </c>
      <c r="C84" s="13" t="s">
        <v>232</v>
      </c>
      <c r="D84" s="13" t="s">
        <v>81</v>
      </c>
      <c r="E84" s="29">
        <v>350</v>
      </c>
      <c r="F84" s="19">
        <v>3496.5419999999999</v>
      </c>
      <c r="G84" s="30">
        <v>4.7000000000000002E-3</v>
      </c>
      <c r="H84" s="31">
        <v>7.8350000000000003E-2</v>
      </c>
      <c r="I84" s="32"/>
      <c r="J84" s="3"/>
    </row>
    <row r="85" spans="1:10" ht="12.95" customHeight="1">
      <c r="A85" s="16" t="s">
        <v>233</v>
      </c>
      <c r="B85" s="17" t="s">
        <v>234</v>
      </c>
      <c r="C85" s="13" t="s">
        <v>235</v>
      </c>
      <c r="D85" s="13" t="s">
        <v>57</v>
      </c>
      <c r="E85" s="29">
        <v>4000000</v>
      </c>
      <c r="F85" s="19">
        <v>3442.192</v>
      </c>
      <c r="G85" s="30">
        <v>4.5999999999999999E-3</v>
      </c>
      <c r="H85" s="31">
        <v>7.2938000000000003E-2</v>
      </c>
      <c r="I85" s="32"/>
      <c r="J85" s="3"/>
    </row>
    <row r="86" spans="1:10" ht="12.95" customHeight="1">
      <c r="A86" s="16" t="s">
        <v>236</v>
      </c>
      <c r="B86" s="17" t="s">
        <v>237</v>
      </c>
      <c r="C86" s="13" t="s">
        <v>238</v>
      </c>
      <c r="D86" s="13" t="s">
        <v>61</v>
      </c>
      <c r="E86" s="29">
        <v>350</v>
      </c>
      <c r="F86" s="19">
        <v>3436.5414999999998</v>
      </c>
      <c r="G86" s="30">
        <v>4.5999999999999999E-3</v>
      </c>
      <c r="H86" s="31">
        <v>8.6099999999999996E-2</v>
      </c>
      <c r="I86" s="32"/>
      <c r="J86" s="3"/>
    </row>
    <row r="87" spans="1:10" ht="12.95" customHeight="1">
      <c r="A87" s="16" t="s">
        <v>239</v>
      </c>
      <c r="B87" s="17" t="s">
        <v>240</v>
      </c>
      <c r="C87" s="13" t="s">
        <v>241</v>
      </c>
      <c r="D87" s="13" t="s">
        <v>61</v>
      </c>
      <c r="E87" s="29">
        <v>300</v>
      </c>
      <c r="F87" s="19">
        <v>3034.1579999999999</v>
      </c>
      <c r="G87" s="30">
        <v>4.1000000000000003E-3</v>
      </c>
      <c r="H87" s="31">
        <v>7.5050000000000006E-2</v>
      </c>
      <c r="I87" s="32"/>
      <c r="J87" s="3"/>
    </row>
    <row r="88" spans="1:10" ht="12.95" customHeight="1">
      <c r="A88" s="16" t="s">
        <v>242</v>
      </c>
      <c r="B88" s="17" t="s">
        <v>243</v>
      </c>
      <c r="C88" s="13" t="s">
        <v>244</v>
      </c>
      <c r="D88" s="13" t="s">
        <v>61</v>
      </c>
      <c r="E88" s="29">
        <v>330</v>
      </c>
      <c r="F88" s="19">
        <v>2933.7791999999999</v>
      </c>
      <c r="G88" s="30">
        <v>3.8999999999999998E-3</v>
      </c>
      <c r="H88" s="31">
        <v>8.4561999999999998E-2</v>
      </c>
      <c r="I88" s="32"/>
      <c r="J88" s="3"/>
    </row>
    <row r="89" spans="1:10" ht="12.95" customHeight="1">
      <c r="A89" s="16" t="s">
        <v>245</v>
      </c>
      <c r="B89" s="17" t="s">
        <v>246</v>
      </c>
      <c r="C89" s="13" t="s">
        <v>247</v>
      </c>
      <c r="D89" s="13" t="s">
        <v>61</v>
      </c>
      <c r="E89" s="29">
        <v>255</v>
      </c>
      <c r="F89" s="19">
        <v>2566.0853999999999</v>
      </c>
      <c r="G89" s="30">
        <v>3.3999999999999998E-3</v>
      </c>
      <c r="H89" s="31">
        <v>7.7215000000000006E-2</v>
      </c>
      <c r="I89" s="32"/>
      <c r="J89" s="3"/>
    </row>
    <row r="90" spans="1:10" ht="12.95" customHeight="1">
      <c r="A90" s="16" t="s">
        <v>248</v>
      </c>
      <c r="B90" s="17" t="s">
        <v>249</v>
      </c>
      <c r="C90" s="13" t="s">
        <v>250</v>
      </c>
      <c r="D90" s="13" t="s">
        <v>61</v>
      </c>
      <c r="E90" s="29">
        <v>250</v>
      </c>
      <c r="F90" s="19">
        <v>2515.4949999999999</v>
      </c>
      <c r="G90" s="30">
        <v>3.3999999999999998E-3</v>
      </c>
      <c r="H90" s="31">
        <v>8.0992999999999996E-2</v>
      </c>
      <c r="I90" s="32"/>
      <c r="J90" s="3"/>
    </row>
    <row r="91" spans="1:10" ht="12.95" customHeight="1">
      <c r="A91" s="16" t="s">
        <v>251</v>
      </c>
      <c r="B91" s="17" t="s">
        <v>252</v>
      </c>
      <c r="C91" s="13" t="s">
        <v>253</v>
      </c>
      <c r="D91" s="13" t="s">
        <v>81</v>
      </c>
      <c r="E91" s="29">
        <v>2500</v>
      </c>
      <c r="F91" s="19">
        <v>2513.3274999999999</v>
      </c>
      <c r="G91" s="30">
        <v>3.3999999999999998E-3</v>
      </c>
      <c r="H91" s="31">
        <v>7.5425000000000006E-2</v>
      </c>
      <c r="I91" s="32"/>
      <c r="J91" s="3"/>
    </row>
    <row r="92" spans="1:10" ht="12.95" customHeight="1">
      <c r="A92" s="16" t="s">
        <v>254</v>
      </c>
      <c r="B92" s="17" t="s">
        <v>255</v>
      </c>
      <c r="C92" s="13" t="s">
        <v>256</v>
      </c>
      <c r="D92" s="13" t="s">
        <v>81</v>
      </c>
      <c r="E92" s="29">
        <v>2500</v>
      </c>
      <c r="F92" s="19">
        <v>2510.1325000000002</v>
      </c>
      <c r="G92" s="30">
        <v>3.3999999999999998E-3</v>
      </c>
      <c r="H92" s="31">
        <v>8.2146999999999998E-2</v>
      </c>
      <c r="I92" s="32"/>
      <c r="J92" s="3"/>
    </row>
    <row r="93" spans="1:10" ht="12.95" customHeight="1">
      <c r="A93" s="16" t="s">
        <v>257</v>
      </c>
      <c r="B93" s="17" t="s">
        <v>258</v>
      </c>
      <c r="C93" s="13" t="s">
        <v>259</v>
      </c>
      <c r="D93" s="13" t="s">
        <v>61</v>
      </c>
      <c r="E93" s="29">
        <v>250</v>
      </c>
      <c r="F93" s="19">
        <v>2507.9899999999998</v>
      </c>
      <c r="G93" s="30">
        <v>3.3E-3</v>
      </c>
      <c r="H93" s="31">
        <v>6.7567500000000003E-2</v>
      </c>
      <c r="I93" s="32"/>
      <c r="J93" s="3"/>
    </row>
    <row r="94" spans="1:10" ht="12.95" customHeight="1">
      <c r="A94" s="16" t="s">
        <v>260</v>
      </c>
      <c r="B94" s="17" t="s">
        <v>261</v>
      </c>
      <c r="C94" s="13" t="s">
        <v>262</v>
      </c>
      <c r="D94" s="13" t="s">
        <v>77</v>
      </c>
      <c r="E94" s="29">
        <v>2500</v>
      </c>
      <c r="F94" s="19">
        <v>2502.7424999999998</v>
      </c>
      <c r="G94" s="30">
        <v>3.3E-3</v>
      </c>
      <c r="H94" s="31">
        <v>8.4099999999999994E-2</v>
      </c>
      <c r="I94" s="32"/>
      <c r="J94" s="3"/>
    </row>
    <row r="95" spans="1:10" ht="12.95" customHeight="1">
      <c r="A95" s="16" t="s">
        <v>263</v>
      </c>
      <c r="B95" s="17" t="s">
        <v>264</v>
      </c>
      <c r="C95" s="13" t="s">
        <v>265</v>
      </c>
      <c r="D95" s="13" t="s">
        <v>61</v>
      </c>
      <c r="E95" s="29">
        <v>2500</v>
      </c>
      <c r="F95" s="19">
        <v>2501.6075000000001</v>
      </c>
      <c r="G95" s="30">
        <v>3.3E-3</v>
      </c>
      <c r="H95" s="31">
        <v>7.485E-2</v>
      </c>
      <c r="I95" s="32"/>
      <c r="J95" s="3"/>
    </row>
    <row r="96" spans="1:10" ht="12.95" customHeight="1">
      <c r="A96" s="16" t="s">
        <v>266</v>
      </c>
      <c r="B96" s="17" t="s">
        <v>267</v>
      </c>
      <c r="C96" s="13" t="s">
        <v>268</v>
      </c>
      <c r="D96" s="13" t="s">
        <v>61</v>
      </c>
      <c r="E96" s="29">
        <v>2500</v>
      </c>
      <c r="F96" s="19">
        <v>2501.2325000000001</v>
      </c>
      <c r="G96" s="30">
        <v>3.3E-3</v>
      </c>
      <c r="H96" s="31">
        <v>7.9880999999999994E-2</v>
      </c>
      <c r="I96" s="32"/>
      <c r="J96" s="3"/>
    </row>
    <row r="97" spans="1:10" ht="12.95" customHeight="1">
      <c r="A97" s="16" t="s">
        <v>269</v>
      </c>
      <c r="B97" s="17" t="s">
        <v>270</v>
      </c>
      <c r="C97" s="13" t="s">
        <v>271</v>
      </c>
      <c r="D97" s="13" t="s">
        <v>272</v>
      </c>
      <c r="E97" s="29">
        <v>2500</v>
      </c>
      <c r="F97" s="19">
        <v>2495.5475000000001</v>
      </c>
      <c r="G97" s="30">
        <v>3.3E-3</v>
      </c>
      <c r="H97" s="31">
        <v>7.7601000000000003E-2</v>
      </c>
      <c r="I97" s="32"/>
      <c r="J97" s="3"/>
    </row>
    <row r="98" spans="1:10" ht="12.95" customHeight="1">
      <c r="A98" s="16" t="s">
        <v>273</v>
      </c>
      <c r="B98" s="17" t="s">
        <v>274</v>
      </c>
      <c r="C98" s="13" t="s">
        <v>275</v>
      </c>
      <c r="D98" s="13" t="s">
        <v>61</v>
      </c>
      <c r="E98" s="29">
        <v>2500</v>
      </c>
      <c r="F98" s="19">
        <v>2486.7849999999999</v>
      </c>
      <c r="G98" s="30">
        <v>3.3E-3</v>
      </c>
      <c r="H98" s="31">
        <v>7.4349999999999999E-2</v>
      </c>
      <c r="I98" s="32"/>
      <c r="J98" s="3"/>
    </row>
    <row r="99" spans="1:10" ht="12.95" customHeight="1">
      <c r="A99" s="16" t="s">
        <v>276</v>
      </c>
      <c r="B99" s="17" t="s">
        <v>277</v>
      </c>
      <c r="C99" s="13" t="s">
        <v>278</v>
      </c>
      <c r="D99" s="13" t="s">
        <v>81</v>
      </c>
      <c r="E99" s="29">
        <v>250</v>
      </c>
      <c r="F99" s="19">
        <v>2469.91</v>
      </c>
      <c r="G99" s="30">
        <v>3.3E-3</v>
      </c>
      <c r="H99" s="31">
        <v>7.2450000000000001E-2</v>
      </c>
      <c r="I99" s="32"/>
      <c r="J99" s="3"/>
    </row>
    <row r="100" spans="1:10" ht="12.95" customHeight="1">
      <c r="A100" s="16" t="s">
        <v>279</v>
      </c>
      <c r="B100" s="17" t="s">
        <v>280</v>
      </c>
      <c r="C100" s="13" t="s">
        <v>281</v>
      </c>
      <c r="D100" s="13" t="s">
        <v>81</v>
      </c>
      <c r="E100" s="29">
        <v>250</v>
      </c>
      <c r="F100" s="19">
        <v>2453.4349999999999</v>
      </c>
      <c r="G100" s="30">
        <v>3.3E-3</v>
      </c>
      <c r="H100" s="31">
        <v>7.4573E-2</v>
      </c>
      <c r="I100" s="32">
        <v>8.3821623999999997E-2</v>
      </c>
      <c r="J100" s="3"/>
    </row>
    <row r="101" spans="1:10" ht="12.95" customHeight="1">
      <c r="A101" s="16" t="s">
        <v>282</v>
      </c>
      <c r="B101" s="17" t="s">
        <v>283</v>
      </c>
      <c r="C101" s="13" t="s">
        <v>284</v>
      </c>
      <c r="D101" s="13" t="s">
        <v>61</v>
      </c>
      <c r="E101" s="29">
        <v>250</v>
      </c>
      <c r="F101" s="19">
        <v>2416.8649999999998</v>
      </c>
      <c r="G101" s="30">
        <v>3.2000000000000002E-3</v>
      </c>
      <c r="H101" s="31">
        <v>8.1306000000000003E-2</v>
      </c>
      <c r="I101" s="32"/>
      <c r="J101" s="3"/>
    </row>
    <row r="102" spans="1:10" ht="12.95" customHeight="1">
      <c r="A102" s="16" t="s">
        <v>285</v>
      </c>
      <c r="B102" s="17" t="s">
        <v>286</v>
      </c>
      <c r="C102" s="13" t="s">
        <v>287</v>
      </c>
      <c r="D102" s="13" t="s">
        <v>61</v>
      </c>
      <c r="E102" s="29">
        <v>250</v>
      </c>
      <c r="F102" s="19">
        <v>2406.73</v>
      </c>
      <c r="G102" s="30">
        <v>3.2000000000000002E-3</v>
      </c>
      <c r="H102" s="31">
        <v>7.5134999999999993E-2</v>
      </c>
      <c r="I102" s="32"/>
      <c r="J102" s="3"/>
    </row>
    <row r="103" spans="1:10" ht="12.95" customHeight="1">
      <c r="A103" s="16" t="s">
        <v>288</v>
      </c>
      <c r="B103" s="17" t="s">
        <v>289</v>
      </c>
      <c r="C103" s="13" t="s">
        <v>290</v>
      </c>
      <c r="D103" s="13" t="s">
        <v>61</v>
      </c>
      <c r="E103" s="29">
        <v>750</v>
      </c>
      <c r="F103" s="19">
        <v>2205.0248000000001</v>
      </c>
      <c r="G103" s="30">
        <v>2.8999999999999998E-3</v>
      </c>
      <c r="H103" s="31">
        <v>7.4999999999999997E-2</v>
      </c>
      <c r="I103" s="32"/>
      <c r="J103" s="3"/>
    </row>
    <row r="104" spans="1:10" ht="12.95" customHeight="1">
      <c r="A104" s="16" t="s">
        <v>291</v>
      </c>
      <c r="B104" s="17" t="s">
        <v>292</v>
      </c>
      <c r="C104" s="13" t="s">
        <v>293</v>
      </c>
      <c r="D104" s="13" t="s">
        <v>57</v>
      </c>
      <c r="E104" s="29">
        <v>2700000</v>
      </c>
      <c r="F104" s="19">
        <v>2162.8647000000001</v>
      </c>
      <c r="G104" s="30">
        <v>2.8999999999999998E-3</v>
      </c>
      <c r="H104" s="31">
        <v>7.3359999999999995E-2</v>
      </c>
      <c r="I104" s="32"/>
      <c r="J104" s="3"/>
    </row>
    <row r="105" spans="1:10" ht="12.95" customHeight="1">
      <c r="A105" s="16" t="s">
        <v>294</v>
      </c>
      <c r="B105" s="17" t="s">
        <v>295</v>
      </c>
      <c r="C105" s="13" t="s">
        <v>296</v>
      </c>
      <c r="D105" s="13" t="s">
        <v>57</v>
      </c>
      <c r="E105" s="29">
        <v>2000000</v>
      </c>
      <c r="F105" s="19">
        <v>2006.6320000000001</v>
      </c>
      <c r="G105" s="30">
        <v>2.7000000000000001E-3</v>
      </c>
      <c r="H105" s="31">
        <v>7.3384000000000005E-2</v>
      </c>
      <c r="I105" s="32"/>
      <c r="J105" s="3"/>
    </row>
    <row r="106" spans="1:10" ht="12.95" customHeight="1">
      <c r="A106" s="16" t="s">
        <v>297</v>
      </c>
      <c r="B106" s="17" t="s">
        <v>298</v>
      </c>
      <c r="C106" s="13" t="s">
        <v>299</v>
      </c>
      <c r="D106" s="13" t="s">
        <v>61</v>
      </c>
      <c r="E106" s="29">
        <v>200</v>
      </c>
      <c r="F106" s="19">
        <v>1942.78</v>
      </c>
      <c r="G106" s="30">
        <v>2.5999999999999999E-3</v>
      </c>
      <c r="H106" s="31">
        <v>7.9884999999999998E-2</v>
      </c>
      <c r="I106" s="32"/>
      <c r="J106" s="3"/>
    </row>
    <row r="107" spans="1:10" ht="12.95" customHeight="1">
      <c r="A107" s="16" t="s">
        <v>300</v>
      </c>
      <c r="B107" s="17" t="s">
        <v>301</v>
      </c>
      <c r="C107" s="13" t="s">
        <v>302</v>
      </c>
      <c r="D107" s="13" t="s">
        <v>61</v>
      </c>
      <c r="E107" s="29">
        <v>1550</v>
      </c>
      <c r="F107" s="19">
        <v>1563.2804000000001</v>
      </c>
      <c r="G107" s="30">
        <v>2.0999999999999999E-3</v>
      </c>
      <c r="H107" s="31">
        <v>7.9891000000000004E-2</v>
      </c>
      <c r="I107" s="32"/>
      <c r="J107" s="3"/>
    </row>
    <row r="108" spans="1:10" ht="12.95" customHeight="1">
      <c r="A108" s="16" t="s">
        <v>303</v>
      </c>
      <c r="B108" s="17" t="s">
        <v>304</v>
      </c>
      <c r="C108" s="13" t="s">
        <v>305</v>
      </c>
      <c r="D108" s="13" t="s">
        <v>61</v>
      </c>
      <c r="E108" s="29">
        <v>150</v>
      </c>
      <c r="F108" s="19">
        <v>1500.1125</v>
      </c>
      <c r="G108" s="30">
        <v>2E-3</v>
      </c>
      <c r="H108" s="31">
        <v>7.0499999999999993E-2</v>
      </c>
      <c r="I108" s="32"/>
      <c r="J108" s="3"/>
    </row>
    <row r="109" spans="1:10" ht="12.95" customHeight="1">
      <c r="A109" s="16" t="s">
        <v>306</v>
      </c>
      <c r="B109" s="17" t="s">
        <v>307</v>
      </c>
      <c r="C109" s="13" t="s">
        <v>308</v>
      </c>
      <c r="D109" s="13" t="s">
        <v>61</v>
      </c>
      <c r="E109" s="29">
        <v>150</v>
      </c>
      <c r="F109" s="19">
        <v>1496.6489999999999</v>
      </c>
      <c r="G109" s="30">
        <v>2E-3</v>
      </c>
      <c r="H109" s="31">
        <v>7.7799999999999994E-2</v>
      </c>
      <c r="I109" s="32"/>
      <c r="J109" s="3"/>
    </row>
    <row r="110" spans="1:10" ht="12.95" customHeight="1">
      <c r="A110" s="16" t="s">
        <v>309</v>
      </c>
      <c r="B110" s="17" t="s">
        <v>310</v>
      </c>
      <c r="C110" s="13" t="s">
        <v>311</v>
      </c>
      <c r="D110" s="13" t="s">
        <v>61</v>
      </c>
      <c r="E110" s="29">
        <v>149</v>
      </c>
      <c r="F110" s="19">
        <v>1461.2564</v>
      </c>
      <c r="G110" s="30">
        <v>2E-3</v>
      </c>
      <c r="H110" s="31">
        <v>7.4999999999999997E-2</v>
      </c>
      <c r="I110" s="32"/>
      <c r="J110" s="3"/>
    </row>
    <row r="111" spans="1:10" ht="12.95" customHeight="1">
      <c r="A111" s="16" t="s">
        <v>312</v>
      </c>
      <c r="B111" s="17" t="s">
        <v>313</v>
      </c>
      <c r="C111" s="13" t="s">
        <v>314</v>
      </c>
      <c r="D111" s="13" t="s">
        <v>61</v>
      </c>
      <c r="E111" s="29">
        <v>140</v>
      </c>
      <c r="F111" s="19">
        <v>1416.9875999999999</v>
      </c>
      <c r="G111" s="30">
        <v>1.9E-3</v>
      </c>
      <c r="H111" s="31">
        <v>7.4999999999999997E-2</v>
      </c>
      <c r="I111" s="32"/>
      <c r="J111" s="3"/>
    </row>
    <row r="112" spans="1:10" ht="12.95" customHeight="1">
      <c r="A112" s="16" t="s">
        <v>315</v>
      </c>
      <c r="B112" s="17" t="s">
        <v>316</v>
      </c>
      <c r="C112" s="13" t="s">
        <v>317</v>
      </c>
      <c r="D112" s="13" t="s">
        <v>57</v>
      </c>
      <c r="E112" s="29">
        <v>2040000</v>
      </c>
      <c r="F112" s="19">
        <v>1341.5958000000001</v>
      </c>
      <c r="G112" s="30">
        <v>1.8E-3</v>
      </c>
      <c r="H112" s="31">
        <v>7.3979000000000003E-2</v>
      </c>
      <c r="I112" s="32"/>
      <c r="J112" s="3"/>
    </row>
    <row r="113" spans="1:10" ht="12.95" customHeight="1">
      <c r="A113" s="16" t="s">
        <v>318</v>
      </c>
      <c r="B113" s="17" t="s">
        <v>319</v>
      </c>
      <c r="C113" s="13" t="s">
        <v>320</v>
      </c>
      <c r="D113" s="13" t="s">
        <v>57</v>
      </c>
      <c r="E113" s="29">
        <v>1690000</v>
      </c>
      <c r="F113" s="19">
        <v>1264.8856000000001</v>
      </c>
      <c r="G113" s="30">
        <v>1.6999999999999999E-3</v>
      </c>
      <c r="H113" s="31">
        <v>7.4009000000000005E-2</v>
      </c>
      <c r="I113" s="32"/>
      <c r="J113" s="3"/>
    </row>
    <row r="114" spans="1:10" ht="12.95" customHeight="1">
      <c r="A114" s="16" t="s">
        <v>321</v>
      </c>
      <c r="B114" s="17" t="s">
        <v>322</v>
      </c>
      <c r="C114" s="13" t="s">
        <v>323</v>
      </c>
      <c r="D114" s="13" t="s">
        <v>61</v>
      </c>
      <c r="E114" s="29">
        <v>100</v>
      </c>
      <c r="F114" s="19">
        <v>1079.2349999999999</v>
      </c>
      <c r="G114" s="30">
        <v>1.4E-3</v>
      </c>
      <c r="H114" s="31">
        <v>7.8423000000000007E-2</v>
      </c>
      <c r="I114" s="32"/>
      <c r="J114" s="3"/>
    </row>
    <row r="115" spans="1:10" ht="12.95" customHeight="1">
      <c r="A115" s="16" t="s">
        <v>324</v>
      </c>
      <c r="B115" s="17" t="s">
        <v>325</v>
      </c>
      <c r="C115" s="13" t="s">
        <v>326</v>
      </c>
      <c r="D115" s="13" t="s">
        <v>61</v>
      </c>
      <c r="E115" s="29">
        <v>1000</v>
      </c>
      <c r="F115" s="19">
        <v>1001.724</v>
      </c>
      <c r="G115" s="30">
        <v>1.2999999999999999E-3</v>
      </c>
      <c r="H115" s="31">
        <v>7.485E-2</v>
      </c>
      <c r="I115" s="32"/>
      <c r="J115" s="3"/>
    </row>
    <row r="116" spans="1:10" ht="12.95" customHeight="1">
      <c r="A116" s="16" t="s">
        <v>327</v>
      </c>
      <c r="B116" s="17" t="s">
        <v>328</v>
      </c>
      <c r="C116" s="13" t="s">
        <v>329</v>
      </c>
      <c r="D116" s="13" t="s">
        <v>61</v>
      </c>
      <c r="E116" s="29">
        <v>100</v>
      </c>
      <c r="F116" s="19">
        <v>998.51099999999997</v>
      </c>
      <c r="G116" s="30">
        <v>1.2999999999999999E-3</v>
      </c>
      <c r="H116" s="31">
        <v>7.3300000000000004E-2</v>
      </c>
      <c r="I116" s="32"/>
      <c r="J116" s="3"/>
    </row>
    <row r="117" spans="1:10" ht="12.95" customHeight="1">
      <c r="A117" s="16" t="s">
        <v>330</v>
      </c>
      <c r="B117" s="17" t="s">
        <v>331</v>
      </c>
      <c r="C117" s="13" t="s">
        <v>332</v>
      </c>
      <c r="D117" s="13" t="s">
        <v>61</v>
      </c>
      <c r="E117" s="29">
        <v>100</v>
      </c>
      <c r="F117" s="19">
        <v>966.34100000000001</v>
      </c>
      <c r="G117" s="30">
        <v>1.2999999999999999E-3</v>
      </c>
      <c r="H117" s="31">
        <v>6.8473500000000007E-2</v>
      </c>
      <c r="I117" s="32">
        <v>8.0029574000000006E-2</v>
      </c>
      <c r="J117" s="3"/>
    </row>
    <row r="118" spans="1:10" ht="12.95" customHeight="1">
      <c r="A118" s="16" t="s">
        <v>333</v>
      </c>
      <c r="B118" s="17" t="s">
        <v>334</v>
      </c>
      <c r="C118" s="13" t="s">
        <v>335</v>
      </c>
      <c r="D118" s="13" t="s">
        <v>61</v>
      </c>
      <c r="E118" s="29">
        <v>100</v>
      </c>
      <c r="F118" s="19">
        <v>962.66700000000003</v>
      </c>
      <c r="G118" s="30">
        <v>1.2999999999999999E-3</v>
      </c>
      <c r="H118" s="31">
        <v>7.4899999999999994E-2</v>
      </c>
      <c r="I118" s="32"/>
      <c r="J118" s="3"/>
    </row>
    <row r="119" spans="1:10" ht="12.95" customHeight="1">
      <c r="A119" s="16" t="s">
        <v>336</v>
      </c>
      <c r="B119" s="17" t="s">
        <v>337</v>
      </c>
      <c r="C119" s="13" t="s">
        <v>338</v>
      </c>
      <c r="D119" s="13" t="s">
        <v>57</v>
      </c>
      <c r="E119" s="29">
        <v>1000000</v>
      </c>
      <c r="F119" s="19">
        <v>952.48699999999997</v>
      </c>
      <c r="G119" s="30">
        <v>1.2999999999999999E-3</v>
      </c>
      <c r="H119" s="31">
        <v>7.5673000000000004E-2</v>
      </c>
      <c r="I119" s="32"/>
      <c r="J119" s="3"/>
    </row>
    <row r="120" spans="1:10" ht="12.95" customHeight="1">
      <c r="A120" s="16" t="s">
        <v>339</v>
      </c>
      <c r="B120" s="17" t="s">
        <v>340</v>
      </c>
      <c r="C120" s="13" t="s">
        <v>341</v>
      </c>
      <c r="D120" s="13" t="s">
        <v>61</v>
      </c>
      <c r="E120" s="29">
        <v>100</v>
      </c>
      <c r="F120" s="19">
        <v>889.27099999999996</v>
      </c>
      <c r="G120" s="30">
        <v>1.1999999999999999E-3</v>
      </c>
      <c r="H120" s="31">
        <v>8.4561999999999998E-2</v>
      </c>
      <c r="I120" s="32"/>
      <c r="J120" s="3"/>
    </row>
    <row r="121" spans="1:10" ht="12.95" customHeight="1">
      <c r="A121" s="16" t="s">
        <v>342</v>
      </c>
      <c r="B121" s="17" t="s">
        <v>343</v>
      </c>
      <c r="C121" s="13" t="s">
        <v>344</v>
      </c>
      <c r="D121" s="13" t="s">
        <v>61</v>
      </c>
      <c r="E121" s="29">
        <v>70</v>
      </c>
      <c r="F121" s="19">
        <v>710.26409999999998</v>
      </c>
      <c r="G121" s="30">
        <v>8.9999999999999998E-4</v>
      </c>
      <c r="H121" s="31">
        <v>7.4450000000000002E-2</v>
      </c>
      <c r="I121" s="32"/>
      <c r="J121" s="3"/>
    </row>
    <row r="122" spans="1:10" ht="12.95" customHeight="1">
      <c r="A122" s="16" t="s">
        <v>345</v>
      </c>
      <c r="B122" s="17" t="s">
        <v>346</v>
      </c>
      <c r="C122" s="13" t="s">
        <v>347</v>
      </c>
      <c r="D122" s="13" t="s">
        <v>61</v>
      </c>
      <c r="E122" s="29">
        <v>69</v>
      </c>
      <c r="F122" s="19">
        <v>665.52020000000005</v>
      </c>
      <c r="G122" s="30">
        <v>8.9999999999999998E-4</v>
      </c>
      <c r="H122" s="31">
        <v>7.5050000000000006E-2</v>
      </c>
      <c r="I122" s="32"/>
      <c r="J122" s="3"/>
    </row>
    <row r="123" spans="1:10" ht="12.95" customHeight="1">
      <c r="A123" s="16" t="s">
        <v>348</v>
      </c>
      <c r="B123" s="17" t="s">
        <v>349</v>
      </c>
      <c r="C123" s="13" t="s">
        <v>350</v>
      </c>
      <c r="D123" s="13" t="s">
        <v>61</v>
      </c>
      <c r="E123" s="29">
        <v>69</v>
      </c>
      <c r="F123" s="19">
        <v>663.34389999999996</v>
      </c>
      <c r="G123" s="30">
        <v>8.9999999999999998E-4</v>
      </c>
      <c r="H123" s="31">
        <v>7.4349999999999999E-2</v>
      </c>
      <c r="I123" s="32"/>
      <c r="J123" s="3"/>
    </row>
    <row r="124" spans="1:10" ht="12.95" customHeight="1">
      <c r="A124" s="16" t="s">
        <v>351</v>
      </c>
      <c r="B124" s="17" t="s">
        <v>352</v>
      </c>
      <c r="C124" s="13" t="s">
        <v>353</v>
      </c>
      <c r="D124" s="13" t="s">
        <v>57</v>
      </c>
      <c r="E124" s="29">
        <v>500000</v>
      </c>
      <c r="F124" s="19">
        <v>555.57849999999996</v>
      </c>
      <c r="G124" s="30">
        <v>6.9999999999999999E-4</v>
      </c>
      <c r="H124" s="31">
        <v>7.3136000000000007E-2</v>
      </c>
      <c r="I124" s="32"/>
      <c r="J124" s="3"/>
    </row>
    <row r="125" spans="1:10" ht="12.95" customHeight="1">
      <c r="A125" s="16" t="s">
        <v>354</v>
      </c>
      <c r="B125" s="17" t="s">
        <v>355</v>
      </c>
      <c r="C125" s="13" t="s">
        <v>356</v>
      </c>
      <c r="D125" s="13" t="s">
        <v>57</v>
      </c>
      <c r="E125" s="29">
        <v>525000</v>
      </c>
      <c r="F125" s="19">
        <v>528.12530000000004</v>
      </c>
      <c r="G125" s="30">
        <v>6.9999999999999999E-4</v>
      </c>
      <c r="H125" s="31">
        <v>6.7751000000000006E-2</v>
      </c>
      <c r="I125" s="32"/>
      <c r="J125" s="3"/>
    </row>
    <row r="126" spans="1:10" ht="12.95" customHeight="1">
      <c r="A126" s="16" t="s">
        <v>357</v>
      </c>
      <c r="B126" s="17" t="s">
        <v>358</v>
      </c>
      <c r="C126" s="13" t="s">
        <v>359</v>
      </c>
      <c r="D126" s="13" t="s">
        <v>61</v>
      </c>
      <c r="E126" s="29">
        <v>50</v>
      </c>
      <c r="F126" s="19">
        <v>517.00049999999999</v>
      </c>
      <c r="G126" s="30">
        <v>6.9999999999999999E-4</v>
      </c>
      <c r="H126" s="31">
        <v>7.5727000000000003E-2</v>
      </c>
      <c r="I126" s="32"/>
      <c r="J126" s="3"/>
    </row>
    <row r="127" spans="1:10" ht="12.95" customHeight="1">
      <c r="A127" s="16" t="s">
        <v>360</v>
      </c>
      <c r="B127" s="17" t="s">
        <v>361</v>
      </c>
      <c r="C127" s="13" t="s">
        <v>362</v>
      </c>
      <c r="D127" s="13" t="s">
        <v>57</v>
      </c>
      <c r="E127" s="29">
        <v>500000</v>
      </c>
      <c r="F127" s="19">
        <v>514.93200000000002</v>
      </c>
      <c r="G127" s="30">
        <v>6.9999999999999999E-4</v>
      </c>
      <c r="H127" s="31">
        <v>7.4819999999999998E-2</v>
      </c>
      <c r="I127" s="32"/>
      <c r="J127" s="3"/>
    </row>
    <row r="128" spans="1:10" ht="12.95" customHeight="1">
      <c r="A128" s="16" t="s">
        <v>363</v>
      </c>
      <c r="B128" s="17" t="s">
        <v>364</v>
      </c>
      <c r="C128" s="13" t="s">
        <v>365</v>
      </c>
      <c r="D128" s="13" t="s">
        <v>61</v>
      </c>
      <c r="E128" s="29">
        <v>50</v>
      </c>
      <c r="F128" s="19">
        <v>513.96699999999998</v>
      </c>
      <c r="G128" s="30">
        <v>6.9999999999999999E-4</v>
      </c>
      <c r="H128" s="31">
        <v>7.7700000000000005E-2</v>
      </c>
      <c r="I128" s="32"/>
      <c r="J128" s="3"/>
    </row>
    <row r="129" spans="1:10" ht="12.95" customHeight="1">
      <c r="A129" s="16" t="s">
        <v>366</v>
      </c>
      <c r="B129" s="17" t="s">
        <v>367</v>
      </c>
      <c r="C129" s="13" t="s">
        <v>368</v>
      </c>
      <c r="D129" s="13" t="s">
        <v>57</v>
      </c>
      <c r="E129" s="29">
        <v>500000</v>
      </c>
      <c r="F129" s="19">
        <v>511.815</v>
      </c>
      <c r="G129" s="30">
        <v>6.9999999999999999E-4</v>
      </c>
      <c r="H129" s="31">
        <v>7.4677999999999994E-2</v>
      </c>
      <c r="I129" s="32"/>
      <c r="J129" s="3"/>
    </row>
    <row r="130" spans="1:10" ht="12.95" customHeight="1">
      <c r="A130" s="16" t="s">
        <v>369</v>
      </c>
      <c r="B130" s="17" t="s">
        <v>370</v>
      </c>
      <c r="C130" s="13" t="s">
        <v>371</v>
      </c>
      <c r="D130" s="13" t="s">
        <v>61</v>
      </c>
      <c r="E130" s="29">
        <v>50</v>
      </c>
      <c r="F130" s="19">
        <v>507.928</v>
      </c>
      <c r="G130" s="30">
        <v>6.9999999999999999E-4</v>
      </c>
      <c r="H130" s="31">
        <v>7.4099999999999999E-2</v>
      </c>
      <c r="I130" s="32"/>
      <c r="J130" s="3"/>
    </row>
    <row r="131" spans="1:10" ht="12.95" customHeight="1">
      <c r="A131" s="16" t="s">
        <v>372</v>
      </c>
      <c r="B131" s="17" t="s">
        <v>373</v>
      </c>
      <c r="C131" s="13" t="s">
        <v>374</v>
      </c>
      <c r="D131" s="13" t="s">
        <v>57</v>
      </c>
      <c r="E131" s="29">
        <v>500000</v>
      </c>
      <c r="F131" s="19">
        <v>506.94150000000002</v>
      </c>
      <c r="G131" s="30">
        <v>6.9999999999999999E-4</v>
      </c>
      <c r="H131" s="31">
        <v>7.4104000000000003E-2</v>
      </c>
      <c r="I131" s="32"/>
      <c r="J131" s="3"/>
    </row>
    <row r="132" spans="1:10" ht="12.95" customHeight="1">
      <c r="A132" s="16" t="s">
        <v>375</v>
      </c>
      <c r="B132" s="17" t="s">
        <v>376</v>
      </c>
      <c r="C132" s="13" t="s">
        <v>377</v>
      </c>
      <c r="D132" s="13" t="s">
        <v>61</v>
      </c>
      <c r="E132" s="29">
        <v>50</v>
      </c>
      <c r="F132" s="19">
        <v>505.58949999999999</v>
      </c>
      <c r="G132" s="30">
        <v>6.9999999999999999E-4</v>
      </c>
      <c r="H132" s="31">
        <v>7.7450000000000005E-2</v>
      </c>
      <c r="I132" s="32"/>
      <c r="J132" s="3"/>
    </row>
    <row r="133" spans="1:10" ht="12.95" customHeight="1">
      <c r="A133" s="16" t="s">
        <v>378</v>
      </c>
      <c r="B133" s="17" t="s">
        <v>379</v>
      </c>
      <c r="C133" s="13" t="s">
        <v>380</v>
      </c>
      <c r="D133" s="13" t="s">
        <v>61</v>
      </c>
      <c r="E133" s="29">
        <v>50</v>
      </c>
      <c r="F133" s="19">
        <v>505.46</v>
      </c>
      <c r="G133" s="30">
        <v>6.9999999999999999E-4</v>
      </c>
      <c r="H133" s="31">
        <v>7.6799999999999993E-2</v>
      </c>
      <c r="I133" s="32"/>
      <c r="J133" s="3"/>
    </row>
    <row r="134" spans="1:10" ht="12.95" customHeight="1">
      <c r="A134" s="16" t="s">
        <v>381</v>
      </c>
      <c r="B134" s="17" t="s">
        <v>382</v>
      </c>
      <c r="C134" s="13" t="s">
        <v>383</v>
      </c>
      <c r="D134" s="13" t="s">
        <v>57</v>
      </c>
      <c r="E134" s="29">
        <v>500000</v>
      </c>
      <c r="F134" s="19">
        <v>501.05</v>
      </c>
      <c r="G134" s="30">
        <v>6.9999999999999999E-4</v>
      </c>
      <c r="H134" s="31">
        <v>6.8536E-2</v>
      </c>
      <c r="I134" s="32"/>
      <c r="J134" s="3"/>
    </row>
    <row r="135" spans="1:10" ht="12.95" customHeight="1">
      <c r="A135" s="16" t="s">
        <v>384</v>
      </c>
      <c r="B135" s="17" t="s">
        <v>385</v>
      </c>
      <c r="C135" s="13" t="s">
        <v>386</v>
      </c>
      <c r="D135" s="13" t="s">
        <v>57</v>
      </c>
      <c r="E135" s="29">
        <v>500000</v>
      </c>
      <c r="F135" s="19">
        <v>498.03800000000001</v>
      </c>
      <c r="G135" s="30">
        <v>6.9999999999999999E-4</v>
      </c>
      <c r="H135" s="31">
        <v>7.2842000000000004E-2</v>
      </c>
      <c r="I135" s="32"/>
      <c r="J135" s="3"/>
    </row>
    <row r="136" spans="1:10" ht="12.95" customHeight="1">
      <c r="A136" s="16" t="s">
        <v>387</v>
      </c>
      <c r="B136" s="17" t="s">
        <v>388</v>
      </c>
      <c r="C136" s="13" t="s">
        <v>389</v>
      </c>
      <c r="D136" s="13" t="s">
        <v>57</v>
      </c>
      <c r="E136" s="29">
        <v>500000</v>
      </c>
      <c r="F136" s="19">
        <v>497.80650000000003</v>
      </c>
      <c r="G136" s="30">
        <v>6.9999999999999999E-4</v>
      </c>
      <c r="H136" s="31">
        <v>7.4612999999999999E-2</v>
      </c>
      <c r="I136" s="32"/>
      <c r="J136" s="3"/>
    </row>
    <row r="137" spans="1:10" ht="12.95" customHeight="1">
      <c r="A137" s="16" t="s">
        <v>390</v>
      </c>
      <c r="B137" s="17" t="s">
        <v>391</v>
      </c>
      <c r="C137" s="13" t="s">
        <v>392</v>
      </c>
      <c r="D137" s="13" t="s">
        <v>61</v>
      </c>
      <c r="E137" s="29">
        <v>50</v>
      </c>
      <c r="F137" s="19">
        <v>497.10500000000002</v>
      </c>
      <c r="G137" s="30">
        <v>6.9999999999999999E-4</v>
      </c>
      <c r="H137" s="31">
        <v>7.4999999999999997E-2</v>
      </c>
      <c r="I137" s="32"/>
      <c r="J137" s="3"/>
    </row>
    <row r="138" spans="1:10" ht="12.95" customHeight="1">
      <c r="A138" s="16" t="s">
        <v>393</v>
      </c>
      <c r="B138" s="17" t="s">
        <v>394</v>
      </c>
      <c r="C138" s="13" t="s">
        <v>395</v>
      </c>
      <c r="D138" s="13" t="s">
        <v>81</v>
      </c>
      <c r="E138" s="29">
        <v>50</v>
      </c>
      <c r="F138" s="19">
        <v>496.20749999999998</v>
      </c>
      <c r="G138" s="30">
        <v>6.9999999999999999E-4</v>
      </c>
      <c r="H138" s="31">
        <v>7.5749999999999998E-2</v>
      </c>
      <c r="I138" s="32"/>
      <c r="J138" s="3"/>
    </row>
    <row r="139" spans="1:10" ht="12.95" customHeight="1">
      <c r="A139" s="16" t="s">
        <v>396</v>
      </c>
      <c r="B139" s="17" t="s">
        <v>397</v>
      </c>
      <c r="C139" s="13" t="s">
        <v>398</v>
      </c>
      <c r="D139" s="13" t="s">
        <v>57</v>
      </c>
      <c r="E139" s="29">
        <v>500000</v>
      </c>
      <c r="F139" s="19">
        <v>480.05349999999999</v>
      </c>
      <c r="G139" s="30">
        <v>5.9999999999999995E-4</v>
      </c>
      <c r="H139" s="31">
        <v>7.5546000000000002E-2</v>
      </c>
      <c r="I139" s="32"/>
      <c r="J139" s="3"/>
    </row>
    <row r="140" spans="1:10" ht="12.95" customHeight="1">
      <c r="A140" s="16" t="s">
        <v>399</v>
      </c>
      <c r="B140" s="17" t="s">
        <v>400</v>
      </c>
      <c r="C140" s="13" t="s">
        <v>401</v>
      </c>
      <c r="D140" s="13" t="s">
        <v>61</v>
      </c>
      <c r="E140" s="29">
        <v>50</v>
      </c>
      <c r="F140" s="19">
        <v>478.38150000000002</v>
      </c>
      <c r="G140" s="30">
        <v>5.9999999999999995E-4</v>
      </c>
      <c r="H140" s="31">
        <v>6.9334000000000007E-2</v>
      </c>
      <c r="I140" s="32">
        <v>8.1686750000000002E-2</v>
      </c>
      <c r="J140" s="3"/>
    </row>
    <row r="141" spans="1:10" ht="12.95" customHeight="1">
      <c r="A141" s="16" t="s">
        <v>402</v>
      </c>
      <c r="B141" s="17" t="s">
        <v>403</v>
      </c>
      <c r="C141" s="13" t="s">
        <v>404</v>
      </c>
      <c r="D141" s="13" t="s">
        <v>61</v>
      </c>
      <c r="E141" s="29">
        <v>47</v>
      </c>
      <c r="F141" s="19">
        <v>475.15120000000002</v>
      </c>
      <c r="G141" s="30">
        <v>5.9999999999999995E-4</v>
      </c>
      <c r="H141" s="31">
        <v>7.4450000000000002E-2</v>
      </c>
      <c r="I141" s="32"/>
      <c r="J141" s="3"/>
    </row>
    <row r="142" spans="1:10" ht="12.95" customHeight="1">
      <c r="A142" s="16" t="s">
        <v>405</v>
      </c>
      <c r="B142" s="17" t="s">
        <v>406</v>
      </c>
      <c r="C142" s="13" t="s">
        <v>407</v>
      </c>
      <c r="D142" s="13" t="s">
        <v>57</v>
      </c>
      <c r="E142" s="29">
        <v>455600</v>
      </c>
      <c r="F142" s="19">
        <v>460.37470000000002</v>
      </c>
      <c r="G142" s="30">
        <v>5.9999999999999995E-4</v>
      </c>
      <c r="H142" s="31">
        <v>7.2388999999999995E-2</v>
      </c>
      <c r="I142" s="32"/>
      <c r="J142" s="3"/>
    </row>
    <row r="143" spans="1:10" ht="12.95" customHeight="1">
      <c r="A143" s="16" t="s">
        <v>408</v>
      </c>
      <c r="B143" s="17" t="s">
        <v>409</v>
      </c>
      <c r="C143" s="13" t="s">
        <v>410</v>
      </c>
      <c r="D143" s="13" t="s">
        <v>57</v>
      </c>
      <c r="E143" s="29">
        <v>452300</v>
      </c>
      <c r="F143" s="19">
        <v>431.97820000000002</v>
      </c>
      <c r="G143" s="30">
        <v>5.9999999999999995E-4</v>
      </c>
      <c r="H143" s="31">
        <v>7.3544999999999999E-2</v>
      </c>
      <c r="I143" s="32"/>
      <c r="J143" s="3"/>
    </row>
    <row r="144" spans="1:10" ht="12.95" customHeight="1">
      <c r="A144" s="16" t="s">
        <v>411</v>
      </c>
      <c r="B144" s="17" t="s">
        <v>412</v>
      </c>
      <c r="C144" s="13" t="s">
        <v>413</v>
      </c>
      <c r="D144" s="13" t="s">
        <v>57</v>
      </c>
      <c r="E144" s="29">
        <v>410900</v>
      </c>
      <c r="F144" s="19">
        <v>392.18560000000002</v>
      </c>
      <c r="G144" s="30">
        <v>5.0000000000000001E-4</v>
      </c>
      <c r="H144" s="31">
        <v>7.3463000000000001E-2</v>
      </c>
      <c r="I144" s="32"/>
      <c r="J144" s="3"/>
    </row>
    <row r="145" spans="1:10" ht="12.95" customHeight="1">
      <c r="A145" s="16" t="s">
        <v>414</v>
      </c>
      <c r="B145" s="17" t="s">
        <v>415</v>
      </c>
      <c r="C145" s="13" t="s">
        <v>416</v>
      </c>
      <c r="D145" s="13" t="s">
        <v>61</v>
      </c>
      <c r="E145" s="29">
        <v>40</v>
      </c>
      <c r="F145" s="19">
        <v>384.51679999999999</v>
      </c>
      <c r="G145" s="30">
        <v>5.0000000000000001E-4</v>
      </c>
      <c r="H145" s="31">
        <v>7.3999999999999996E-2</v>
      </c>
      <c r="I145" s="32"/>
      <c r="J145" s="3"/>
    </row>
    <row r="146" spans="1:10" ht="12.95" customHeight="1">
      <c r="A146" s="16" t="s">
        <v>417</v>
      </c>
      <c r="B146" s="17" t="s">
        <v>418</v>
      </c>
      <c r="C146" s="13" t="s">
        <v>419</v>
      </c>
      <c r="D146" s="13" t="s">
        <v>57</v>
      </c>
      <c r="E146" s="29">
        <v>350900</v>
      </c>
      <c r="F146" s="19">
        <v>358.11130000000003</v>
      </c>
      <c r="G146" s="30">
        <v>5.0000000000000001E-4</v>
      </c>
      <c r="H146" s="31">
        <v>7.5106999999999993E-2</v>
      </c>
      <c r="I146" s="32"/>
      <c r="J146" s="3"/>
    </row>
    <row r="147" spans="1:10" ht="12.95" customHeight="1">
      <c r="A147" s="16" t="s">
        <v>420</v>
      </c>
      <c r="B147" s="17" t="s">
        <v>421</v>
      </c>
      <c r="C147" s="13" t="s">
        <v>422</v>
      </c>
      <c r="D147" s="13" t="s">
        <v>57</v>
      </c>
      <c r="E147" s="29">
        <v>300000</v>
      </c>
      <c r="F147" s="19">
        <v>301.83929999999998</v>
      </c>
      <c r="G147" s="30">
        <v>4.0000000000000002E-4</v>
      </c>
      <c r="H147" s="31">
        <v>7.4851000000000001E-2</v>
      </c>
      <c r="I147" s="32"/>
      <c r="J147" s="3"/>
    </row>
    <row r="148" spans="1:10" ht="12.95" customHeight="1">
      <c r="A148" s="16" t="s">
        <v>423</v>
      </c>
      <c r="B148" s="17" t="s">
        <v>424</v>
      </c>
      <c r="C148" s="13" t="s">
        <v>425</v>
      </c>
      <c r="D148" s="13" t="s">
        <v>61</v>
      </c>
      <c r="E148" s="29">
        <v>30</v>
      </c>
      <c r="F148" s="19">
        <v>295.57889999999998</v>
      </c>
      <c r="G148" s="30">
        <v>4.0000000000000002E-4</v>
      </c>
      <c r="H148" s="31">
        <v>7.3649999999999993E-2</v>
      </c>
      <c r="I148" s="32"/>
      <c r="J148" s="3"/>
    </row>
    <row r="149" spans="1:10" ht="12.95" customHeight="1">
      <c r="A149" s="16" t="s">
        <v>426</v>
      </c>
      <c r="B149" s="17" t="s">
        <v>427</v>
      </c>
      <c r="C149" s="13" t="s">
        <v>428</v>
      </c>
      <c r="D149" s="13" t="s">
        <v>57</v>
      </c>
      <c r="E149" s="29">
        <v>300000</v>
      </c>
      <c r="F149" s="19">
        <v>292.4547</v>
      </c>
      <c r="G149" s="30">
        <v>4.0000000000000002E-4</v>
      </c>
      <c r="H149" s="31">
        <v>7.4384000000000006E-2</v>
      </c>
      <c r="I149" s="32"/>
      <c r="J149" s="3"/>
    </row>
    <row r="150" spans="1:10" ht="12.95" customHeight="1">
      <c r="A150" s="16" t="s">
        <v>429</v>
      </c>
      <c r="B150" s="17" t="s">
        <v>430</v>
      </c>
      <c r="C150" s="13" t="s">
        <v>431</v>
      </c>
      <c r="D150" s="13" t="s">
        <v>57</v>
      </c>
      <c r="E150" s="29">
        <v>247200</v>
      </c>
      <c r="F150" s="19">
        <v>241.93219999999999</v>
      </c>
      <c r="G150" s="30">
        <v>2.9999999999999997E-4</v>
      </c>
      <c r="H150" s="31">
        <v>7.3682999999999998E-2</v>
      </c>
      <c r="I150" s="32"/>
      <c r="J150" s="3"/>
    </row>
    <row r="151" spans="1:10" ht="12.95" customHeight="1">
      <c r="A151" s="16" t="s">
        <v>432</v>
      </c>
      <c r="B151" s="17" t="s">
        <v>433</v>
      </c>
      <c r="C151" s="13" t="s">
        <v>434</v>
      </c>
      <c r="D151" s="13" t="s">
        <v>57</v>
      </c>
      <c r="E151" s="29">
        <v>244400</v>
      </c>
      <c r="F151" s="19">
        <v>239.99440000000001</v>
      </c>
      <c r="G151" s="30">
        <v>2.9999999999999997E-4</v>
      </c>
      <c r="H151" s="31">
        <v>7.5955999999999996E-2</v>
      </c>
      <c r="I151" s="32"/>
      <c r="J151" s="3"/>
    </row>
    <row r="152" spans="1:10" ht="12.95" customHeight="1">
      <c r="A152" s="16" t="s">
        <v>435</v>
      </c>
      <c r="B152" s="17" t="s">
        <v>436</v>
      </c>
      <c r="C152" s="13" t="s">
        <v>437</v>
      </c>
      <c r="D152" s="13" t="s">
        <v>57</v>
      </c>
      <c r="E152" s="29">
        <v>219200</v>
      </c>
      <c r="F152" s="19">
        <v>219.8357</v>
      </c>
      <c r="G152" s="30">
        <v>2.9999999999999997E-4</v>
      </c>
      <c r="H152" s="31">
        <v>6.8072999999999995E-2</v>
      </c>
      <c r="I152" s="32"/>
      <c r="J152" s="3"/>
    </row>
    <row r="153" spans="1:10" ht="12.95" customHeight="1">
      <c r="A153" s="16" t="s">
        <v>438</v>
      </c>
      <c r="B153" s="17" t="s">
        <v>439</v>
      </c>
      <c r="C153" s="13" t="s">
        <v>440</v>
      </c>
      <c r="D153" s="13" t="s">
        <v>57</v>
      </c>
      <c r="E153" s="29">
        <v>210000</v>
      </c>
      <c r="F153" s="19">
        <v>216.0377</v>
      </c>
      <c r="G153" s="30">
        <v>2.9999999999999997E-4</v>
      </c>
      <c r="H153" s="31">
        <v>7.2824E-2</v>
      </c>
      <c r="I153" s="32"/>
      <c r="J153" s="3"/>
    </row>
    <row r="154" spans="1:10" ht="12.95" customHeight="1">
      <c r="A154" s="16" t="s">
        <v>441</v>
      </c>
      <c r="B154" s="17" t="s">
        <v>442</v>
      </c>
      <c r="C154" s="13" t="s">
        <v>443</v>
      </c>
      <c r="D154" s="13" t="s">
        <v>61</v>
      </c>
      <c r="E154" s="29">
        <v>20</v>
      </c>
      <c r="F154" s="19">
        <v>206.96340000000001</v>
      </c>
      <c r="G154" s="30">
        <v>2.9999999999999997E-4</v>
      </c>
      <c r="H154" s="31">
        <v>7.7499999999999999E-2</v>
      </c>
      <c r="I154" s="32"/>
      <c r="J154" s="3"/>
    </row>
    <row r="155" spans="1:10" ht="12.95" customHeight="1">
      <c r="A155" s="16" t="s">
        <v>444</v>
      </c>
      <c r="B155" s="17" t="s">
        <v>445</v>
      </c>
      <c r="C155" s="13" t="s">
        <v>446</v>
      </c>
      <c r="D155" s="13" t="s">
        <v>57</v>
      </c>
      <c r="E155" s="29">
        <v>200000</v>
      </c>
      <c r="F155" s="19">
        <v>201.0772</v>
      </c>
      <c r="G155" s="30">
        <v>2.9999999999999997E-4</v>
      </c>
      <c r="H155" s="31">
        <v>7.4961E-2</v>
      </c>
      <c r="I155" s="32"/>
      <c r="J155" s="3"/>
    </row>
    <row r="156" spans="1:10" ht="12.95" customHeight="1">
      <c r="A156" s="16" t="s">
        <v>447</v>
      </c>
      <c r="B156" s="17" t="s">
        <v>448</v>
      </c>
      <c r="C156" s="13" t="s">
        <v>449</v>
      </c>
      <c r="D156" s="13" t="s">
        <v>57</v>
      </c>
      <c r="E156" s="29">
        <v>200000</v>
      </c>
      <c r="F156" s="19">
        <v>201.0282</v>
      </c>
      <c r="G156" s="30">
        <v>2.9999999999999997E-4</v>
      </c>
      <c r="H156" s="31">
        <v>7.4935000000000002E-2</v>
      </c>
      <c r="I156" s="32"/>
      <c r="J156" s="3"/>
    </row>
    <row r="157" spans="1:10" ht="12.95" customHeight="1">
      <c r="A157" s="16" t="s">
        <v>450</v>
      </c>
      <c r="B157" s="17" t="s">
        <v>451</v>
      </c>
      <c r="C157" s="13" t="s">
        <v>452</v>
      </c>
      <c r="D157" s="13" t="s">
        <v>57</v>
      </c>
      <c r="E157" s="29">
        <v>200000</v>
      </c>
      <c r="F157" s="19">
        <v>187.02379999999999</v>
      </c>
      <c r="G157" s="30">
        <v>2.0000000000000001E-4</v>
      </c>
      <c r="H157" s="31">
        <v>7.3138999999999996E-2</v>
      </c>
      <c r="I157" s="32"/>
      <c r="J157" s="3"/>
    </row>
    <row r="158" spans="1:10" ht="12.95" customHeight="1">
      <c r="A158" s="16" t="s">
        <v>453</v>
      </c>
      <c r="B158" s="17" t="s">
        <v>454</v>
      </c>
      <c r="C158" s="13" t="s">
        <v>455</v>
      </c>
      <c r="D158" s="13" t="s">
        <v>57</v>
      </c>
      <c r="E158" s="29">
        <v>150000</v>
      </c>
      <c r="F158" s="19">
        <v>151.84440000000001</v>
      </c>
      <c r="G158" s="30">
        <v>2.0000000000000001E-4</v>
      </c>
      <c r="H158" s="31">
        <v>7.3806999999999998E-2</v>
      </c>
      <c r="I158" s="32"/>
      <c r="J158" s="3"/>
    </row>
    <row r="159" spans="1:10" ht="12.95" customHeight="1">
      <c r="A159" s="16" t="s">
        <v>456</v>
      </c>
      <c r="B159" s="17" t="s">
        <v>457</v>
      </c>
      <c r="C159" s="13" t="s">
        <v>458</v>
      </c>
      <c r="D159" s="13" t="s">
        <v>61</v>
      </c>
      <c r="E159" s="29">
        <v>10</v>
      </c>
      <c r="F159" s="19">
        <v>101.33629999999999</v>
      </c>
      <c r="G159" s="30">
        <v>1E-4</v>
      </c>
      <c r="H159" s="31">
        <v>7.4999999999999997E-2</v>
      </c>
      <c r="I159" s="32"/>
      <c r="J159" s="3"/>
    </row>
    <row r="160" spans="1:10" ht="12.95" customHeight="1">
      <c r="A160" s="16" t="s">
        <v>459</v>
      </c>
      <c r="B160" s="17" t="s">
        <v>460</v>
      </c>
      <c r="C160" s="13" t="s">
        <v>461</v>
      </c>
      <c r="D160" s="13" t="s">
        <v>462</v>
      </c>
      <c r="E160" s="29">
        <v>10</v>
      </c>
      <c r="F160" s="19">
        <v>100.40219999999999</v>
      </c>
      <c r="G160" s="30">
        <v>1E-4</v>
      </c>
      <c r="H160" s="31">
        <v>7.5450000000000003E-2</v>
      </c>
      <c r="I160" s="32"/>
      <c r="J160" s="3"/>
    </row>
    <row r="161" spans="1:10" ht="12.95" customHeight="1">
      <c r="A161" s="16" t="s">
        <v>463</v>
      </c>
      <c r="B161" s="17" t="s">
        <v>464</v>
      </c>
      <c r="C161" s="13" t="s">
        <v>465</v>
      </c>
      <c r="D161" s="13" t="s">
        <v>61</v>
      </c>
      <c r="E161" s="29">
        <v>9</v>
      </c>
      <c r="F161" s="19">
        <v>89.593900000000005</v>
      </c>
      <c r="G161" s="30">
        <v>1E-4</v>
      </c>
      <c r="H161" s="31">
        <v>7.7499999999999999E-2</v>
      </c>
      <c r="I161" s="32"/>
      <c r="J161" s="3"/>
    </row>
    <row r="162" spans="1:10" ht="12.95" customHeight="1">
      <c r="A162" s="16" t="s">
        <v>466</v>
      </c>
      <c r="B162" s="17" t="s">
        <v>467</v>
      </c>
      <c r="C162" s="13" t="s">
        <v>468</v>
      </c>
      <c r="D162" s="13" t="s">
        <v>57</v>
      </c>
      <c r="E162" s="29">
        <v>90400</v>
      </c>
      <c r="F162" s="19">
        <v>89.272199999999998</v>
      </c>
      <c r="G162" s="30">
        <v>1E-4</v>
      </c>
      <c r="H162" s="31">
        <v>7.2957999999999995E-2</v>
      </c>
      <c r="I162" s="32"/>
      <c r="J162" s="3"/>
    </row>
    <row r="163" spans="1:10" ht="12.95" customHeight="1">
      <c r="A163" s="16" t="s">
        <v>469</v>
      </c>
      <c r="B163" s="17" t="s">
        <v>470</v>
      </c>
      <c r="C163" s="13" t="s">
        <v>471</v>
      </c>
      <c r="D163" s="13" t="s">
        <v>57</v>
      </c>
      <c r="E163" s="29">
        <v>68700</v>
      </c>
      <c r="F163" s="19">
        <v>67.37</v>
      </c>
      <c r="G163" s="30">
        <v>1E-4</v>
      </c>
      <c r="H163" s="31">
        <v>7.2989999999999999E-2</v>
      </c>
      <c r="I163" s="32"/>
      <c r="J163" s="3"/>
    </row>
    <row r="164" spans="1:10" ht="12.95" customHeight="1">
      <c r="A164" s="16" t="s">
        <v>472</v>
      </c>
      <c r="B164" s="17" t="s">
        <v>473</v>
      </c>
      <c r="C164" s="13" t="s">
        <v>474</v>
      </c>
      <c r="D164" s="13" t="s">
        <v>57</v>
      </c>
      <c r="E164" s="29">
        <v>60000</v>
      </c>
      <c r="F164" s="19">
        <v>61.272199999999998</v>
      </c>
      <c r="G164" s="30">
        <v>1E-4</v>
      </c>
      <c r="H164" s="31">
        <v>7.2366E-2</v>
      </c>
      <c r="I164" s="32"/>
      <c r="J164" s="3"/>
    </row>
    <row r="165" spans="1:10" ht="12.95" customHeight="1">
      <c r="A165" s="16" t="s">
        <v>475</v>
      </c>
      <c r="B165" s="17" t="s">
        <v>476</v>
      </c>
      <c r="C165" s="13" t="s">
        <v>477</v>
      </c>
      <c r="D165" s="13" t="s">
        <v>57</v>
      </c>
      <c r="E165" s="29">
        <v>50000</v>
      </c>
      <c r="F165" s="19">
        <v>49.7941</v>
      </c>
      <c r="G165" s="30">
        <v>1E-4</v>
      </c>
      <c r="H165" s="31">
        <v>7.4855000000000005E-2</v>
      </c>
      <c r="I165" s="32"/>
      <c r="J165" s="3"/>
    </row>
    <row r="166" spans="1:10" ht="12.95" customHeight="1">
      <c r="A166" s="16" t="s">
        <v>478</v>
      </c>
      <c r="B166" s="17" t="s">
        <v>479</v>
      </c>
      <c r="C166" s="13" t="s">
        <v>480</v>
      </c>
      <c r="D166" s="13" t="s">
        <v>57</v>
      </c>
      <c r="E166" s="29">
        <v>35000</v>
      </c>
      <c r="F166" s="19">
        <v>36.997599999999998</v>
      </c>
      <c r="G166" s="20" t="s">
        <v>17</v>
      </c>
      <c r="H166" s="31">
        <v>7.3069999999999996E-2</v>
      </c>
      <c r="I166" s="32"/>
      <c r="J166" s="3"/>
    </row>
    <row r="167" spans="1:10" ht="12.95" customHeight="1">
      <c r="A167" s="16" t="s">
        <v>481</v>
      </c>
      <c r="B167" s="17" t="s">
        <v>482</v>
      </c>
      <c r="C167" s="13" t="s">
        <v>483</v>
      </c>
      <c r="D167" s="13" t="s">
        <v>57</v>
      </c>
      <c r="E167" s="29">
        <v>20800</v>
      </c>
      <c r="F167" s="19">
        <v>21.187799999999999</v>
      </c>
      <c r="G167" s="20" t="s">
        <v>17</v>
      </c>
      <c r="H167" s="31">
        <v>7.3079000000000005E-2</v>
      </c>
      <c r="I167" s="32"/>
      <c r="J167" s="3"/>
    </row>
    <row r="168" spans="1:10" ht="12.95" customHeight="1">
      <c r="A168" s="16" t="s">
        <v>484</v>
      </c>
      <c r="B168" s="17" t="s">
        <v>485</v>
      </c>
      <c r="C168" s="13" t="s">
        <v>486</v>
      </c>
      <c r="D168" s="13" t="s">
        <v>57</v>
      </c>
      <c r="E168" s="29">
        <v>14000</v>
      </c>
      <c r="F168" s="19">
        <v>14.2339</v>
      </c>
      <c r="G168" s="20" t="s">
        <v>17</v>
      </c>
      <c r="H168" s="31">
        <v>7.4371999999999994E-2</v>
      </c>
      <c r="I168" s="32"/>
      <c r="J168" s="3"/>
    </row>
    <row r="169" spans="1:10" ht="12.95" customHeight="1">
      <c r="A169" s="16" t="s">
        <v>487</v>
      </c>
      <c r="B169" s="17" t="s">
        <v>488</v>
      </c>
      <c r="C169" s="13" t="s">
        <v>489</v>
      </c>
      <c r="D169" s="13" t="s">
        <v>57</v>
      </c>
      <c r="E169" s="29">
        <v>9000</v>
      </c>
      <c r="F169" s="19">
        <v>9.8896999999999995</v>
      </c>
      <c r="G169" s="20" t="s">
        <v>17</v>
      </c>
      <c r="H169" s="31">
        <v>7.3398000000000005E-2</v>
      </c>
      <c r="I169" s="32"/>
      <c r="J169" s="3"/>
    </row>
    <row r="170" spans="1:10" ht="12.95" customHeight="1">
      <c r="A170" s="16" t="s">
        <v>490</v>
      </c>
      <c r="B170" s="17" t="s">
        <v>491</v>
      </c>
      <c r="C170" s="13" t="s">
        <v>492</v>
      </c>
      <c r="D170" s="13" t="s">
        <v>57</v>
      </c>
      <c r="E170" s="29">
        <v>6600</v>
      </c>
      <c r="F170" s="19">
        <v>6.1155999999999997</v>
      </c>
      <c r="G170" s="20" t="s">
        <v>17</v>
      </c>
      <c r="H170" s="31">
        <v>7.3025000000000007E-2</v>
      </c>
      <c r="I170" s="32"/>
      <c r="J170" s="3"/>
    </row>
    <row r="171" spans="1:10" ht="12.95" customHeight="1">
      <c r="A171" s="16" t="s">
        <v>493</v>
      </c>
      <c r="B171" s="17" t="s">
        <v>494</v>
      </c>
      <c r="C171" s="13" t="s">
        <v>495</v>
      </c>
      <c r="D171" s="13" t="s">
        <v>57</v>
      </c>
      <c r="E171" s="29">
        <v>200</v>
      </c>
      <c r="F171" s="19">
        <v>0.20710000000000001</v>
      </c>
      <c r="G171" s="20" t="s">
        <v>17</v>
      </c>
      <c r="H171" s="31">
        <v>7.3254E-2</v>
      </c>
      <c r="I171" s="32"/>
      <c r="J171" s="3"/>
    </row>
    <row r="172" spans="1:10" ht="12.95" customHeight="1">
      <c r="A172" s="3"/>
      <c r="B172" s="12" t="s">
        <v>50</v>
      </c>
      <c r="C172" s="13"/>
      <c r="D172" s="13"/>
      <c r="E172" s="13"/>
      <c r="F172" s="22">
        <v>619465.35699999996</v>
      </c>
      <c r="G172" s="23">
        <v>0.82709999999999995</v>
      </c>
      <c r="H172" s="24"/>
      <c r="I172" s="25"/>
      <c r="J172" s="3"/>
    </row>
    <row r="173" spans="1:10" ht="12.95" customHeight="1">
      <c r="A173" s="3"/>
      <c r="B173" s="26" t="s">
        <v>496</v>
      </c>
      <c r="C173" s="28"/>
      <c r="D173" s="28"/>
      <c r="E173" s="28"/>
      <c r="F173" s="24" t="s">
        <v>497</v>
      </c>
      <c r="G173" s="24" t="s">
        <v>497</v>
      </c>
      <c r="H173" s="24"/>
      <c r="I173" s="25"/>
      <c r="J173" s="3"/>
    </row>
    <row r="174" spans="1:10" ht="12.95" customHeight="1">
      <c r="A174" s="3"/>
      <c r="B174" s="26" t="s">
        <v>50</v>
      </c>
      <c r="C174" s="28"/>
      <c r="D174" s="28"/>
      <c r="E174" s="28"/>
      <c r="F174" s="24" t="s">
        <v>497</v>
      </c>
      <c r="G174" s="24" t="s">
        <v>497</v>
      </c>
      <c r="H174" s="24"/>
      <c r="I174" s="25"/>
      <c r="J174" s="3"/>
    </row>
    <row r="175" spans="1:10" ht="12.95" customHeight="1">
      <c r="A175" s="3"/>
      <c r="B175" s="12" t="s">
        <v>498</v>
      </c>
      <c r="C175" s="13"/>
      <c r="D175" s="13"/>
      <c r="E175" s="13"/>
      <c r="F175" s="3"/>
      <c r="G175" s="14"/>
      <c r="H175" s="14"/>
      <c r="I175" s="15"/>
      <c r="J175" s="3"/>
    </row>
    <row r="176" spans="1:10" ht="12.95" customHeight="1">
      <c r="A176" s="16" t="s">
        <v>499</v>
      </c>
      <c r="B176" s="17" t="s">
        <v>500</v>
      </c>
      <c r="C176" s="13" t="s">
        <v>501</v>
      </c>
      <c r="D176" s="13" t="s">
        <v>502</v>
      </c>
      <c r="E176" s="29">
        <v>30</v>
      </c>
      <c r="F176" s="19">
        <v>2856.0308</v>
      </c>
      <c r="G176" s="30">
        <v>3.8E-3</v>
      </c>
      <c r="H176" s="31">
        <v>7.5407000000000002E-2</v>
      </c>
      <c r="I176" s="32"/>
      <c r="J176" s="3"/>
    </row>
    <row r="177" spans="1:10" ht="12.95" customHeight="1">
      <c r="A177" s="16" t="s">
        <v>503</v>
      </c>
      <c r="B177" s="17" t="s">
        <v>504</v>
      </c>
      <c r="C177" s="13" t="s">
        <v>505</v>
      </c>
      <c r="D177" s="13" t="s">
        <v>502</v>
      </c>
      <c r="E177" s="29">
        <v>30</v>
      </c>
      <c r="F177" s="19">
        <v>2804.2914000000001</v>
      </c>
      <c r="G177" s="30">
        <v>3.7000000000000002E-3</v>
      </c>
      <c r="H177" s="31">
        <v>7.6200000000000004E-2</v>
      </c>
      <c r="I177" s="32"/>
      <c r="J177" s="3"/>
    </row>
    <row r="178" spans="1:10" ht="12.95" customHeight="1">
      <c r="A178" s="16" t="s">
        <v>506</v>
      </c>
      <c r="B178" s="17" t="s">
        <v>507</v>
      </c>
      <c r="C178" s="13" t="s">
        <v>508</v>
      </c>
      <c r="D178" s="13" t="s">
        <v>502</v>
      </c>
      <c r="E178" s="29">
        <v>25</v>
      </c>
      <c r="F178" s="19">
        <v>2251.1801999999998</v>
      </c>
      <c r="G178" s="30">
        <v>3.0000000000000001E-3</v>
      </c>
      <c r="H178" s="31">
        <v>7.6668E-2</v>
      </c>
      <c r="I178" s="32"/>
      <c r="J178" s="3"/>
    </row>
    <row r="179" spans="1:10" ht="12.95" customHeight="1">
      <c r="A179" s="16" t="s">
        <v>509</v>
      </c>
      <c r="B179" s="17" t="s">
        <v>510</v>
      </c>
      <c r="C179" s="13" t="s">
        <v>511</v>
      </c>
      <c r="D179" s="13" t="s">
        <v>502</v>
      </c>
      <c r="E179" s="29">
        <v>21</v>
      </c>
      <c r="F179" s="19">
        <v>2074.7402999999999</v>
      </c>
      <c r="G179" s="30">
        <v>2.8E-3</v>
      </c>
      <c r="H179" s="31">
        <v>7.2849999999999998E-2</v>
      </c>
      <c r="I179" s="32"/>
      <c r="J179" s="3"/>
    </row>
    <row r="180" spans="1:10" ht="12.95" customHeight="1">
      <c r="A180" s="16" t="s">
        <v>512</v>
      </c>
      <c r="B180" s="17" t="s">
        <v>513</v>
      </c>
      <c r="C180" s="13" t="s">
        <v>514</v>
      </c>
      <c r="D180" s="13" t="s">
        <v>502</v>
      </c>
      <c r="E180" s="29">
        <v>13</v>
      </c>
      <c r="F180" s="19">
        <v>1260.7862</v>
      </c>
      <c r="G180" s="30">
        <v>1.6999999999999999E-3</v>
      </c>
      <c r="H180" s="31">
        <v>7.4199000000000001E-2</v>
      </c>
      <c r="I180" s="32"/>
      <c r="J180" s="3"/>
    </row>
    <row r="181" spans="1:10" ht="12.95" customHeight="1">
      <c r="A181" s="16" t="s">
        <v>515</v>
      </c>
      <c r="B181" s="17" t="s">
        <v>516</v>
      </c>
      <c r="C181" s="13" t="s">
        <v>517</v>
      </c>
      <c r="D181" s="13" t="s">
        <v>502</v>
      </c>
      <c r="E181" s="29">
        <v>7</v>
      </c>
      <c r="F181" s="19">
        <v>642.21900000000005</v>
      </c>
      <c r="G181" s="30">
        <v>8.9999999999999998E-4</v>
      </c>
      <c r="H181" s="31">
        <v>7.6606999999999995E-2</v>
      </c>
      <c r="I181" s="32"/>
      <c r="J181" s="3"/>
    </row>
    <row r="182" spans="1:10" ht="12.95" customHeight="1">
      <c r="A182" s="3"/>
      <c r="B182" s="12" t="s">
        <v>50</v>
      </c>
      <c r="C182" s="13"/>
      <c r="D182" s="13"/>
      <c r="E182" s="13"/>
      <c r="F182" s="22">
        <v>11889.2479</v>
      </c>
      <c r="G182" s="23">
        <v>1.5900000000000001E-2</v>
      </c>
      <c r="H182" s="24"/>
      <c r="I182" s="25"/>
      <c r="J182" s="3"/>
    </row>
    <row r="183" spans="1:10" ht="12.95" customHeight="1">
      <c r="A183" s="3"/>
      <c r="B183" s="26" t="s">
        <v>51</v>
      </c>
      <c r="C183" s="27"/>
      <c r="D183" s="28"/>
      <c r="E183" s="27"/>
      <c r="F183" s="22">
        <v>631354.60479999997</v>
      </c>
      <c r="G183" s="23">
        <v>0.84299999999999997</v>
      </c>
      <c r="H183" s="24"/>
      <c r="I183" s="25"/>
      <c r="J183" s="3"/>
    </row>
    <row r="184" spans="1:10" ht="12.95" customHeight="1">
      <c r="A184" s="3"/>
      <c r="B184" s="12" t="s">
        <v>518</v>
      </c>
      <c r="C184" s="13"/>
      <c r="D184" s="13"/>
      <c r="E184" s="13"/>
      <c r="F184" s="13"/>
      <c r="G184" s="13"/>
      <c r="H184" s="14"/>
      <c r="I184" s="15"/>
      <c r="J184" s="3"/>
    </row>
    <row r="185" spans="1:10" ht="12.95" customHeight="1">
      <c r="A185" s="3"/>
      <c r="B185" s="12" t="s">
        <v>519</v>
      </c>
      <c r="C185" s="13"/>
      <c r="D185" s="13"/>
      <c r="E185" s="13"/>
      <c r="F185" s="3"/>
      <c r="G185" s="14"/>
      <c r="H185" s="14"/>
      <c r="I185" s="15"/>
      <c r="J185" s="3"/>
    </row>
    <row r="186" spans="1:10" ht="12.95" customHeight="1">
      <c r="A186" s="16" t="s">
        <v>520</v>
      </c>
      <c r="B186" s="17" t="s">
        <v>521</v>
      </c>
      <c r="C186" s="13" t="s">
        <v>522</v>
      </c>
      <c r="D186" s="13" t="s">
        <v>523</v>
      </c>
      <c r="E186" s="29">
        <v>700</v>
      </c>
      <c r="F186" s="19">
        <v>3291.9845</v>
      </c>
      <c r="G186" s="30">
        <v>4.4000000000000003E-3</v>
      </c>
      <c r="H186" s="31">
        <v>7.4399999999999994E-2</v>
      </c>
      <c r="I186" s="32"/>
      <c r="J186" s="3"/>
    </row>
    <row r="187" spans="1:10" ht="12.95" customHeight="1">
      <c r="A187" s="3"/>
      <c r="B187" s="12" t="s">
        <v>50</v>
      </c>
      <c r="C187" s="13"/>
      <c r="D187" s="13"/>
      <c r="E187" s="13"/>
      <c r="F187" s="22">
        <v>3291.9845</v>
      </c>
      <c r="G187" s="23">
        <v>4.4000000000000003E-3</v>
      </c>
      <c r="H187" s="24"/>
      <c r="I187" s="25"/>
      <c r="J187" s="3"/>
    </row>
    <row r="188" spans="1:10" ht="12.95" customHeight="1">
      <c r="A188" s="3"/>
      <c r="B188" s="26" t="s">
        <v>51</v>
      </c>
      <c r="C188" s="27"/>
      <c r="D188" s="28"/>
      <c r="E188" s="27"/>
      <c r="F188" s="22">
        <v>3291.9845</v>
      </c>
      <c r="G188" s="23">
        <v>4.4000000000000003E-3</v>
      </c>
      <c r="H188" s="24"/>
      <c r="I188" s="25"/>
      <c r="J188" s="3"/>
    </row>
    <row r="189" spans="1:10" ht="12.95" customHeight="1">
      <c r="A189" s="3"/>
      <c r="B189" s="12" t="s">
        <v>524</v>
      </c>
      <c r="C189" s="13"/>
      <c r="D189" s="13"/>
      <c r="E189" s="13"/>
      <c r="F189" s="13"/>
      <c r="G189" s="13"/>
      <c r="H189" s="14"/>
      <c r="I189" s="15"/>
      <c r="J189" s="3"/>
    </row>
    <row r="190" spans="1:10" ht="12.95" customHeight="1">
      <c r="A190" s="16" t="s">
        <v>525</v>
      </c>
      <c r="B190" s="17" t="s">
        <v>526</v>
      </c>
      <c r="C190" s="13"/>
      <c r="D190" s="13"/>
      <c r="E190" s="29"/>
      <c r="F190" s="19">
        <v>88595.14</v>
      </c>
      <c r="G190" s="30">
        <v>0.1183</v>
      </c>
      <c r="H190" s="31">
        <v>6.3989182703672765E-2</v>
      </c>
      <c r="I190" s="32"/>
      <c r="J190" s="3"/>
    </row>
    <row r="191" spans="1:10" ht="12.95" customHeight="1">
      <c r="A191" s="3"/>
      <c r="B191" s="12" t="s">
        <v>50</v>
      </c>
      <c r="C191" s="13"/>
      <c r="D191" s="13"/>
      <c r="E191" s="13"/>
      <c r="F191" s="22">
        <v>88595.14</v>
      </c>
      <c r="G191" s="23">
        <v>0.1183</v>
      </c>
      <c r="H191" s="24"/>
      <c r="I191" s="25"/>
      <c r="J191" s="3"/>
    </row>
    <row r="192" spans="1:10" ht="12.95" customHeight="1">
      <c r="A192" s="3"/>
      <c r="B192" s="26" t="s">
        <v>51</v>
      </c>
      <c r="C192" s="27"/>
      <c r="D192" s="28"/>
      <c r="E192" s="27"/>
      <c r="F192" s="22">
        <v>88595.14</v>
      </c>
      <c r="G192" s="23">
        <v>0.1183</v>
      </c>
      <c r="H192" s="24"/>
      <c r="I192" s="25"/>
      <c r="J192" s="3"/>
    </row>
    <row r="193" spans="1:10" ht="12.95" customHeight="1">
      <c r="A193" s="3"/>
      <c r="B193" s="26" t="s">
        <v>527</v>
      </c>
      <c r="C193" s="13"/>
      <c r="D193" s="28"/>
      <c r="E193" s="13"/>
      <c r="F193" s="33">
        <v>25956.845199999985</v>
      </c>
      <c r="G193" s="23">
        <v>3.4599999999999999E-2</v>
      </c>
      <c r="H193" s="24"/>
      <c r="I193" s="25"/>
      <c r="J193" s="3"/>
    </row>
    <row r="194" spans="1:10" ht="12.95" customHeight="1" thickBot="1">
      <c r="A194" s="3"/>
      <c r="B194" s="34" t="s">
        <v>528</v>
      </c>
      <c r="C194" s="35"/>
      <c r="D194" s="35"/>
      <c r="E194" s="35"/>
      <c r="F194" s="36">
        <v>748961.99</v>
      </c>
      <c r="G194" s="37">
        <v>1</v>
      </c>
      <c r="H194" s="38"/>
      <c r="I194" s="39"/>
      <c r="J194" s="3"/>
    </row>
    <row r="195" spans="1:10" ht="12.95" customHeight="1">
      <c r="A195" s="3"/>
      <c r="B195" s="5"/>
      <c r="C195" s="3"/>
      <c r="D195" s="3"/>
      <c r="E195" s="3"/>
      <c r="F195" s="3"/>
      <c r="G195" s="3"/>
      <c r="H195" s="3"/>
      <c r="I195" s="3"/>
      <c r="J195" s="3"/>
    </row>
    <row r="196" spans="1:10" ht="12.95" customHeight="1">
      <c r="A196" s="3"/>
      <c r="B196" s="2" t="s">
        <v>529</v>
      </c>
      <c r="C196" s="3"/>
      <c r="D196" s="3"/>
      <c r="E196" s="3"/>
      <c r="F196" s="3"/>
      <c r="G196" s="3"/>
      <c r="H196" s="3"/>
      <c r="I196" s="3"/>
      <c r="J196" s="3"/>
    </row>
    <row r="197" spans="1:10" ht="12.95" customHeight="1">
      <c r="A197" s="3"/>
      <c r="B197" s="2" t="s">
        <v>530</v>
      </c>
      <c r="C197" s="3"/>
      <c r="D197" s="3"/>
      <c r="E197" s="3"/>
      <c r="F197" s="3"/>
      <c r="G197" s="3"/>
      <c r="H197" s="3"/>
      <c r="I197" s="3"/>
      <c r="J197" s="3"/>
    </row>
    <row r="198" spans="1:10" ht="12.95" customHeight="1">
      <c r="A198" s="3"/>
      <c r="B198" s="2" t="s">
        <v>531</v>
      </c>
      <c r="C198" s="3"/>
      <c r="D198" s="3"/>
      <c r="E198" s="3"/>
      <c r="F198" s="3"/>
      <c r="G198" s="3"/>
      <c r="H198" s="3"/>
      <c r="I198" s="3"/>
      <c r="J198" s="3"/>
    </row>
    <row r="199" spans="1:10" ht="12.95" customHeight="1">
      <c r="A199" s="3"/>
      <c r="B199" s="2" t="s">
        <v>532</v>
      </c>
      <c r="C199" s="3"/>
      <c r="D199" s="3"/>
      <c r="E199" s="3"/>
      <c r="F199" s="3"/>
      <c r="G199" s="3"/>
      <c r="H199" s="3"/>
      <c r="I199" s="3"/>
      <c r="J199" s="3"/>
    </row>
    <row r="200" spans="1:10" ht="26.1" customHeight="1">
      <c r="A200" s="3"/>
      <c r="B200" s="40" t="s">
        <v>533</v>
      </c>
      <c r="C200" s="40"/>
      <c r="D200" s="40"/>
      <c r="E200" s="40"/>
      <c r="F200" s="40"/>
      <c r="G200" s="40"/>
      <c r="H200" s="40"/>
      <c r="I200" s="40"/>
      <c r="J200" s="3"/>
    </row>
    <row r="201" spans="1:10" ht="12.95" customHeight="1">
      <c r="A201" s="3"/>
      <c r="B201" s="40"/>
      <c r="C201" s="40"/>
      <c r="D201" s="40"/>
      <c r="E201" s="40"/>
      <c r="F201" s="40"/>
      <c r="G201" s="40"/>
      <c r="H201" s="40"/>
      <c r="I201" s="40"/>
      <c r="J201" s="3"/>
    </row>
    <row r="202" spans="1:10" ht="12.95" customHeight="1">
      <c r="A202" s="3"/>
      <c r="B202" s="41" t="s">
        <v>534</v>
      </c>
      <c r="C202" s="41"/>
      <c r="D202" s="41"/>
      <c r="E202" s="41"/>
      <c r="F202" s="3"/>
      <c r="G202" s="3"/>
      <c r="H202" s="3"/>
      <c r="I202" s="3"/>
      <c r="J202" s="3"/>
    </row>
    <row r="203" spans="1:10" ht="12.95" customHeight="1">
      <c r="A203" s="3"/>
      <c r="B203" s="40"/>
      <c r="C203" s="40"/>
      <c r="D203" s="40"/>
      <c r="E203" s="40"/>
      <c r="F203" s="40"/>
      <c r="G203" s="40"/>
      <c r="H203" s="40"/>
      <c r="I203" s="40"/>
      <c r="J203" s="3"/>
    </row>
    <row r="204" spans="1:10" ht="12.95" customHeight="1">
      <c r="A204" s="3"/>
      <c r="B204" s="3"/>
      <c r="C204" s="42" t="s">
        <v>535</v>
      </c>
      <c r="D204" s="42"/>
      <c r="E204" s="42"/>
      <c r="F204" s="42"/>
      <c r="G204" s="3"/>
      <c r="H204" s="3"/>
      <c r="I204" s="3"/>
      <c r="J204" s="3"/>
    </row>
    <row r="205" spans="1:10" ht="12.95" customHeight="1">
      <c r="A205" s="3"/>
      <c r="B205" s="43" t="s">
        <v>536</v>
      </c>
      <c r="C205" s="42" t="s">
        <v>537</v>
      </c>
      <c r="D205" s="42"/>
      <c r="E205" s="42"/>
      <c r="F205" s="42"/>
      <c r="G205" s="3"/>
      <c r="H205" s="3"/>
      <c r="I205" s="3"/>
      <c r="J205" s="3"/>
    </row>
    <row r="206" spans="1:10" ht="120.95" customHeight="1">
      <c r="A206" s="3"/>
      <c r="B206" s="3"/>
      <c r="C206" s="44"/>
      <c r="D206" s="44"/>
      <c r="E206" s="3"/>
      <c r="F206" s="3"/>
      <c r="G206" s="3"/>
      <c r="H206" s="3"/>
      <c r="I206" s="3"/>
      <c r="J206" s="3"/>
    </row>
  </sheetData>
  <mergeCells count="7">
    <mergeCell ref="C206:D206"/>
    <mergeCell ref="B200:I200"/>
    <mergeCell ref="B201:I201"/>
    <mergeCell ref="B202:E202"/>
    <mergeCell ref="B203:I203"/>
    <mergeCell ref="C204:F204"/>
    <mergeCell ref="C205:F205"/>
  </mergeCells>
  <conditionalFormatting sqref="A7:A23">
    <cfRule type="duplicateValues" dxfId="0" priority="1"/>
  </conditionalFormatting>
  <hyperlinks>
    <hyperlink ref="A1" location="AxisShortTermFund" display="AXISSTF" xr:uid="{25A6465D-47AB-4931-8EAE-ACDD65827A35}"/>
    <hyperlink ref="B1" location="AxisShortTermFund" display="Axis Short Term Fund" xr:uid="{099498F9-4667-4242-BD78-F4656A83F2B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JR_PAGE_ANCHOR_0_63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2023-08-04T22:03:35Z</dcterms:created>
  <dcterms:modified xsi:type="dcterms:W3CDTF">2023-08-04T22:03:36Z</dcterms:modified>
</cp:coreProperties>
</file>