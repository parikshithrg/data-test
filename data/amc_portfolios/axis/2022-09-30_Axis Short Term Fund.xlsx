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2-23\September 22\"/>
    </mc:Choice>
  </mc:AlternateContent>
  <bookViews>
    <workbookView xWindow="0" yWindow="0" windowWidth="20490" windowHeight="7650"/>
  </bookViews>
  <sheets>
    <sheet name="AXISSTF" sheetId="1" r:id="rId1"/>
  </sheets>
  <definedNames>
    <definedName name="JR_PAGE_ANCHOR_0_54">AXISSTF!$A$2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<sst xmlns="http://schemas.openxmlformats.org/spreadsheetml/2006/main" count="821" uniqueCount="620">
  <si>
    <t>AXISSTF</t>
  </si>
  <si>
    <t>Axis Short Term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</si>
  <si>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</si>
  <si>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</si>
  <si>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</si>
  <si>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</si>
  <si>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</si>
  <si>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</si>
  <si>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</si>
  <si>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</si>
  <si>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</si>
  <si>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</si>
  <si>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</si>
  <si>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</si>
  <si>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</si>
  <si>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IRS889589FX</t>
  </si>
  <si>
    <t>Interest Rate Swaps Pay Floating Receive Fix - HSBC Bank (03/10/2024) (FV 5000 lacs)</t>
  </si>
  <si>
    <t>IRS882802FX</t>
  </si>
  <si>
    <t>Interest Rate Swaps Pay Floating Receive Fix - ICSECPD (23/09/2023) (FV 5000 lacs)</t>
  </si>
  <si>
    <t>IRS882487FX</t>
  </si>
  <si>
    <t>Interest Rate Swaps Pay Floating Receive Fix - HSBC Bank (23/09/2023) (FV 10000 lacs)</t>
  </si>
  <si>
    <t>IRS882812FX</t>
  </si>
  <si>
    <t>IRS888103FX</t>
  </si>
  <si>
    <t>Interest Rate Swaps Pay Floating Receive Fix - IDFC Bank (30/09/2024) (FV 2500 lacs)</t>
  </si>
  <si>
    <t>IRS880851FX</t>
  </si>
  <si>
    <t>Interest Rate Swaps Pay Floating Receive Fix - HSBC Bank (21/09/2023) (FV 5000 lacs)</t>
  </si>
  <si>
    <t>IRS881179FX</t>
  </si>
  <si>
    <t>Interest Rate Swaps Pay Floating Receive Fix - ICSECPD (22/09/2023) (FV 5000 lacs)</t>
  </si>
  <si>
    <t>IRS878039FX</t>
  </si>
  <si>
    <t>Interest Rate Swaps Pay Floating Receive Fix - ICSECPD (19/09/2023) (FV 7500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</si>
  <si>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</si>
  <si>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</si>
  <si>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</si>
  <si>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</si>
  <si>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</si>
  <si>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</si>
  <si>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</si>
  <si>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</si>
  <si>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</si>
  <si>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</si>
  <si>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</si>
  <si>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</si>
  <si>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GOI3607</t>
  </si>
  <si>
    <t>4.04% Government of India (04/10/2028)</t>
  </si>
  <si>
    <t>IN0020210160</t>
  </si>
  <si>
    <t>NBAR568</t>
  </si>
  <si>
    <t>6.4% National Bank For Agriculture and Rural Development (31/07/2023) **</t>
  </si>
  <si>
    <t>INE261F08CA0</t>
  </si>
  <si>
    <t>ICRA AAA</t>
  </si>
  <si>
    <t>MRHF90</t>
  </si>
  <si>
    <t>6.7% Mahindra Rural Housing Finance Limited (28/05/2024) **</t>
  </si>
  <si>
    <t>INE950O08238</t>
  </si>
  <si>
    <t>IND AA+</t>
  </si>
  <si>
    <t>HHFL170</t>
  </si>
  <si>
    <t>5.31% Hero Fincorp Limited (20/05/2024) (FRN) **</t>
  </si>
  <si>
    <t>INE957N07609</t>
  </si>
  <si>
    <t>CRISIL AA+</t>
  </si>
  <si>
    <t>HHFL172</t>
  </si>
  <si>
    <t>5.16% Hero Fincorp Limited (19/07/2024) (FRN) **</t>
  </si>
  <si>
    <t>INE957N07625</t>
  </si>
  <si>
    <t>GOI3103</t>
  </si>
  <si>
    <t>5.63% Government of India (12/04/2026)</t>
  </si>
  <si>
    <t>IN0020210012</t>
  </si>
  <si>
    <t>NBAR680</t>
  </si>
  <si>
    <t>7.25% National Bank For Agriculture and Rural Development (01/08/2025) **</t>
  </si>
  <si>
    <t>INE261F08DQ4</t>
  </si>
  <si>
    <t>RPAT26</t>
  </si>
  <si>
    <t>7.20% Sikka Ports and Terminals Limited (16/06/2023) **</t>
  </si>
  <si>
    <t>INE941D07190</t>
  </si>
  <si>
    <t>IRLY322</t>
  </si>
  <si>
    <t>8.25% Indian Railway Finance Corporation Limited (28/02/2024) **</t>
  </si>
  <si>
    <t>INE053F07BB3</t>
  </si>
  <si>
    <t>SBAI198</t>
  </si>
  <si>
    <t>7.99% State Bank of India (28/06/2029) **</t>
  </si>
  <si>
    <t>INE062A08207</t>
  </si>
  <si>
    <t>GOI1656</t>
  </si>
  <si>
    <t>8.39% State Government Securities (15/03/2025)</t>
  </si>
  <si>
    <t>IN2920150348</t>
  </si>
  <si>
    <t>HDFC1144</t>
  </si>
  <si>
    <t>5.3% Housing Development Finance Corporation Limited (08/03/2023) **</t>
  </si>
  <si>
    <t>INE001A07SX1</t>
  </si>
  <si>
    <t>FIPL20</t>
  </si>
  <si>
    <t>7.15% Brakes India Private Limied (20/06/2025) **</t>
  </si>
  <si>
    <t>INE0I3K07044</t>
  </si>
  <si>
    <t>POWF468</t>
  </si>
  <si>
    <t>5.47% Power Finance Corporation Limited (19/08/2023) **</t>
  </si>
  <si>
    <t>INE134E08LB1</t>
  </si>
  <si>
    <t>GOI1430</t>
  </si>
  <si>
    <t>7.59% Government of India (11/01/2026)</t>
  </si>
  <si>
    <t>IN0020150093</t>
  </si>
  <si>
    <t>GOI1398</t>
  </si>
  <si>
    <t>8.12% State Government Securities (13/11/2025)</t>
  </si>
  <si>
    <t>IN2220150121</t>
  </si>
  <si>
    <t>GOI1585</t>
  </si>
  <si>
    <t>8.27% State Government Securities (23/06/2023)</t>
  </si>
  <si>
    <t>IN2920160099</t>
  </si>
  <si>
    <t>POWF448</t>
  </si>
  <si>
    <t>7.42% Power Finance Corporation Limited (19/11/2024) **</t>
  </si>
  <si>
    <t>INE134E08KH0</t>
  </si>
  <si>
    <t>TCAL473</t>
  </si>
  <si>
    <t>6.7942% Tata Capital Limited (30/04/2024) **</t>
  </si>
  <si>
    <t>INE976I08375</t>
  </si>
  <si>
    <t>NHBA310</t>
  </si>
  <si>
    <t>5.35% National Housing Bank (12/02/2024) **</t>
  </si>
  <si>
    <t>INE557F08FL1</t>
  </si>
  <si>
    <t>EXIM719</t>
  </si>
  <si>
    <t>5.20% Export Import Bank of India (04/03/2025) **</t>
  </si>
  <si>
    <t>INE514E08FW2</t>
  </si>
  <si>
    <t>NBAR646</t>
  </si>
  <si>
    <t>5.23% National Bank For Agriculture and Rural Development (31/01/2025) **</t>
  </si>
  <si>
    <t>INE261F08DI1</t>
  </si>
  <si>
    <t>NBAR678</t>
  </si>
  <si>
    <t>7.35% National Bank For Agriculture and Rural Development (08/07/2025) **</t>
  </si>
  <si>
    <t>INE261F08DP6</t>
  </si>
  <si>
    <t>TMLF465</t>
  </si>
  <si>
    <t>7.7% TMF Holdings Limited (25/02/2025) **</t>
  </si>
  <si>
    <t>INE909H08444</t>
  </si>
  <si>
    <t>CRISIL AA-</t>
  </si>
  <si>
    <t>TENL20</t>
  </si>
  <si>
    <t>5.35% Telesonic Networks Limited (28/04/2023) **</t>
  </si>
  <si>
    <t>INE308O08015</t>
  </si>
  <si>
    <t>GOI1290</t>
  </si>
  <si>
    <t>7.68% Government of India (15/12/2023)</t>
  </si>
  <si>
    <t>IN0020150010</t>
  </si>
  <si>
    <t>GOI3500</t>
  </si>
  <si>
    <t>8.66% State Government Securities (06/02/2023)</t>
  </si>
  <si>
    <t>IN1620120130</t>
  </si>
  <si>
    <t>HDFC1193</t>
  </si>
  <si>
    <t>7.77% Housing Development Finance Corporation Limited (28/06/2027) **</t>
  </si>
  <si>
    <t>INE001A07TN0</t>
  </si>
  <si>
    <t>NHBA317</t>
  </si>
  <si>
    <t>7.34% National Housing Bank (07/08/2025)</t>
  </si>
  <si>
    <t>INE557F08FN7</t>
  </si>
  <si>
    <t>MMFS1145</t>
  </si>
  <si>
    <t>4.88% Mahindra &amp; Mahindra Financial Services Limited (23/07/2024) (FRN) **</t>
  </si>
  <si>
    <t>INE774D07UF0</t>
  </si>
  <si>
    <t>IND AAA</t>
  </si>
  <si>
    <t>EOPR24</t>
  </si>
  <si>
    <t>6.4% Embassy Office Parks REIT (15/02/2024) **</t>
  </si>
  <si>
    <t>INE041007050</t>
  </si>
  <si>
    <t>IOIC627</t>
  </si>
  <si>
    <t>5.84% Indian Oil Corporation Limited (19/04/2024) **</t>
  </si>
  <si>
    <t>INE242A08510</t>
  </si>
  <si>
    <t>RECL416</t>
  </si>
  <si>
    <t>5.74% REC Limited (20/06/2024) **</t>
  </si>
  <si>
    <t>INE020B08DR1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</si>
  <si>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</si>
  <si>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</si>
  <si>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</si>
  <si>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</si>
  <si>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</si>
  <si>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</si>
  <si>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GOI3124</t>
  </si>
  <si>
    <t>6.76% Government of India (22/02/2029)</t>
  </si>
  <si>
    <t>IN000229C020</t>
  </si>
  <si>
    <t>IGIF26</t>
  </si>
  <si>
    <t>8.4% India Grid Trust InvIT Fund (14/06/2023) **</t>
  </si>
  <si>
    <t>INE219X07090</t>
  </si>
  <si>
    <t>NBAR587</t>
  </si>
  <si>
    <t>5.14% National Bank For Agriculture and Rural Development (31/01/2024) **</t>
  </si>
  <si>
    <t>INE261F08CK9</t>
  </si>
  <si>
    <t>GOI2383</t>
  </si>
  <si>
    <t>6.80% Government of India (15/06/2025)</t>
  </si>
  <si>
    <t>IN000625C052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</si>
  <si>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</si>
  <si>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</si>
  <si>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</si>
  <si>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</si>
  <si>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</si>
  <si>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</si>
  <si>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GOI2936</t>
  </si>
  <si>
    <t>4.7% Government of India (22/09/2033)</t>
  </si>
  <si>
    <t>IN0020200120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</si>
  <si>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</si>
  <si>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</si>
  <si>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</si>
  <si>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</si>
  <si>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</si>
  <si>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</si>
  <si>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HDFC1106</t>
  </si>
  <si>
    <t>6.99% Housing Development Finance Corporation Limited (13/02/2023) **</t>
  </si>
  <si>
    <t>INE001A07SH4</t>
  </si>
  <si>
    <t>GOI4366</t>
  </si>
  <si>
    <t>7.1% Government of India (18/04/2029)</t>
  </si>
  <si>
    <t>IN0020220011</t>
  </si>
  <si>
    <t>GOI2491</t>
  </si>
  <si>
    <t>5.22% Government of India (15/06/2025)</t>
  </si>
  <si>
    <t>IN0020200112</t>
  </si>
  <si>
    <t>RIND369</t>
  </si>
  <si>
    <t>7.2% Reliance Industries Limited (21/09/2023) (FRN) **</t>
  </si>
  <si>
    <t>INE002A08658</t>
  </si>
  <si>
    <t>LICH495</t>
  </si>
  <si>
    <t>9.19% LIC Housing Finance Limited (06/06/2023) **</t>
  </si>
  <si>
    <t>INE115A07NI1</t>
  </si>
  <si>
    <t>RUPL22</t>
  </si>
  <si>
    <t>8.95% Jamnagar Utilities &amp; Power Private Limited (26/04/2023) **</t>
  </si>
  <si>
    <t>INE936D07067</t>
  </si>
  <si>
    <t>NBAR525</t>
  </si>
  <si>
    <t>7.69% National Bank For Agriculture and Rural Development (29/05/2024) **</t>
  </si>
  <si>
    <t>INE261F08BK1</t>
  </si>
  <si>
    <t>MRHF89</t>
  </si>
  <si>
    <t>5.95% Mahindra Rural Housing Finance Limited (19/05/2023) (FRN) **</t>
  </si>
  <si>
    <t>INE950O08212</t>
  </si>
  <si>
    <t>IBCL1100</t>
  </si>
  <si>
    <t>8.55% ICICI Bank Limited (04/10/2022) **</t>
  </si>
  <si>
    <t>INE090A08UA6</t>
  </si>
  <si>
    <t>ICRA AA+</t>
  </si>
  <si>
    <t>HDFC1110</t>
  </si>
  <si>
    <t>7.2% Housing Development Finance Corporation Limited (13/04/2023) **</t>
  </si>
  <si>
    <t>INE001A07SJ0</t>
  </si>
  <si>
    <t>GODP178</t>
  </si>
  <si>
    <t>7.5% Godrej Properties Limited (31/07/2023) **</t>
  </si>
  <si>
    <t>INE484J08022</t>
  </si>
  <si>
    <t>MMFS1132</t>
  </si>
  <si>
    <t>7.25% Mahindra &amp; Mahindra Financial Services Limited (16/06/2023) **</t>
  </si>
  <si>
    <t>INE774D07TS5</t>
  </si>
  <si>
    <t>GRAS186</t>
  </si>
  <si>
    <t>6.65% Grasim Industries Limited (17/02/2023) **</t>
  </si>
  <si>
    <t>INE047A08166</t>
  </si>
  <si>
    <t>SUMM23</t>
  </si>
  <si>
    <t>8.05% Summit Digitel Infrastructure Limited (31/05/2027) **</t>
  </si>
  <si>
    <t>INE507T07096</t>
  </si>
  <si>
    <t>GOI2927</t>
  </si>
  <si>
    <t>6.80% Government of India (15/12/2022)</t>
  </si>
  <si>
    <t>IN001222C057</t>
  </si>
  <si>
    <t>SIDB465</t>
  </si>
  <si>
    <t>7.15% Small Industries Dev Bank of India (02/06/2025) **</t>
  </si>
  <si>
    <t>INE556F08JY8</t>
  </si>
  <si>
    <t>BAFL760</t>
  </si>
  <si>
    <t>5.05% Bajaj Finance Limited (10/05/2023) **</t>
  </si>
  <si>
    <t>INE296A07RT7</t>
  </si>
  <si>
    <t>IBCL1121</t>
  </si>
  <si>
    <t>7.1% ICICI Bank Limited (17/02/2030) **</t>
  </si>
  <si>
    <t>INE090A08UD0</t>
  </si>
  <si>
    <t>NBAR620</t>
  </si>
  <si>
    <t>5.53% National Bank For Agriculture and Rural Development (22/02/2024) **</t>
  </si>
  <si>
    <t>INE261F08CX2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</si>
  <si>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</si>
  <si>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</si>
  <si>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</si>
  <si>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</si>
  <si>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</si>
  <si>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</si>
  <si>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</si>
  <si>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</si>
  <si>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</si>
  <si>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</si>
  <si>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</si>
  <si>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</si>
  <si>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GOI2040</t>
  </si>
  <si>
    <t>7.37% Government of India (16/04/2023)</t>
  </si>
  <si>
    <t>IN0020180025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</si>
  <si>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</si>
  <si>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</si>
  <si>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</si>
  <si>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</si>
  <si>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</si>
  <si>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</si>
  <si>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</si>
  <si>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</si>
  <si>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</si>
  <si>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RUPL25</t>
  </si>
  <si>
    <t>7.65% Jamnagar Utilities &amp; Power Private Limited (29/12/2022) **</t>
  </si>
  <si>
    <t>INE936D07141</t>
  </si>
  <si>
    <t>RIND200</t>
  </si>
  <si>
    <t>7.17% Reliance Industries Limited (08/11/2022) **</t>
  </si>
  <si>
    <t>INE002A08500</t>
  </si>
  <si>
    <t>HDFC1134</t>
  </si>
  <si>
    <t>5.78% Housing Development Finance Corporation Limited (25/11/2025) **</t>
  </si>
  <si>
    <t>INE001A07ST9</t>
  </si>
  <si>
    <t>SIDB479</t>
  </si>
  <si>
    <t>7.23% Small Industries Dev Bank of India (09/03/2026) **</t>
  </si>
  <si>
    <t>INE556F08KC2</t>
  </si>
  <si>
    <t>SIDB438</t>
  </si>
  <si>
    <t>4.58% Small Industries Dev Bank of India (18/12/2023) **</t>
  </si>
  <si>
    <t>INE556F08JR2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</si>
  <si>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</si>
  <si>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</si>
  <si>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</si>
  <si>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</si>
  <si>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</si>
  <si>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</si>
  <si>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GOI2797</t>
  </si>
  <si>
    <t>5.15% Government of India (09/11/2025)</t>
  </si>
  <si>
    <t>IN0020200278</t>
  </si>
  <si>
    <t>GOI2357</t>
  </si>
  <si>
    <t>6.80% Government of India (15/06/2029)</t>
  </si>
  <si>
    <t>IN000629C054</t>
  </si>
  <si>
    <t>GOI1308</t>
  </si>
  <si>
    <t>8.13% Government of India (22/06/2045)</t>
  </si>
  <si>
    <t>IN0020150044</t>
  </si>
  <si>
    <t>GOI3499</t>
  </si>
  <si>
    <t>8.83% Government of India (12/12/2022)</t>
  </si>
  <si>
    <t>IN001222C040</t>
  </si>
  <si>
    <t>GOI1260</t>
  </si>
  <si>
    <t>8.13% State Government Securities (14/01/2025)</t>
  </si>
  <si>
    <t>IN3120140188</t>
  </si>
  <si>
    <t>GOI3077</t>
  </si>
  <si>
    <t>9.23% Government of India (23/12/2022)</t>
  </si>
  <si>
    <t>IN001222C065</t>
  </si>
  <si>
    <t>HDFC1098</t>
  </si>
  <si>
    <t>7.21% Housing Development Finance Corporation Limited (30/12/2022) **</t>
  </si>
  <si>
    <t>INE001A07SD3</t>
  </si>
  <si>
    <t>POWF447</t>
  </si>
  <si>
    <t>7.35% Power Finance Corporation Limited (15/10/2022) **</t>
  </si>
  <si>
    <t>INE134E08KG2</t>
  </si>
  <si>
    <t>LARS377</t>
  </si>
  <si>
    <t>7.25% Larsen &amp; Toubro Limited (24/04/2023)</t>
  </si>
  <si>
    <t>INE018A08AY9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</si>
  <si>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</si>
  <si>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</si>
  <si>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</si>
  <si>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</si>
  <si>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</si>
  <si>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</si>
  <si>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SBAI204</t>
  </si>
  <si>
    <t>5.83% State Bank of India (25/10/2030) **</t>
  </si>
  <si>
    <t>INE062A08264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</si>
  <si>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</si>
  <si>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</si>
  <si>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</si>
  <si>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</si>
  <si>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</si>
  <si>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</si>
  <si>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</si>
  <si>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</si>
  <si>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</si>
  <si>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</si>
  <si>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</si>
  <si>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</si>
  <si>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</si>
  <si>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</si>
  <si>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</si>
  <si>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</si>
  <si>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</si>
  <si>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</si>
  <si>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</si>
  <si>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</si>
  <si>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</si>
  <si>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</si>
  <si>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</si>
  <si>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</si>
  <si>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</si>
  <si>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</si>
  <si>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</si>
  <si>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</si>
  <si>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</si>
  <si>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</si>
  <si>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</si>
  <si>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</si>
  <si>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</si>
  <si>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</si>
  <si>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</si>
  <si>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</si>
  <si>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</si>
  <si>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</si>
  <si>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</si>
  <si>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</si>
  <si>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</si>
  <si>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</si>
  <si>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GOI2231</t>
  </si>
  <si>
    <t>8.05% State Government Securities (27/03/2029)</t>
  </si>
  <si>
    <t>IN1520180341</t>
  </si>
  <si>
    <t>GOI3653</t>
  </si>
  <si>
    <t>8.02% State Government Securities (25/05/2026)</t>
  </si>
  <si>
    <t>IN3320160036</t>
  </si>
  <si>
    <t>LICH267</t>
  </si>
  <si>
    <t>8.5% LIC Housing Finance Limited (24/02/2025) **</t>
  </si>
  <si>
    <t>INE115A07GS4</t>
  </si>
  <si>
    <t>GOI1370</t>
  </si>
  <si>
    <t>7.98% State Government Securities (14/10/2025)</t>
  </si>
  <si>
    <t>IN1920150019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</si>
  <si>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</si>
  <si>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</si>
  <si>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</si>
  <si>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</si>
  <si>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</si>
  <si>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</si>
  <si>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RECL330</t>
  </si>
  <si>
    <t>7.45% REC Limited (30/11/2022) **</t>
  </si>
  <si>
    <t>INE020B08AP1</t>
  </si>
  <si>
    <t>LICH541</t>
  </si>
  <si>
    <t>7.6% LIC Housing Finance Limited (22/11/2022) **</t>
  </si>
  <si>
    <t>INE115A07OH1</t>
  </si>
  <si>
    <t>POWF459</t>
  </si>
  <si>
    <t>7.17% Power Finance Corporation Limited (22/05/2025) **</t>
  </si>
  <si>
    <t>INE134E08KT5</t>
  </si>
  <si>
    <t>GOI2947</t>
  </si>
  <si>
    <t>6.99% State Government Securities (31/03/2026)</t>
  </si>
  <si>
    <t>IN1520190233</t>
  </si>
  <si>
    <t>INBK359</t>
  </si>
  <si>
    <t>Indian Bank (13/01/2031) **</t>
  </si>
  <si>
    <t>INE562A08081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</si>
  <si>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</si>
  <si>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</si>
  <si>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</si>
  <si>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</si>
  <si>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</si>
  <si>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</si>
  <si>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</si>
  <si>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</si>
  <si>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</si>
  <si>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</si>
  <si>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</si>
  <si>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</si>
  <si>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</si>
  <si>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</si>
  <si>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</si>
  <si>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</si>
  <si>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</si>
  <si>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</si>
  <si>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</si>
  <si>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</si>
  <si>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</si>
  <si>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POWF306</t>
  </si>
  <si>
    <t>8.39% Power Finance Corporation Limited (19/04/2025) **</t>
  </si>
  <si>
    <t>INE134E08HD5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</si>
  <si>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</si>
  <si>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</si>
  <si>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</si>
  <si>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</si>
  <si>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</si>
  <si>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</si>
  <si>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</si>
  <si>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</si>
  <si>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</si>
  <si>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</si>
  <si>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</si>
  <si>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</si>
  <si>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</si>
  <si>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</si>
  <si>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</si>
  <si>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</si>
  <si>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</si>
  <si>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</si>
  <si>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</si>
  <si>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</si>
  <si>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</si>
  <si>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</si>
  <si>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</si>
  <si>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</si>
  <si>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</si>
  <si>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</si>
  <si>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</si>
  <si>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</si>
  <si>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</si>
  <si>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</si>
  <si>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</si>
  <si>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</si>
  <si>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</si>
  <si>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</si>
  <si>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</si>
  <si>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</si>
  <si>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</si>
  <si>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</si>
  <si>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</si>
  <si>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</si>
  <si>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</si>
  <si>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</si>
  <si>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</si>
  <si>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</si>
  <si>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</si>
  <si>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</si>
  <si>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</si>
  <si>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</si>
  <si>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</si>
  <si>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</si>
  <si>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</si>
  <si>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</si>
  <si>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</si>
  <si>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</si>
  <si>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</si>
  <si>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</si>
  <si>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</si>
  <si>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</si>
  <si>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</si>
  <si>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</si>
  <si>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</si>
  <si>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</si>
  <si>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</si>
  <si>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</si>
  <si>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$0.00%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</si>
  <si>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</si>
  <si>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</si>
  <si>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</si>
  <si>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</si>
  <si>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</si>
  <si>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</si>
  <si>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</si>
  <si>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</si>
  <si>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</si>
  <si>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</si>
  <si>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</si>
  <si>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</si>
  <si>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</si>
  <si>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</si>
  <si>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</si>
  <si>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</si>
  <si>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</si>
  <si>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</si>
  <si>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</si>
  <si>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</si>
  <si>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</si>
  <si>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</si>
  <si>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</si>
  <si>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</si>
  <si>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</si>
  <si>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</si>
  <si>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</si>
  <si>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</si>
  <si>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</si>
  <si>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</si>
  <si>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</si>
  <si>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</si>
  <si>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</si>
  <si>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</si>
  <si>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</si>
  <si>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</si>
  <si>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</si>
  <si>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</si>
  <si>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</si>
  <si>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</si>
  <si>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</si>
  <si>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</si>
  <si>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</si>
  <si>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FBRT30</t>
  </si>
  <si>
    <t>First Business Receivables Trust (01/10/2022) **</t>
  </si>
  <si>
    <t>INE0BTV15113</t>
  </si>
  <si>
    <t>FBRT31</t>
  </si>
  <si>
    <t>First Business Receivables Trust (01/01/2023) **</t>
  </si>
  <si>
    <t>INE0BTV15121</t>
  </si>
  <si>
    <t>Money Market Instruments</t>
  </si>
  <si>
    <t>Certificate of Deposit</t>
  </si>
  <si>
    <t>HDFB821</t>
  </si>
  <si>
    <t>HDFC Bank Limited (14/08/2023)</t>
  </si>
  <si>
    <t>INE040A16DI3</t>
  </si>
  <si>
    <t>CARE A1+</t>
  </si>
  <si>
    <t>BKBA356</t>
  </si>
  <si>
    <t>Bank of Baroda (10/04/2023)</t>
  </si>
  <si>
    <t>INE028A16CV3</t>
  </si>
  <si>
    <t>IND A1+</t>
  </si>
  <si>
    <t>HDFB818</t>
  </si>
  <si>
    <t>HDFC Bank Limited (13/04/2023)</t>
  </si>
  <si>
    <t>INE040A16DG7</t>
  </si>
  <si>
    <t>IIBL923</t>
  </si>
  <si>
    <t>IndusInd Bank Limited (31/05/2023)</t>
  </si>
  <si>
    <t>INE095A16P93</t>
  </si>
  <si>
    <t>CRISIL A1+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</si>
  <si>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</si>
  <si>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</si>
  <si>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</si>
  <si>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</si>
  <si>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</si>
  <si>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</si>
  <si>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</si>
  <si>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</si>
  <si>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</si>
  <si>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PUBA968</t>
  </si>
  <si>
    <t>Punjab National Bank (07/09/2023)</t>
  </si>
  <si>
    <t>INE160A16MO8</t>
  </si>
  <si>
    <t>ICRA A1+</t>
  </si>
  <si>
    <t>HDFB817</t>
  </si>
  <si>
    <t>HDFC Bank Limited (15/05/2023)</t>
  </si>
  <si>
    <t>INE040A16DF9</t>
  </si>
  <si>
    <t>SIDB474</t>
  </si>
  <si>
    <t>Small Industries Dev Bank of India (29/08/2023)</t>
  </si>
  <si>
    <t>INE556F16986</t>
  </si>
  <si>
    <t>SIDB476</t>
  </si>
  <si>
    <t>Small Industries Dev Bank of India (01/09/2023)</t>
  </si>
  <si>
    <t>INE556F16994</t>
  </si>
  <si>
    <t>SBAI215</t>
  </si>
  <si>
    <t>State Bank of India (12/09/2023)</t>
  </si>
  <si>
    <t>INE062A16465</t>
  </si>
  <si>
    <t>SIDB480</t>
  </si>
  <si>
    <t>Small Industries Dev Bank of India (12/09/2023)</t>
  </si>
  <si>
    <t>INE556F16AA0</t>
  </si>
  <si>
    <t>BKBA345</t>
  </si>
  <si>
    <t>Bank of Baroda (12/01/2023)</t>
  </si>
  <si>
    <t>INE028A16CL4</t>
  </si>
  <si>
    <t>HDFB820</t>
  </si>
  <si>
    <t>HDFC Bank Limited (11/08/2023)</t>
  </si>
  <si>
    <t>INE040A16DJ1</t>
  </si>
  <si>
    <t>KMBK795</t>
  </si>
  <si>
    <t>Kotak Mahindra Bank Limited (18/08/2023)</t>
  </si>
  <si>
    <t>INE237A160Q5</t>
  </si>
  <si>
    <t>CANB861</t>
  </si>
  <si>
    <t>Canara Bank (21/03/2023)</t>
  </si>
  <si>
    <t>INE476A16TT2</t>
  </si>
  <si>
    <t>CANB849</t>
  </si>
  <si>
    <t>Canara Bank (12/10/2022)</t>
  </si>
  <si>
    <t>INE476A16TF1</t>
  </si>
  <si>
    <t>Commercial Paper</t>
  </si>
  <si>
    <t>SIDB471</t>
  </si>
  <si>
    <t>Small Industries Dev Bank of India (10/03/2023)</t>
  </si>
  <si>
    <t>INE556F14IG5</t>
  </si>
  <si>
    <t>HDFC1185</t>
  </si>
  <si>
    <t>Housing Development Finance Corporation Limited (17/05/2023) **</t>
  </si>
  <si>
    <t>INE001A14YV9</t>
  </si>
  <si>
    <t>HDFC1198</t>
  </si>
  <si>
    <t>Housing Development Finance Corporation Limited (29/08/2023) **</t>
  </si>
  <si>
    <t>INE001A14ZJ1</t>
  </si>
  <si>
    <t>Others</t>
  </si>
  <si>
    <t>Mutual Fund Units</t>
  </si>
  <si>
    <t>149049</t>
  </si>
  <si>
    <t>Axis Floater Fund - Direct Plan - Growth Option</t>
  </si>
  <si>
    <t>INF846K014A6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</si>
  <si>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</si>
  <si>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</si>
  <si>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</si>
  <si>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</si>
  <si>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</si>
  <si>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</si>
  <si>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</si>
  <si>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</si>
  <si>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</si>
  <si>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</si>
  <si>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800.46 Lakhs.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</si>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</sst>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70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Fill="1"/>
    <xf numFmtId="0" fontId="5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  <xf numFmtId="165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166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3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Fill="1"/>
    <xf numFmtId="0" fontId="2" fillId="0" borderId="0" xfId="2" applyFont="1" applyFill="1"/>
    <xf numFmtId="0" fontId="1" fillId="0" borderId="0" xfId="2" applyFill="1"/>
    <xf numFmtId="0" fontId="12" fillId="0" borderId="0" xfId="0" applyFont="1" applyFill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>
      <alignment horizontal="lef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</cellXfs>
  <cellStyles count="11">
    <cellStyle name="Comma 2" xfId="10"/>
    <cellStyle name="Hyperlink" xfId="1" builtinId="8"/>
    <cellStyle name="Hyperlink 2" xfId="6"/>
    <cellStyle name="Hyperlink 2 2" xfId="5"/>
    <cellStyle name="Hyperlink 3" xfId="7"/>
    <cellStyle name="Normal" xfId="0" builtinId="0"/>
    <cellStyle name="Normal 2" xfId="2"/>
    <cellStyle name="Normal 3" xfId="9"/>
    <cellStyle name="Normal 4" xfId="8"/>
    <cellStyle name="Normal 5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239</xdr:row>
      <xdr:rowOff>133350</xdr:rowOff>
    </xdr:from>
    <xdr:to>
      <xdr:col>1</xdr:col>
      <xdr:colOff>2847975</xdr:colOff>
      <xdr:row>249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C4509-3ACD-4E07-8355-4ABC0C573E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205775"/>
          <a:ext cx="2752725" cy="18002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239</xdr:row>
      <xdr:rowOff>85724</xdr:rowOff>
    </xdr:from>
    <xdr:to>
      <xdr:col>3</xdr:col>
      <xdr:colOff>1241425</xdr:colOff>
      <xdr:row>249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541EE-ECFA-45CD-8DDF-0B797C3D3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158149"/>
          <a:ext cx="2955925" cy="183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1"/>
  <sheetViews>
    <sheetView tabSelected="1" workbookViewId="0"/>
  </sheetViews>
  <sheetFormatPr defaultRowHeight="15" customHeight="1"/>
  <cols>
    <col min="1" max="1" width="2.7109375" style="12" customWidth="1"/>
    <col min="2" max="2" width="70.7109375" style="12" customWidth="1"/>
    <col min="3" max="3" width="25.7109375" style="12" customWidth="1"/>
    <col min="4" max="4" width="30.7109375" style="12" customWidth="1"/>
    <col min="5" max="9" width="15.7109375" style="12" customWidth="1"/>
    <col min="10" max="10" width="9.140625" style="12" customWidth="1"/>
    <col min="11" max="16384" width="9.140625" style="12"/>
  </cols>
  <sheetData>
    <row r="1" spans="1:10" s="1" customFormat="1" ht="15" customHeight="1"/>
    <row r="2" spans="1:10" s="1" customFormat="1" ht="30" customHeight="1">
      <c r="A2" s="2" t="s">
        <v>0</v>
      </c>
      <c r="B2" s="38" t="s">
        <v>1</v>
      </c>
      <c r="C2" s="38"/>
      <c r="D2" s="38"/>
      <c r="E2" s="38"/>
      <c r="F2" s="38"/>
      <c r="G2" s="38"/>
      <c r="H2" s="38"/>
      <c r="I2" s="38"/>
      <c r="J2" s="3"/>
    </row>
    <row r="3" spans="1:10" s="1" customFormat="1" ht="15" customHeight="1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 s="1" customFormat="1" ht="15" customHeight="1">
      <c r="A4" s="5" t="s">
        <v>2</v>
      </c>
      <c r="B4" s="6" t="s">
        <v>3</v>
      </c>
      <c r="C4" s="3"/>
      <c r="D4" s="3"/>
      <c r="E4" s="3"/>
      <c r="F4" s="3"/>
      <c r="G4" s="3"/>
      <c r="H4" s="3"/>
      <c r="I4" s="3"/>
      <c r="J4" s="3"/>
    </row>
    <row r="5" spans="1:10" ht="30" customHeight="1">
      <c r="A5" s="7"/>
      <c r="B5" s="8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1" t="s">
        <v>12</v>
      </c>
    </row>
    <row r="6" spans="1:10" ht="15" customHeight="1">
      <c r="A6" s="7"/>
      <c r="B6" s="13" t="s">
        <v>13</v>
      </c>
      <c r="C6" s="14"/>
      <c r="D6" s="14"/>
      <c r="E6" s="14"/>
      <c r="F6" s="14"/>
      <c r="G6" s="14"/>
      <c r="H6" s="15"/>
      <c r="I6" s="15"/>
      <c r="J6" s="7"/>
    </row>
    <row r="7" spans="1:10" ht="15" customHeight="1">
      <c r="A7" s="7"/>
      <c r="B7" s="13" t="s">
        <v>14</v>
      </c>
      <c r="C7" s="14"/>
      <c r="D7" s="14"/>
      <c r="E7" s="14"/>
      <c r="F7" s="16"/>
      <c r="G7" s="15"/>
      <c r="H7" s="15"/>
      <c r="I7" s="15"/>
      <c r="J7" s="7"/>
    </row>
    <row r="8" spans="1:10" ht="15" customHeight="1">
      <c r="A8" s="17" t="s">
        <v>15</v>
      </c>
      <c r="B8" s="14" t="s">
        <v>16</v>
      </c>
      <c r="C8" s="14"/>
      <c r="D8" s="14"/>
      <c r="E8" s="18"/>
      <c r="F8" s="19">
        <v>0</v>
      </c>
      <c r="G8" s="20">
        <f t="shared" ref="G8:G14" si="0">ROUND(F8/$F$228,4)</f>
        <v>0</v>
      </c>
      <c r="H8" s="21"/>
      <c r="I8" s="22"/>
      <c r="J8" s="7"/>
    </row>
    <row r="9" spans="1:10" ht="15" customHeight="1">
      <c r="A9" s="17" t="s">
        <v>17</v>
      </c>
      <c r="B9" s="14" t="s">
        <v>18</v>
      </c>
      <c r="C9" s="14"/>
      <c r="D9" s="14"/>
      <c r="E9" s="18"/>
      <c r="F9" s="19">
        <v>-0.73</v>
      </c>
      <c r="G9" s="20">
        <f t="shared" si="0"/>
        <v>0</v>
      </c>
      <c r="H9" s="21"/>
      <c r="I9" s="22"/>
      <c r="J9" s="7"/>
    </row>
    <row r="10" spans="1:10" ht="15" customHeight="1">
      <c r="A10" s="17" t="s">
        <v>19</v>
      </c>
      <c r="B10" s="14" t="s">
        <v>20</v>
      </c>
      <c r="C10" s="14"/>
      <c r="D10" s="14"/>
      <c r="E10" s="18"/>
      <c r="F10" s="19">
        <v>-1</v>
      </c>
      <c r="G10" s="20">
        <f t="shared" si="0"/>
        <v>0</v>
      </c>
      <c r="H10" s="21"/>
      <c r="I10" s="22"/>
      <c r="J10" s="7"/>
    </row>
    <row r="11" spans="1:10" ht="15" customHeight="1">
      <c r="A11" s="17" t="s">
        <v>21</v>
      </c>
      <c r="B11" s="14" t="s">
        <v>18</v>
      </c>
      <c r="C11" s="14"/>
      <c r="D11" s="14"/>
      <c r="E11" s="18"/>
      <c r="F11" s="19">
        <v>-1.42</v>
      </c>
      <c r="G11" s="20">
        <f t="shared" si="0"/>
        <v>0</v>
      </c>
      <c r="H11" s="21"/>
      <c r="I11" s="22"/>
      <c r="J11" s="7"/>
    </row>
    <row r="12" spans="1:10" ht="15" customHeight="1">
      <c r="A12" s="17" t="s">
        <v>22</v>
      </c>
      <c r="B12" s="14" t="s">
        <v>23</v>
      </c>
      <c r="C12" s="14"/>
      <c r="D12" s="14"/>
      <c r="E12" s="18"/>
      <c r="F12" s="19">
        <v>-3.64</v>
      </c>
      <c r="G12" s="20">
        <f t="shared" si="0"/>
        <v>0</v>
      </c>
      <c r="H12" s="21"/>
      <c r="I12" s="22"/>
      <c r="J12" s="7"/>
    </row>
    <row r="13" spans="1:10" ht="15" customHeight="1">
      <c r="A13" s="17" t="s">
        <v>24</v>
      </c>
      <c r="B13" s="14" t="s">
        <v>25</v>
      </c>
      <c r="C13" s="14"/>
      <c r="D13" s="14"/>
      <c r="E13" s="18"/>
      <c r="F13" s="19">
        <v>-7.22</v>
      </c>
      <c r="G13" s="20">
        <f t="shared" si="0"/>
        <v>0</v>
      </c>
      <c r="H13" s="21"/>
      <c r="I13" s="22"/>
      <c r="J13" s="7"/>
    </row>
    <row r="14" spans="1:10" ht="15" customHeight="1">
      <c r="A14" s="17" t="s">
        <v>26</v>
      </c>
      <c r="B14" s="14" t="s">
        <v>27</v>
      </c>
      <c r="C14" s="14"/>
      <c r="D14" s="14"/>
      <c r="E14" s="18"/>
      <c r="F14" s="19">
        <v>-7.47</v>
      </c>
      <c r="G14" s="20">
        <f t="shared" si="0"/>
        <v>0</v>
      </c>
      <c r="H14" s="21"/>
      <c r="I14" s="22"/>
      <c r="J14" s="7"/>
    </row>
    <row r="15" spans="1:10" ht="15" customHeight="1">
      <c r="A15" s="17" t="s">
        <v>28</v>
      </c>
      <c r="B15" s="14" t="s">
        <v>29</v>
      </c>
      <c r="C15" s="14"/>
      <c r="D15" s="14"/>
      <c r="E15" s="18"/>
      <c r="F15" s="19">
        <v>-18.919999999999998</v>
      </c>
      <c r="G15" s="20">
        <f>ROUND(F15/$F$228,4)-0.0001</f>
        <v>-1E-4</v>
      </c>
      <c r="H15" s="21"/>
      <c r="I15" s="22"/>
      <c r="J15" s="7"/>
    </row>
    <row r="16" spans="1:10" ht="15" customHeight="1">
      <c r="A16" s="7"/>
      <c r="B16" s="13" t="s">
        <v>30</v>
      </c>
      <c r="C16" s="14"/>
      <c r="D16" s="14"/>
      <c r="E16" s="14"/>
      <c r="F16" s="23">
        <v>-40.4</v>
      </c>
      <c r="G16" s="24">
        <f t="shared" ref="G16:G17" si="1">ROUND(F16/$F$228,4)</f>
        <v>-1E-4</v>
      </c>
      <c r="H16" s="25"/>
      <c r="I16" s="25"/>
      <c r="J16" s="7"/>
    </row>
    <row r="17" spans="1:10" ht="15" customHeight="1">
      <c r="A17" s="7"/>
      <c r="B17" s="26" t="s">
        <v>31</v>
      </c>
      <c r="C17" s="27"/>
      <c r="D17" s="27"/>
      <c r="E17" s="27"/>
      <c r="F17" s="23">
        <v>-40.4</v>
      </c>
      <c r="G17" s="24">
        <f t="shared" si="1"/>
        <v>-1E-4</v>
      </c>
      <c r="H17" s="25"/>
      <c r="I17" s="25"/>
      <c r="J17" s="7"/>
    </row>
    <row r="18" spans="1:10" ht="15" customHeight="1">
      <c r="A18" s="7"/>
      <c r="B18" s="13" t="s">
        <v>32</v>
      </c>
      <c r="C18" s="14"/>
      <c r="D18" s="14"/>
      <c r="E18" s="14"/>
      <c r="F18" s="14"/>
      <c r="G18" s="14"/>
      <c r="H18" s="15"/>
      <c r="I18" s="15"/>
      <c r="J18" s="7"/>
    </row>
    <row r="19" spans="1:10" ht="15" customHeight="1">
      <c r="A19" s="7"/>
      <c r="B19" s="13" t="s">
        <v>33</v>
      </c>
      <c r="C19" s="14"/>
      <c r="D19" s="14"/>
      <c r="E19" s="14"/>
      <c r="F19" s="16"/>
      <c r="G19" s="15"/>
      <c r="H19" s="15"/>
      <c r="I19" s="15"/>
      <c r="J19" s="7"/>
    </row>
    <row r="20" spans="1:10" ht="15" customHeight="1">
      <c r="A20" s="17" t="s">
        <v>34</v>
      </c>
      <c r="B20" s="14" t="s">
        <v>35</v>
      </c>
      <c r="C20" s="14" t="s">
        <v>36</v>
      </c>
      <c r="D20" s="14" t="s">
        <v>37</v>
      </c>
      <c r="E20" s="18">
        <v>45000000</v>
      </c>
      <c r="F20" s="19">
        <v>45110.66</v>
      </c>
      <c r="G20" s="20">
        <v>6.0100000000000001E-2</v>
      </c>
      <c r="H20" s="21">
        <v>7.3133000000000004E-2</v>
      </c>
      <c r="I20" s="22"/>
      <c r="J20" s="7"/>
    </row>
    <row r="21" spans="1:10" ht="15" customHeight="1">
      <c r="A21" s="17" t="s">
        <v>38</v>
      </c>
      <c r="B21" s="14" t="s">
        <v>39</v>
      </c>
      <c r="C21" s="14" t="s">
        <v>40</v>
      </c>
      <c r="D21" s="14" t="s">
        <v>41</v>
      </c>
      <c r="E21" s="18">
        <v>4000</v>
      </c>
      <c r="F21" s="19">
        <v>39868.44</v>
      </c>
      <c r="G21" s="20">
        <v>5.3100000000000001E-2</v>
      </c>
      <c r="H21" s="21">
        <v>7.5399999999999995E-2</v>
      </c>
      <c r="I21" s="22"/>
      <c r="J21" s="7"/>
    </row>
    <row r="22" spans="1:10" ht="15" customHeight="1">
      <c r="A22" s="17" t="s">
        <v>42</v>
      </c>
      <c r="B22" s="14" t="s">
        <v>43</v>
      </c>
      <c r="C22" s="14" t="s">
        <v>44</v>
      </c>
      <c r="D22" s="14" t="s">
        <v>37</v>
      </c>
      <c r="E22" s="18">
        <v>28000000</v>
      </c>
      <c r="F22" s="19">
        <v>27662.04</v>
      </c>
      <c r="G22" s="20">
        <v>3.6799999999999999E-2</v>
      </c>
      <c r="H22" s="21"/>
      <c r="I22" s="22"/>
      <c r="J22" s="7"/>
    </row>
    <row r="23" spans="1:10" ht="15" customHeight="1">
      <c r="A23" s="17" t="s">
        <v>45</v>
      </c>
      <c r="B23" s="14" t="s">
        <v>46</v>
      </c>
      <c r="C23" s="14" t="s">
        <v>47</v>
      </c>
      <c r="D23" s="14" t="s">
        <v>48</v>
      </c>
      <c r="E23" s="18">
        <v>2600</v>
      </c>
      <c r="F23" s="19">
        <v>25841.61</v>
      </c>
      <c r="G23" s="20">
        <v>3.44E-2</v>
      </c>
      <c r="H23" s="21">
        <v>7.0999999999999994E-2</v>
      </c>
      <c r="I23" s="22"/>
      <c r="J23" s="7"/>
    </row>
    <row r="24" spans="1:10" ht="15" customHeight="1">
      <c r="A24" s="17" t="s">
        <v>49</v>
      </c>
      <c r="B24" s="14" t="s">
        <v>50</v>
      </c>
      <c r="C24" s="14" t="s">
        <v>51</v>
      </c>
      <c r="D24" s="14" t="s">
        <v>52</v>
      </c>
      <c r="E24" s="18">
        <v>2500</v>
      </c>
      <c r="F24" s="19">
        <v>24285.9</v>
      </c>
      <c r="G24" s="20">
        <v>3.2300000000000002E-2</v>
      </c>
      <c r="H24" s="21">
        <v>8.5828000000000002E-2</v>
      </c>
      <c r="I24" s="22"/>
      <c r="J24" s="7"/>
    </row>
    <row r="25" spans="1:10" ht="15" customHeight="1">
      <c r="A25" s="17" t="s">
        <v>53</v>
      </c>
      <c r="B25" s="14" t="s">
        <v>54</v>
      </c>
      <c r="C25" s="14" t="s">
        <v>55</v>
      </c>
      <c r="D25" s="14" t="s">
        <v>56</v>
      </c>
      <c r="E25" s="18">
        <v>2000</v>
      </c>
      <c r="F25" s="19">
        <v>20076.52</v>
      </c>
      <c r="G25" s="20">
        <v>2.6700000000000002E-2</v>
      </c>
      <c r="H25" s="21">
        <v>7.6825500000000005E-2</v>
      </c>
      <c r="I25" s="22"/>
      <c r="J25" s="7"/>
    </row>
    <row r="26" spans="1:10" ht="15" customHeight="1">
      <c r="A26" s="17" t="s">
        <v>57</v>
      </c>
      <c r="B26" s="14" t="s">
        <v>58</v>
      </c>
      <c r="C26" s="14" t="s">
        <v>59</v>
      </c>
      <c r="D26" s="14" t="s">
        <v>56</v>
      </c>
      <c r="E26" s="18">
        <v>1500</v>
      </c>
      <c r="F26" s="19">
        <v>15041.16</v>
      </c>
      <c r="G26" s="20">
        <v>0.02</v>
      </c>
      <c r="H26" s="21">
        <v>8.4526500000000004E-2</v>
      </c>
      <c r="I26" s="22"/>
      <c r="J26" s="7"/>
    </row>
    <row r="27" spans="1:10" ht="15" customHeight="1">
      <c r="A27" s="17" t="s">
        <v>60</v>
      </c>
      <c r="B27" s="14" t="s">
        <v>61</v>
      </c>
      <c r="C27" s="14" t="s">
        <v>62</v>
      </c>
      <c r="D27" s="14" t="s">
        <v>37</v>
      </c>
      <c r="E27" s="18">
        <v>15000000</v>
      </c>
      <c r="F27" s="19">
        <v>14262.59</v>
      </c>
      <c r="G27" s="20">
        <v>1.9E-2</v>
      </c>
      <c r="H27" s="21">
        <v>7.2317000000000006E-2</v>
      </c>
      <c r="I27" s="22"/>
      <c r="J27" s="7"/>
    </row>
    <row r="28" spans="1:10" ht="15" customHeight="1">
      <c r="A28" s="17" t="s">
        <v>63</v>
      </c>
      <c r="B28" s="14" t="s">
        <v>64</v>
      </c>
      <c r="C28" s="14" t="s">
        <v>65</v>
      </c>
      <c r="D28" s="14" t="s">
        <v>41</v>
      </c>
      <c r="E28" s="18">
        <v>1250</v>
      </c>
      <c r="F28" s="19">
        <v>12432.79</v>
      </c>
      <c r="G28" s="20">
        <v>1.66E-2</v>
      </c>
      <c r="H28" s="21">
        <v>7.4499999999999997E-2</v>
      </c>
      <c r="I28" s="22"/>
      <c r="J28" s="7"/>
    </row>
    <row r="29" spans="1:10" ht="15" customHeight="1">
      <c r="A29" s="17" t="s">
        <v>66</v>
      </c>
      <c r="B29" s="14" t="s">
        <v>67</v>
      </c>
      <c r="C29" s="14" t="s">
        <v>68</v>
      </c>
      <c r="D29" s="14" t="s">
        <v>41</v>
      </c>
      <c r="E29" s="18">
        <v>1100</v>
      </c>
      <c r="F29" s="19">
        <v>10983.85</v>
      </c>
      <c r="G29" s="20">
        <v>1.46E-2</v>
      </c>
      <c r="H29" s="21">
        <v>7.2650000000000006E-2</v>
      </c>
      <c r="I29" s="22"/>
      <c r="J29" s="7"/>
    </row>
    <row r="30" spans="1:10" ht="15" customHeight="1">
      <c r="A30" s="17" t="s">
        <v>69</v>
      </c>
      <c r="B30" s="14" t="s">
        <v>70</v>
      </c>
      <c r="C30" s="14" t="s">
        <v>71</v>
      </c>
      <c r="D30" s="14" t="s">
        <v>41</v>
      </c>
      <c r="E30" s="18">
        <v>1050</v>
      </c>
      <c r="F30" s="19">
        <v>10643.52</v>
      </c>
      <c r="G30" s="20">
        <v>1.4200000000000001E-2</v>
      </c>
      <c r="H30" s="21">
        <v>7.2349999999999998E-2</v>
      </c>
      <c r="I30" s="22"/>
      <c r="J30" s="7"/>
    </row>
    <row r="31" spans="1:10" ht="15" customHeight="1">
      <c r="A31" s="17" t="s">
        <v>72</v>
      </c>
      <c r="B31" s="14" t="s">
        <v>73</v>
      </c>
      <c r="C31" s="14" t="s">
        <v>74</v>
      </c>
      <c r="D31" s="14" t="s">
        <v>41</v>
      </c>
      <c r="E31" s="18">
        <v>1000</v>
      </c>
      <c r="F31" s="19">
        <v>10064.11</v>
      </c>
      <c r="G31" s="20">
        <v>1.34E-2</v>
      </c>
      <c r="H31" s="21">
        <v>7.8525499999999998E-2</v>
      </c>
      <c r="I31" s="21">
        <v>7.5478276999999996E-2</v>
      </c>
      <c r="J31" s="7"/>
    </row>
    <row r="32" spans="1:10" ht="15" customHeight="1">
      <c r="A32" s="17" t="s">
        <v>75</v>
      </c>
      <c r="B32" s="14" t="s">
        <v>76</v>
      </c>
      <c r="C32" s="14" t="s">
        <v>77</v>
      </c>
      <c r="D32" s="14" t="s">
        <v>37</v>
      </c>
      <c r="E32" s="18">
        <v>9799000</v>
      </c>
      <c r="F32" s="19">
        <v>9956.09</v>
      </c>
      <c r="G32" s="20">
        <v>1.3299999999999999E-2</v>
      </c>
      <c r="H32" s="21">
        <v>7.6586000000000001E-2</v>
      </c>
      <c r="I32" s="21"/>
      <c r="J32" s="7"/>
    </row>
    <row r="33" spans="1:10" ht="15" customHeight="1">
      <c r="A33" s="17" t="s">
        <v>78</v>
      </c>
      <c r="B33" s="14" t="s">
        <v>79</v>
      </c>
      <c r="C33" s="14" t="s">
        <v>80</v>
      </c>
      <c r="D33" s="14" t="s">
        <v>41</v>
      </c>
      <c r="E33" s="18">
        <v>1000</v>
      </c>
      <c r="F33" s="19">
        <v>9922.31</v>
      </c>
      <c r="G33" s="20">
        <v>1.32E-2</v>
      </c>
      <c r="H33" s="21">
        <v>6.9401000000000004E-2</v>
      </c>
      <c r="I33" s="21"/>
      <c r="J33" s="7"/>
    </row>
    <row r="34" spans="1:10" ht="15" customHeight="1">
      <c r="A34" s="17" t="s">
        <v>81</v>
      </c>
      <c r="B34" s="14" t="s">
        <v>82</v>
      </c>
      <c r="C34" s="14" t="s">
        <v>83</v>
      </c>
      <c r="D34" s="14" t="s">
        <v>56</v>
      </c>
      <c r="E34" s="18">
        <v>1000</v>
      </c>
      <c r="F34" s="19">
        <v>9877.3700000000008</v>
      </c>
      <c r="G34" s="20">
        <v>1.32E-2</v>
      </c>
      <c r="H34" s="21">
        <v>7.9049999999999995E-2</v>
      </c>
      <c r="I34" s="21"/>
      <c r="J34" s="7"/>
    </row>
    <row r="35" spans="1:10" ht="15" customHeight="1">
      <c r="A35" s="17" t="s">
        <v>84</v>
      </c>
      <c r="B35" s="14" t="s">
        <v>85</v>
      </c>
      <c r="C35" s="14" t="s">
        <v>86</v>
      </c>
      <c r="D35" s="14" t="s">
        <v>41</v>
      </c>
      <c r="E35" s="18">
        <v>1000</v>
      </c>
      <c r="F35" s="19">
        <v>9856.0300000000007</v>
      </c>
      <c r="G35" s="20">
        <v>1.3100000000000001E-2</v>
      </c>
      <c r="H35" s="21">
        <v>7.1599999999999997E-2</v>
      </c>
      <c r="I35" s="21"/>
      <c r="J35" s="7"/>
    </row>
    <row r="36" spans="1:10" ht="15" customHeight="1">
      <c r="A36" s="17" t="s">
        <v>87</v>
      </c>
      <c r="B36" s="14" t="s">
        <v>88</v>
      </c>
      <c r="C36" s="14" t="s">
        <v>89</v>
      </c>
      <c r="D36" s="14" t="s">
        <v>37</v>
      </c>
      <c r="E36" s="18">
        <v>8955600</v>
      </c>
      <c r="F36" s="19">
        <v>9047.14</v>
      </c>
      <c r="G36" s="20">
        <v>1.2E-2</v>
      </c>
      <c r="H36" s="21">
        <v>7.2284000000000001E-2</v>
      </c>
      <c r="I36" s="21"/>
      <c r="J36" s="7"/>
    </row>
    <row r="37" spans="1:10" ht="15" customHeight="1">
      <c r="A37" s="17" t="s">
        <v>90</v>
      </c>
      <c r="B37" s="14" t="s">
        <v>91</v>
      </c>
      <c r="C37" s="14" t="s">
        <v>92</v>
      </c>
      <c r="D37" s="14" t="s">
        <v>37</v>
      </c>
      <c r="E37" s="18">
        <v>7514000</v>
      </c>
      <c r="F37" s="19">
        <v>7659.23</v>
      </c>
      <c r="G37" s="20">
        <v>1.0200000000000001E-2</v>
      </c>
      <c r="H37" s="21">
        <v>7.4093000000000006E-2</v>
      </c>
      <c r="I37" s="21"/>
      <c r="J37" s="7"/>
    </row>
    <row r="38" spans="1:10" ht="15" customHeight="1">
      <c r="A38" s="17" t="s">
        <v>93</v>
      </c>
      <c r="B38" s="14" t="s">
        <v>94</v>
      </c>
      <c r="C38" s="14" t="s">
        <v>95</v>
      </c>
      <c r="D38" s="14" t="s">
        <v>37</v>
      </c>
      <c r="E38" s="18">
        <v>7567000</v>
      </c>
      <c r="F38" s="19">
        <v>7632.95</v>
      </c>
      <c r="G38" s="20">
        <v>1.0200000000000001E-2</v>
      </c>
      <c r="H38" s="21">
        <v>6.9956000000000004E-2</v>
      </c>
      <c r="I38" s="21"/>
      <c r="J38" s="7"/>
    </row>
    <row r="39" spans="1:10" ht="15" customHeight="1">
      <c r="A39" s="17" t="s">
        <v>96</v>
      </c>
      <c r="B39" s="14" t="s">
        <v>97</v>
      </c>
      <c r="C39" s="14" t="s">
        <v>98</v>
      </c>
      <c r="D39" s="14" t="s">
        <v>41</v>
      </c>
      <c r="E39" s="18">
        <v>750</v>
      </c>
      <c r="F39" s="19">
        <v>7497.67</v>
      </c>
      <c r="G39" s="20">
        <v>0.01</v>
      </c>
      <c r="H39" s="21">
        <v>7.4200000000000002E-2</v>
      </c>
      <c r="I39" s="21"/>
      <c r="J39" s="7"/>
    </row>
    <row r="40" spans="1:10" ht="15" customHeight="1">
      <c r="A40" s="17" t="s">
        <v>99</v>
      </c>
      <c r="B40" s="14" t="s">
        <v>100</v>
      </c>
      <c r="C40" s="14" t="s">
        <v>101</v>
      </c>
      <c r="D40" s="14" t="s">
        <v>41</v>
      </c>
      <c r="E40" s="18">
        <v>750</v>
      </c>
      <c r="F40" s="19">
        <v>7396.16</v>
      </c>
      <c r="G40" s="20">
        <v>9.7999999999999997E-3</v>
      </c>
      <c r="H40" s="21">
        <v>7.7165999999999998E-2</v>
      </c>
      <c r="I40" s="21"/>
      <c r="J40" s="7"/>
    </row>
    <row r="41" spans="1:10" ht="15" customHeight="1">
      <c r="A41" s="17" t="s">
        <v>102</v>
      </c>
      <c r="B41" s="14" t="s">
        <v>103</v>
      </c>
      <c r="C41" s="14" t="s">
        <v>104</v>
      </c>
      <c r="D41" s="14" t="s">
        <v>41</v>
      </c>
      <c r="E41" s="18">
        <v>750</v>
      </c>
      <c r="F41" s="19">
        <v>7321.06</v>
      </c>
      <c r="G41" s="20">
        <v>9.7000000000000003E-3</v>
      </c>
      <c r="H41" s="21">
        <v>7.2099999999999997E-2</v>
      </c>
      <c r="I41" s="21"/>
      <c r="J41" s="7"/>
    </row>
    <row r="42" spans="1:10" ht="15" customHeight="1">
      <c r="A42" s="17" t="s">
        <v>105</v>
      </c>
      <c r="B42" s="14" t="s">
        <v>106</v>
      </c>
      <c r="C42" s="14" t="s">
        <v>107</v>
      </c>
      <c r="D42" s="14" t="s">
        <v>41</v>
      </c>
      <c r="E42" s="18">
        <v>750</v>
      </c>
      <c r="F42" s="19">
        <v>7294.82</v>
      </c>
      <c r="G42" s="20">
        <v>9.7000000000000003E-3</v>
      </c>
      <c r="H42" s="21">
        <v>7.2599999999999998E-2</v>
      </c>
      <c r="I42" s="21"/>
      <c r="J42" s="7"/>
    </row>
    <row r="43" spans="1:10" ht="15" customHeight="1">
      <c r="A43" s="17" t="s">
        <v>108</v>
      </c>
      <c r="B43" s="14" t="s">
        <v>109</v>
      </c>
      <c r="C43" s="14" t="s">
        <v>110</v>
      </c>
      <c r="D43" s="14" t="s">
        <v>41</v>
      </c>
      <c r="E43" s="18">
        <v>750</v>
      </c>
      <c r="F43" s="19">
        <v>7157.78</v>
      </c>
      <c r="G43" s="20">
        <v>9.4999999999999998E-3</v>
      </c>
      <c r="H43" s="21">
        <v>7.4099999999999999E-2</v>
      </c>
      <c r="I43" s="21"/>
      <c r="J43" s="7"/>
    </row>
    <row r="44" spans="1:10" ht="15" customHeight="1">
      <c r="A44" s="17" t="s">
        <v>111</v>
      </c>
      <c r="B44" s="14" t="s">
        <v>112</v>
      </c>
      <c r="C44" s="14" t="s">
        <v>113</v>
      </c>
      <c r="D44" s="14" t="s">
        <v>41</v>
      </c>
      <c r="E44" s="18">
        <v>650</v>
      </c>
      <c r="F44" s="19">
        <v>6480.66</v>
      </c>
      <c r="G44" s="20">
        <v>8.6E-3</v>
      </c>
      <c r="H44" s="21">
        <v>7.4499999999999997E-2</v>
      </c>
      <c r="I44" s="21"/>
      <c r="J44" s="7"/>
    </row>
    <row r="45" spans="1:10" ht="15" customHeight="1">
      <c r="A45" s="17" t="s">
        <v>114</v>
      </c>
      <c r="B45" s="14" t="s">
        <v>115</v>
      </c>
      <c r="C45" s="14" t="s">
        <v>116</v>
      </c>
      <c r="D45" s="14" t="s">
        <v>117</v>
      </c>
      <c r="E45" s="18">
        <v>650</v>
      </c>
      <c r="F45" s="19">
        <v>6371.39</v>
      </c>
      <c r="G45" s="20">
        <v>8.5000000000000006E-3</v>
      </c>
      <c r="H45" s="21">
        <v>8.6097999999999994E-2</v>
      </c>
      <c r="I45" s="21"/>
      <c r="J45" s="7"/>
    </row>
    <row r="46" spans="1:10" ht="15" customHeight="1">
      <c r="A46" s="17" t="s">
        <v>118</v>
      </c>
      <c r="B46" s="14" t="s">
        <v>119</v>
      </c>
      <c r="C46" s="14" t="s">
        <v>120</v>
      </c>
      <c r="D46" s="14" t="s">
        <v>56</v>
      </c>
      <c r="E46" s="18">
        <v>600</v>
      </c>
      <c r="F46" s="19">
        <v>5930.19</v>
      </c>
      <c r="G46" s="20">
        <v>7.9000000000000008E-3</v>
      </c>
      <c r="H46" s="21">
        <v>7.2999999999999995E-2</v>
      </c>
      <c r="I46" s="21"/>
      <c r="J46" s="7"/>
    </row>
    <row r="47" spans="1:10" ht="15" customHeight="1">
      <c r="A47" s="17" t="s">
        <v>121</v>
      </c>
      <c r="B47" s="14" t="s">
        <v>122</v>
      </c>
      <c r="C47" s="14" t="s">
        <v>123</v>
      </c>
      <c r="D47" s="14" t="s">
        <v>37</v>
      </c>
      <c r="E47" s="18">
        <v>5219200</v>
      </c>
      <c r="F47" s="19">
        <v>5265.44</v>
      </c>
      <c r="G47" s="20">
        <v>7.0000000000000001E-3</v>
      </c>
      <c r="H47" s="21">
        <v>6.8877999999999995E-2</v>
      </c>
      <c r="I47" s="21"/>
      <c r="J47" s="7"/>
    </row>
    <row r="48" spans="1:10" ht="15" customHeight="1">
      <c r="A48" s="17" t="s">
        <v>124</v>
      </c>
      <c r="B48" s="14" t="s">
        <v>125</v>
      </c>
      <c r="C48" s="14" t="s">
        <v>126</v>
      </c>
      <c r="D48" s="14" t="s">
        <v>37</v>
      </c>
      <c r="E48" s="18">
        <v>5000000</v>
      </c>
      <c r="F48" s="19">
        <v>5032.1499999999996</v>
      </c>
      <c r="G48" s="20">
        <v>6.7000000000000002E-3</v>
      </c>
      <c r="H48" s="21">
        <v>6.6110000000000002E-2</v>
      </c>
      <c r="I48" s="21"/>
      <c r="J48" s="7"/>
    </row>
    <row r="49" spans="1:10" ht="15" customHeight="1">
      <c r="A49" s="17" t="s">
        <v>127</v>
      </c>
      <c r="B49" s="14" t="s">
        <v>128</v>
      </c>
      <c r="C49" s="14" t="s">
        <v>129</v>
      </c>
      <c r="D49" s="14" t="s">
        <v>41</v>
      </c>
      <c r="E49" s="18">
        <v>500</v>
      </c>
      <c r="F49" s="19">
        <v>4991.46</v>
      </c>
      <c r="G49" s="20">
        <v>6.6E-3</v>
      </c>
      <c r="H49" s="21">
        <v>7.8049999999999994E-2</v>
      </c>
      <c r="I49" s="21"/>
      <c r="J49" s="7"/>
    </row>
    <row r="50" spans="1:10" ht="15" customHeight="1">
      <c r="A50" s="17" t="s">
        <v>130</v>
      </c>
      <c r="B50" s="14" t="s">
        <v>131</v>
      </c>
      <c r="C50" s="14" t="s">
        <v>132</v>
      </c>
      <c r="D50" s="14" t="s">
        <v>41</v>
      </c>
      <c r="E50" s="18">
        <v>500</v>
      </c>
      <c r="F50" s="19">
        <v>4991.1899999999996</v>
      </c>
      <c r="G50" s="20">
        <v>6.6E-3</v>
      </c>
      <c r="H50" s="21">
        <v>7.3999999999999996E-2</v>
      </c>
      <c r="I50" s="21"/>
      <c r="J50" s="7"/>
    </row>
    <row r="51" spans="1:10" ht="15" customHeight="1">
      <c r="A51" s="17" t="s">
        <v>133</v>
      </c>
      <c r="B51" s="14" t="s">
        <v>134</v>
      </c>
      <c r="C51" s="14" t="s">
        <v>135</v>
      </c>
      <c r="D51" s="14" t="s">
        <v>136</v>
      </c>
      <c r="E51" s="18">
        <v>500</v>
      </c>
      <c r="F51" s="19">
        <v>4990.32</v>
      </c>
      <c r="G51" s="20">
        <v>6.6E-3</v>
      </c>
      <c r="H51" s="21">
        <v>8.4447999999999995E-2</v>
      </c>
      <c r="I51" s="21"/>
      <c r="J51" s="7"/>
    </row>
    <row r="52" spans="1:10" ht="15" customHeight="1">
      <c r="A52" s="17" t="s">
        <v>137</v>
      </c>
      <c r="B52" s="14" t="s">
        <v>138</v>
      </c>
      <c r="C52" s="14" t="s">
        <v>139</v>
      </c>
      <c r="D52" s="14" t="s">
        <v>41</v>
      </c>
      <c r="E52" s="18">
        <v>500</v>
      </c>
      <c r="F52" s="19">
        <v>4924.8900000000003</v>
      </c>
      <c r="G52" s="20">
        <v>6.6E-3</v>
      </c>
      <c r="H52" s="21">
        <v>7.7799999999999994E-2</v>
      </c>
      <c r="I52" s="21"/>
      <c r="J52" s="7"/>
    </row>
    <row r="53" spans="1:10" ht="15" customHeight="1">
      <c r="A53" s="17" t="s">
        <v>140</v>
      </c>
      <c r="B53" s="14" t="s">
        <v>141</v>
      </c>
      <c r="C53" s="14" t="s">
        <v>142</v>
      </c>
      <c r="D53" s="14" t="s">
        <v>41</v>
      </c>
      <c r="E53" s="18">
        <v>500</v>
      </c>
      <c r="F53" s="19">
        <v>4891.3900000000003</v>
      </c>
      <c r="G53" s="20">
        <v>6.4999999999999997E-3</v>
      </c>
      <c r="H53" s="21">
        <v>7.3400000000000007E-2</v>
      </c>
      <c r="I53" s="21"/>
      <c r="J53" s="7"/>
    </row>
    <row r="54" spans="1:10" ht="15" customHeight="1">
      <c r="A54" s="17" t="s">
        <v>143</v>
      </c>
      <c r="B54" s="14" t="s">
        <v>144</v>
      </c>
      <c r="C54" s="14" t="s">
        <v>145</v>
      </c>
      <c r="D54" s="14" t="s">
        <v>41</v>
      </c>
      <c r="E54" s="18">
        <v>500</v>
      </c>
      <c r="F54" s="19">
        <v>4870.79</v>
      </c>
      <c r="G54" s="20">
        <v>6.4999999999999997E-3</v>
      </c>
      <c r="H54" s="21">
        <v>7.3700000000000002E-2</v>
      </c>
      <c r="I54" s="21"/>
      <c r="J54" s="7"/>
    </row>
    <row r="55" spans="1:10" ht="15" customHeight="1">
      <c r="A55" s="17" t="s">
        <v>146</v>
      </c>
      <c r="B55" s="14" t="s">
        <v>147</v>
      </c>
      <c r="C55" s="14" t="s">
        <v>148</v>
      </c>
      <c r="D55" s="14" t="s">
        <v>41</v>
      </c>
      <c r="E55" s="18">
        <v>500</v>
      </c>
      <c r="F55" s="19">
        <v>4849.3100000000004</v>
      </c>
      <c r="G55" s="20">
        <v>6.4999999999999997E-3</v>
      </c>
      <c r="H55" s="21">
        <v>8.2126000000000005E-2</v>
      </c>
      <c r="I55" s="21"/>
      <c r="J55" s="7"/>
    </row>
    <row r="56" spans="1:10" ht="15" customHeight="1">
      <c r="A56" s="17" t="s">
        <v>149</v>
      </c>
      <c r="B56" s="14" t="s">
        <v>150</v>
      </c>
      <c r="C56" s="14" t="s">
        <v>151</v>
      </c>
      <c r="D56" s="14" t="s">
        <v>41</v>
      </c>
      <c r="E56" s="18">
        <v>500</v>
      </c>
      <c r="F56" s="19">
        <v>4826.5</v>
      </c>
      <c r="G56" s="20">
        <v>6.4000000000000003E-3</v>
      </c>
      <c r="H56" s="21">
        <v>8.3906999999999995E-2</v>
      </c>
      <c r="I56" s="21"/>
      <c r="J56" s="7"/>
    </row>
    <row r="57" spans="1:10" ht="15" customHeight="1">
      <c r="A57" s="17" t="s">
        <v>152</v>
      </c>
      <c r="B57" s="14" t="s">
        <v>153</v>
      </c>
      <c r="C57" s="14" t="s">
        <v>154</v>
      </c>
      <c r="D57" s="14" t="s">
        <v>37</v>
      </c>
      <c r="E57" s="18">
        <v>6598000</v>
      </c>
      <c r="F57" s="19">
        <v>4127.72</v>
      </c>
      <c r="G57" s="20">
        <v>5.4999999999999997E-3</v>
      </c>
      <c r="H57" s="21">
        <v>7.47525E-2</v>
      </c>
      <c r="I57" s="21"/>
      <c r="J57" s="7"/>
    </row>
    <row r="58" spans="1:10" ht="15" customHeight="1">
      <c r="A58" s="17" t="s">
        <v>155</v>
      </c>
      <c r="B58" s="14" t="s">
        <v>156</v>
      </c>
      <c r="C58" s="14" t="s">
        <v>157</v>
      </c>
      <c r="D58" s="14" t="s">
        <v>41</v>
      </c>
      <c r="E58" s="18">
        <v>400</v>
      </c>
      <c r="F58" s="19">
        <v>4021.54</v>
      </c>
      <c r="G58" s="20">
        <v>5.4000000000000003E-3</v>
      </c>
      <c r="H58" s="21">
        <v>7.4413000000000007E-2</v>
      </c>
      <c r="I58" s="21"/>
      <c r="J58" s="7"/>
    </row>
    <row r="59" spans="1:10" ht="15" customHeight="1">
      <c r="A59" s="17" t="s">
        <v>158</v>
      </c>
      <c r="B59" s="14" t="s">
        <v>159</v>
      </c>
      <c r="C59" s="14" t="s">
        <v>160</v>
      </c>
      <c r="D59" s="14" t="s">
        <v>48</v>
      </c>
      <c r="E59" s="18">
        <v>400</v>
      </c>
      <c r="F59" s="19">
        <v>3892.19</v>
      </c>
      <c r="G59" s="20">
        <v>5.1999999999999998E-3</v>
      </c>
      <c r="H59" s="21">
        <v>7.2999999999999995E-2</v>
      </c>
      <c r="I59" s="21"/>
      <c r="J59" s="7"/>
    </row>
    <row r="60" spans="1:10" ht="15" customHeight="1">
      <c r="A60" s="17" t="s">
        <v>161</v>
      </c>
      <c r="B60" s="14" t="s">
        <v>162</v>
      </c>
      <c r="C60" s="14" t="s">
        <v>163</v>
      </c>
      <c r="D60" s="14" t="s">
        <v>37</v>
      </c>
      <c r="E60" s="18">
        <v>4613000</v>
      </c>
      <c r="F60" s="19">
        <v>3804.26</v>
      </c>
      <c r="G60" s="20">
        <v>5.1000000000000004E-3</v>
      </c>
      <c r="H60" s="21">
        <v>7.2528999999999996E-2</v>
      </c>
      <c r="I60" s="21"/>
      <c r="J60" s="7"/>
    </row>
    <row r="61" spans="1:10" ht="15" customHeight="1">
      <c r="A61" s="17" t="s">
        <v>164</v>
      </c>
      <c r="B61" s="14" t="s">
        <v>165</v>
      </c>
      <c r="C61" s="14" t="s">
        <v>166</v>
      </c>
      <c r="D61" s="14" t="s">
        <v>41</v>
      </c>
      <c r="E61" s="18">
        <v>350</v>
      </c>
      <c r="F61" s="19">
        <v>3471.97</v>
      </c>
      <c r="G61" s="20">
        <v>4.5999999999999999E-3</v>
      </c>
      <c r="H61" s="21">
        <v>7.4399999999999994E-2</v>
      </c>
      <c r="I61" s="21"/>
      <c r="J61" s="7"/>
    </row>
    <row r="62" spans="1:10" ht="15" customHeight="1">
      <c r="A62" s="17" t="s">
        <v>167</v>
      </c>
      <c r="B62" s="14" t="s">
        <v>168</v>
      </c>
      <c r="C62" s="14" t="s">
        <v>169</v>
      </c>
      <c r="D62" s="14" t="s">
        <v>41</v>
      </c>
      <c r="E62" s="18">
        <v>350</v>
      </c>
      <c r="F62" s="19">
        <v>3400.43</v>
      </c>
      <c r="G62" s="20">
        <v>4.4999999999999997E-3</v>
      </c>
      <c r="H62" s="21">
        <v>7.9967999999999997E-2</v>
      </c>
      <c r="I62" s="21"/>
      <c r="J62" s="7"/>
    </row>
    <row r="63" spans="1:10" ht="15" customHeight="1">
      <c r="A63" s="17" t="s">
        <v>170</v>
      </c>
      <c r="B63" s="14" t="s">
        <v>171</v>
      </c>
      <c r="C63" s="14" t="s">
        <v>172</v>
      </c>
      <c r="D63" s="14" t="s">
        <v>37</v>
      </c>
      <c r="E63" s="18">
        <v>3162000</v>
      </c>
      <c r="F63" s="19">
        <v>3165.86</v>
      </c>
      <c r="G63" s="20">
        <v>4.1999999999999997E-3</v>
      </c>
      <c r="H63" s="21"/>
      <c r="I63" s="21"/>
      <c r="J63" s="7"/>
    </row>
    <row r="64" spans="1:10" ht="15" customHeight="1">
      <c r="A64" s="17" t="s">
        <v>173</v>
      </c>
      <c r="B64" s="14" t="s">
        <v>174</v>
      </c>
      <c r="C64" s="14" t="s">
        <v>175</v>
      </c>
      <c r="D64" s="14" t="s">
        <v>37</v>
      </c>
      <c r="E64" s="18">
        <v>3000000</v>
      </c>
      <c r="F64" s="19">
        <v>3052.12</v>
      </c>
      <c r="G64" s="20">
        <v>4.1000000000000003E-3</v>
      </c>
      <c r="H64" s="21">
        <v>7.6272000000000006E-2</v>
      </c>
      <c r="I64" s="21"/>
      <c r="J64" s="7"/>
    </row>
    <row r="65" spans="1:10" ht="15" customHeight="1">
      <c r="A65" s="17" t="s">
        <v>176</v>
      </c>
      <c r="B65" s="14" t="s">
        <v>177</v>
      </c>
      <c r="C65" s="14" t="s">
        <v>178</v>
      </c>
      <c r="D65" s="14" t="s">
        <v>41</v>
      </c>
      <c r="E65" s="18">
        <v>330</v>
      </c>
      <c r="F65" s="19">
        <v>3013.84</v>
      </c>
      <c r="G65" s="20">
        <v>4.0000000000000001E-3</v>
      </c>
      <c r="H65" s="21">
        <v>8.4617999999999999E-2</v>
      </c>
      <c r="I65" s="21"/>
      <c r="J65" s="7"/>
    </row>
    <row r="66" spans="1:10" ht="15" customHeight="1">
      <c r="A66" s="17" t="s">
        <v>179</v>
      </c>
      <c r="B66" s="14" t="s">
        <v>180</v>
      </c>
      <c r="C66" s="14" t="s">
        <v>181</v>
      </c>
      <c r="D66" s="14" t="s">
        <v>41</v>
      </c>
      <c r="E66" s="18">
        <v>300</v>
      </c>
      <c r="F66" s="19">
        <v>2997.12</v>
      </c>
      <c r="G66" s="20">
        <v>4.0000000000000001E-3</v>
      </c>
      <c r="H66" s="21">
        <v>6.9500000000000006E-2</v>
      </c>
      <c r="I66" s="21"/>
      <c r="J66" s="7"/>
    </row>
    <row r="67" spans="1:10" ht="15" customHeight="1">
      <c r="A67" s="17" t="s">
        <v>182</v>
      </c>
      <c r="B67" s="14" t="s">
        <v>183</v>
      </c>
      <c r="C67" s="14" t="s">
        <v>184</v>
      </c>
      <c r="D67" s="14" t="s">
        <v>37</v>
      </c>
      <c r="E67" s="18">
        <v>3000000</v>
      </c>
      <c r="F67" s="19">
        <v>2957.7</v>
      </c>
      <c r="G67" s="20">
        <v>3.8999999999999998E-3</v>
      </c>
      <c r="H67" s="21">
        <v>7.3743000000000003E-2</v>
      </c>
      <c r="I67" s="21"/>
      <c r="J67" s="7"/>
    </row>
    <row r="68" spans="1:10" ht="15" customHeight="1">
      <c r="A68" s="17" t="s">
        <v>185</v>
      </c>
      <c r="B68" s="14" t="s">
        <v>186</v>
      </c>
      <c r="C68" s="14" t="s">
        <v>187</v>
      </c>
      <c r="D68" s="14" t="s">
        <v>37</v>
      </c>
      <c r="E68" s="18">
        <v>3000000</v>
      </c>
      <c r="F68" s="19">
        <v>2858.16</v>
      </c>
      <c r="G68" s="20">
        <v>3.8E-3</v>
      </c>
      <c r="H68" s="21">
        <v>7.1689000000000003E-2</v>
      </c>
      <c r="I68" s="21"/>
      <c r="J68" s="7"/>
    </row>
    <row r="69" spans="1:10" ht="15" customHeight="1">
      <c r="A69" s="17" t="s">
        <v>188</v>
      </c>
      <c r="B69" s="14" t="s">
        <v>189</v>
      </c>
      <c r="C69" s="14" t="s">
        <v>190</v>
      </c>
      <c r="D69" s="14" t="s">
        <v>41</v>
      </c>
      <c r="E69" s="18">
        <v>250</v>
      </c>
      <c r="F69" s="19">
        <v>2552.44</v>
      </c>
      <c r="G69" s="20">
        <v>3.3999999999999998E-3</v>
      </c>
      <c r="H69" s="21">
        <v>7.4493500000000004E-2</v>
      </c>
      <c r="I69" s="21"/>
      <c r="J69" s="7"/>
    </row>
    <row r="70" spans="1:10" ht="15" customHeight="1">
      <c r="A70" s="17" t="s">
        <v>191</v>
      </c>
      <c r="B70" s="14" t="s">
        <v>192</v>
      </c>
      <c r="C70" s="14" t="s">
        <v>193</v>
      </c>
      <c r="D70" s="14" t="s">
        <v>41</v>
      </c>
      <c r="E70" s="18">
        <v>250</v>
      </c>
      <c r="F70" s="19">
        <v>2532.54</v>
      </c>
      <c r="G70" s="20">
        <v>3.3999999999999998E-3</v>
      </c>
      <c r="H70" s="21">
        <v>7.2300000000000003E-2</v>
      </c>
      <c r="I70" s="21"/>
      <c r="J70" s="7"/>
    </row>
    <row r="71" spans="1:10" ht="15" customHeight="1">
      <c r="A71" s="17" t="s">
        <v>194</v>
      </c>
      <c r="B71" s="14" t="s">
        <v>195</v>
      </c>
      <c r="C71" s="14" t="s">
        <v>196</v>
      </c>
      <c r="D71" s="14" t="s">
        <v>41</v>
      </c>
      <c r="E71" s="18">
        <v>250</v>
      </c>
      <c r="F71" s="19">
        <v>2520.25</v>
      </c>
      <c r="G71" s="20">
        <v>3.3999999999999998E-3</v>
      </c>
      <c r="H71" s="21">
        <v>7.1849999999999997E-2</v>
      </c>
      <c r="I71" s="21"/>
      <c r="J71" s="7"/>
    </row>
    <row r="72" spans="1:10" ht="15" customHeight="1">
      <c r="A72" s="17" t="s">
        <v>197</v>
      </c>
      <c r="B72" s="14" t="s">
        <v>198</v>
      </c>
      <c r="C72" s="14" t="s">
        <v>199</v>
      </c>
      <c r="D72" s="14" t="s">
        <v>41</v>
      </c>
      <c r="E72" s="18">
        <v>250</v>
      </c>
      <c r="F72" s="19">
        <v>2511.6799999999998</v>
      </c>
      <c r="G72" s="20">
        <v>3.3E-3</v>
      </c>
      <c r="H72" s="21">
        <v>7.3400000000000007E-2</v>
      </c>
      <c r="I72" s="21"/>
      <c r="J72" s="7"/>
    </row>
    <row r="73" spans="1:10" ht="15" customHeight="1">
      <c r="A73" s="17" t="s">
        <v>200</v>
      </c>
      <c r="B73" s="14" t="s">
        <v>201</v>
      </c>
      <c r="C73" s="14" t="s">
        <v>202</v>
      </c>
      <c r="D73" s="14" t="s">
        <v>52</v>
      </c>
      <c r="E73" s="18">
        <v>250</v>
      </c>
      <c r="F73" s="19">
        <v>2507.65</v>
      </c>
      <c r="G73" s="20">
        <v>3.3E-3</v>
      </c>
      <c r="H73" s="21">
        <v>8.4132499999999999E-2</v>
      </c>
      <c r="I73" s="21"/>
      <c r="J73" s="7"/>
    </row>
    <row r="74" spans="1:10" ht="15" customHeight="1">
      <c r="A74" s="17" t="s">
        <v>203</v>
      </c>
      <c r="B74" s="14" t="s">
        <v>204</v>
      </c>
      <c r="C74" s="14" t="s">
        <v>205</v>
      </c>
      <c r="D74" s="14" t="s">
        <v>206</v>
      </c>
      <c r="E74" s="18">
        <v>250</v>
      </c>
      <c r="F74" s="19">
        <v>2500.29</v>
      </c>
      <c r="G74" s="20">
        <v>3.3E-3</v>
      </c>
      <c r="H74" s="21">
        <v>6.5973000000000004E-2</v>
      </c>
      <c r="I74" s="21">
        <v>6.5973000000000004E-2</v>
      </c>
      <c r="J74" s="7"/>
    </row>
    <row r="75" spans="1:10" ht="15" customHeight="1">
      <c r="A75" s="17" t="s">
        <v>207</v>
      </c>
      <c r="B75" s="14" t="s">
        <v>208</v>
      </c>
      <c r="C75" s="14" t="s">
        <v>209</v>
      </c>
      <c r="D75" s="14" t="s">
        <v>41</v>
      </c>
      <c r="E75" s="18">
        <v>250</v>
      </c>
      <c r="F75" s="19">
        <v>2499.27</v>
      </c>
      <c r="G75" s="20">
        <v>3.3E-3</v>
      </c>
      <c r="H75" s="21">
        <v>7.0199999999999999E-2</v>
      </c>
      <c r="I75" s="21"/>
      <c r="J75" s="7"/>
    </row>
    <row r="76" spans="1:10" ht="15" customHeight="1">
      <c r="A76" s="17" t="s">
        <v>210</v>
      </c>
      <c r="B76" s="14" t="s">
        <v>211</v>
      </c>
      <c r="C76" s="14" t="s">
        <v>212</v>
      </c>
      <c r="D76" s="14" t="s">
        <v>206</v>
      </c>
      <c r="E76" s="18">
        <v>250</v>
      </c>
      <c r="F76" s="19">
        <v>2498.23</v>
      </c>
      <c r="G76" s="20">
        <v>3.3E-3</v>
      </c>
      <c r="H76" s="21">
        <v>7.4950000000000003E-2</v>
      </c>
      <c r="I76" s="21"/>
      <c r="J76" s="7"/>
    </row>
    <row r="77" spans="1:10" ht="15" customHeight="1">
      <c r="A77" s="17" t="s">
        <v>213</v>
      </c>
      <c r="B77" s="14" t="s">
        <v>214</v>
      </c>
      <c r="C77" s="14" t="s">
        <v>215</v>
      </c>
      <c r="D77" s="14" t="s">
        <v>136</v>
      </c>
      <c r="E77" s="18">
        <v>250</v>
      </c>
      <c r="F77" s="19">
        <v>2495.87</v>
      </c>
      <c r="G77" s="20">
        <v>3.3E-3</v>
      </c>
      <c r="H77" s="21">
        <v>7.3400000000000007E-2</v>
      </c>
      <c r="I77" s="21"/>
      <c r="J77" s="7"/>
    </row>
    <row r="78" spans="1:10" ht="15" customHeight="1">
      <c r="A78" s="17" t="s">
        <v>216</v>
      </c>
      <c r="B78" s="14" t="s">
        <v>217</v>
      </c>
      <c r="C78" s="14" t="s">
        <v>218</v>
      </c>
      <c r="D78" s="14" t="s">
        <v>41</v>
      </c>
      <c r="E78" s="18">
        <v>250</v>
      </c>
      <c r="F78" s="19">
        <v>2494.66</v>
      </c>
      <c r="G78" s="20">
        <v>3.3E-3</v>
      </c>
      <c r="H78" s="21">
        <v>6.9401000000000004E-2</v>
      </c>
      <c r="I78" s="21"/>
      <c r="J78" s="7"/>
    </row>
    <row r="79" spans="1:10" ht="15" customHeight="1">
      <c r="A79" s="17" t="s">
        <v>219</v>
      </c>
      <c r="B79" s="14" t="s">
        <v>220</v>
      </c>
      <c r="C79" s="14" t="s">
        <v>221</v>
      </c>
      <c r="D79" s="14" t="s">
        <v>41</v>
      </c>
      <c r="E79" s="18">
        <v>250</v>
      </c>
      <c r="F79" s="19">
        <v>2492.38</v>
      </c>
      <c r="G79" s="20">
        <v>3.3E-3</v>
      </c>
      <c r="H79" s="21">
        <v>8.3849000000000007E-2</v>
      </c>
      <c r="I79" s="21"/>
      <c r="J79" s="7"/>
    </row>
    <row r="80" spans="1:10" ht="15" customHeight="1">
      <c r="A80" s="17" t="s">
        <v>222</v>
      </c>
      <c r="B80" s="14" t="s">
        <v>223</v>
      </c>
      <c r="C80" s="14" t="s">
        <v>224</v>
      </c>
      <c r="D80" s="14" t="s">
        <v>37</v>
      </c>
      <c r="E80" s="18">
        <v>2516000</v>
      </c>
      <c r="F80" s="19">
        <v>2484.86</v>
      </c>
      <c r="G80" s="20">
        <v>3.3E-3</v>
      </c>
      <c r="H80" s="21">
        <v>6.0984999999999998E-2</v>
      </c>
      <c r="I80" s="21"/>
      <c r="J80" s="7"/>
    </row>
    <row r="81" spans="1:10" ht="15" customHeight="1">
      <c r="A81" s="17" t="s">
        <v>225</v>
      </c>
      <c r="B81" s="14" t="s">
        <v>226</v>
      </c>
      <c r="C81" s="14" t="s">
        <v>227</v>
      </c>
      <c r="D81" s="14" t="s">
        <v>48</v>
      </c>
      <c r="E81" s="18">
        <v>250</v>
      </c>
      <c r="F81" s="19">
        <v>2480.69</v>
      </c>
      <c r="G81" s="20">
        <v>3.3E-3</v>
      </c>
      <c r="H81" s="21">
        <v>7.4550000000000005E-2</v>
      </c>
      <c r="I81" s="21"/>
      <c r="J81" s="7"/>
    </row>
    <row r="82" spans="1:10" ht="15" customHeight="1">
      <c r="A82" s="17" t="s">
        <v>228</v>
      </c>
      <c r="B82" s="14" t="s">
        <v>229</v>
      </c>
      <c r="C82" s="14" t="s">
        <v>230</v>
      </c>
      <c r="D82" s="14" t="s">
        <v>41</v>
      </c>
      <c r="E82" s="18">
        <v>250</v>
      </c>
      <c r="F82" s="19">
        <v>2466.88</v>
      </c>
      <c r="G82" s="20">
        <v>3.3E-3</v>
      </c>
      <c r="H82" s="21">
        <v>7.1900000000000006E-2</v>
      </c>
      <c r="I82" s="21"/>
      <c r="J82" s="7"/>
    </row>
    <row r="83" spans="1:10" ht="15" customHeight="1">
      <c r="A83" s="17" t="s">
        <v>231</v>
      </c>
      <c r="B83" s="14" t="s">
        <v>232</v>
      </c>
      <c r="C83" s="14" t="s">
        <v>233</v>
      </c>
      <c r="D83" s="14" t="s">
        <v>48</v>
      </c>
      <c r="E83" s="18">
        <v>250</v>
      </c>
      <c r="F83" s="19">
        <v>2465.6</v>
      </c>
      <c r="G83" s="20">
        <v>3.3E-3</v>
      </c>
      <c r="H83" s="21">
        <v>7.3374999999999996E-2</v>
      </c>
      <c r="I83" s="21">
        <v>7.7254542999999995E-2</v>
      </c>
      <c r="J83" s="7"/>
    </row>
    <row r="84" spans="1:10" ht="15" customHeight="1">
      <c r="A84" s="17" t="s">
        <v>234</v>
      </c>
      <c r="B84" s="14" t="s">
        <v>235</v>
      </c>
      <c r="C84" s="14" t="s">
        <v>236</v>
      </c>
      <c r="D84" s="14" t="s">
        <v>48</v>
      </c>
      <c r="E84" s="18">
        <v>250</v>
      </c>
      <c r="F84" s="19">
        <v>2442.11</v>
      </c>
      <c r="G84" s="20">
        <v>3.3E-3</v>
      </c>
      <c r="H84" s="21">
        <v>7.2999999999999995E-2</v>
      </c>
      <c r="I84" s="21"/>
      <c r="J84" s="7"/>
    </row>
    <row r="85" spans="1:10" ht="15" customHeight="1">
      <c r="A85" s="17" t="s">
        <v>237</v>
      </c>
      <c r="B85" s="14" t="s">
        <v>238</v>
      </c>
      <c r="C85" s="14" t="s">
        <v>239</v>
      </c>
      <c r="D85" s="14" t="s">
        <v>48</v>
      </c>
      <c r="E85" s="18">
        <v>250</v>
      </c>
      <c r="F85" s="19">
        <v>2435.11</v>
      </c>
      <c r="G85" s="20">
        <v>3.2000000000000002E-3</v>
      </c>
      <c r="H85" s="21">
        <v>7.3035000000000003E-2</v>
      </c>
      <c r="I85" s="21"/>
      <c r="J85" s="7"/>
    </row>
    <row r="86" spans="1:10" ht="15" customHeight="1">
      <c r="A86" s="17" t="s">
        <v>240</v>
      </c>
      <c r="B86" s="14" t="s">
        <v>241</v>
      </c>
      <c r="C86" s="14" t="s">
        <v>242</v>
      </c>
      <c r="D86" s="14" t="s">
        <v>41</v>
      </c>
      <c r="E86" s="18">
        <v>250</v>
      </c>
      <c r="F86" s="19">
        <v>2431.25</v>
      </c>
      <c r="G86" s="20">
        <v>3.2000000000000002E-3</v>
      </c>
      <c r="H86" s="21">
        <v>7.9200000000000007E-2</v>
      </c>
      <c r="I86" s="21"/>
      <c r="J86" s="7"/>
    </row>
    <row r="87" spans="1:10" ht="15" customHeight="1">
      <c r="A87" s="17" t="s">
        <v>243</v>
      </c>
      <c r="B87" s="14" t="s">
        <v>244</v>
      </c>
      <c r="C87" s="14" t="s">
        <v>245</v>
      </c>
      <c r="D87" s="14" t="s">
        <v>37</v>
      </c>
      <c r="E87" s="18">
        <v>2500000</v>
      </c>
      <c r="F87" s="19">
        <v>2412.5100000000002</v>
      </c>
      <c r="G87" s="20">
        <v>3.2000000000000002E-3</v>
      </c>
      <c r="H87" s="21">
        <v>7.5748999999999997E-2</v>
      </c>
      <c r="I87" s="21"/>
      <c r="J87" s="7"/>
    </row>
    <row r="88" spans="1:10" ht="15" customHeight="1">
      <c r="A88" s="17" t="s">
        <v>246</v>
      </c>
      <c r="B88" s="14" t="s">
        <v>247</v>
      </c>
      <c r="C88" s="14" t="s">
        <v>248</v>
      </c>
      <c r="D88" s="14" t="s">
        <v>41</v>
      </c>
      <c r="E88" s="18">
        <v>750</v>
      </c>
      <c r="F88" s="19">
        <v>2191.16</v>
      </c>
      <c r="G88" s="20">
        <v>2.8999999999999998E-3</v>
      </c>
      <c r="H88" s="21">
        <v>7.4200000000000002E-2</v>
      </c>
      <c r="I88" s="21"/>
      <c r="J88" s="7"/>
    </row>
    <row r="89" spans="1:10" ht="15" customHeight="1">
      <c r="A89" s="17" t="s">
        <v>249</v>
      </c>
      <c r="B89" s="14" t="s">
        <v>250</v>
      </c>
      <c r="C89" s="14" t="s">
        <v>251</v>
      </c>
      <c r="D89" s="14" t="s">
        <v>37</v>
      </c>
      <c r="E89" s="18">
        <v>2011400</v>
      </c>
      <c r="F89" s="19">
        <v>2018.71</v>
      </c>
      <c r="G89" s="20">
        <v>2.7000000000000001E-3</v>
      </c>
      <c r="H89" s="21">
        <v>6.6673999999999997E-2</v>
      </c>
      <c r="I89" s="21"/>
      <c r="J89" s="7"/>
    </row>
    <row r="90" spans="1:10" ht="15" customHeight="1">
      <c r="A90" s="17" t="s">
        <v>252</v>
      </c>
      <c r="B90" s="14" t="s">
        <v>253</v>
      </c>
      <c r="C90" s="14" t="s">
        <v>254</v>
      </c>
      <c r="D90" s="14" t="s">
        <v>41</v>
      </c>
      <c r="E90" s="18">
        <v>200</v>
      </c>
      <c r="F90" s="19">
        <v>1934.33</v>
      </c>
      <c r="G90" s="20">
        <v>2.5999999999999999E-3</v>
      </c>
      <c r="H90" s="21">
        <v>7.9158000000000006E-2</v>
      </c>
      <c r="I90" s="21"/>
      <c r="J90" s="7"/>
    </row>
    <row r="91" spans="1:10" ht="15" customHeight="1">
      <c r="A91" s="17" t="s">
        <v>255</v>
      </c>
      <c r="B91" s="14" t="s">
        <v>256</v>
      </c>
      <c r="C91" s="14" t="s">
        <v>257</v>
      </c>
      <c r="D91" s="14" t="s">
        <v>37</v>
      </c>
      <c r="E91" s="18">
        <v>2099200</v>
      </c>
      <c r="F91" s="19">
        <v>1707.7</v>
      </c>
      <c r="G91" s="20">
        <v>2.3E-3</v>
      </c>
      <c r="H91" s="21">
        <v>7.2670999999999999E-2</v>
      </c>
      <c r="I91" s="21"/>
      <c r="J91" s="7"/>
    </row>
    <row r="92" spans="1:10" ht="15" customHeight="1">
      <c r="A92" s="17" t="s">
        <v>258</v>
      </c>
      <c r="B92" s="14" t="s">
        <v>259</v>
      </c>
      <c r="C92" s="14" t="s">
        <v>260</v>
      </c>
      <c r="D92" s="14" t="s">
        <v>41</v>
      </c>
      <c r="E92" s="18">
        <v>150</v>
      </c>
      <c r="F92" s="19">
        <v>1505.08</v>
      </c>
      <c r="G92" s="20">
        <v>2E-3</v>
      </c>
      <c r="H92" s="21">
        <v>7.1749999999999994E-2</v>
      </c>
      <c r="I92" s="21"/>
      <c r="J92" s="7"/>
    </row>
    <row r="93" spans="1:10" ht="15" customHeight="1">
      <c r="A93" s="17" t="s">
        <v>261</v>
      </c>
      <c r="B93" s="14" t="s">
        <v>262</v>
      </c>
      <c r="C93" s="14" t="s">
        <v>263</v>
      </c>
      <c r="D93" s="14" t="s">
        <v>41</v>
      </c>
      <c r="E93" s="18">
        <v>150</v>
      </c>
      <c r="F93" s="19">
        <v>1503.49</v>
      </c>
      <c r="G93" s="20">
        <v>2E-3</v>
      </c>
      <c r="H93" s="21">
        <v>6.6350000000000006E-2</v>
      </c>
      <c r="I93" s="21"/>
      <c r="J93" s="7"/>
    </row>
    <row r="94" spans="1:10" ht="15" customHeight="1">
      <c r="A94" s="17" t="s">
        <v>264</v>
      </c>
      <c r="B94" s="14" t="s">
        <v>265</v>
      </c>
      <c r="C94" s="14" t="s">
        <v>266</v>
      </c>
      <c r="D94" s="14" t="s">
        <v>41</v>
      </c>
      <c r="E94" s="18">
        <v>150</v>
      </c>
      <c r="F94" s="19">
        <v>1500.56</v>
      </c>
      <c r="G94" s="20">
        <v>2E-3</v>
      </c>
      <c r="H94" s="21">
        <v>6.4000000000000001E-2</v>
      </c>
      <c r="I94" s="21"/>
      <c r="J94" s="7"/>
    </row>
    <row r="95" spans="1:10" ht="15" customHeight="1">
      <c r="A95" s="17" t="s">
        <v>267</v>
      </c>
      <c r="B95" s="14" t="s">
        <v>268</v>
      </c>
      <c r="C95" s="14" t="s">
        <v>269</v>
      </c>
      <c r="D95" s="14" t="s">
        <v>41</v>
      </c>
      <c r="E95" s="18">
        <v>158</v>
      </c>
      <c r="F95" s="19">
        <v>1495.19</v>
      </c>
      <c r="G95" s="20">
        <v>2E-3</v>
      </c>
      <c r="H95" s="21">
        <v>7.7549999999999994E-2</v>
      </c>
      <c r="I95" s="21"/>
      <c r="J95" s="7"/>
    </row>
    <row r="96" spans="1:10" ht="15" customHeight="1">
      <c r="A96" s="17" t="s">
        <v>270</v>
      </c>
      <c r="B96" s="14" t="s">
        <v>271</v>
      </c>
      <c r="C96" s="14" t="s">
        <v>272</v>
      </c>
      <c r="D96" s="14" t="s">
        <v>48</v>
      </c>
      <c r="E96" s="18">
        <v>150</v>
      </c>
      <c r="F96" s="19">
        <v>1487.34</v>
      </c>
      <c r="G96" s="20">
        <v>2E-3</v>
      </c>
      <c r="H96" s="21">
        <v>7.5300000000000006E-2</v>
      </c>
      <c r="I96" s="21"/>
      <c r="J96" s="7"/>
    </row>
    <row r="97" spans="1:10" ht="15" customHeight="1">
      <c r="A97" s="17" t="s">
        <v>273</v>
      </c>
      <c r="B97" s="14" t="s">
        <v>274</v>
      </c>
      <c r="C97" s="14" t="s">
        <v>275</v>
      </c>
      <c r="D97" s="14" t="s">
        <v>48</v>
      </c>
      <c r="E97" s="18">
        <v>150</v>
      </c>
      <c r="F97" s="19">
        <v>1455.76</v>
      </c>
      <c r="G97" s="20">
        <v>1.9E-3</v>
      </c>
      <c r="H97" s="21">
        <v>7.1800000000000003E-2</v>
      </c>
      <c r="I97" s="21"/>
      <c r="J97" s="7"/>
    </row>
    <row r="98" spans="1:10" ht="15" customHeight="1">
      <c r="A98" s="17" t="s">
        <v>276</v>
      </c>
      <c r="B98" s="14" t="s">
        <v>277</v>
      </c>
      <c r="C98" s="14" t="s">
        <v>278</v>
      </c>
      <c r="D98" s="14" t="s">
        <v>41</v>
      </c>
      <c r="E98" s="18">
        <v>149</v>
      </c>
      <c r="F98" s="19">
        <v>1453.83</v>
      </c>
      <c r="G98" s="20">
        <v>1.9E-3</v>
      </c>
      <c r="H98" s="21">
        <v>7.4399000000000007E-2</v>
      </c>
      <c r="I98" s="21"/>
      <c r="J98" s="7"/>
    </row>
    <row r="99" spans="1:10" ht="15" customHeight="1">
      <c r="A99" s="17" t="s">
        <v>279</v>
      </c>
      <c r="B99" s="14" t="s">
        <v>280</v>
      </c>
      <c r="C99" s="14" t="s">
        <v>281</v>
      </c>
      <c r="D99" s="14" t="s">
        <v>41</v>
      </c>
      <c r="E99" s="18">
        <v>140</v>
      </c>
      <c r="F99" s="19">
        <v>1425.75</v>
      </c>
      <c r="G99" s="20">
        <v>1.9E-3</v>
      </c>
      <c r="H99" s="21">
        <v>7.4749999999999997E-2</v>
      </c>
      <c r="I99" s="21"/>
      <c r="J99" s="7"/>
    </row>
    <row r="100" spans="1:10" ht="15" customHeight="1">
      <c r="A100" s="17" t="s">
        <v>282</v>
      </c>
      <c r="B100" s="14" t="s">
        <v>283</v>
      </c>
      <c r="C100" s="14" t="s">
        <v>284</v>
      </c>
      <c r="D100" s="14" t="s">
        <v>37</v>
      </c>
      <c r="E100" s="18">
        <v>1500000</v>
      </c>
      <c r="F100" s="19">
        <v>1417.17</v>
      </c>
      <c r="G100" s="20">
        <v>1.9E-3</v>
      </c>
      <c r="H100" s="21">
        <v>7.1618000000000001E-2</v>
      </c>
      <c r="I100" s="21"/>
      <c r="J100" s="7"/>
    </row>
    <row r="101" spans="1:10" ht="15" customHeight="1">
      <c r="A101" s="17" t="s">
        <v>285</v>
      </c>
      <c r="B101" s="14" t="s">
        <v>286</v>
      </c>
      <c r="C101" s="14" t="s">
        <v>287</v>
      </c>
      <c r="D101" s="14" t="s">
        <v>37</v>
      </c>
      <c r="E101" s="18">
        <v>2040000</v>
      </c>
      <c r="F101" s="19">
        <v>1243.83</v>
      </c>
      <c r="G101" s="20">
        <v>1.6999999999999999E-3</v>
      </c>
      <c r="H101" s="21">
        <v>7.5167999999999999E-2</v>
      </c>
      <c r="I101" s="21"/>
      <c r="J101" s="7"/>
    </row>
    <row r="102" spans="1:10" ht="15" customHeight="1">
      <c r="A102" s="17" t="s">
        <v>288</v>
      </c>
      <c r="B102" s="14" t="s">
        <v>289</v>
      </c>
      <c r="C102" s="14" t="s">
        <v>290</v>
      </c>
      <c r="D102" s="14" t="s">
        <v>37</v>
      </c>
      <c r="E102" s="18">
        <v>1000000</v>
      </c>
      <c r="F102" s="19">
        <v>1069.45</v>
      </c>
      <c r="G102" s="20">
        <v>1.4E-3</v>
      </c>
      <c r="H102" s="21">
        <v>7.4876999999999999E-2</v>
      </c>
      <c r="I102" s="21"/>
      <c r="J102" s="7"/>
    </row>
    <row r="103" spans="1:10" ht="15" customHeight="1">
      <c r="A103" s="17" t="s">
        <v>291</v>
      </c>
      <c r="B103" s="14" t="s">
        <v>292</v>
      </c>
      <c r="C103" s="14" t="s">
        <v>293</v>
      </c>
      <c r="D103" s="14" t="s">
        <v>37</v>
      </c>
      <c r="E103" s="18">
        <v>1059600</v>
      </c>
      <c r="F103" s="19">
        <v>1047.02</v>
      </c>
      <c r="G103" s="20">
        <v>1.4E-3</v>
      </c>
      <c r="H103" s="21">
        <v>6.0928000000000003E-2</v>
      </c>
      <c r="I103" s="21"/>
      <c r="J103" s="7"/>
    </row>
    <row r="104" spans="1:10" ht="15" customHeight="1">
      <c r="A104" s="17" t="s">
        <v>294</v>
      </c>
      <c r="B104" s="14" t="s">
        <v>295</v>
      </c>
      <c r="C104" s="14" t="s">
        <v>296</v>
      </c>
      <c r="D104" s="14" t="s">
        <v>37</v>
      </c>
      <c r="E104" s="18">
        <v>1000000</v>
      </c>
      <c r="F104" s="19">
        <v>1015.52</v>
      </c>
      <c r="G104" s="20">
        <v>1.4E-3</v>
      </c>
      <c r="H104" s="21">
        <v>7.3710999999999999E-2</v>
      </c>
      <c r="I104" s="21"/>
      <c r="J104" s="7"/>
    </row>
    <row r="105" spans="1:10" ht="15" customHeight="1">
      <c r="A105" s="17" t="s">
        <v>297</v>
      </c>
      <c r="B105" s="14" t="s">
        <v>298</v>
      </c>
      <c r="C105" s="14" t="s">
        <v>299</v>
      </c>
      <c r="D105" s="14" t="s">
        <v>37</v>
      </c>
      <c r="E105" s="18">
        <v>1015300</v>
      </c>
      <c r="F105" s="19">
        <v>1001.38</v>
      </c>
      <c r="G105" s="20">
        <v>1.2999999999999999E-3</v>
      </c>
      <c r="H105" s="21">
        <v>6.1136000000000003E-2</v>
      </c>
      <c r="I105" s="21"/>
      <c r="J105" s="7"/>
    </row>
    <row r="106" spans="1:10" ht="15" customHeight="1">
      <c r="A106" s="17" t="s">
        <v>300</v>
      </c>
      <c r="B106" s="14" t="s">
        <v>301</v>
      </c>
      <c r="C106" s="14" t="s">
        <v>302</v>
      </c>
      <c r="D106" s="14" t="s">
        <v>41</v>
      </c>
      <c r="E106" s="18">
        <v>100</v>
      </c>
      <c r="F106" s="19">
        <v>1000.66</v>
      </c>
      <c r="G106" s="20">
        <v>1.2999999999999999E-3</v>
      </c>
      <c r="H106" s="21">
        <v>6.5798999999999996E-2</v>
      </c>
      <c r="I106" s="21"/>
      <c r="J106" s="7"/>
    </row>
    <row r="107" spans="1:10" ht="15" customHeight="1">
      <c r="A107" s="17" t="s">
        <v>303</v>
      </c>
      <c r="B107" s="14" t="s">
        <v>304</v>
      </c>
      <c r="C107" s="14" t="s">
        <v>305</v>
      </c>
      <c r="D107" s="14" t="s">
        <v>41</v>
      </c>
      <c r="E107" s="18">
        <v>100</v>
      </c>
      <c r="F107" s="19">
        <v>1000.32</v>
      </c>
      <c r="G107" s="20">
        <v>1.2999999999999999E-3</v>
      </c>
      <c r="H107" s="21">
        <v>6.0899000000000002E-2</v>
      </c>
      <c r="I107" s="21"/>
      <c r="J107" s="7"/>
    </row>
    <row r="108" spans="1:10" ht="15" customHeight="1">
      <c r="A108" s="17" t="s">
        <v>306</v>
      </c>
      <c r="B108" s="14" t="s">
        <v>307</v>
      </c>
      <c r="C108" s="14" t="s">
        <v>308</v>
      </c>
      <c r="D108" s="14" t="s">
        <v>41</v>
      </c>
      <c r="E108" s="18">
        <v>100</v>
      </c>
      <c r="F108" s="19">
        <v>999.93</v>
      </c>
      <c r="G108" s="20">
        <v>1.2999999999999999E-3</v>
      </c>
      <c r="H108" s="21">
        <v>7.0400000000000004E-2</v>
      </c>
      <c r="I108" s="21"/>
      <c r="J108" s="7"/>
    </row>
    <row r="109" spans="1:10" ht="15" customHeight="1">
      <c r="A109" s="17" t="s">
        <v>309</v>
      </c>
      <c r="B109" s="14" t="s">
        <v>310</v>
      </c>
      <c r="C109" s="14" t="s">
        <v>311</v>
      </c>
      <c r="D109" s="14" t="s">
        <v>41</v>
      </c>
      <c r="E109" s="18">
        <v>100</v>
      </c>
      <c r="F109" s="19">
        <v>996.25</v>
      </c>
      <c r="G109" s="20">
        <v>1.2999999999999999E-3</v>
      </c>
      <c r="H109" s="21">
        <v>7.4649999999999994E-2</v>
      </c>
      <c r="I109" s="21"/>
      <c r="J109" s="7"/>
    </row>
    <row r="110" spans="1:10" ht="15" customHeight="1">
      <c r="A110" s="17" t="s">
        <v>312</v>
      </c>
      <c r="B110" s="14" t="s">
        <v>313</v>
      </c>
      <c r="C110" s="14" t="s">
        <v>314</v>
      </c>
      <c r="D110" s="14" t="s">
        <v>41</v>
      </c>
      <c r="E110" s="18">
        <v>100</v>
      </c>
      <c r="F110" s="19">
        <v>963.36</v>
      </c>
      <c r="G110" s="20">
        <v>1.2999999999999999E-3</v>
      </c>
      <c r="H110" s="21">
        <v>6.8509500000000001E-2</v>
      </c>
      <c r="I110" s="21">
        <v>7.6651994000000001E-2</v>
      </c>
      <c r="J110" s="7"/>
    </row>
    <row r="111" spans="1:10" ht="15" customHeight="1">
      <c r="A111" s="17" t="s">
        <v>315</v>
      </c>
      <c r="B111" s="14" t="s">
        <v>316</v>
      </c>
      <c r="C111" s="14" t="s">
        <v>317</v>
      </c>
      <c r="D111" s="14" t="s">
        <v>41</v>
      </c>
      <c r="E111" s="18">
        <v>100</v>
      </c>
      <c r="F111" s="19">
        <v>947.92</v>
      </c>
      <c r="G111" s="20">
        <v>1.2999999999999999E-3</v>
      </c>
      <c r="H111" s="21">
        <v>6.6842499999999999E-2</v>
      </c>
      <c r="I111" s="21">
        <v>7.8018542999999996E-2</v>
      </c>
      <c r="J111" s="7"/>
    </row>
    <row r="112" spans="1:10" ht="15" customHeight="1">
      <c r="A112" s="17" t="s">
        <v>318</v>
      </c>
      <c r="B112" s="14" t="s">
        <v>319</v>
      </c>
      <c r="C112" s="14" t="s">
        <v>320</v>
      </c>
      <c r="D112" s="14" t="s">
        <v>37</v>
      </c>
      <c r="E112" s="18">
        <v>1000000</v>
      </c>
      <c r="F112" s="19">
        <v>939.97</v>
      </c>
      <c r="G112" s="20">
        <v>1.2999999999999999E-3</v>
      </c>
      <c r="H112" s="21">
        <v>7.5757000000000005E-2</v>
      </c>
      <c r="I112" s="21"/>
      <c r="J112" s="7"/>
    </row>
    <row r="113" spans="1:10" ht="15" customHeight="1">
      <c r="A113" s="17" t="s">
        <v>321</v>
      </c>
      <c r="B113" s="14" t="s">
        <v>322</v>
      </c>
      <c r="C113" s="14" t="s">
        <v>323</v>
      </c>
      <c r="D113" s="14" t="s">
        <v>41</v>
      </c>
      <c r="E113" s="18">
        <v>100</v>
      </c>
      <c r="F113" s="19">
        <v>915.84</v>
      </c>
      <c r="G113" s="20">
        <v>1.1999999999999999E-3</v>
      </c>
      <c r="H113" s="21">
        <v>8.455E-2</v>
      </c>
      <c r="I113" s="21"/>
      <c r="J113" s="7"/>
    </row>
    <row r="114" spans="1:10" ht="15" customHeight="1">
      <c r="A114" s="17" t="s">
        <v>324</v>
      </c>
      <c r="B114" s="14" t="s">
        <v>325</v>
      </c>
      <c r="C114" s="14" t="s">
        <v>326</v>
      </c>
      <c r="D114" s="14" t="s">
        <v>37</v>
      </c>
      <c r="E114" s="18">
        <v>894000</v>
      </c>
      <c r="F114" s="19">
        <v>820.89</v>
      </c>
      <c r="G114" s="20">
        <v>1.1000000000000001E-3</v>
      </c>
      <c r="H114" s="21">
        <v>7.3799000000000003E-2</v>
      </c>
      <c r="I114" s="21"/>
      <c r="J114" s="7"/>
    </row>
    <row r="115" spans="1:10" ht="15" customHeight="1">
      <c r="A115" s="17" t="s">
        <v>327</v>
      </c>
      <c r="B115" s="14" t="s">
        <v>328</v>
      </c>
      <c r="C115" s="14" t="s">
        <v>329</v>
      </c>
      <c r="D115" s="14" t="s">
        <v>37</v>
      </c>
      <c r="E115" s="18">
        <v>792000</v>
      </c>
      <c r="F115" s="19">
        <v>758.43</v>
      </c>
      <c r="G115" s="20">
        <v>1E-3</v>
      </c>
      <c r="H115" s="21">
        <v>7.4800000000000005E-2</v>
      </c>
      <c r="I115" s="21"/>
      <c r="J115" s="7"/>
    </row>
    <row r="116" spans="1:10" ht="15" customHeight="1">
      <c r="A116" s="17" t="s">
        <v>330</v>
      </c>
      <c r="B116" s="14" t="s">
        <v>331</v>
      </c>
      <c r="C116" s="14" t="s">
        <v>332</v>
      </c>
      <c r="D116" s="14" t="s">
        <v>41</v>
      </c>
      <c r="E116" s="18">
        <v>70</v>
      </c>
      <c r="F116" s="19">
        <v>714.4</v>
      </c>
      <c r="G116" s="20">
        <v>1E-3</v>
      </c>
      <c r="H116" s="21">
        <v>7.4149000000000007E-2</v>
      </c>
      <c r="I116" s="21"/>
      <c r="J116" s="7"/>
    </row>
    <row r="117" spans="1:10" ht="15" customHeight="1">
      <c r="A117" s="17" t="s">
        <v>333</v>
      </c>
      <c r="B117" s="14" t="s">
        <v>334</v>
      </c>
      <c r="C117" s="14" t="s">
        <v>335</v>
      </c>
      <c r="D117" s="14" t="s">
        <v>41</v>
      </c>
      <c r="E117" s="18">
        <v>69</v>
      </c>
      <c r="F117" s="19">
        <v>658.13</v>
      </c>
      <c r="G117" s="20">
        <v>8.9999999999999998E-4</v>
      </c>
      <c r="H117" s="21">
        <v>7.5050000000000006E-2</v>
      </c>
      <c r="I117" s="21"/>
      <c r="J117" s="7"/>
    </row>
    <row r="118" spans="1:10" ht="15" customHeight="1">
      <c r="A118" s="17" t="s">
        <v>336</v>
      </c>
      <c r="B118" s="14" t="s">
        <v>337</v>
      </c>
      <c r="C118" s="14" t="s">
        <v>338</v>
      </c>
      <c r="D118" s="14" t="s">
        <v>41</v>
      </c>
      <c r="E118" s="18">
        <v>69</v>
      </c>
      <c r="F118" s="19">
        <v>655.16</v>
      </c>
      <c r="G118" s="20">
        <v>8.9999999999999998E-4</v>
      </c>
      <c r="H118" s="21">
        <v>7.4050000000000005E-2</v>
      </c>
      <c r="I118" s="21"/>
      <c r="J118" s="7"/>
    </row>
    <row r="119" spans="1:10" ht="15" customHeight="1">
      <c r="A119" s="17" t="s">
        <v>339</v>
      </c>
      <c r="B119" s="14" t="s">
        <v>340</v>
      </c>
      <c r="C119" s="14" t="s">
        <v>341</v>
      </c>
      <c r="D119" s="14" t="s">
        <v>37</v>
      </c>
      <c r="E119" s="18">
        <v>500000</v>
      </c>
      <c r="F119" s="19">
        <v>553.83000000000004</v>
      </c>
      <c r="G119" s="20">
        <v>6.9999999999999999E-4</v>
      </c>
      <c r="H119" s="21">
        <v>7.3926000000000006E-2</v>
      </c>
      <c r="I119" s="21"/>
      <c r="J119" s="7"/>
    </row>
    <row r="120" spans="1:10" ht="15" customHeight="1">
      <c r="A120" s="17" t="s">
        <v>342</v>
      </c>
      <c r="B120" s="14" t="s">
        <v>343</v>
      </c>
      <c r="C120" s="14" t="s">
        <v>344</v>
      </c>
      <c r="D120" s="14" t="s">
        <v>37</v>
      </c>
      <c r="E120" s="18">
        <v>525000</v>
      </c>
      <c r="F120" s="19">
        <v>535.45000000000005</v>
      </c>
      <c r="G120" s="20">
        <v>6.9999999999999999E-4</v>
      </c>
      <c r="H120" s="21">
        <v>6.9847999999999993E-2</v>
      </c>
      <c r="I120" s="21"/>
      <c r="J120" s="7"/>
    </row>
    <row r="121" spans="1:10" ht="15" customHeight="1">
      <c r="A121" s="17" t="s">
        <v>345</v>
      </c>
      <c r="B121" s="14" t="s">
        <v>346</v>
      </c>
      <c r="C121" s="14" t="s">
        <v>347</v>
      </c>
      <c r="D121" s="14" t="s">
        <v>41</v>
      </c>
      <c r="E121" s="18">
        <v>50</v>
      </c>
      <c r="F121" s="19">
        <v>519.69000000000005</v>
      </c>
      <c r="G121" s="20">
        <v>6.9999999999999999E-4</v>
      </c>
      <c r="H121" s="21">
        <v>7.5499999999999998E-2</v>
      </c>
      <c r="I121" s="21"/>
      <c r="J121" s="7"/>
    </row>
    <row r="122" spans="1:10" ht="15" customHeight="1">
      <c r="A122" s="17" t="s">
        <v>348</v>
      </c>
      <c r="B122" s="14" t="s">
        <v>349</v>
      </c>
      <c r="C122" s="14" t="s">
        <v>350</v>
      </c>
      <c r="D122" s="14" t="s">
        <v>41</v>
      </c>
      <c r="E122" s="18">
        <v>50</v>
      </c>
      <c r="F122" s="19">
        <v>517.89</v>
      </c>
      <c r="G122" s="20">
        <v>6.9999999999999999E-4</v>
      </c>
      <c r="H122" s="21">
        <v>7.6850000000000002E-2</v>
      </c>
      <c r="I122" s="21"/>
      <c r="J122" s="7"/>
    </row>
    <row r="123" spans="1:10" ht="15" customHeight="1">
      <c r="A123" s="17" t="s">
        <v>351</v>
      </c>
      <c r="B123" s="14" t="s">
        <v>352</v>
      </c>
      <c r="C123" s="14" t="s">
        <v>353</v>
      </c>
      <c r="D123" s="14" t="s">
        <v>37</v>
      </c>
      <c r="E123" s="18">
        <v>500000</v>
      </c>
      <c r="F123" s="19">
        <v>517.85</v>
      </c>
      <c r="G123" s="20">
        <v>6.9999999999999999E-4</v>
      </c>
      <c r="H123" s="21">
        <v>7.4373999999999996E-2</v>
      </c>
      <c r="I123" s="21"/>
      <c r="J123" s="7"/>
    </row>
    <row r="124" spans="1:10" ht="15" customHeight="1">
      <c r="A124" s="17" t="s">
        <v>354</v>
      </c>
      <c r="B124" s="14" t="s">
        <v>355</v>
      </c>
      <c r="C124" s="14" t="s">
        <v>356</v>
      </c>
      <c r="D124" s="14" t="s">
        <v>37</v>
      </c>
      <c r="E124" s="18">
        <v>500000</v>
      </c>
      <c r="F124" s="19">
        <v>513.36</v>
      </c>
      <c r="G124" s="20">
        <v>6.9999999999999999E-4</v>
      </c>
      <c r="H124" s="21">
        <v>7.4616000000000002E-2</v>
      </c>
      <c r="I124" s="21"/>
      <c r="J124" s="7"/>
    </row>
    <row r="125" spans="1:10" ht="15" customHeight="1">
      <c r="A125" s="17" t="s">
        <v>357</v>
      </c>
      <c r="B125" s="14" t="s">
        <v>358</v>
      </c>
      <c r="C125" s="14" t="s">
        <v>359</v>
      </c>
      <c r="D125" s="14" t="s">
        <v>41</v>
      </c>
      <c r="E125" s="18">
        <v>50</v>
      </c>
      <c r="F125" s="19">
        <v>512.09</v>
      </c>
      <c r="G125" s="20">
        <v>6.9999999999999999E-4</v>
      </c>
      <c r="H125" s="21">
        <v>7.3349999999999999E-2</v>
      </c>
      <c r="I125" s="21"/>
      <c r="J125" s="7"/>
    </row>
    <row r="126" spans="1:10" ht="15" customHeight="1">
      <c r="A126" s="17" t="s">
        <v>360</v>
      </c>
      <c r="B126" s="14" t="s">
        <v>361</v>
      </c>
      <c r="C126" s="14" t="s">
        <v>362</v>
      </c>
      <c r="D126" s="14" t="s">
        <v>37</v>
      </c>
      <c r="E126" s="18">
        <v>500000</v>
      </c>
      <c r="F126" s="19">
        <v>511.76</v>
      </c>
      <c r="G126" s="20">
        <v>6.9999999999999999E-4</v>
      </c>
      <c r="H126" s="21">
        <v>7.5840000000000005E-2</v>
      </c>
      <c r="I126" s="21"/>
      <c r="J126" s="7"/>
    </row>
    <row r="127" spans="1:10" ht="15" customHeight="1">
      <c r="A127" s="17" t="s">
        <v>363</v>
      </c>
      <c r="B127" s="14" t="s">
        <v>364</v>
      </c>
      <c r="C127" s="14" t="s">
        <v>365</v>
      </c>
      <c r="D127" s="14" t="s">
        <v>37</v>
      </c>
      <c r="E127" s="18">
        <v>500000</v>
      </c>
      <c r="F127" s="19">
        <v>509.08</v>
      </c>
      <c r="G127" s="20">
        <v>6.9999999999999999E-4</v>
      </c>
      <c r="H127" s="21">
        <v>7.4376999999999999E-2</v>
      </c>
      <c r="I127" s="21"/>
      <c r="J127" s="7"/>
    </row>
    <row r="128" spans="1:10" ht="15" customHeight="1">
      <c r="A128" s="17" t="s">
        <v>366</v>
      </c>
      <c r="B128" s="14" t="s">
        <v>367</v>
      </c>
      <c r="C128" s="14" t="s">
        <v>368</v>
      </c>
      <c r="D128" s="14" t="s">
        <v>41</v>
      </c>
      <c r="E128" s="18">
        <v>50</v>
      </c>
      <c r="F128" s="19">
        <v>507.83</v>
      </c>
      <c r="G128" s="20">
        <v>6.9999999999999999E-4</v>
      </c>
      <c r="H128" s="21">
        <v>7.7248999999999998E-2</v>
      </c>
      <c r="I128" s="21"/>
      <c r="J128" s="7"/>
    </row>
    <row r="129" spans="1:10" ht="15" customHeight="1">
      <c r="A129" s="17" t="s">
        <v>369</v>
      </c>
      <c r="B129" s="14" t="s">
        <v>370</v>
      </c>
      <c r="C129" s="14" t="s">
        <v>371</v>
      </c>
      <c r="D129" s="14" t="s">
        <v>37</v>
      </c>
      <c r="E129" s="18">
        <v>500000</v>
      </c>
      <c r="F129" s="19">
        <v>507.72</v>
      </c>
      <c r="G129" s="20">
        <v>6.9999999999999999E-4</v>
      </c>
      <c r="H129" s="21">
        <v>7.4012999999999995E-2</v>
      </c>
      <c r="I129" s="21"/>
      <c r="J129" s="7"/>
    </row>
    <row r="130" spans="1:10" ht="15" customHeight="1">
      <c r="A130" s="17" t="s">
        <v>372</v>
      </c>
      <c r="B130" s="14" t="s">
        <v>373</v>
      </c>
      <c r="C130" s="14" t="s">
        <v>374</v>
      </c>
      <c r="D130" s="14" t="s">
        <v>41</v>
      </c>
      <c r="E130" s="18">
        <v>50</v>
      </c>
      <c r="F130" s="19">
        <v>502.79</v>
      </c>
      <c r="G130" s="20">
        <v>6.9999999999999999E-4</v>
      </c>
      <c r="H130" s="21">
        <v>7.8702999999999995E-2</v>
      </c>
      <c r="I130" s="21"/>
      <c r="J130" s="7"/>
    </row>
    <row r="131" spans="1:10" ht="15" customHeight="1">
      <c r="A131" s="17" t="s">
        <v>375</v>
      </c>
      <c r="B131" s="14" t="s">
        <v>376</v>
      </c>
      <c r="C131" s="14" t="s">
        <v>377</v>
      </c>
      <c r="D131" s="14" t="s">
        <v>37</v>
      </c>
      <c r="E131" s="18">
        <v>500000</v>
      </c>
      <c r="F131" s="19">
        <v>501.34</v>
      </c>
      <c r="G131" s="20">
        <v>6.9999999999999999E-4</v>
      </c>
      <c r="H131" s="21">
        <v>7.0923E-2</v>
      </c>
      <c r="I131" s="21"/>
      <c r="J131" s="7"/>
    </row>
    <row r="132" spans="1:10" ht="15" customHeight="1">
      <c r="A132" s="17" t="s">
        <v>378</v>
      </c>
      <c r="B132" s="14" t="s">
        <v>379</v>
      </c>
      <c r="C132" s="14" t="s">
        <v>380</v>
      </c>
      <c r="D132" s="14" t="s">
        <v>41</v>
      </c>
      <c r="E132" s="18">
        <v>50</v>
      </c>
      <c r="F132" s="19">
        <v>500.56</v>
      </c>
      <c r="G132" s="20">
        <v>6.9999999999999999E-4</v>
      </c>
      <c r="H132" s="21">
        <v>6.3649999999999998E-2</v>
      </c>
      <c r="I132" s="21"/>
      <c r="J132" s="7"/>
    </row>
    <row r="133" spans="1:10" ht="15" customHeight="1">
      <c r="A133" s="17" t="s">
        <v>381</v>
      </c>
      <c r="B133" s="14" t="s">
        <v>382</v>
      </c>
      <c r="C133" s="14" t="s">
        <v>383</v>
      </c>
      <c r="D133" s="14" t="s">
        <v>41</v>
      </c>
      <c r="E133" s="18">
        <v>50</v>
      </c>
      <c r="F133" s="19">
        <v>500.44</v>
      </c>
      <c r="G133" s="20">
        <v>6.9999999999999999E-4</v>
      </c>
      <c r="H133" s="21">
        <v>6.5549999999999997E-2</v>
      </c>
      <c r="I133" s="21"/>
      <c r="J133" s="7"/>
    </row>
    <row r="134" spans="1:10" ht="15" customHeight="1">
      <c r="A134" s="17" t="s">
        <v>384</v>
      </c>
      <c r="B134" s="14" t="s">
        <v>385</v>
      </c>
      <c r="C134" s="14" t="s">
        <v>386</v>
      </c>
      <c r="D134" s="14" t="s">
        <v>41</v>
      </c>
      <c r="E134" s="18">
        <v>50</v>
      </c>
      <c r="F134" s="19">
        <v>496.81</v>
      </c>
      <c r="G134" s="20">
        <v>6.9999999999999999E-4</v>
      </c>
      <c r="H134" s="21">
        <v>7.4200000000000002E-2</v>
      </c>
      <c r="I134" s="21"/>
      <c r="J134" s="7"/>
    </row>
    <row r="135" spans="1:10" ht="15" customHeight="1">
      <c r="A135" s="17" t="s">
        <v>387</v>
      </c>
      <c r="B135" s="14" t="s">
        <v>388</v>
      </c>
      <c r="C135" s="14" t="s">
        <v>389</v>
      </c>
      <c r="D135" s="14" t="s">
        <v>37</v>
      </c>
      <c r="E135" s="18">
        <v>500000</v>
      </c>
      <c r="F135" s="19">
        <v>493.93</v>
      </c>
      <c r="G135" s="20">
        <v>6.9999999999999999E-4</v>
      </c>
      <c r="H135" s="21">
        <v>7.3899999999999993E-2</v>
      </c>
      <c r="I135" s="21"/>
      <c r="J135" s="7"/>
    </row>
    <row r="136" spans="1:10" ht="15" customHeight="1">
      <c r="A136" s="17" t="s">
        <v>390</v>
      </c>
      <c r="B136" s="14" t="s">
        <v>391</v>
      </c>
      <c r="C136" s="14" t="s">
        <v>392</v>
      </c>
      <c r="D136" s="14" t="s">
        <v>41</v>
      </c>
      <c r="E136" s="18">
        <v>50</v>
      </c>
      <c r="F136" s="19">
        <v>477.5</v>
      </c>
      <c r="G136" s="20">
        <v>5.9999999999999995E-4</v>
      </c>
      <c r="H136" s="21">
        <v>6.9042999999999993E-2</v>
      </c>
      <c r="I136" s="21">
        <v>7.7672187000000004E-2</v>
      </c>
      <c r="J136" s="7"/>
    </row>
    <row r="137" spans="1:10" ht="15" customHeight="1">
      <c r="A137" s="17" t="s">
        <v>393</v>
      </c>
      <c r="B137" s="14" t="s">
        <v>394</v>
      </c>
      <c r="C137" s="14" t="s">
        <v>395</v>
      </c>
      <c r="D137" s="14" t="s">
        <v>41</v>
      </c>
      <c r="E137" s="18">
        <v>47</v>
      </c>
      <c r="F137" s="19">
        <v>477.48</v>
      </c>
      <c r="G137" s="20">
        <v>5.9999999999999995E-4</v>
      </c>
      <c r="H137" s="21">
        <v>7.4149000000000007E-2</v>
      </c>
      <c r="I137" s="21"/>
      <c r="J137" s="7"/>
    </row>
    <row r="138" spans="1:10" ht="15" customHeight="1">
      <c r="A138" s="17" t="s">
        <v>396</v>
      </c>
      <c r="B138" s="14" t="s">
        <v>397</v>
      </c>
      <c r="C138" s="14" t="s">
        <v>398</v>
      </c>
      <c r="D138" s="14" t="s">
        <v>37</v>
      </c>
      <c r="E138" s="18">
        <v>500000</v>
      </c>
      <c r="F138" s="19">
        <v>474.05</v>
      </c>
      <c r="G138" s="20">
        <v>5.9999999999999995E-4</v>
      </c>
      <c r="H138" s="21">
        <v>7.5681999999999999E-2</v>
      </c>
      <c r="I138" s="21"/>
      <c r="J138" s="7"/>
    </row>
    <row r="139" spans="1:10" ht="15" customHeight="1">
      <c r="A139" s="17" t="s">
        <v>399</v>
      </c>
      <c r="B139" s="14" t="s">
        <v>400</v>
      </c>
      <c r="C139" s="14" t="s">
        <v>401</v>
      </c>
      <c r="D139" s="14" t="s">
        <v>37</v>
      </c>
      <c r="E139" s="18">
        <v>452300</v>
      </c>
      <c r="F139" s="19">
        <v>422.44</v>
      </c>
      <c r="G139" s="20">
        <v>5.9999999999999995E-4</v>
      </c>
      <c r="H139" s="21">
        <v>7.4629000000000001E-2</v>
      </c>
      <c r="I139" s="21"/>
      <c r="J139" s="7"/>
    </row>
    <row r="140" spans="1:10" ht="15" customHeight="1">
      <c r="A140" s="17" t="s">
        <v>402</v>
      </c>
      <c r="B140" s="14" t="s">
        <v>403</v>
      </c>
      <c r="C140" s="14" t="s">
        <v>404</v>
      </c>
      <c r="D140" s="14" t="s">
        <v>41</v>
      </c>
      <c r="E140" s="18">
        <v>40</v>
      </c>
      <c r="F140" s="19">
        <v>413.66</v>
      </c>
      <c r="G140" s="20">
        <v>5.9999999999999995E-4</v>
      </c>
      <c r="H140" s="21">
        <v>7.3849999999999999E-2</v>
      </c>
      <c r="I140" s="21"/>
      <c r="J140" s="7"/>
    </row>
    <row r="141" spans="1:10" ht="15" customHeight="1">
      <c r="A141" s="17" t="s">
        <v>405</v>
      </c>
      <c r="B141" s="14" t="s">
        <v>406</v>
      </c>
      <c r="C141" s="14" t="s">
        <v>407</v>
      </c>
      <c r="D141" s="14" t="s">
        <v>37</v>
      </c>
      <c r="E141" s="18">
        <v>380000</v>
      </c>
      <c r="F141" s="19">
        <v>389.25</v>
      </c>
      <c r="G141" s="20">
        <v>5.0000000000000001E-4</v>
      </c>
      <c r="H141" s="21">
        <v>7.4543999999999999E-2</v>
      </c>
      <c r="I141" s="21"/>
      <c r="J141" s="7"/>
    </row>
    <row r="142" spans="1:10" ht="15" customHeight="1">
      <c r="A142" s="17" t="s">
        <v>408</v>
      </c>
      <c r="B142" s="14" t="s">
        <v>409</v>
      </c>
      <c r="C142" s="14" t="s">
        <v>410</v>
      </c>
      <c r="D142" s="14" t="s">
        <v>37</v>
      </c>
      <c r="E142" s="18">
        <v>410900</v>
      </c>
      <c r="F142" s="19">
        <v>385</v>
      </c>
      <c r="G142" s="20">
        <v>5.0000000000000001E-4</v>
      </c>
      <c r="H142" s="21">
        <v>7.4122999999999994E-2</v>
      </c>
      <c r="I142" s="21"/>
      <c r="J142" s="7"/>
    </row>
    <row r="143" spans="1:10" ht="15" customHeight="1">
      <c r="A143" s="17" t="s">
        <v>411</v>
      </c>
      <c r="B143" s="14" t="s">
        <v>412</v>
      </c>
      <c r="C143" s="14" t="s">
        <v>413</v>
      </c>
      <c r="D143" s="14" t="s">
        <v>41</v>
      </c>
      <c r="E143" s="18">
        <v>40</v>
      </c>
      <c r="F143" s="19">
        <v>379.93</v>
      </c>
      <c r="G143" s="20">
        <v>5.0000000000000001E-4</v>
      </c>
      <c r="H143" s="21">
        <v>7.3499999999999996E-2</v>
      </c>
      <c r="I143" s="21"/>
      <c r="J143" s="7"/>
    </row>
    <row r="144" spans="1:10" ht="15" customHeight="1">
      <c r="A144" s="17" t="s">
        <v>414</v>
      </c>
      <c r="B144" s="14" t="s">
        <v>415</v>
      </c>
      <c r="C144" s="14" t="s">
        <v>416</v>
      </c>
      <c r="D144" s="14" t="s">
        <v>41</v>
      </c>
      <c r="E144" s="18">
        <v>30</v>
      </c>
      <c r="F144" s="19">
        <v>306.37</v>
      </c>
      <c r="G144" s="20">
        <v>4.0000000000000002E-4</v>
      </c>
      <c r="H144" s="21">
        <v>7.4200000000000002E-2</v>
      </c>
      <c r="I144" s="21"/>
      <c r="J144" s="7"/>
    </row>
    <row r="145" spans="1:10" ht="15" customHeight="1">
      <c r="A145" s="17" t="s">
        <v>417</v>
      </c>
      <c r="B145" s="14" t="s">
        <v>418</v>
      </c>
      <c r="C145" s="14" t="s">
        <v>419</v>
      </c>
      <c r="D145" s="14" t="s">
        <v>41</v>
      </c>
      <c r="E145" s="18">
        <v>30</v>
      </c>
      <c r="F145" s="19">
        <v>293.51</v>
      </c>
      <c r="G145" s="20">
        <v>4.0000000000000002E-4</v>
      </c>
      <c r="H145" s="21">
        <v>7.3700000000000002E-2</v>
      </c>
      <c r="I145" s="21"/>
      <c r="J145" s="7"/>
    </row>
    <row r="146" spans="1:10" ht="15" customHeight="1">
      <c r="A146" s="17" t="s">
        <v>420</v>
      </c>
      <c r="B146" s="14" t="s">
        <v>421</v>
      </c>
      <c r="C146" s="14" t="s">
        <v>422</v>
      </c>
      <c r="D146" s="14" t="s">
        <v>37</v>
      </c>
      <c r="E146" s="18">
        <v>300000</v>
      </c>
      <c r="F146" s="19">
        <v>289.41000000000003</v>
      </c>
      <c r="G146" s="20">
        <v>4.0000000000000002E-4</v>
      </c>
      <c r="H146" s="21">
        <v>7.3950000000000002E-2</v>
      </c>
      <c r="I146" s="21"/>
      <c r="J146" s="7"/>
    </row>
    <row r="147" spans="1:10" ht="15" customHeight="1">
      <c r="A147" s="17" t="s">
        <v>423</v>
      </c>
      <c r="B147" s="14" t="s">
        <v>424</v>
      </c>
      <c r="C147" s="14" t="s">
        <v>425</v>
      </c>
      <c r="D147" s="14" t="s">
        <v>37</v>
      </c>
      <c r="E147" s="18">
        <v>270000</v>
      </c>
      <c r="F147" s="19">
        <v>278.69</v>
      </c>
      <c r="G147" s="20">
        <v>4.0000000000000002E-4</v>
      </c>
      <c r="H147" s="21">
        <v>7.4292999999999998E-2</v>
      </c>
      <c r="I147" s="21"/>
      <c r="J147" s="7"/>
    </row>
    <row r="148" spans="1:10" ht="15" customHeight="1">
      <c r="A148" s="17" t="s">
        <v>426</v>
      </c>
      <c r="B148" s="14" t="s">
        <v>427</v>
      </c>
      <c r="C148" s="14" t="s">
        <v>428</v>
      </c>
      <c r="D148" s="14" t="s">
        <v>37</v>
      </c>
      <c r="E148" s="18">
        <v>270000</v>
      </c>
      <c r="F148" s="19">
        <v>274.95</v>
      </c>
      <c r="G148" s="20">
        <v>4.0000000000000002E-4</v>
      </c>
      <c r="H148" s="21">
        <v>7.4376999999999999E-2</v>
      </c>
      <c r="I148" s="21"/>
      <c r="J148" s="7"/>
    </row>
    <row r="149" spans="1:10" ht="15" customHeight="1">
      <c r="A149" s="17" t="s">
        <v>429</v>
      </c>
      <c r="B149" s="14" t="s">
        <v>430</v>
      </c>
      <c r="C149" s="14" t="s">
        <v>431</v>
      </c>
      <c r="D149" s="14" t="s">
        <v>37</v>
      </c>
      <c r="E149" s="18">
        <v>247200</v>
      </c>
      <c r="F149" s="19">
        <v>238.98</v>
      </c>
      <c r="G149" s="20">
        <v>2.9999999999999997E-4</v>
      </c>
      <c r="H149" s="21">
        <v>7.3667999999999997E-2</v>
      </c>
      <c r="I149" s="21"/>
      <c r="J149" s="7"/>
    </row>
    <row r="150" spans="1:10" ht="15" customHeight="1">
      <c r="A150" s="17" t="s">
        <v>432</v>
      </c>
      <c r="B150" s="14" t="s">
        <v>433</v>
      </c>
      <c r="C150" s="14" t="s">
        <v>434</v>
      </c>
      <c r="D150" s="14" t="s">
        <v>37</v>
      </c>
      <c r="E150" s="18">
        <v>244400</v>
      </c>
      <c r="F150" s="19">
        <v>237.03</v>
      </c>
      <c r="G150" s="20">
        <v>2.9999999999999997E-4</v>
      </c>
      <c r="H150" s="21">
        <v>7.6231999999999994E-2</v>
      </c>
      <c r="I150" s="21"/>
      <c r="J150" s="7"/>
    </row>
    <row r="151" spans="1:10" ht="15" customHeight="1">
      <c r="A151" s="17" t="s">
        <v>435</v>
      </c>
      <c r="B151" s="14" t="s">
        <v>436</v>
      </c>
      <c r="C151" s="14" t="s">
        <v>437</v>
      </c>
      <c r="D151" s="14" t="s">
        <v>41</v>
      </c>
      <c r="E151" s="18">
        <v>23</v>
      </c>
      <c r="F151" s="19">
        <v>219.02</v>
      </c>
      <c r="G151" s="20">
        <v>2.9999999999999997E-4</v>
      </c>
      <c r="H151" s="21">
        <v>7.5050000000000006E-2</v>
      </c>
      <c r="I151" s="21"/>
      <c r="J151" s="7"/>
    </row>
    <row r="152" spans="1:10" ht="15" customHeight="1">
      <c r="A152" s="17" t="s">
        <v>438</v>
      </c>
      <c r="B152" s="14" t="s">
        <v>439</v>
      </c>
      <c r="C152" s="14" t="s">
        <v>440</v>
      </c>
      <c r="D152" s="14" t="s">
        <v>37</v>
      </c>
      <c r="E152" s="18">
        <v>210000</v>
      </c>
      <c r="F152" s="19">
        <v>216.6</v>
      </c>
      <c r="G152" s="20">
        <v>2.9999999999999997E-4</v>
      </c>
      <c r="H152" s="21">
        <v>7.2550000000000003E-2</v>
      </c>
      <c r="I152" s="21"/>
      <c r="J152" s="7"/>
    </row>
    <row r="153" spans="1:10" ht="15" customHeight="1">
      <c r="A153" s="17" t="s">
        <v>441</v>
      </c>
      <c r="B153" s="14" t="s">
        <v>442</v>
      </c>
      <c r="C153" s="14" t="s">
        <v>443</v>
      </c>
      <c r="D153" s="14" t="s">
        <v>41</v>
      </c>
      <c r="E153" s="18">
        <v>20</v>
      </c>
      <c r="F153" s="19">
        <v>206.6</v>
      </c>
      <c r="G153" s="20">
        <v>2.9999999999999997E-4</v>
      </c>
      <c r="H153" s="21">
        <v>7.8649999999999998E-2</v>
      </c>
      <c r="I153" s="21"/>
      <c r="J153" s="7"/>
    </row>
    <row r="154" spans="1:10" ht="15" customHeight="1">
      <c r="A154" s="17" t="s">
        <v>444</v>
      </c>
      <c r="B154" s="14" t="s">
        <v>445</v>
      </c>
      <c r="C154" s="14" t="s">
        <v>446</v>
      </c>
      <c r="D154" s="14" t="s">
        <v>37</v>
      </c>
      <c r="E154" s="18">
        <v>200000</v>
      </c>
      <c r="F154" s="19">
        <v>200.35</v>
      </c>
      <c r="G154" s="20">
        <v>2.9999999999999997E-4</v>
      </c>
      <c r="H154" s="21">
        <v>7.4803999999999995E-2</v>
      </c>
      <c r="I154" s="21"/>
      <c r="J154" s="7"/>
    </row>
    <row r="155" spans="1:10" ht="15" customHeight="1">
      <c r="A155" s="17" t="s">
        <v>447</v>
      </c>
      <c r="B155" s="14" t="s">
        <v>448</v>
      </c>
      <c r="C155" s="14" t="s">
        <v>449</v>
      </c>
      <c r="D155" s="14" t="s">
        <v>37</v>
      </c>
      <c r="E155" s="18">
        <v>200000</v>
      </c>
      <c r="F155" s="19">
        <v>200.32</v>
      </c>
      <c r="G155" s="20">
        <v>2.9999999999999997E-4</v>
      </c>
      <c r="H155" s="21">
        <v>7.4745000000000006E-2</v>
      </c>
      <c r="I155" s="21"/>
      <c r="J155" s="7"/>
    </row>
    <row r="156" spans="1:10" ht="15" customHeight="1">
      <c r="A156" s="17" t="s">
        <v>450</v>
      </c>
      <c r="B156" s="14" t="s">
        <v>451</v>
      </c>
      <c r="C156" s="14" t="s">
        <v>452</v>
      </c>
      <c r="D156" s="14" t="s">
        <v>37</v>
      </c>
      <c r="E156" s="18">
        <v>150000</v>
      </c>
      <c r="F156" s="19">
        <v>152.36000000000001</v>
      </c>
      <c r="G156" s="20">
        <v>2.0000000000000001E-4</v>
      </c>
      <c r="H156" s="21">
        <v>7.3610999999999996E-2</v>
      </c>
      <c r="I156" s="21"/>
      <c r="J156" s="7"/>
    </row>
    <row r="157" spans="1:10" ht="15" customHeight="1">
      <c r="A157" s="17" t="s">
        <v>453</v>
      </c>
      <c r="B157" s="14" t="s">
        <v>454</v>
      </c>
      <c r="C157" s="14" t="s">
        <v>455</v>
      </c>
      <c r="D157" s="14" t="s">
        <v>37</v>
      </c>
      <c r="E157" s="18">
        <v>145000</v>
      </c>
      <c r="F157" s="19">
        <v>147.86000000000001</v>
      </c>
      <c r="G157" s="20">
        <v>2.0000000000000001E-4</v>
      </c>
      <c r="H157" s="21">
        <v>7.4443999999999996E-2</v>
      </c>
      <c r="I157" s="21"/>
      <c r="J157" s="7"/>
    </row>
    <row r="158" spans="1:10" ht="15" customHeight="1">
      <c r="A158" s="17" t="s">
        <v>456</v>
      </c>
      <c r="B158" s="14" t="s">
        <v>457</v>
      </c>
      <c r="C158" s="14" t="s">
        <v>458</v>
      </c>
      <c r="D158" s="14" t="s">
        <v>37</v>
      </c>
      <c r="E158" s="18">
        <v>100000</v>
      </c>
      <c r="F158" s="19">
        <v>102.41</v>
      </c>
      <c r="G158" s="20">
        <v>1E-4</v>
      </c>
      <c r="H158" s="21">
        <v>7.4418999999999999E-2</v>
      </c>
      <c r="I158" s="21"/>
      <c r="J158" s="7"/>
    </row>
    <row r="159" spans="1:10" ht="15" customHeight="1">
      <c r="A159" s="17" t="s">
        <v>459</v>
      </c>
      <c r="B159" s="14" t="s">
        <v>460</v>
      </c>
      <c r="C159" s="14" t="s">
        <v>461</v>
      </c>
      <c r="D159" s="14" t="s">
        <v>462</v>
      </c>
      <c r="E159" s="18">
        <v>10</v>
      </c>
      <c r="F159" s="19">
        <v>99.71</v>
      </c>
      <c r="G159" s="20">
        <v>1E-4</v>
      </c>
      <c r="H159" s="21">
        <v>7.6846999999999999E-2</v>
      </c>
      <c r="I159" s="21"/>
      <c r="J159" s="7"/>
    </row>
    <row r="160" spans="1:10" ht="15" customHeight="1">
      <c r="A160" s="17" t="s">
        <v>463</v>
      </c>
      <c r="B160" s="14" t="s">
        <v>464</v>
      </c>
      <c r="C160" s="14" t="s">
        <v>465</v>
      </c>
      <c r="D160" s="14" t="s">
        <v>41</v>
      </c>
      <c r="E160" s="18">
        <v>9</v>
      </c>
      <c r="F160" s="19">
        <v>89.15</v>
      </c>
      <c r="G160" s="20">
        <v>1E-4</v>
      </c>
      <c r="H160" s="21">
        <v>7.8725000000000003E-2</v>
      </c>
      <c r="I160" s="21"/>
      <c r="J160" s="7"/>
    </row>
    <row r="161" spans="1:10" ht="15" customHeight="1">
      <c r="A161" s="17" t="s">
        <v>466</v>
      </c>
      <c r="B161" s="14" t="s">
        <v>467</v>
      </c>
      <c r="C161" s="14" t="s">
        <v>468</v>
      </c>
      <c r="D161" s="14" t="s">
        <v>37</v>
      </c>
      <c r="E161" s="18">
        <v>90400</v>
      </c>
      <c r="F161" s="19">
        <v>88.57</v>
      </c>
      <c r="G161" s="20">
        <v>1E-4</v>
      </c>
      <c r="H161" s="21">
        <v>7.3109999999999994E-2</v>
      </c>
      <c r="I161" s="21"/>
      <c r="J161" s="7"/>
    </row>
    <row r="162" spans="1:10" ht="15" customHeight="1">
      <c r="A162" s="17" t="s">
        <v>469</v>
      </c>
      <c r="B162" s="14" t="s">
        <v>470</v>
      </c>
      <c r="C162" s="14" t="s">
        <v>471</v>
      </c>
      <c r="D162" s="14" t="s">
        <v>37</v>
      </c>
      <c r="E162" s="18">
        <v>71700</v>
      </c>
      <c r="F162" s="19">
        <v>71.260000000000005</v>
      </c>
      <c r="G162" s="20">
        <v>1E-4</v>
      </c>
      <c r="H162" s="21">
        <v>7.3103000000000001E-2</v>
      </c>
      <c r="I162" s="21"/>
      <c r="J162" s="7"/>
    </row>
    <row r="163" spans="1:10" ht="15" customHeight="1">
      <c r="A163" s="17" t="s">
        <v>472</v>
      </c>
      <c r="B163" s="14" t="s">
        <v>473</v>
      </c>
      <c r="C163" s="14" t="s">
        <v>474</v>
      </c>
      <c r="D163" s="14" t="s">
        <v>37</v>
      </c>
      <c r="E163" s="18">
        <v>68700</v>
      </c>
      <c r="F163" s="19">
        <v>66.489999999999995</v>
      </c>
      <c r="G163" s="20">
        <v>1E-4</v>
      </c>
      <c r="H163" s="21">
        <v>7.3699000000000001E-2</v>
      </c>
      <c r="I163" s="21"/>
      <c r="J163" s="7"/>
    </row>
    <row r="164" spans="1:10" ht="15" customHeight="1">
      <c r="A164" s="17" t="s">
        <v>475</v>
      </c>
      <c r="B164" s="14" t="s">
        <v>476</v>
      </c>
      <c r="C164" s="14" t="s">
        <v>477</v>
      </c>
      <c r="D164" s="14" t="s">
        <v>37</v>
      </c>
      <c r="E164" s="18">
        <v>60000</v>
      </c>
      <c r="F164" s="19">
        <v>61.48</v>
      </c>
      <c r="G164" s="20">
        <v>1E-4</v>
      </c>
      <c r="H164" s="21">
        <v>7.2650999999999993E-2</v>
      </c>
      <c r="I164" s="21"/>
      <c r="J164" s="7"/>
    </row>
    <row r="165" spans="1:10" ht="15" customHeight="1">
      <c r="A165" s="17" t="s">
        <v>478</v>
      </c>
      <c r="B165" s="14" t="s">
        <v>479</v>
      </c>
      <c r="C165" s="14" t="s">
        <v>480</v>
      </c>
      <c r="D165" s="14" t="s">
        <v>37</v>
      </c>
      <c r="E165" s="18">
        <v>35000</v>
      </c>
      <c r="F165" s="19">
        <v>37.04</v>
      </c>
      <c r="G165" s="22" t="s">
        <v>481</v>
      </c>
      <c r="H165" s="21">
        <v>7.3208999999999996E-2</v>
      </c>
      <c r="I165" s="21"/>
      <c r="J165" s="7"/>
    </row>
    <row r="166" spans="1:10" ht="15" customHeight="1">
      <c r="A166" s="17" t="s">
        <v>482</v>
      </c>
      <c r="B166" s="14" t="s">
        <v>483</v>
      </c>
      <c r="C166" s="14" t="s">
        <v>484</v>
      </c>
      <c r="D166" s="14" t="s">
        <v>37</v>
      </c>
      <c r="E166" s="18">
        <v>31100</v>
      </c>
      <c r="F166" s="19">
        <v>28.28</v>
      </c>
      <c r="G166" s="22" t="s">
        <v>481</v>
      </c>
      <c r="H166" s="21">
        <v>7.3428999999999994E-2</v>
      </c>
      <c r="I166" s="21"/>
      <c r="J166" s="7"/>
    </row>
    <row r="167" spans="1:10" ht="15" customHeight="1">
      <c r="A167" s="17" t="s">
        <v>485</v>
      </c>
      <c r="B167" s="14" t="s">
        <v>486</v>
      </c>
      <c r="C167" s="14" t="s">
        <v>487</v>
      </c>
      <c r="D167" s="14" t="s">
        <v>37</v>
      </c>
      <c r="E167" s="18">
        <v>20800</v>
      </c>
      <c r="F167" s="19">
        <v>21.03</v>
      </c>
      <c r="G167" s="22" t="s">
        <v>481</v>
      </c>
      <c r="H167" s="21">
        <v>7.3720999999999995E-2</v>
      </c>
      <c r="I167" s="21"/>
      <c r="J167" s="7"/>
    </row>
    <row r="168" spans="1:10" ht="15" customHeight="1">
      <c r="A168" s="17" t="s">
        <v>488</v>
      </c>
      <c r="B168" s="14" t="s">
        <v>489</v>
      </c>
      <c r="C168" s="14" t="s">
        <v>490</v>
      </c>
      <c r="D168" s="14" t="s">
        <v>37</v>
      </c>
      <c r="E168" s="18">
        <v>15000</v>
      </c>
      <c r="F168" s="19">
        <v>15.08</v>
      </c>
      <c r="G168" s="22" t="s">
        <v>481</v>
      </c>
      <c r="H168" s="21">
        <v>6.2148000000000002E-2</v>
      </c>
      <c r="I168" s="21"/>
      <c r="J168" s="7"/>
    </row>
    <row r="169" spans="1:10" ht="15" customHeight="1">
      <c r="A169" s="17" t="s">
        <v>491</v>
      </c>
      <c r="B169" s="14" t="s">
        <v>492</v>
      </c>
      <c r="C169" s="14" t="s">
        <v>493</v>
      </c>
      <c r="D169" s="14" t="s">
        <v>37</v>
      </c>
      <c r="E169" s="18">
        <v>9000</v>
      </c>
      <c r="F169" s="19">
        <v>9.89</v>
      </c>
      <c r="G169" s="22" t="s">
        <v>481</v>
      </c>
      <c r="H169" s="21">
        <v>7.3403999999999997E-2</v>
      </c>
      <c r="I169" s="21"/>
      <c r="J169" s="7"/>
    </row>
    <row r="170" spans="1:10" ht="15" customHeight="1">
      <c r="A170" s="17" t="s">
        <v>494</v>
      </c>
      <c r="B170" s="14" t="s">
        <v>495</v>
      </c>
      <c r="C170" s="14" t="s">
        <v>496</v>
      </c>
      <c r="D170" s="14" t="s">
        <v>37</v>
      </c>
      <c r="E170" s="18">
        <v>6600</v>
      </c>
      <c r="F170" s="19">
        <v>6.01</v>
      </c>
      <c r="G170" s="22" t="s">
        <v>481</v>
      </c>
      <c r="H170" s="21">
        <v>7.3497000000000007E-2</v>
      </c>
      <c r="I170" s="21"/>
      <c r="J170" s="7"/>
    </row>
    <row r="171" spans="1:10" ht="15" customHeight="1">
      <c r="A171" s="17" t="s">
        <v>497</v>
      </c>
      <c r="B171" s="14" t="s">
        <v>498</v>
      </c>
      <c r="C171" s="14" t="s">
        <v>499</v>
      </c>
      <c r="D171" s="14" t="s">
        <v>37</v>
      </c>
      <c r="E171" s="18">
        <v>200</v>
      </c>
      <c r="F171" s="19">
        <v>0.21</v>
      </c>
      <c r="G171" s="22" t="s">
        <v>481</v>
      </c>
      <c r="H171" s="21">
        <v>7.3860999999999996E-2</v>
      </c>
      <c r="I171" s="21"/>
      <c r="J171" s="7"/>
    </row>
    <row r="172" spans="1:10" ht="15" customHeight="1">
      <c r="A172" s="7"/>
      <c r="B172" s="13" t="s">
        <v>30</v>
      </c>
      <c r="C172" s="14"/>
      <c r="D172" s="14"/>
      <c r="E172" s="14"/>
      <c r="F172" s="23">
        <v>567219.57999999996</v>
      </c>
      <c r="G172" s="24">
        <v>0.75519999999999998</v>
      </c>
      <c r="H172" s="25"/>
      <c r="I172" s="25"/>
      <c r="J172" s="7"/>
    </row>
    <row r="173" spans="1:10" ht="15" customHeight="1">
      <c r="A173" s="7"/>
      <c r="B173" s="26" t="s">
        <v>500</v>
      </c>
      <c r="C173" s="27"/>
      <c r="D173" s="27"/>
      <c r="E173" s="27"/>
      <c r="F173" s="25" t="s">
        <v>501</v>
      </c>
      <c r="G173" s="25" t="s">
        <v>501</v>
      </c>
      <c r="H173" s="25"/>
      <c r="I173" s="25"/>
      <c r="J173" s="7"/>
    </row>
    <row r="174" spans="1:10" ht="15" customHeight="1">
      <c r="A174" s="7"/>
      <c r="B174" s="26" t="s">
        <v>30</v>
      </c>
      <c r="C174" s="27"/>
      <c r="D174" s="27"/>
      <c r="E174" s="27"/>
      <c r="F174" s="25" t="s">
        <v>501</v>
      </c>
      <c r="G174" s="25" t="s">
        <v>501</v>
      </c>
      <c r="H174" s="25"/>
      <c r="I174" s="25"/>
      <c r="J174" s="7"/>
    </row>
    <row r="175" spans="1:10" ht="15" customHeight="1">
      <c r="A175" s="7"/>
      <c r="B175" s="13" t="s">
        <v>502</v>
      </c>
      <c r="C175" s="14"/>
      <c r="D175" s="14"/>
      <c r="E175" s="14"/>
      <c r="F175" s="16"/>
      <c r="G175" s="15"/>
      <c r="H175" s="15"/>
      <c r="I175" s="15"/>
      <c r="J175" s="7"/>
    </row>
    <row r="176" spans="1:10" ht="15" customHeight="1">
      <c r="A176" s="17" t="s">
        <v>503</v>
      </c>
      <c r="B176" s="14" t="s">
        <v>504</v>
      </c>
      <c r="C176" s="14" t="s">
        <v>505</v>
      </c>
      <c r="D176" s="14" t="s">
        <v>506</v>
      </c>
      <c r="E176" s="18">
        <v>30</v>
      </c>
      <c r="F176" s="19">
        <v>2669.42</v>
      </c>
      <c r="G176" s="20">
        <v>3.5999999999999999E-3</v>
      </c>
      <c r="H176" s="21">
        <v>8.1018999999999994E-2</v>
      </c>
      <c r="I176" s="21"/>
      <c r="J176" s="7"/>
    </row>
    <row r="177" spans="1:10" ht="15" customHeight="1">
      <c r="A177" s="17" t="s">
        <v>507</v>
      </c>
      <c r="B177" s="14" t="s">
        <v>508</v>
      </c>
      <c r="C177" s="14" t="s">
        <v>509</v>
      </c>
      <c r="D177" s="14" t="s">
        <v>506</v>
      </c>
      <c r="E177" s="18">
        <v>30</v>
      </c>
      <c r="F177" s="19">
        <v>2616.5300000000002</v>
      </c>
      <c r="G177" s="20">
        <v>3.5000000000000001E-3</v>
      </c>
      <c r="H177" s="21">
        <v>8.1383999999999998E-2</v>
      </c>
      <c r="I177" s="21"/>
      <c r="J177" s="7"/>
    </row>
    <row r="178" spans="1:10" ht="15" customHeight="1">
      <c r="A178" s="17" t="s">
        <v>510</v>
      </c>
      <c r="B178" s="14" t="s">
        <v>511</v>
      </c>
      <c r="C178" s="14" t="s">
        <v>512</v>
      </c>
      <c r="D178" s="14" t="s">
        <v>506</v>
      </c>
      <c r="E178" s="18">
        <v>27</v>
      </c>
      <c r="F178" s="19">
        <v>2603.04</v>
      </c>
      <c r="G178" s="20">
        <v>3.5000000000000001E-3</v>
      </c>
      <c r="H178" s="21">
        <v>7.4699000000000002E-2</v>
      </c>
      <c r="I178" s="21"/>
      <c r="J178" s="7"/>
    </row>
    <row r="179" spans="1:10" ht="15" customHeight="1">
      <c r="A179" s="17" t="s">
        <v>513</v>
      </c>
      <c r="B179" s="14" t="s">
        <v>514</v>
      </c>
      <c r="C179" s="14" t="s">
        <v>515</v>
      </c>
      <c r="D179" s="14" t="s">
        <v>506</v>
      </c>
      <c r="E179" s="18">
        <v>27</v>
      </c>
      <c r="F179" s="19">
        <v>2554.06</v>
      </c>
      <c r="G179" s="20">
        <v>3.3999999999999998E-3</v>
      </c>
      <c r="H179" s="21">
        <v>7.6398999999999995E-2</v>
      </c>
      <c r="I179" s="21"/>
      <c r="J179" s="7"/>
    </row>
    <row r="180" spans="1:10" ht="15" customHeight="1">
      <c r="A180" s="17" t="s">
        <v>516</v>
      </c>
      <c r="B180" s="14" t="s">
        <v>517</v>
      </c>
      <c r="C180" s="14" t="s">
        <v>518</v>
      </c>
      <c r="D180" s="14" t="s">
        <v>506</v>
      </c>
      <c r="E180" s="18">
        <v>21</v>
      </c>
      <c r="F180" s="19">
        <v>1948.23</v>
      </c>
      <c r="G180" s="20">
        <v>2.5999999999999999E-3</v>
      </c>
      <c r="H180" s="21">
        <v>7.7899999999999997E-2</v>
      </c>
      <c r="I180" s="21"/>
      <c r="J180" s="7"/>
    </row>
    <row r="181" spans="1:10" ht="15" customHeight="1">
      <c r="A181" s="17" t="s">
        <v>519</v>
      </c>
      <c r="B181" s="14" t="s">
        <v>520</v>
      </c>
      <c r="C181" s="14" t="s">
        <v>521</v>
      </c>
      <c r="D181" s="14" t="s">
        <v>506</v>
      </c>
      <c r="E181" s="18">
        <v>13</v>
      </c>
      <c r="F181" s="19">
        <v>1179.69</v>
      </c>
      <c r="G181" s="20">
        <v>1.6000000000000001E-3</v>
      </c>
      <c r="H181" s="21">
        <v>8.0649999999999999E-2</v>
      </c>
      <c r="I181" s="21"/>
      <c r="J181" s="7"/>
    </row>
    <row r="182" spans="1:10" ht="15" customHeight="1">
      <c r="A182" s="17" t="s">
        <v>522</v>
      </c>
      <c r="B182" s="14" t="s">
        <v>523</v>
      </c>
      <c r="C182" s="14" t="s">
        <v>524</v>
      </c>
      <c r="D182" s="14" t="s">
        <v>506</v>
      </c>
      <c r="E182" s="18">
        <v>7</v>
      </c>
      <c r="F182" s="19">
        <v>598.41</v>
      </c>
      <c r="G182" s="20">
        <v>8.0000000000000004E-4</v>
      </c>
      <c r="H182" s="21">
        <v>8.1556000000000003E-2</v>
      </c>
      <c r="I182" s="21"/>
      <c r="J182" s="7"/>
    </row>
    <row r="183" spans="1:10" ht="15" customHeight="1">
      <c r="A183" s="17" t="s">
        <v>525</v>
      </c>
      <c r="B183" s="14" t="s">
        <v>526</v>
      </c>
      <c r="C183" s="14" t="s">
        <v>527</v>
      </c>
      <c r="D183" s="14" t="s">
        <v>506</v>
      </c>
      <c r="E183" s="18">
        <v>5</v>
      </c>
      <c r="F183" s="19">
        <v>500</v>
      </c>
      <c r="G183" s="20">
        <v>6.9999999999999999E-4</v>
      </c>
      <c r="H183" s="21">
        <v>6.7449999999999996E-2</v>
      </c>
      <c r="I183" s="21"/>
      <c r="J183" s="7"/>
    </row>
    <row r="184" spans="1:10" ht="15" customHeight="1">
      <c r="A184" s="17" t="s">
        <v>528</v>
      </c>
      <c r="B184" s="14" t="s">
        <v>529</v>
      </c>
      <c r="C184" s="14" t="s">
        <v>530</v>
      </c>
      <c r="D184" s="14" t="s">
        <v>506</v>
      </c>
      <c r="E184" s="18">
        <v>5</v>
      </c>
      <c r="F184" s="19">
        <v>490.97</v>
      </c>
      <c r="G184" s="20">
        <v>6.9999999999999999E-4</v>
      </c>
      <c r="H184" s="21">
        <v>7.2950000000000001E-2</v>
      </c>
      <c r="I184" s="21"/>
      <c r="J184" s="7"/>
    </row>
    <row r="185" spans="1:10" ht="15" customHeight="1">
      <c r="A185" s="7"/>
      <c r="B185" s="13" t="s">
        <v>30</v>
      </c>
      <c r="C185" s="14"/>
      <c r="D185" s="14"/>
      <c r="E185" s="14"/>
      <c r="F185" s="23">
        <v>15160.35</v>
      </c>
      <c r="G185" s="24">
        <v>2.0400000000000001E-2</v>
      </c>
      <c r="H185" s="25"/>
      <c r="I185" s="25"/>
      <c r="J185" s="7"/>
    </row>
    <row r="186" spans="1:10" ht="15" customHeight="1">
      <c r="A186" s="7"/>
      <c r="B186" s="26" t="s">
        <v>500</v>
      </c>
      <c r="C186" s="27"/>
      <c r="D186" s="27"/>
      <c r="E186" s="27"/>
      <c r="F186" s="25" t="s">
        <v>501</v>
      </c>
      <c r="G186" s="25" t="s">
        <v>501</v>
      </c>
      <c r="H186" s="25"/>
      <c r="I186" s="25"/>
      <c r="J186" s="7"/>
    </row>
    <row r="187" spans="1:10" ht="15" customHeight="1">
      <c r="A187" s="7"/>
      <c r="B187" s="26" t="s">
        <v>30</v>
      </c>
      <c r="C187" s="27"/>
      <c r="D187" s="27"/>
      <c r="E187" s="27"/>
      <c r="F187" s="25" t="s">
        <v>501</v>
      </c>
      <c r="G187" s="25" t="s">
        <v>501</v>
      </c>
      <c r="H187" s="25"/>
      <c r="I187" s="25"/>
      <c r="J187" s="7"/>
    </row>
    <row r="188" spans="1:10" ht="15" customHeight="1">
      <c r="A188" s="7"/>
      <c r="B188" s="26" t="s">
        <v>31</v>
      </c>
      <c r="C188" s="27"/>
      <c r="D188" s="27"/>
      <c r="E188" s="27"/>
      <c r="F188" s="23">
        <v>582379.93000000005</v>
      </c>
      <c r="G188" s="24">
        <v>0.77559999999999996</v>
      </c>
      <c r="H188" s="25"/>
      <c r="I188" s="25"/>
      <c r="J188" s="7"/>
    </row>
    <row r="189" spans="1:10" ht="15" customHeight="1">
      <c r="A189" s="7"/>
      <c r="B189" s="13" t="s">
        <v>531</v>
      </c>
      <c r="C189" s="14"/>
      <c r="D189" s="14"/>
      <c r="E189" s="14"/>
      <c r="F189" s="14"/>
      <c r="G189" s="14"/>
      <c r="H189" s="15"/>
      <c r="I189" s="15"/>
      <c r="J189" s="7"/>
    </row>
    <row r="190" spans="1:10" ht="15" customHeight="1">
      <c r="A190" s="7"/>
      <c r="B190" s="13" t="s">
        <v>532</v>
      </c>
      <c r="C190" s="14"/>
      <c r="D190" s="14"/>
      <c r="E190" s="14"/>
      <c r="F190" s="16"/>
      <c r="G190" s="15"/>
      <c r="H190" s="15"/>
      <c r="I190" s="15"/>
      <c r="J190" s="7"/>
    </row>
    <row r="191" spans="1:10" ht="15" customHeight="1">
      <c r="A191" s="17" t="s">
        <v>533</v>
      </c>
      <c r="B191" s="14" t="s">
        <v>534</v>
      </c>
      <c r="C191" s="14" t="s">
        <v>535</v>
      </c>
      <c r="D191" s="14" t="s">
        <v>536</v>
      </c>
      <c r="E191" s="18">
        <v>3000</v>
      </c>
      <c r="F191" s="19">
        <v>14121.27</v>
      </c>
      <c r="G191" s="20">
        <v>1.8800000000000001E-2</v>
      </c>
      <c r="H191" s="21">
        <v>7.1651000000000006E-2</v>
      </c>
      <c r="I191" s="21"/>
      <c r="J191" s="7"/>
    </row>
    <row r="192" spans="1:10" ht="15" customHeight="1">
      <c r="A192" s="17" t="s">
        <v>537</v>
      </c>
      <c r="B192" s="14" t="s">
        <v>538</v>
      </c>
      <c r="C192" s="14" t="s">
        <v>539</v>
      </c>
      <c r="D192" s="14" t="s">
        <v>540</v>
      </c>
      <c r="E192" s="18">
        <v>2000</v>
      </c>
      <c r="F192" s="19">
        <v>9651.51</v>
      </c>
      <c r="G192" s="20">
        <v>1.2800000000000001E-2</v>
      </c>
      <c r="H192" s="21">
        <v>6.9001000000000007E-2</v>
      </c>
      <c r="I192" s="21"/>
      <c r="J192" s="7"/>
    </row>
    <row r="193" spans="1:10" ht="15" customHeight="1">
      <c r="A193" s="17" t="s">
        <v>541</v>
      </c>
      <c r="B193" s="14" t="s">
        <v>542</v>
      </c>
      <c r="C193" s="14" t="s">
        <v>543</v>
      </c>
      <c r="D193" s="14" t="s">
        <v>536</v>
      </c>
      <c r="E193" s="18">
        <v>2000</v>
      </c>
      <c r="F193" s="19">
        <v>9644.51</v>
      </c>
      <c r="G193" s="20">
        <v>1.2800000000000001E-2</v>
      </c>
      <c r="H193" s="21">
        <v>6.9349999999999995E-2</v>
      </c>
      <c r="I193" s="21"/>
      <c r="J193" s="7"/>
    </row>
    <row r="194" spans="1:10" ht="15" customHeight="1">
      <c r="A194" s="17" t="s">
        <v>544</v>
      </c>
      <c r="B194" s="14" t="s">
        <v>545</v>
      </c>
      <c r="C194" s="14" t="s">
        <v>546</v>
      </c>
      <c r="D194" s="14" t="s">
        <v>547</v>
      </c>
      <c r="E194" s="18">
        <v>2000</v>
      </c>
      <c r="F194" s="19">
        <v>9539.5499999999993</v>
      </c>
      <c r="G194" s="20">
        <v>1.2699999999999999E-2</v>
      </c>
      <c r="H194" s="21">
        <v>7.2800000000000004E-2</v>
      </c>
      <c r="I194" s="21"/>
      <c r="J194" s="7"/>
    </row>
    <row r="195" spans="1:10" ht="15" customHeight="1">
      <c r="A195" s="17" t="s">
        <v>548</v>
      </c>
      <c r="B195" s="14" t="s">
        <v>549</v>
      </c>
      <c r="C195" s="14" t="s">
        <v>550</v>
      </c>
      <c r="D195" s="14" t="s">
        <v>536</v>
      </c>
      <c r="E195" s="18">
        <v>2000</v>
      </c>
      <c r="F195" s="19">
        <v>9464.2000000000007</v>
      </c>
      <c r="G195" s="20">
        <v>1.26E-2</v>
      </c>
      <c r="H195" s="21">
        <v>7.1500999999999995E-2</v>
      </c>
      <c r="I195" s="21"/>
      <c r="J195" s="7"/>
    </row>
    <row r="196" spans="1:10" ht="15" customHeight="1">
      <c r="A196" s="17" t="s">
        <v>551</v>
      </c>
      <c r="B196" s="14" t="s">
        <v>552</v>
      </c>
      <c r="C196" s="14" t="s">
        <v>553</v>
      </c>
      <c r="D196" s="14" t="s">
        <v>547</v>
      </c>
      <c r="E196" s="18">
        <v>2000</v>
      </c>
      <c r="F196" s="19">
        <v>9449.25</v>
      </c>
      <c r="G196" s="20">
        <v>1.26E-2</v>
      </c>
      <c r="H196" s="21">
        <v>7.1151000000000006E-2</v>
      </c>
      <c r="I196" s="21"/>
      <c r="J196" s="7"/>
    </row>
    <row r="197" spans="1:10" ht="15" customHeight="1">
      <c r="A197" s="17" t="s">
        <v>554</v>
      </c>
      <c r="B197" s="14" t="s">
        <v>555</v>
      </c>
      <c r="C197" s="14" t="s">
        <v>556</v>
      </c>
      <c r="D197" s="14" t="s">
        <v>536</v>
      </c>
      <c r="E197" s="18">
        <v>2000</v>
      </c>
      <c r="F197" s="19">
        <v>9432.42</v>
      </c>
      <c r="G197" s="20">
        <v>1.26E-2</v>
      </c>
      <c r="H197" s="21">
        <v>7.0849999999999996E-2</v>
      </c>
      <c r="I197" s="21"/>
      <c r="J197" s="7"/>
    </row>
    <row r="198" spans="1:10" ht="15" customHeight="1">
      <c r="A198" s="17" t="s">
        <v>557</v>
      </c>
      <c r="B198" s="14" t="s">
        <v>558</v>
      </c>
      <c r="C198" s="14" t="s">
        <v>559</v>
      </c>
      <c r="D198" s="14" t="s">
        <v>560</v>
      </c>
      <c r="E198" s="18">
        <v>2000</v>
      </c>
      <c r="F198" s="19">
        <v>9372.61</v>
      </c>
      <c r="G198" s="20">
        <v>1.2500000000000001E-2</v>
      </c>
      <c r="H198" s="21">
        <v>7.1650000000000005E-2</v>
      </c>
      <c r="I198" s="21"/>
      <c r="J198" s="7"/>
    </row>
    <row r="199" spans="1:10" ht="15" customHeight="1">
      <c r="A199" s="17" t="s">
        <v>561</v>
      </c>
      <c r="B199" s="14" t="s">
        <v>562</v>
      </c>
      <c r="C199" s="14" t="s">
        <v>563</v>
      </c>
      <c r="D199" s="14" t="s">
        <v>536</v>
      </c>
      <c r="E199" s="18">
        <v>1500</v>
      </c>
      <c r="F199" s="19">
        <v>7186.94</v>
      </c>
      <c r="G199" s="20">
        <v>9.5999999999999992E-3</v>
      </c>
      <c r="H199" s="21">
        <v>7.0349999999999996E-2</v>
      </c>
      <c r="I199" s="21"/>
      <c r="J199" s="7"/>
    </row>
    <row r="200" spans="1:10" ht="15" customHeight="1">
      <c r="A200" s="17" t="s">
        <v>564</v>
      </c>
      <c r="B200" s="14" t="s">
        <v>565</v>
      </c>
      <c r="C200" s="14" t="s">
        <v>566</v>
      </c>
      <c r="D200" s="14" t="s">
        <v>536</v>
      </c>
      <c r="E200" s="18">
        <v>1500</v>
      </c>
      <c r="F200" s="19">
        <v>7043.23</v>
      </c>
      <c r="G200" s="20">
        <v>9.4000000000000004E-3</v>
      </c>
      <c r="H200" s="21">
        <v>7.1300000000000002E-2</v>
      </c>
      <c r="I200" s="21"/>
      <c r="J200" s="7"/>
    </row>
    <row r="201" spans="1:10" ht="15" customHeight="1">
      <c r="A201" s="17" t="s">
        <v>567</v>
      </c>
      <c r="B201" s="14" t="s">
        <v>568</v>
      </c>
      <c r="C201" s="14" t="s">
        <v>569</v>
      </c>
      <c r="D201" s="14" t="s">
        <v>536</v>
      </c>
      <c r="E201" s="18">
        <v>1500</v>
      </c>
      <c r="F201" s="19">
        <v>7038.44</v>
      </c>
      <c r="G201" s="20">
        <v>9.4000000000000004E-3</v>
      </c>
      <c r="H201" s="21">
        <v>7.145E-2</v>
      </c>
      <c r="I201" s="21"/>
      <c r="J201" s="7"/>
    </row>
    <row r="202" spans="1:10" ht="15" customHeight="1">
      <c r="A202" s="17" t="s">
        <v>570</v>
      </c>
      <c r="B202" s="14" t="s">
        <v>571</v>
      </c>
      <c r="C202" s="14" t="s">
        <v>572</v>
      </c>
      <c r="D202" s="14" t="s">
        <v>540</v>
      </c>
      <c r="E202" s="18">
        <v>1500</v>
      </c>
      <c r="F202" s="19">
        <v>7030.17</v>
      </c>
      <c r="G202" s="20">
        <v>9.4000000000000004E-3</v>
      </c>
      <c r="H202" s="21">
        <v>7.0499999999999993E-2</v>
      </c>
      <c r="I202" s="21"/>
      <c r="J202" s="7"/>
    </row>
    <row r="203" spans="1:10" ht="15" customHeight="1">
      <c r="A203" s="17" t="s">
        <v>573</v>
      </c>
      <c r="B203" s="14" t="s">
        <v>574</v>
      </c>
      <c r="C203" s="14" t="s">
        <v>575</v>
      </c>
      <c r="D203" s="14" t="s">
        <v>536</v>
      </c>
      <c r="E203" s="18">
        <v>1200</v>
      </c>
      <c r="F203" s="19">
        <v>5619.4</v>
      </c>
      <c r="G203" s="20">
        <v>7.4999999999999997E-3</v>
      </c>
      <c r="H203" s="21">
        <v>7.145E-2</v>
      </c>
      <c r="I203" s="21"/>
      <c r="J203" s="7"/>
    </row>
    <row r="204" spans="1:10" ht="15" customHeight="1">
      <c r="A204" s="17" t="s">
        <v>576</v>
      </c>
      <c r="B204" s="14" t="s">
        <v>577</v>
      </c>
      <c r="C204" s="14" t="s">
        <v>578</v>
      </c>
      <c r="D204" s="14" t="s">
        <v>540</v>
      </c>
      <c r="E204" s="18">
        <v>1000</v>
      </c>
      <c r="F204" s="19">
        <v>4907.63</v>
      </c>
      <c r="G204" s="20">
        <v>6.4999999999999997E-3</v>
      </c>
      <c r="H204" s="21">
        <v>6.6699999999999995E-2</v>
      </c>
      <c r="I204" s="21"/>
      <c r="J204" s="7"/>
    </row>
    <row r="205" spans="1:10" ht="15" customHeight="1">
      <c r="A205" s="17" t="s">
        <v>579</v>
      </c>
      <c r="B205" s="14" t="s">
        <v>580</v>
      </c>
      <c r="C205" s="14" t="s">
        <v>581</v>
      </c>
      <c r="D205" s="14" t="s">
        <v>536</v>
      </c>
      <c r="E205" s="18">
        <v>1000</v>
      </c>
      <c r="F205" s="19">
        <v>4709.7</v>
      </c>
      <c r="G205" s="20">
        <v>6.3E-3</v>
      </c>
      <c r="H205" s="21">
        <v>7.1650000000000005E-2</v>
      </c>
      <c r="I205" s="21"/>
      <c r="J205" s="7"/>
    </row>
    <row r="206" spans="1:10" ht="15" customHeight="1">
      <c r="A206" s="17" t="s">
        <v>582</v>
      </c>
      <c r="B206" s="14" t="s">
        <v>583</v>
      </c>
      <c r="C206" s="14" t="s">
        <v>584</v>
      </c>
      <c r="D206" s="14" t="s">
        <v>547</v>
      </c>
      <c r="E206" s="18">
        <v>1000</v>
      </c>
      <c r="F206" s="19">
        <v>4706.54</v>
      </c>
      <c r="G206" s="20">
        <v>6.3E-3</v>
      </c>
      <c r="H206" s="21">
        <v>7.0899000000000004E-2</v>
      </c>
      <c r="I206" s="21"/>
      <c r="J206" s="7"/>
    </row>
    <row r="207" spans="1:10" ht="15" customHeight="1">
      <c r="A207" s="17" t="s">
        <v>585</v>
      </c>
      <c r="B207" s="14" t="s">
        <v>586</v>
      </c>
      <c r="C207" s="14" t="s">
        <v>587</v>
      </c>
      <c r="D207" s="14" t="s">
        <v>547</v>
      </c>
      <c r="E207" s="18">
        <v>500</v>
      </c>
      <c r="F207" s="19">
        <v>2423.75</v>
      </c>
      <c r="G207" s="20">
        <v>3.2000000000000002E-3</v>
      </c>
      <c r="H207" s="21">
        <v>6.7149E-2</v>
      </c>
      <c r="I207" s="21"/>
      <c r="J207" s="7"/>
    </row>
    <row r="208" spans="1:10" ht="15" customHeight="1">
      <c r="A208" s="17" t="s">
        <v>588</v>
      </c>
      <c r="B208" s="14" t="s">
        <v>589</v>
      </c>
      <c r="C208" s="14" t="s">
        <v>590</v>
      </c>
      <c r="D208" s="14" t="s">
        <v>547</v>
      </c>
      <c r="E208" s="18">
        <v>100</v>
      </c>
      <c r="F208" s="19">
        <v>499.09</v>
      </c>
      <c r="G208" s="20">
        <v>6.9999999999999999E-4</v>
      </c>
      <c r="H208" s="21">
        <v>6.0434000000000002E-2</v>
      </c>
      <c r="I208" s="21"/>
      <c r="J208" s="7"/>
    </row>
    <row r="209" spans="1:10" ht="15" customHeight="1">
      <c r="A209" s="7"/>
      <c r="B209" s="13" t="s">
        <v>30</v>
      </c>
      <c r="C209" s="14"/>
      <c r="D209" s="14"/>
      <c r="E209" s="14"/>
      <c r="F209" s="23">
        <v>131840.21</v>
      </c>
      <c r="G209" s="24">
        <v>0.1757</v>
      </c>
      <c r="H209" s="25"/>
      <c r="I209" s="25"/>
      <c r="J209" s="7"/>
    </row>
    <row r="210" spans="1:10" ht="15" customHeight="1">
      <c r="A210" s="7"/>
      <c r="B210" s="13" t="s">
        <v>591</v>
      </c>
      <c r="C210" s="14"/>
      <c r="D210" s="14"/>
      <c r="E210" s="14"/>
      <c r="F210" s="16"/>
      <c r="G210" s="15"/>
      <c r="H210" s="15"/>
      <c r="I210" s="15"/>
      <c r="J210" s="7"/>
    </row>
    <row r="211" spans="1:10" ht="15" customHeight="1">
      <c r="A211" s="17" t="s">
        <v>592</v>
      </c>
      <c r="B211" s="14" t="s">
        <v>593</v>
      </c>
      <c r="C211" s="14" t="s">
        <v>594</v>
      </c>
      <c r="D211" s="14" t="s">
        <v>536</v>
      </c>
      <c r="E211" s="18">
        <v>2000</v>
      </c>
      <c r="F211" s="19">
        <v>9710.5499999999993</v>
      </c>
      <c r="G211" s="20">
        <v>1.29E-2</v>
      </c>
      <c r="H211" s="21">
        <v>6.8000000000000005E-2</v>
      </c>
      <c r="I211" s="21"/>
      <c r="J211" s="7"/>
    </row>
    <row r="212" spans="1:10" ht="15" customHeight="1">
      <c r="A212" s="17" t="s">
        <v>595</v>
      </c>
      <c r="B212" s="14" t="s">
        <v>596</v>
      </c>
      <c r="C212" s="14" t="s">
        <v>597</v>
      </c>
      <c r="D212" s="14" t="s">
        <v>547</v>
      </c>
      <c r="E212" s="18">
        <v>500</v>
      </c>
      <c r="F212" s="19">
        <v>2393.4</v>
      </c>
      <c r="G212" s="20">
        <v>3.2000000000000002E-3</v>
      </c>
      <c r="H212" s="21">
        <v>7.1301000000000003E-2</v>
      </c>
      <c r="I212" s="21"/>
      <c r="J212" s="7"/>
    </row>
    <row r="213" spans="1:10" ht="15" customHeight="1">
      <c r="A213" s="17" t="s">
        <v>598</v>
      </c>
      <c r="B213" s="14" t="s">
        <v>599</v>
      </c>
      <c r="C213" s="14" t="s">
        <v>600</v>
      </c>
      <c r="D213" s="14" t="s">
        <v>560</v>
      </c>
      <c r="E213" s="18">
        <v>500</v>
      </c>
      <c r="F213" s="19">
        <v>2345.7399999999998</v>
      </c>
      <c r="G213" s="20">
        <v>3.0999999999999999E-3</v>
      </c>
      <c r="H213" s="21">
        <v>7.2300000000000003E-2</v>
      </c>
      <c r="I213" s="21"/>
      <c r="J213" s="7"/>
    </row>
    <row r="214" spans="1:10" ht="15" customHeight="1">
      <c r="A214" s="7"/>
      <c r="B214" s="13" t="s">
        <v>30</v>
      </c>
      <c r="C214" s="14"/>
      <c r="D214" s="14"/>
      <c r="E214" s="14"/>
      <c r="F214" s="23">
        <v>14449.69</v>
      </c>
      <c r="G214" s="24">
        <v>1.9199999999999998E-2</v>
      </c>
      <c r="H214" s="25"/>
      <c r="I214" s="25"/>
      <c r="J214" s="7"/>
    </row>
    <row r="215" spans="1:10" ht="15" customHeight="1">
      <c r="A215" s="7"/>
      <c r="B215" s="26" t="s">
        <v>31</v>
      </c>
      <c r="C215" s="27"/>
      <c r="D215" s="27"/>
      <c r="E215" s="27"/>
      <c r="F215" s="23">
        <v>146289.9</v>
      </c>
      <c r="G215" s="24">
        <v>0.19489999999999999</v>
      </c>
      <c r="H215" s="25"/>
      <c r="I215" s="25"/>
      <c r="J215" s="7"/>
    </row>
    <row r="216" spans="1:10" ht="15" customHeight="1">
      <c r="A216" s="7"/>
      <c r="B216" s="13" t="s">
        <v>601</v>
      </c>
      <c r="C216" s="14"/>
      <c r="D216" s="14"/>
      <c r="E216" s="14"/>
      <c r="F216" s="14"/>
      <c r="G216" s="14"/>
      <c r="H216" s="15"/>
      <c r="I216" s="15"/>
      <c r="J216" s="7"/>
    </row>
    <row r="217" spans="1:10" ht="15" customHeight="1">
      <c r="A217" s="7"/>
      <c r="B217" s="13" t="s">
        <v>602</v>
      </c>
      <c r="C217" s="14"/>
      <c r="D217" s="14"/>
      <c r="E217" s="14"/>
      <c r="F217" s="16"/>
      <c r="G217" s="15"/>
      <c r="H217" s="15"/>
      <c r="I217" s="15"/>
      <c r="J217" s="7"/>
    </row>
    <row r="218" spans="1:10" ht="15" customHeight="1">
      <c r="A218" s="17" t="s">
        <v>603</v>
      </c>
      <c r="B218" s="14" t="s">
        <v>604</v>
      </c>
      <c r="C218" s="14" t="s">
        <v>605</v>
      </c>
      <c r="D218" s="14"/>
      <c r="E218" s="18">
        <v>608825.35400000005</v>
      </c>
      <c r="F218" s="19">
        <v>6369.65</v>
      </c>
      <c r="G218" s="20">
        <v>8.5000000000000006E-3</v>
      </c>
      <c r="H218" s="21"/>
      <c r="I218" s="21"/>
      <c r="J218" s="7"/>
    </row>
    <row r="219" spans="1:10" ht="15" customHeight="1">
      <c r="A219" s="7"/>
      <c r="B219" s="13" t="s">
        <v>30</v>
      </c>
      <c r="C219" s="14"/>
      <c r="D219" s="14"/>
      <c r="E219" s="14"/>
      <c r="F219" s="23">
        <v>6369.65</v>
      </c>
      <c r="G219" s="24">
        <v>8.5000000000000006E-3</v>
      </c>
      <c r="H219" s="25"/>
      <c r="I219" s="25"/>
      <c r="J219" s="7"/>
    </row>
    <row r="220" spans="1:10" ht="15" customHeight="1">
      <c r="A220" s="7"/>
      <c r="B220" s="26" t="s">
        <v>31</v>
      </c>
      <c r="C220" s="27"/>
      <c r="D220" s="27"/>
      <c r="E220" s="27"/>
      <c r="F220" s="23">
        <v>6369.65</v>
      </c>
      <c r="G220" s="24">
        <v>8.5000000000000006E-3</v>
      </c>
      <c r="H220" s="25"/>
      <c r="I220" s="25"/>
      <c r="J220" s="7"/>
    </row>
    <row r="221" spans="1:10" ht="15" customHeight="1">
      <c r="A221" s="7"/>
      <c r="B221" s="13" t="s">
        <v>606</v>
      </c>
      <c r="C221" s="14"/>
      <c r="D221" s="14"/>
      <c r="E221" s="14"/>
      <c r="F221" s="14"/>
      <c r="G221" s="14"/>
      <c r="H221" s="15"/>
      <c r="I221" s="15"/>
      <c r="J221" s="7"/>
    </row>
    <row r="222" spans="1:10" ht="15" customHeight="1">
      <c r="A222" s="17" t="s">
        <v>607</v>
      </c>
      <c r="B222" s="14" t="s">
        <v>608</v>
      </c>
      <c r="C222" s="14"/>
      <c r="D222" s="14"/>
      <c r="E222" s="18"/>
      <c r="F222" s="19">
        <v>16474.14</v>
      </c>
      <c r="G222" s="20">
        <v>2.1899999999999999E-2</v>
      </c>
      <c r="H222" s="21">
        <v>5.9929083014428668E-2</v>
      </c>
      <c r="I222" s="21"/>
      <c r="J222" s="7"/>
    </row>
    <row r="223" spans="1:10" ht="15" customHeight="1">
      <c r="A223" s="7"/>
      <c r="B223" s="13" t="s">
        <v>30</v>
      </c>
      <c r="C223" s="14"/>
      <c r="D223" s="14"/>
      <c r="E223" s="14"/>
      <c r="F223" s="23">
        <v>16474.14</v>
      </c>
      <c r="G223" s="24">
        <v>2.1899999999999999E-2</v>
      </c>
      <c r="H223" s="25"/>
      <c r="I223" s="25"/>
      <c r="J223" s="7"/>
    </row>
    <row r="224" spans="1:10" ht="15" customHeight="1">
      <c r="A224" s="7"/>
      <c r="B224" s="26" t="s">
        <v>500</v>
      </c>
      <c r="C224" s="27"/>
      <c r="D224" s="27"/>
      <c r="E224" s="27"/>
      <c r="F224" s="25" t="s">
        <v>501</v>
      </c>
      <c r="G224" s="25" t="s">
        <v>501</v>
      </c>
      <c r="H224" s="25"/>
      <c r="I224" s="25"/>
      <c r="J224" s="7"/>
    </row>
    <row r="225" spans="1:10" ht="15" customHeight="1">
      <c r="A225" s="7"/>
      <c r="B225" s="26" t="s">
        <v>30</v>
      </c>
      <c r="C225" s="27"/>
      <c r="D225" s="27"/>
      <c r="E225" s="27"/>
      <c r="F225" s="25" t="s">
        <v>501</v>
      </c>
      <c r="G225" s="25" t="s">
        <v>501</v>
      </c>
      <c r="H225" s="25"/>
      <c r="I225" s="25"/>
      <c r="J225" s="7"/>
    </row>
    <row r="226" spans="1:10" ht="15" customHeight="1">
      <c r="A226" s="7"/>
      <c r="B226" s="26" t="s">
        <v>31</v>
      </c>
      <c r="C226" s="27"/>
      <c r="D226" s="27"/>
      <c r="E226" s="27"/>
      <c r="F226" s="23">
        <v>16474.14</v>
      </c>
      <c r="G226" s="24">
        <v>2.1899999999999999E-2</v>
      </c>
      <c r="H226" s="25"/>
      <c r="I226" s="25"/>
      <c r="J226" s="7"/>
    </row>
    <row r="227" spans="1:10" ht="15" customHeight="1">
      <c r="A227" s="7"/>
      <c r="B227" s="26" t="s">
        <v>609</v>
      </c>
      <c r="C227" s="14"/>
      <c r="D227" s="27"/>
      <c r="E227" s="14"/>
      <c r="F227" s="40">
        <v>-374.35</v>
      </c>
      <c r="G227" s="24">
        <v>-6.9999999999999999E-4</v>
      </c>
      <c r="H227" s="25"/>
      <c r="I227" s="25"/>
      <c r="J227" s="7"/>
    </row>
    <row r="228" spans="1:10" ht="15" customHeight="1">
      <c r="A228" s="7"/>
      <c r="B228" s="28" t="s">
        <v>610</v>
      </c>
      <c r="C228" s="27"/>
      <c r="D228" s="27"/>
      <c r="E228" s="27"/>
      <c r="F228" s="23">
        <v>751098.87</v>
      </c>
      <c r="G228" s="29">
        <v>1</v>
      </c>
      <c r="H228" s="30"/>
      <c r="I228" s="30"/>
      <c r="J228" s="7"/>
    </row>
    <row r="229" spans="1:10" ht="15" customHeight="1">
      <c r="A229" s="7"/>
      <c r="B229" s="5"/>
      <c r="C229" s="7"/>
      <c r="D229" s="7"/>
      <c r="E229" s="7"/>
      <c r="F229" s="7"/>
      <c r="G229" s="7"/>
      <c r="H229" s="7"/>
      <c r="I229" s="7"/>
      <c r="J229" s="7"/>
    </row>
    <row r="230" spans="1:10" ht="15" customHeight="1">
      <c r="A230" s="7"/>
      <c r="B230" s="6" t="s">
        <v>611</v>
      </c>
      <c r="C230" s="7"/>
      <c r="D230" s="7"/>
      <c r="E230" s="7"/>
      <c r="F230" s="7"/>
      <c r="G230" s="7"/>
      <c r="H230" s="7"/>
      <c r="I230" s="7"/>
      <c r="J230" s="7"/>
    </row>
    <row r="231" spans="1:10" ht="15" customHeight="1">
      <c r="A231" s="7"/>
      <c r="B231" s="6" t="s">
        <v>612</v>
      </c>
      <c r="C231" s="7"/>
      <c r="D231" s="7"/>
      <c r="E231" s="7"/>
      <c r="F231" s="7"/>
      <c r="G231" s="7"/>
      <c r="H231" s="7"/>
      <c r="I231" s="7"/>
      <c r="J231" s="7"/>
    </row>
    <row r="232" spans="1:10" ht="15" customHeight="1">
      <c r="A232" s="7"/>
      <c r="B232" s="6" t="s">
        <v>613</v>
      </c>
      <c r="C232" s="7"/>
      <c r="D232" s="7"/>
      <c r="E232" s="7"/>
      <c r="F232" s="7"/>
      <c r="G232" s="7"/>
      <c r="H232" s="7"/>
      <c r="I232" s="7"/>
      <c r="J232" s="7"/>
    </row>
    <row r="233" spans="1:10" ht="15" customHeight="1">
      <c r="A233" s="7"/>
      <c r="B233" s="6" t="s">
        <v>614</v>
      </c>
      <c r="C233" s="7"/>
      <c r="D233" s="7"/>
      <c r="E233" s="7"/>
      <c r="F233" s="7"/>
      <c r="G233" s="7"/>
      <c r="H233" s="7"/>
      <c r="I233" s="7"/>
      <c r="J233" s="7"/>
    </row>
    <row r="234" spans="1:10" ht="27.95" customHeight="1">
      <c r="A234" s="31"/>
      <c r="B234" s="39" t="s">
        <v>615</v>
      </c>
      <c r="C234" s="39"/>
      <c r="D234" s="39"/>
      <c r="E234" s="39"/>
      <c r="F234" s="39"/>
      <c r="G234" s="39"/>
      <c r="H234" s="39"/>
      <c r="I234" s="31"/>
      <c r="J234" s="31"/>
    </row>
    <row r="235" spans="1:10" ht="1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</row>
    <row r="236" spans="1:10" s="32" customFormat="1" ht="15" customHeight="1">
      <c r="B236" s="33" t="s">
        <v>616</v>
      </c>
      <c r="C236" s="33"/>
      <c r="D236" s="33"/>
      <c r="E236" s="33"/>
      <c r="F236" s="33"/>
      <c r="G236" s="33"/>
      <c r="H236" s="33"/>
      <c r="I236" s="33"/>
      <c r="J236" s="33"/>
    </row>
    <row r="238" spans="1:10" ht="15" customHeight="1">
      <c r="B238" s="34"/>
      <c r="C238" s="35" t="s">
        <v>617</v>
      </c>
    </row>
    <row r="239" spans="1:10" ht="15" customHeight="1">
      <c r="B239" s="35" t="s">
        <v>618</v>
      </c>
      <c r="C239" s="35" t="s">
        <v>619</v>
      </c>
      <c r="D239" s="36"/>
    </row>
    <row r="240" spans="1:10" ht="15" customHeight="1">
      <c r="B240" s="36"/>
      <c r="C240" s="36"/>
      <c r="D240" s="36"/>
    </row>
    <row r="241" spans="2:4" ht="15" customHeight="1">
      <c r="B241" s="36"/>
      <c r="C241" s="36"/>
      <c r="D241" s="36"/>
    </row>
    <row r="242" spans="2:4" ht="15" customHeight="1">
      <c r="B242" s="36"/>
      <c r="C242" s="36"/>
      <c r="D242" s="36"/>
    </row>
    <row r="243" spans="2:4" ht="15" customHeight="1">
      <c r="B243" s="36"/>
      <c r="C243" s="36"/>
      <c r="D243" s="36"/>
    </row>
    <row r="244" spans="2:4" ht="15" customHeight="1">
      <c r="B244" s="36"/>
      <c r="C244" s="36"/>
      <c r="D244" s="36"/>
    </row>
    <row r="245" spans="2:4" ht="15" customHeight="1">
      <c r="B245" s="36"/>
      <c r="C245" s="36"/>
      <c r="D245" s="36"/>
    </row>
    <row r="246" spans="2:4" ht="15" customHeight="1">
      <c r="B246" s="36"/>
      <c r="C246" s="36"/>
      <c r="D246" s="36"/>
    </row>
    <row r="247" spans="2:4" ht="15" customHeight="1">
      <c r="B247" s="36"/>
      <c r="C247" s="36"/>
      <c r="D247" s="36"/>
    </row>
    <row r="248" spans="2:4" ht="15" customHeight="1">
      <c r="B248" s="36"/>
      <c r="C248" s="36"/>
      <c r="D248" s="36"/>
    </row>
    <row r="249" spans="2:4" ht="15" customHeight="1">
      <c r="B249" s="36"/>
      <c r="C249" s="36"/>
      <c r="D249" s="36"/>
    </row>
    <row r="250" spans="2:4" ht="15" customHeight="1">
      <c r="B250" s="36"/>
      <c r="C250" s="36"/>
      <c r="D250" s="36"/>
    </row>
    <row r="251" spans="2:4" s="37" customFormat="1" ht="15" customHeight="1">
      <c r="B251" s="36"/>
      <c r="C251" s="36"/>
      <c r="D251" s="36"/>
    </row>
  </sheetData>
  <mergeCells count="2">
    <mergeCell ref="B2:I2"/>
    <mergeCell ref="B234:H234"/>
  </mergeCells>
  <hyperlinks>
    <hyperlink ref="A2" location="Index!A1" display="Index!A1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Tanmaya R Katvi</cp:lastModifiedBy>
  <dcterms:created xsi:type="dcterms:W3CDTF">2022-10-07T20:58:15Z</dcterms:created>
  <dcterms:modified xsi:type="dcterms:W3CDTF">2022-10-08T08:13:18Z</dcterms:modified>
</cp:coreProperties>
</file>