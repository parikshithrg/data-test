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F543EBC3-5A54-42BE-8697-363B0C5B063C}" xr6:coauthVersionLast="47" xr6:coauthVersionMax="47" xr10:uidLastSave="{00000000-0000-0000-0000-000000000000}"/>
  <bookViews>
    <workbookView xWindow="-120" yWindow="-120" windowWidth="23280" windowHeight="12285" xr2:uid="{C768B217-7EAF-434D-8124-4C320D3BBD90}"/>
  </bookViews>
  <sheets>
    <sheet name="AXISTAA" sheetId="1" r:id="rId1"/>
  </sheets>
  <externalReferences>
    <externalReference r:id="rId2"/>
  </externalReferences>
  <definedNames>
    <definedName name="JR_PAGE_ANCHOR_0_40">#REF!</definedName>
    <definedName name="JR_PAGE_ANCHOR_0_56">AXISTAA!$A$1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F10" i="1" s="1"/>
</calcChain>
</file>

<file path=xl/sharedStrings.xml><?xml version="1.0" encoding="utf-8"?>
<sst xmlns="http://schemas.openxmlformats.org/spreadsheetml/2006/main" count="446" uniqueCount="345">
  <si>
    <t>AXISTAA</t>
  </si>
  <si>
    <t>Axis Treasury Advantage Fund</t>
  </si>
  <si>
    <t xml:space="preserve">
  </t>
  </si>
  <si>
    <t>Monthly Portfolio Statement as on October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</si>
  <si>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</si>
  <si>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</si>
  <si>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</si>
  <si>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</si>
  <si>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</si>
  <si>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</si>
  <si>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</si>
  <si>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</si>
  <si>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</si>
  <si>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</si>
  <si>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SWAP</t>
  </si>
  <si>
    <t>IRS905239FX</t>
  </si>
  <si>
    <t>Interest Rate Swaps Pay Fix Receive Floating - ICSECPD (28/10/2024) (FV 5000 lacs)</t>
  </si>
  <si>
    <t>$0.00%</t>
  </si>
  <si>
    <t>IRS880073FX</t>
  </si>
  <si>
    <t>Interest Rate Swaps Pay Floating Receive Fix - IDFC Bank (21/09/2023) (FV 5000 lacs)</t>
  </si>
  <si>
    <t>Sub Total</t>
  </si>
  <si>
    <t>Total</t>
  </si>
  <si>
    <t>Debt Instruments</t>
  </si>
  <si>
    <t>(a) Listed / awaiting listing on Stock Exchange</t>
  </si>
  <si>
    <t>NBAR568</t>
  </si>
  <si>
    <t>6.4% National Bank For Agriculture and Rural Development (31/07/2023)</t>
  </si>
  <si>
    <t>INE261F08CA0</t>
  </si>
  <si>
    <t>ICRA AAA</t>
  </si>
  <si>
    <t>GOI2936</t>
  </si>
  <si>
    <t>4.7% Government of India (22/09/2033)</t>
  </si>
  <si>
    <t>IN0020200120</t>
  </si>
  <si>
    <t>Sovereign</t>
  </si>
  <si>
    <t>HDFC1192</t>
  </si>
  <si>
    <t>7.28% Housing Development Finance Corporation Limited (01/03/2024) **</t>
  </si>
  <si>
    <t>INE001A07TM2</t>
  </si>
  <si>
    <t>CRISIL AAA</t>
  </si>
  <si>
    <t>RIND369</t>
  </si>
  <si>
    <t>7.2% Reliance Industries Limited (21/09/2023) (FRN) **</t>
  </si>
  <si>
    <t>INE002A08658</t>
  </si>
  <si>
    <t>SHEB132</t>
  </si>
  <si>
    <t>6.3% Tata Motors Finance Limited (31/05/2024) (FRN) **</t>
  </si>
  <si>
    <t>INE601U08234</t>
  </si>
  <si>
    <t>CRISIL AA-</t>
  </si>
  <si>
    <t>SHTR467</t>
  </si>
  <si>
    <t>6.75% Shriram Transport Finance Company Limited (28/04/2023) **</t>
  </si>
  <si>
    <t>INE721A07QH1</t>
  </si>
  <si>
    <t>CRISIL AA+</t>
  </si>
  <si>
    <t>HHFL172</t>
  </si>
  <si>
    <t>5.16% Hero Fincorp Limited (19/07/2024) (FRN) **</t>
  </si>
  <si>
    <t>INE957N07625</t>
  </si>
  <si>
    <t>POWF450</t>
  </si>
  <si>
    <t>7.04% Power Finance Corporation Limited (14/04/2023) **</t>
  </si>
  <si>
    <t>INE134E08KJ6</t>
  </si>
  <si>
    <t>MMFS1145</t>
  </si>
  <si>
    <t>4.88% Mahindra &amp; Mahindra Financial Services Limited (23/07/2024) (FRN) **</t>
  </si>
  <si>
    <t>INE774D07UF0</t>
  </si>
  <si>
    <t>IND AAA</t>
  </si>
  <si>
    <t>SIDB468</t>
  </si>
  <si>
    <t>7.25% Small Industries Dev Bank of India (31/07/2025) **</t>
  </si>
  <si>
    <t>INE556F08KA6</t>
  </si>
  <si>
    <t>NBAR684</t>
  </si>
  <si>
    <t>7.2% National Bank For Agriculture and Rural Development (23/09/2025)</t>
  </si>
  <si>
    <t>INE261F08DR2</t>
  </si>
  <si>
    <t>MOSU198</t>
  </si>
  <si>
    <t>6.65% Samvardhana Motherson International Limited (14/09/2023) **</t>
  </si>
  <si>
    <t>INE775A08048</t>
  </si>
  <si>
    <t>GOI3607</t>
  </si>
  <si>
    <t>4.04% Government of India (04/10/2028)</t>
  </si>
  <si>
    <t>IN0020210160</t>
  </si>
  <si>
    <t>IILD61</t>
  </si>
  <si>
    <t>5.75% India Infradebt Limited (15/09/2023) **</t>
  </si>
  <si>
    <t>INE537P07604</t>
  </si>
  <si>
    <t>SIDB460</t>
  </si>
  <si>
    <t>5.4% Small Industries Dev Bank of India (17/03/2025) **</t>
  </si>
  <si>
    <t>INE556F08JW2</t>
  </si>
  <si>
    <t>HLFL69</t>
  </si>
  <si>
    <t>7.95% Hinduja Leyland Finance Limited (14/02/2023) **</t>
  </si>
  <si>
    <t>INE146O07441</t>
  </si>
  <si>
    <t>CARE AA-</t>
  </si>
  <si>
    <t>GOI1538</t>
  </si>
  <si>
    <t>8.21% State Government Securities (31/03/2023)</t>
  </si>
  <si>
    <t>IN2920150421</t>
  </si>
  <si>
    <t>MUFL354</t>
  </si>
  <si>
    <t>6.6% Muthoot Finance Limited (20/06/2023) **</t>
  </si>
  <si>
    <t>INE414G07FS0</t>
  </si>
  <si>
    <t>LTIF389</t>
  </si>
  <si>
    <t>7.3% L&amp;T Finance Limited (08/09/2023)</t>
  </si>
  <si>
    <t>INE691I07ET0</t>
  </si>
  <si>
    <t>TMLF465</t>
  </si>
  <si>
    <t>7.7% TMF Holdings Limited (25/02/2025) **</t>
  </si>
  <si>
    <t>INE909H08444</t>
  </si>
  <si>
    <t>GOI3103</t>
  </si>
  <si>
    <t>5.63% Government of India (12/04/2026)</t>
  </si>
  <si>
    <t>IN0020210012</t>
  </si>
  <si>
    <t>GOI3639</t>
  </si>
  <si>
    <t>5.74% Government of India (15/11/2026)</t>
  </si>
  <si>
    <t>IN0020210186</t>
  </si>
  <si>
    <t>POWF291</t>
  </si>
  <si>
    <t>8.98% Power Finance Corporation Limited (08/10/2024) **</t>
  </si>
  <si>
    <t>INE134E08GK2</t>
  </si>
  <si>
    <t>MUFL367</t>
  </si>
  <si>
    <t>5.35% Muthoot Finance Limited (26/08/2024) (FRN) **</t>
  </si>
  <si>
    <t>INE414G07FZ5</t>
  </si>
  <si>
    <t>GOI990</t>
  </si>
  <si>
    <t>8.64% State Government Securities (06/03/2023)</t>
  </si>
  <si>
    <t>IN1020120201</t>
  </si>
  <si>
    <t>GOI1515</t>
  </si>
  <si>
    <t>8.39% State Government Securities (15/03/2023)</t>
  </si>
  <si>
    <t>IN2920150322</t>
  </si>
  <si>
    <t>SIDB483</t>
  </si>
  <si>
    <t>7.75% Small Industries Dev Bank of India (27/10/2025)</t>
  </si>
  <si>
    <t>INE556F08KD0</t>
  </si>
  <si>
    <t>GOI1023</t>
  </si>
  <si>
    <t>8.56% State Government Securities (23/01/2023)</t>
  </si>
  <si>
    <t>IN2920120135</t>
  </si>
  <si>
    <t>IGIF26</t>
  </si>
  <si>
    <t>8.4% India Grid Trust InvIT Fund (14/06/2023) **</t>
  </si>
  <si>
    <t>INE219X07090</t>
  </si>
  <si>
    <t>GODP178</t>
  </si>
  <si>
    <t>7.5% Godrej Properties Limited (31/07/2023) **</t>
  </si>
  <si>
    <t>INE484J08022</t>
  </si>
  <si>
    <t>ICRA AA+</t>
  </si>
  <si>
    <t>NHBA304</t>
  </si>
  <si>
    <t>5.8% National Housing Bank (15/05/2023) **</t>
  </si>
  <si>
    <t>INE557F08FJ5</t>
  </si>
  <si>
    <t>GHFL30</t>
  </si>
  <si>
    <t>7.75% Godrej Housing Finance Limited (03/10/2024) **</t>
  </si>
  <si>
    <t>INE02JD07025</t>
  </si>
  <si>
    <t>CRISIL AA</t>
  </si>
  <si>
    <t>MRHF88</t>
  </si>
  <si>
    <t>7.15% Mahindra Rural Housing Finance Limited (15/09/2023) **</t>
  </si>
  <si>
    <t>INE950O07370</t>
  </si>
  <si>
    <t>IND AA+</t>
  </si>
  <si>
    <t>POWF468</t>
  </si>
  <si>
    <t>5.47% Power Finance Corporation Limited (19/08/2023) **</t>
  </si>
  <si>
    <t>INE134E08LB1</t>
  </si>
  <si>
    <t>SIDB457</t>
  </si>
  <si>
    <t>5.59% Small Industries Dev Bank of India (21/02/2025) **</t>
  </si>
  <si>
    <t>INE556F08JU6</t>
  </si>
  <si>
    <t>CARE AAA</t>
  </si>
  <si>
    <t>GOI4086</t>
  </si>
  <si>
    <t>7.77% State Government Securities (28/02/2024)</t>
  </si>
  <si>
    <t>IN1720160275</t>
  </si>
  <si>
    <t>SHEB136</t>
  </si>
  <si>
    <t>7.15% Tata Motors Finance Limited (25/06/2024) **</t>
  </si>
  <si>
    <t>INE601U08259</t>
  </si>
  <si>
    <t>GOI2393</t>
  </si>
  <si>
    <t>6.80% Government of India (15/12/2023)</t>
  </si>
  <si>
    <t>IN001223C055</t>
  </si>
  <si>
    <t>GOI3584</t>
  </si>
  <si>
    <t>8.83% Government of India (12/12/2023)</t>
  </si>
  <si>
    <t>IN001223C048</t>
  </si>
  <si>
    <t>GOI1539</t>
  </si>
  <si>
    <t>IN1620150152</t>
  </si>
  <si>
    <t>GOI1049</t>
  </si>
  <si>
    <t>8.62% State Government Securities (06/03/2023)</t>
  </si>
  <si>
    <t>IN2220120116</t>
  </si>
  <si>
    <t>IRLY350</t>
  </si>
  <si>
    <t>5.04% Indian Railway Finance Corporation Limited (05/05/2023) **</t>
  </si>
  <si>
    <t>INE053F07CU1</t>
  </si>
  <si>
    <t>GOI3075</t>
  </si>
  <si>
    <t>9.23% Government of India (23/12/2023)</t>
  </si>
  <si>
    <t>IN001223C063</t>
  </si>
  <si>
    <t>GOI658</t>
  </si>
  <si>
    <t>7.35% Government of India (22/06/2024)</t>
  </si>
  <si>
    <t>IN0020090034</t>
  </si>
  <si>
    <t>LICH541</t>
  </si>
  <si>
    <t>7.6% LIC Housing Finance Limited (22/11/2022) **</t>
  </si>
  <si>
    <t>INE115A07OH1</t>
  </si>
  <si>
    <t>CHOL946</t>
  </si>
  <si>
    <t>5.8539% Cholamandalam Investment and Finance Company Ltd (21/03/2023) **</t>
  </si>
  <si>
    <t>INE121A07PO2</t>
  </si>
  <si>
    <t>GOI1168</t>
  </si>
  <si>
    <t>9.55% State Government Securities (12/02/2024)</t>
  </si>
  <si>
    <t>IN1920130102</t>
  </si>
  <si>
    <t>DMED25</t>
  </si>
  <si>
    <t>6.85% DME Development Limited (16/03/2033) (FRN) **</t>
  </si>
  <si>
    <t>INE0J7Q07074</t>
  </si>
  <si>
    <t>DMED24</t>
  </si>
  <si>
    <t>6.85% DME Development Limited (16/03/2032) (FRN) **</t>
  </si>
  <si>
    <t>INE0J7Q07066</t>
  </si>
  <si>
    <t>DMED26</t>
  </si>
  <si>
    <t>6.85% DME Development Limited (16/03/2034) (FRN) **</t>
  </si>
  <si>
    <t>INE0J7Q07082</t>
  </si>
  <si>
    <t>DMED29</t>
  </si>
  <si>
    <t>6.85% DME Development Limited (16/03/2037) (FRN) **</t>
  </si>
  <si>
    <t>INE0J7Q07017</t>
  </si>
  <si>
    <t>DMED27</t>
  </si>
  <si>
    <t>6.85% DME Development Limited (16/03/2035) (FRN) **</t>
  </si>
  <si>
    <t>INE0J7Q07090</t>
  </si>
  <si>
    <t>DMED28</t>
  </si>
  <si>
    <t>6.85% DME Development Limited (16/03/2036) (FRN) **</t>
  </si>
  <si>
    <t>INE0J7Q07108</t>
  </si>
  <si>
    <t>DMED23</t>
  </si>
  <si>
    <t>6.85% DME Development Limited (16/03/2031) (FRN) **</t>
  </si>
  <si>
    <t>INE0J7Q07058</t>
  </si>
  <si>
    <t>DMED22</t>
  </si>
  <si>
    <t>6.85% DME Development Limited (16/03/2030) (FRN) **</t>
  </si>
  <si>
    <t>INE0J7Q07041</t>
  </si>
  <si>
    <t>DMED20</t>
  </si>
  <si>
    <t>6.85% DME Development Limited (16/03/2028) (FRN) **</t>
  </si>
  <si>
    <t>INE0J7Q07025</t>
  </si>
  <si>
    <t>DMED21</t>
  </si>
  <si>
    <t>6.85% DME Development Limited (16/03/2029) (FRN) **</t>
  </si>
  <si>
    <t>INE0J7Q07033</t>
  </si>
  <si>
    <t>(b) Privately placed / Unlisted</t>
  </si>
  <si>
    <t>NIL</t>
  </si>
  <si>
    <t>Money Market Instruments</t>
  </si>
  <si>
    <t>Certificate of Deposit</t>
  </si>
  <si>
    <t>BKBA358</t>
  </si>
  <si>
    <t>Bank of Baroda (05/05/2023)</t>
  </si>
  <si>
    <t>INE028A16CW1</t>
  </si>
  <si>
    <t>IND A1+</t>
  </si>
  <si>
    <t>KMBK788</t>
  </si>
  <si>
    <t>Kotak Mahindra Bank Limited (21/06/2023)</t>
  </si>
  <si>
    <t>INE237A169O1</t>
  </si>
  <si>
    <t>CRISIL A1+</t>
  </si>
  <si>
    <t>BKBA356</t>
  </si>
  <si>
    <t>Bank of Baroda (10/04/2023)</t>
  </si>
  <si>
    <t>INE028A16CV3</t>
  </si>
  <si>
    <t>IIBL923</t>
  </si>
  <si>
    <t>IndusInd Bank Limited (31/05/2023)</t>
  </si>
  <si>
    <t>INE095A16P93</t>
  </si>
  <si>
    <t>SBAI215</t>
  </si>
  <si>
    <t>State Bank of India (12/09/2023)</t>
  </si>
  <si>
    <t>INE062A16465</t>
  </si>
  <si>
    <t>CANB853</t>
  </si>
  <si>
    <t>Canara Bank (05/01/2023)</t>
  </si>
  <si>
    <t>INE476A16TJ3</t>
  </si>
  <si>
    <t>HDFB818</t>
  </si>
  <si>
    <t>HDFC Bank Limited (13/04/2023)</t>
  </si>
  <si>
    <t>INE040A16DG7</t>
  </si>
  <si>
    <t>CARE A1+</t>
  </si>
  <si>
    <t>SIDB476</t>
  </si>
  <si>
    <t>Small Industries Dev Bank of India (01/09/2023)</t>
  </si>
  <si>
    <t>INE556F16994</t>
  </si>
  <si>
    <t>HDFB816</t>
  </si>
  <si>
    <t>HDFC Bank Limited (15/06/2023)</t>
  </si>
  <si>
    <t>INE040A16DD4</t>
  </si>
  <si>
    <t>CANB855</t>
  </si>
  <si>
    <t>Canara Bank (04/01/2023)</t>
  </si>
  <si>
    <t>INE476A16TI5</t>
  </si>
  <si>
    <t>CANB861</t>
  </si>
  <si>
    <t>Canara Bank (21/03/2023)</t>
  </si>
  <si>
    <t>INE476A16TT2</t>
  </si>
  <si>
    <t>KMBK792</t>
  </si>
  <si>
    <t>Kotak Mahindra Bank Limited (31/05/2023)</t>
  </si>
  <si>
    <t>INE237A164O2</t>
  </si>
  <si>
    <t>HDFB819</t>
  </si>
  <si>
    <t>HDFC Bank Limited (17/07/2023)</t>
  </si>
  <si>
    <t>INE040A16DH5</t>
  </si>
  <si>
    <t>CANB863</t>
  </si>
  <si>
    <t>Canara Bank (27/07/2023)</t>
  </si>
  <si>
    <t>INE476A16TU0</t>
  </si>
  <si>
    <t>IBCL1136</t>
  </si>
  <si>
    <t>ICICI Bank Limited (07/08/2023)</t>
  </si>
  <si>
    <t>INE090A169X8</t>
  </si>
  <si>
    <t>EXIM737</t>
  </si>
  <si>
    <t>Export Import Bank of India (17/08/2023)</t>
  </si>
  <si>
    <t>INE514E16CC4</t>
  </si>
  <si>
    <t>HDFB821</t>
  </si>
  <si>
    <t>HDFC Bank Limited (14/08/2023)</t>
  </si>
  <si>
    <t>INE040A16DI3</t>
  </si>
  <si>
    <t>KMBK794</t>
  </si>
  <si>
    <t>Kotak Mahindra Bank Limited (17/08/2023)</t>
  </si>
  <si>
    <t>INE237A169P8</t>
  </si>
  <si>
    <t>PUBA966</t>
  </si>
  <si>
    <t>Punjab National Bank (24/08/2023)</t>
  </si>
  <si>
    <t>INE160A16MM2</t>
  </si>
  <si>
    <t>IIBL930</t>
  </si>
  <si>
    <t>IndusInd Bank Limited (05/10/2023)</t>
  </si>
  <si>
    <t>INE095A16Q76</t>
  </si>
  <si>
    <t>KMBK793</t>
  </si>
  <si>
    <t>Kotak Mahindra Bank Limited (11/08/2023)</t>
  </si>
  <si>
    <t>INE237A168P0</t>
  </si>
  <si>
    <t>CANB864</t>
  </si>
  <si>
    <t>Canara Bank (18/08/2023)</t>
  </si>
  <si>
    <t>INE476A16TV8</t>
  </si>
  <si>
    <t>HDFB807</t>
  </si>
  <si>
    <t>HDFC Bank Limited (10/02/2023)</t>
  </si>
  <si>
    <t>INE040A16CV8</t>
  </si>
  <si>
    <t>Commercial Paper</t>
  </si>
  <si>
    <t>LARS403</t>
  </si>
  <si>
    <t>Larsen &amp; Toubro Limited (30/12/2022) **</t>
  </si>
  <si>
    <t>INE018A14IQ6</t>
  </si>
  <si>
    <t>NICH985</t>
  </si>
  <si>
    <t>Piramal Enterprises Limited (20/03/2023) **</t>
  </si>
  <si>
    <t>INE140A14W67</t>
  </si>
  <si>
    <t>SIDB475</t>
  </si>
  <si>
    <t>Small Industries Dev Bank of India (20/03/2023) **</t>
  </si>
  <si>
    <t>INE556F14II1</t>
  </si>
  <si>
    <t>SESA532</t>
  </si>
  <si>
    <t>Vedanta Limited (28/02/2023) **</t>
  </si>
  <si>
    <t>INE205A14WV0</t>
  </si>
  <si>
    <t>MMFS1160</t>
  </si>
  <si>
    <t>Mahindra &amp; Mahindra Financial Services Limited (14/03/2023) **</t>
  </si>
  <si>
    <t>INE774D14RJ4</t>
  </si>
  <si>
    <t>SCIN269</t>
  </si>
  <si>
    <t>Standard Chartered Capital Limited (20/12/2022) **</t>
  </si>
  <si>
    <t>INE403G14PE8</t>
  </si>
  <si>
    <t>SESA534</t>
  </si>
  <si>
    <t>Vedanta Limited (27/12/2022) **</t>
  </si>
  <si>
    <t>INE205A14WZ1</t>
  </si>
  <si>
    <t>RICL157</t>
  </si>
  <si>
    <t>Barclays Investments &amp; Loans (India) Private Limited (16/01/2023) **</t>
  </si>
  <si>
    <t>INE704I14GC8</t>
  </si>
  <si>
    <t>BHFL83</t>
  </si>
  <si>
    <t>Bajaj Housing Finance Limited (17/02/2023)</t>
  </si>
  <si>
    <t>INE377Y14967</t>
  </si>
  <si>
    <t>SIDB469</t>
  </si>
  <si>
    <t>Small Industries Dev Bank of India (27/02/2023) **</t>
  </si>
  <si>
    <t>INE556F14IE0</t>
  </si>
  <si>
    <t>KOMP1653</t>
  </si>
  <si>
    <t>Kotak Mahindra Prime Limited (05/04/2023)</t>
  </si>
  <si>
    <t>INE916D141D8</t>
  </si>
  <si>
    <t>HDFC1199</t>
  </si>
  <si>
    <t>Housing Development Finance Corporation Limited (30/08/2023) **</t>
  </si>
  <si>
    <t>INE001A14ZK9</t>
  </si>
  <si>
    <t>HDFC1198</t>
  </si>
  <si>
    <t>Housing Development Finance Corporation Limited (29/08/2023) **</t>
  </si>
  <si>
    <t>INE001A14ZJ1</t>
  </si>
  <si>
    <t>ICRA A1+</t>
  </si>
  <si>
    <t>Treasury Bill</t>
  </si>
  <si>
    <t>TBIL2037</t>
  </si>
  <si>
    <t>364 Days Tbill (MD 09/02/2023)</t>
  </si>
  <si>
    <t>IN002021Z475</t>
  </si>
  <si>
    <t>TBIL2061</t>
  </si>
  <si>
    <t>182 Days Tbill (MD 08/12/2022)</t>
  </si>
  <si>
    <t>IN002022Y104</t>
  </si>
  <si>
    <t>TBIL1996</t>
  </si>
  <si>
    <t>364 Days Tbill (MD 12/01/2023)</t>
  </si>
  <si>
    <t>IN002021Z434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</si>
  <si>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</si>
  <si>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</si>
  <si>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</si>
  <si>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</si>
  <si>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</si>
  <si>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$  Less Than 0.01% of Net Asset Value </t>
  </si>
  <si>
    <t>FRN - Floating Rate Note</t>
  </si>
  <si>
    <t>**  Thinly Traded / Non Traded Security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</si>
  <si>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</si>
  <si>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</si>
  <si>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LOW DURATION DEBT INDEX 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</si>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</sst>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0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C4016487-667B-4DBD-9FE2-C7CBF362AE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139</xdr:row>
      <xdr:rowOff>0</xdr:rowOff>
    </xdr:from>
    <xdr:to>
      <xdr:col>3</xdr:col>
      <xdr:colOff>1746250</xdr:colOff>
      <xdr:row>146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56C4B7-88AF-45B6-91D7-B7B504FBE3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23040975"/>
          <a:ext cx="2860675" cy="1406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2857500</xdr:colOff>
      <xdr:row>146</xdr:row>
      <xdr:rowOff>145415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817B03-A532-409A-9E9E-718BB1121F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3040975"/>
          <a:ext cx="2857500" cy="14122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6E481-766E-462E-AD9C-28F4080D0A0C}">
  <sheetPr codeName="Sheet55">
    <outlinePr summaryBelow="0"/>
  </sheetPr>
  <dimension ref="A1:J149"/>
  <sheetViews>
    <sheetView tabSelected="1" topLeftCell="A128" workbookViewId="0">
      <selection activeCell="B134" sqref="B134:H13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4.41</v>
      </c>
      <c r="G7" s="20" t="s">
        <v>17</v>
      </c>
      <c r="H7" s="21"/>
      <c r="I7" s="22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-11.18</v>
      </c>
      <c r="G8" s="20" t="s">
        <v>17</v>
      </c>
      <c r="H8" s="21"/>
      <c r="I8" s="22"/>
      <c r="J8" s="3"/>
    </row>
    <row r="9" spans="1:10" ht="12.95" customHeight="1">
      <c r="A9" s="3"/>
      <c r="B9" s="12" t="s">
        <v>20</v>
      </c>
      <c r="C9" s="13"/>
      <c r="D9" s="13"/>
      <c r="E9" s="13"/>
      <c r="F9" s="23">
        <f>SUM(F7:F8)</f>
        <v>-6.77</v>
      </c>
      <c r="G9" s="24">
        <v>0</v>
      </c>
      <c r="H9" s="25"/>
      <c r="I9" s="26"/>
      <c r="J9" s="3"/>
    </row>
    <row r="10" spans="1:10" ht="12.95" customHeight="1">
      <c r="A10" s="3"/>
      <c r="B10" s="27" t="s">
        <v>21</v>
      </c>
      <c r="C10" s="28"/>
      <c r="D10" s="29"/>
      <c r="E10" s="28"/>
      <c r="F10" s="23">
        <f>F9</f>
        <v>-6.77</v>
      </c>
      <c r="G10" s="24">
        <v>0</v>
      </c>
      <c r="H10" s="25"/>
      <c r="I10" s="26"/>
      <c r="J10" s="3"/>
    </row>
    <row r="11" spans="1:10" ht="12.95" customHeight="1">
      <c r="A11" s="3"/>
      <c r="B11" s="12" t="s">
        <v>22</v>
      </c>
      <c r="C11" s="13"/>
      <c r="D11" s="13"/>
      <c r="E11" s="13"/>
      <c r="F11" s="13"/>
      <c r="G11" s="13"/>
      <c r="H11" s="14"/>
      <c r="I11" s="15"/>
      <c r="J11" s="3"/>
    </row>
    <row r="12" spans="1:10" ht="12.95" customHeight="1">
      <c r="A12" s="3"/>
      <c r="B12" s="12" t="s">
        <v>23</v>
      </c>
      <c r="C12" s="13"/>
      <c r="D12" s="13"/>
      <c r="E12" s="13"/>
      <c r="F12" s="3"/>
      <c r="G12" s="14"/>
      <c r="H12" s="14"/>
      <c r="I12" s="15"/>
      <c r="J12" s="3"/>
    </row>
    <row r="13" spans="1:10" ht="12.95" customHeight="1">
      <c r="A13" s="16" t="s">
        <v>24</v>
      </c>
      <c r="B13" s="17" t="s">
        <v>25</v>
      </c>
      <c r="C13" s="13" t="s">
        <v>26</v>
      </c>
      <c r="D13" s="13" t="s">
        <v>27</v>
      </c>
      <c r="E13" s="18">
        <v>1250</v>
      </c>
      <c r="F13" s="19">
        <v>12395.73</v>
      </c>
      <c r="G13" s="20">
        <v>2.7099999999999999E-2</v>
      </c>
      <c r="H13" s="21">
        <v>7.46E-2</v>
      </c>
      <c r="I13" s="22"/>
      <c r="J13" s="3"/>
    </row>
    <row r="14" spans="1:10" ht="12.95" customHeight="1">
      <c r="A14" s="16" t="s">
        <v>28</v>
      </c>
      <c r="B14" s="17" t="s">
        <v>29</v>
      </c>
      <c r="C14" s="13" t="s">
        <v>30</v>
      </c>
      <c r="D14" s="13" t="s">
        <v>31</v>
      </c>
      <c r="E14" s="18">
        <v>10500000</v>
      </c>
      <c r="F14" s="19">
        <v>10487.84</v>
      </c>
      <c r="G14" s="20">
        <v>2.3E-2</v>
      </c>
      <c r="H14" s="21"/>
      <c r="I14" s="22"/>
      <c r="J14" s="3"/>
    </row>
    <row r="15" spans="1:10" ht="12.95" customHeight="1">
      <c r="A15" s="16" t="s">
        <v>32</v>
      </c>
      <c r="B15" s="17" t="s">
        <v>33</v>
      </c>
      <c r="C15" s="13" t="s">
        <v>34</v>
      </c>
      <c r="D15" s="13" t="s">
        <v>35</v>
      </c>
      <c r="E15" s="18">
        <v>1000</v>
      </c>
      <c r="F15" s="19">
        <v>9942.6200000000008</v>
      </c>
      <c r="G15" s="20">
        <v>2.18E-2</v>
      </c>
      <c r="H15" s="21">
        <v>7.7499999999999999E-2</v>
      </c>
      <c r="I15" s="22"/>
      <c r="J15" s="3"/>
    </row>
    <row r="16" spans="1:10" ht="12.95" customHeight="1">
      <c r="A16" s="16" t="s">
        <v>36</v>
      </c>
      <c r="B16" s="17" t="s">
        <v>37</v>
      </c>
      <c r="C16" s="13" t="s">
        <v>38</v>
      </c>
      <c r="D16" s="13" t="s">
        <v>35</v>
      </c>
      <c r="E16" s="18">
        <v>500</v>
      </c>
      <c r="F16" s="19">
        <v>5088.3</v>
      </c>
      <c r="G16" s="20">
        <v>1.11E-2</v>
      </c>
      <c r="H16" s="21">
        <v>7.7100000000000002E-2</v>
      </c>
      <c r="I16" s="22"/>
      <c r="J16" s="3"/>
    </row>
    <row r="17" spans="1:10" ht="12.95" customHeight="1">
      <c r="A17" s="16" t="s">
        <v>39</v>
      </c>
      <c r="B17" s="17" t="s">
        <v>40</v>
      </c>
      <c r="C17" s="13" t="s">
        <v>41</v>
      </c>
      <c r="D17" s="13" t="s">
        <v>42</v>
      </c>
      <c r="E17" s="18">
        <v>500</v>
      </c>
      <c r="F17" s="19">
        <v>5083.68</v>
      </c>
      <c r="G17" s="20">
        <v>1.11E-2</v>
      </c>
      <c r="H17" s="21">
        <v>8.7586499999999998E-2</v>
      </c>
      <c r="I17" s="22"/>
      <c r="J17" s="3"/>
    </row>
    <row r="18" spans="1:10" ht="12.95" customHeight="1">
      <c r="A18" s="16" t="s">
        <v>43</v>
      </c>
      <c r="B18" s="17" t="s">
        <v>44</v>
      </c>
      <c r="C18" s="13" t="s">
        <v>45</v>
      </c>
      <c r="D18" s="13" t="s">
        <v>46</v>
      </c>
      <c r="E18" s="18">
        <v>500</v>
      </c>
      <c r="F18" s="19">
        <v>5023.51</v>
      </c>
      <c r="G18" s="20">
        <v>1.0999999999999999E-2</v>
      </c>
      <c r="H18" s="21">
        <v>8.09E-2</v>
      </c>
      <c r="I18" s="22"/>
      <c r="J18" s="3"/>
    </row>
    <row r="19" spans="1:10" ht="12.95" customHeight="1">
      <c r="A19" s="16" t="s">
        <v>47</v>
      </c>
      <c r="B19" s="17" t="s">
        <v>48</v>
      </c>
      <c r="C19" s="13" t="s">
        <v>49</v>
      </c>
      <c r="D19" s="13" t="s">
        <v>46</v>
      </c>
      <c r="E19" s="18">
        <v>500</v>
      </c>
      <c r="F19" s="19">
        <v>5021.3</v>
      </c>
      <c r="G19" s="20">
        <v>1.0999999999999999E-2</v>
      </c>
      <c r="H19" s="21">
        <v>8.5476499999999997E-2</v>
      </c>
      <c r="I19" s="22"/>
      <c r="J19" s="3"/>
    </row>
    <row r="20" spans="1:10" ht="12.95" customHeight="1">
      <c r="A20" s="16" t="s">
        <v>50</v>
      </c>
      <c r="B20" s="17" t="s">
        <v>51</v>
      </c>
      <c r="C20" s="13" t="s">
        <v>52</v>
      </c>
      <c r="D20" s="13" t="s">
        <v>35</v>
      </c>
      <c r="E20" s="18">
        <v>500</v>
      </c>
      <c r="F20" s="19">
        <v>4993.96</v>
      </c>
      <c r="G20" s="20">
        <v>1.09E-2</v>
      </c>
      <c r="H20" s="21">
        <v>7.3450000000000001E-2</v>
      </c>
      <c r="I20" s="22"/>
      <c r="J20" s="3"/>
    </row>
    <row r="21" spans="1:10" ht="12.95" customHeight="1">
      <c r="A21" s="16" t="s">
        <v>53</v>
      </c>
      <c r="B21" s="17" t="s">
        <v>54</v>
      </c>
      <c r="C21" s="13" t="s">
        <v>55</v>
      </c>
      <c r="D21" s="13" t="s">
        <v>56</v>
      </c>
      <c r="E21" s="18">
        <v>500</v>
      </c>
      <c r="F21" s="19">
        <v>4979.22</v>
      </c>
      <c r="G21" s="20">
        <v>1.09E-2</v>
      </c>
      <c r="H21" s="21">
        <v>8.7798000000000001E-2</v>
      </c>
      <c r="I21" s="22"/>
      <c r="J21" s="3"/>
    </row>
    <row r="22" spans="1:10" ht="12.95" customHeight="1">
      <c r="A22" s="16" t="s">
        <v>57</v>
      </c>
      <c r="B22" s="17" t="s">
        <v>58</v>
      </c>
      <c r="C22" s="13" t="s">
        <v>59</v>
      </c>
      <c r="D22" s="13" t="s">
        <v>27</v>
      </c>
      <c r="E22" s="18">
        <v>500</v>
      </c>
      <c r="F22" s="19">
        <v>4961.99</v>
      </c>
      <c r="G22" s="20">
        <v>1.09E-2</v>
      </c>
      <c r="H22" s="21">
        <v>7.5450000000000003E-2</v>
      </c>
      <c r="I22" s="22"/>
      <c r="J22" s="3"/>
    </row>
    <row r="23" spans="1:10" ht="12.95" customHeight="1">
      <c r="A23" s="16" t="s">
        <v>60</v>
      </c>
      <c r="B23" s="17" t="s">
        <v>61</v>
      </c>
      <c r="C23" s="13" t="s">
        <v>62</v>
      </c>
      <c r="D23" s="13" t="s">
        <v>27</v>
      </c>
      <c r="E23" s="18">
        <v>500</v>
      </c>
      <c r="F23" s="19">
        <v>4955.54</v>
      </c>
      <c r="G23" s="20">
        <v>1.0800000000000001E-2</v>
      </c>
      <c r="H23" s="21">
        <v>7.5399999999999995E-2</v>
      </c>
      <c r="I23" s="22"/>
      <c r="J23" s="3"/>
    </row>
    <row r="24" spans="1:10" ht="12.95" customHeight="1">
      <c r="A24" s="16" t="s">
        <v>63</v>
      </c>
      <c r="B24" s="17" t="s">
        <v>64</v>
      </c>
      <c r="C24" s="13" t="s">
        <v>65</v>
      </c>
      <c r="D24" s="13" t="s">
        <v>56</v>
      </c>
      <c r="E24" s="18">
        <v>500</v>
      </c>
      <c r="F24" s="19">
        <v>4936.4799999999996</v>
      </c>
      <c r="G24" s="20">
        <v>1.0800000000000001E-2</v>
      </c>
      <c r="H24" s="21">
        <v>8.1449999999999995E-2</v>
      </c>
      <c r="I24" s="22"/>
      <c r="J24" s="3"/>
    </row>
    <row r="25" spans="1:10" ht="12.95" customHeight="1">
      <c r="A25" s="16" t="s">
        <v>66</v>
      </c>
      <c r="B25" s="17" t="s">
        <v>67</v>
      </c>
      <c r="C25" s="13" t="s">
        <v>68</v>
      </c>
      <c r="D25" s="13" t="s">
        <v>31</v>
      </c>
      <c r="E25" s="18">
        <v>5000000</v>
      </c>
      <c r="F25" s="19">
        <v>4918.57</v>
      </c>
      <c r="G25" s="20">
        <v>1.0800000000000001E-2</v>
      </c>
      <c r="H25" s="21"/>
      <c r="I25" s="22"/>
      <c r="J25" s="3"/>
    </row>
    <row r="26" spans="1:10" ht="12.95" customHeight="1">
      <c r="A26" s="16" t="s">
        <v>69</v>
      </c>
      <c r="B26" s="17" t="s">
        <v>70</v>
      </c>
      <c r="C26" s="13" t="s">
        <v>71</v>
      </c>
      <c r="D26" s="13" t="s">
        <v>35</v>
      </c>
      <c r="E26" s="18">
        <v>500</v>
      </c>
      <c r="F26" s="19">
        <v>4911.18</v>
      </c>
      <c r="G26" s="20">
        <v>1.0699999999999999E-2</v>
      </c>
      <c r="H26" s="21">
        <v>7.9298999999999994E-2</v>
      </c>
      <c r="I26" s="22"/>
      <c r="J26" s="3"/>
    </row>
    <row r="27" spans="1:10" ht="12.95" customHeight="1">
      <c r="A27" s="16" t="s">
        <v>72</v>
      </c>
      <c r="B27" s="17" t="s">
        <v>73</v>
      </c>
      <c r="C27" s="13" t="s">
        <v>74</v>
      </c>
      <c r="D27" s="13" t="s">
        <v>27</v>
      </c>
      <c r="E27" s="18">
        <v>500</v>
      </c>
      <c r="F27" s="19">
        <v>4866.51</v>
      </c>
      <c r="G27" s="20">
        <v>1.0699999999999999E-2</v>
      </c>
      <c r="H27" s="21">
        <v>7.4700000000000003E-2</v>
      </c>
      <c r="I27" s="22"/>
      <c r="J27" s="3"/>
    </row>
    <row r="28" spans="1:10" ht="12.95" customHeight="1">
      <c r="A28" s="16" t="s">
        <v>75</v>
      </c>
      <c r="B28" s="17" t="s">
        <v>76</v>
      </c>
      <c r="C28" s="13" t="s">
        <v>77</v>
      </c>
      <c r="D28" s="13" t="s">
        <v>78</v>
      </c>
      <c r="E28" s="18">
        <v>450</v>
      </c>
      <c r="F28" s="19">
        <v>4494.25</v>
      </c>
      <c r="G28" s="20">
        <v>9.7999999999999997E-3</v>
      </c>
      <c r="H28" s="21">
        <v>8.1025E-2</v>
      </c>
      <c r="I28" s="22"/>
      <c r="J28" s="3"/>
    </row>
    <row r="29" spans="1:10" ht="12.95" customHeight="1">
      <c r="A29" s="16" t="s">
        <v>79</v>
      </c>
      <c r="B29" s="17" t="s">
        <v>80</v>
      </c>
      <c r="C29" s="13" t="s">
        <v>81</v>
      </c>
      <c r="D29" s="13" t="s">
        <v>31</v>
      </c>
      <c r="E29" s="18">
        <v>4315500</v>
      </c>
      <c r="F29" s="19">
        <v>4338.4799999999996</v>
      </c>
      <c r="G29" s="20">
        <v>9.4999999999999998E-3</v>
      </c>
      <c r="H29" s="21">
        <v>6.8875000000000006E-2</v>
      </c>
      <c r="I29" s="22"/>
      <c r="J29" s="3"/>
    </row>
    <row r="30" spans="1:10" ht="12.95" customHeight="1">
      <c r="A30" s="16" t="s">
        <v>82</v>
      </c>
      <c r="B30" s="17" t="s">
        <v>83</v>
      </c>
      <c r="C30" s="13" t="s">
        <v>84</v>
      </c>
      <c r="D30" s="13" t="s">
        <v>46</v>
      </c>
      <c r="E30" s="18">
        <v>392400</v>
      </c>
      <c r="F30" s="19">
        <v>3890.88</v>
      </c>
      <c r="G30" s="20">
        <v>8.5000000000000006E-3</v>
      </c>
      <c r="H30" s="21">
        <v>7.9699999999999993E-2</v>
      </c>
      <c r="I30" s="22"/>
      <c r="J30" s="3"/>
    </row>
    <row r="31" spans="1:10" ht="12.95" customHeight="1">
      <c r="A31" s="16" t="s">
        <v>85</v>
      </c>
      <c r="B31" s="17" t="s">
        <v>86</v>
      </c>
      <c r="C31" s="13" t="s">
        <v>87</v>
      </c>
      <c r="D31" s="13" t="s">
        <v>35</v>
      </c>
      <c r="E31" s="18">
        <v>350</v>
      </c>
      <c r="F31" s="19">
        <v>3486.52</v>
      </c>
      <c r="G31" s="20">
        <v>7.6E-3</v>
      </c>
      <c r="H31" s="21">
        <v>7.6999999999999999E-2</v>
      </c>
      <c r="I31" s="22"/>
      <c r="J31" s="3"/>
    </row>
    <row r="32" spans="1:10" ht="12.95" customHeight="1">
      <c r="A32" s="16" t="s">
        <v>88</v>
      </c>
      <c r="B32" s="17" t="s">
        <v>89</v>
      </c>
      <c r="C32" s="13" t="s">
        <v>90</v>
      </c>
      <c r="D32" s="13" t="s">
        <v>42</v>
      </c>
      <c r="E32" s="18">
        <v>350</v>
      </c>
      <c r="F32" s="19">
        <v>3426.85</v>
      </c>
      <c r="G32" s="20">
        <v>7.4999999999999997E-3</v>
      </c>
      <c r="H32" s="21">
        <v>8.6996000000000004E-2</v>
      </c>
      <c r="I32" s="22"/>
      <c r="J32" s="3"/>
    </row>
    <row r="33" spans="1:10" ht="12.95" customHeight="1">
      <c r="A33" s="16" t="s">
        <v>91</v>
      </c>
      <c r="B33" s="17" t="s">
        <v>92</v>
      </c>
      <c r="C33" s="13" t="s">
        <v>93</v>
      </c>
      <c r="D33" s="13" t="s">
        <v>31</v>
      </c>
      <c r="E33" s="18">
        <v>3500000</v>
      </c>
      <c r="F33" s="19">
        <v>3323.78</v>
      </c>
      <c r="G33" s="20">
        <v>7.3000000000000001E-3</v>
      </c>
      <c r="H33" s="21">
        <v>7.3070999999999997E-2</v>
      </c>
      <c r="I33" s="22"/>
      <c r="J33" s="3"/>
    </row>
    <row r="34" spans="1:10" ht="12.95" customHeight="1">
      <c r="A34" s="16" t="s">
        <v>94</v>
      </c>
      <c r="B34" s="17" t="s">
        <v>95</v>
      </c>
      <c r="C34" s="13" t="s">
        <v>96</v>
      </c>
      <c r="D34" s="13" t="s">
        <v>31</v>
      </c>
      <c r="E34" s="18">
        <v>3000000</v>
      </c>
      <c r="F34" s="19">
        <v>2837.57</v>
      </c>
      <c r="G34" s="20">
        <v>6.1999999999999998E-3</v>
      </c>
      <c r="H34" s="21">
        <v>7.3112999999999997E-2</v>
      </c>
      <c r="I34" s="22"/>
      <c r="J34" s="3"/>
    </row>
    <row r="35" spans="1:10" ht="12.95" customHeight="1">
      <c r="A35" s="16" t="s">
        <v>97</v>
      </c>
      <c r="B35" s="17" t="s">
        <v>98</v>
      </c>
      <c r="C35" s="13" t="s">
        <v>99</v>
      </c>
      <c r="D35" s="13" t="s">
        <v>35</v>
      </c>
      <c r="E35" s="18">
        <v>250</v>
      </c>
      <c r="F35" s="19">
        <v>2561.77</v>
      </c>
      <c r="G35" s="20">
        <v>5.5999999999999999E-3</v>
      </c>
      <c r="H35" s="21">
        <v>7.5499999999999998E-2</v>
      </c>
      <c r="I35" s="22"/>
      <c r="J35" s="3"/>
    </row>
    <row r="36" spans="1:10" ht="12.95" customHeight="1">
      <c r="A36" s="16" t="s">
        <v>100</v>
      </c>
      <c r="B36" s="17" t="s">
        <v>101</v>
      </c>
      <c r="C36" s="13" t="s">
        <v>102</v>
      </c>
      <c r="D36" s="13" t="s">
        <v>46</v>
      </c>
      <c r="E36" s="18">
        <v>250</v>
      </c>
      <c r="F36" s="19">
        <v>2534.58</v>
      </c>
      <c r="G36" s="20">
        <v>5.4999999999999997E-3</v>
      </c>
      <c r="H36" s="21">
        <v>8.2464999999999997E-2</v>
      </c>
      <c r="I36" s="22"/>
      <c r="J36" s="3"/>
    </row>
    <row r="37" spans="1:10" ht="12.95" customHeight="1">
      <c r="A37" s="16" t="s">
        <v>103</v>
      </c>
      <c r="B37" s="17" t="s">
        <v>104</v>
      </c>
      <c r="C37" s="13" t="s">
        <v>105</v>
      </c>
      <c r="D37" s="13" t="s">
        <v>31</v>
      </c>
      <c r="E37" s="18">
        <v>2500000</v>
      </c>
      <c r="F37" s="19">
        <v>2516.63</v>
      </c>
      <c r="G37" s="20">
        <v>5.4999999999999997E-3</v>
      </c>
      <c r="H37" s="21">
        <v>6.6851999999999995E-2</v>
      </c>
      <c r="I37" s="22"/>
      <c r="J37" s="3"/>
    </row>
    <row r="38" spans="1:10" ht="12.95" customHeight="1">
      <c r="A38" s="16" t="s">
        <v>106</v>
      </c>
      <c r="B38" s="17" t="s">
        <v>107</v>
      </c>
      <c r="C38" s="13" t="s">
        <v>108</v>
      </c>
      <c r="D38" s="13" t="s">
        <v>31</v>
      </c>
      <c r="E38" s="18">
        <v>2500000</v>
      </c>
      <c r="F38" s="19">
        <v>2513.83</v>
      </c>
      <c r="G38" s="20">
        <v>5.4999999999999997E-3</v>
      </c>
      <c r="H38" s="21">
        <v>6.8875000000000006E-2</v>
      </c>
      <c r="I38" s="22"/>
      <c r="J38" s="3"/>
    </row>
    <row r="39" spans="1:10" ht="12.95" customHeight="1">
      <c r="A39" s="16" t="s">
        <v>109</v>
      </c>
      <c r="B39" s="17" t="s">
        <v>110</v>
      </c>
      <c r="C39" s="13" t="s">
        <v>111</v>
      </c>
      <c r="D39" s="13" t="s">
        <v>27</v>
      </c>
      <c r="E39" s="18">
        <v>250</v>
      </c>
      <c r="F39" s="19">
        <v>2510.3200000000002</v>
      </c>
      <c r="G39" s="20">
        <v>5.4999999999999997E-3</v>
      </c>
      <c r="H39" s="21">
        <v>7.5883000000000006E-2</v>
      </c>
      <c r="I39" s="22"/>
      <c r="J39" s="3"/>
    </row>
    <row r="40" spans="1:10" ht="12.95" customHeight="1">
      <c r="A40" s="16" t="s">
        <v>112</v>
      </c>
      <c r="B40" s="17" t="s">
        <v>113</v>
      </c>
      <c r="C40" s="13" t="s">
        <v>114</v>
      </c>
      <c r="D40" s="13" t="s">
        <v>31</v>
      </c>
      <c r="E40" s="18">
        <v>2500000</v>
      </c>
      <c r="F40" s="19">
        <v>2510.0100000000002</v>
      </c>
      <c r="G40" s="20">
        <v>5.4999999999999997E-3</v>
      </c>
      <c r="H40" s="21">
        <v>6.6325999999999996E-2</v>
      </c>
      <c r="I40" s="22"/>
      <c r="J40" s="3"/>
    </row>
    <row r="41" spans="1:10" ht="12.95" customHeight="1">
      <c r="A41" s="16" t="s">
        <v>115</v>
      </c>
      <c r="B41" s="17" t="s">
        <v>116</v>
      </c>
      <c r="C41" s="13" t="s">
        <v>117</v>
      </c>
      <c r="D41" s="13" t="s">
        <v>35</v>
      </c>
      <c r="E41" s="18">
        <v>250</v>
      </c>
      <c r="F41" s="19">
        <v>2508.17</v>
      </c>
      <c r="G41" s="20">
        <v>5.4999999999999997E-3</v>
      </c>
      <c r="H41" s="21">
        <v>7.7649999999999997E-2</v>
      </c>
      <c r="I41" s="22"/>
      <c r="J41" s="3"/>
    </row>
    <row r="42" spans="1:10" ht="12.95" customHeight="1">
      <c r="A42" s="16" t="s">
        <v>118</v>
      </c>
      <c r="B42" s="17" t="s">
        <v>119</v>
      </c>
      <c r="C42" s="13" t="s">
        <v>120</v>
      </c>
      <c r="D42" s="13" t="s">
        <v>121</v>
      </c>
      <c r="E42" s="18">
        <v>250</v>
      </c>
      <c r="F42" s="19">
        <v>2488.08</v>
      </c>
      <c r="G42" s="20">
        <v>5.4000000000000003E-3</v>
      </c>
      <c r="H42" s="21">
        <v>8.0250000000000002E-2</v>
      </c>
      <c r="I42" s="22"/>
      <c r="J42" s="3"/>
    </row>
    <row r="43" spans="1:10" ht="12.95" customHeight="1">
      <c r="A43" s="16" t="s">
        <v>122</v>
      </c>
      <c r="B43" s="17" t="s">
        <v>123</v>
      </c>
      <c r="C43" s="13" t="s">
        <v>124</v>
      </c>
      <c r="D43" s="13" t="s">
        <v>35</v>
      </c>
      <c r="E43" s="18">
        <v>250</v>
      </c>
      <c r="F43" s="19">
        <v>2478.42</v>
      </c>
      <c r="G43" s="20">
        <v>5.4000000000000003E-3</v>
      </c>
      <c r="H43" s="21">
        <v>7.2800000000000004E-2</v>
      </c>
      <c r="I43" s="22"/>
      <c r="J43" s="3"/>
    </row>
    <row r="44" spans="1:10" ht="12.95" customHeight="1">
      <c r="A44" s="16" t="s">
        <v>125</v>
      </c>
      <c r="B44" s="17" t="s">
        <v>126</v>
      </c>
      <c r="C44" s="13" t="s">
        <v>127</v>
      </c>
      <c r="D44" s="13" t="s">
        <v>128</v>
      </c>
      <c r="E44" s="18">
        <v>250</v>
      </c>
      <c r="F44" s="19">
        <v>2477.1999999999998</v>
      </c>
      <c r="G44" s="20">
        <v>5.4000000000000003E-3</v>
      </c>
      <c r="H44" s="21">
        <v>8.2699999999999996E-2</v>
      </c>
      <c r="I44" s="22"/>
      <c r="J44" s="3"/>
    </row>
    <row r="45" spans="1:10" ht="12.95" customHeight="1">
      <c r="A45" s="16" t="s">
        <v>129</v>
      </c>
      <c r="B45" s="17" t="s">
        <v>130</v>
      </c>
      <c r="C45" s="13" t="s">
        <v>131</v>
      </c>
      <c r="D45" s="13" t="s">
        <v>132</v>
      </c>
      <c r="E45" s="18">
        <v>250</v>
      </c>
      <c r="F45" s="19">
        <v>2473.9499999999998</v>
      </c>
      <c r="G45" s="20">
        <v>5.4000000000000003E-3</v>
      </c>
      <c r="H45" s="21">
        <v>8.3576999999999999E-2</v>
      </c>
      <c r="I45" s="22"/>
      <c r="J45" s="3"/>
    </row>
    <row r="46" spans="1:10" ht="12.95" customHeight="1">
      <c r="A46" s="16" t="s">
        <v>133</v>
      </c>
      <c r="B46" s="17" t="s">
        <v>134</v>
      </c>
      <c r="C46" s="13" t="s">
        <v>135</v>
      </c>
      <c r="D46" s="13" t="s">
        <v>35</v>
      </c>
      <c r="E46" s="18">
        <v>250</v>
      </c>
      <c r="F46" s="19">
        <v>2460.2800000000002</v>
      </c>
      <c r="G46" s="20">
        <v>5.4000000000000003E-3</v>
      </c>
      <c r="H46" s="21">
        <v>7.4999999999999997E-2</v>
      </c>
      <c r="I46" s="22"/>
      <c r="J46" s="3"/>
    </row>
    <row r="47" spans="1:10" ht="12.95" customHeight="1">
      <c r="A47" s="16" t="s">
        <v>136</v>
      </c>
      <c r="B47" s="17" t="s">
        <v>137</v>
      </c>
      <c r="C47" s="13" t="s">
        <v>138</v>
      </c>
      <c r="D47" s="13" t="s">
        <v>139</v>
      </c>
      <c r="E47" s="18">
        <v>250</v>
      </c>
      <c r="F47" s="19">
        <v>2398.85</v>
      </c>
      <c r="G47" s="20">
        <v>5.3E-3</v>
      </c>
      <c r="H47" s="21">
        <v>7.5450000000000003E-2</v>
      </c>
      <c r="I47" s="22"/>
      <c r="J47" s="3"/>
    </row>
    <row r="48" spans="1:10" ht="12.95" customHeight="1">
      <c r="A48" s="16" t="s">
        <v>140</v>
      </c>
      <c r="B48" s="17" t="s">
        <v>141</v>
      </c>
      <c r="C48" s="13" t="s">
        <v>142</v>
      </c>
      <c r="D48" s="13" t="s">
        <v>31</v>
      </c>
      <c r="E48" s="18">
        <v>2000000</v>
      </c>
      <c r="F48" s="19">
        <v>2004.97</v>
      </c>
      <c r="G48" s="20">
        <v>4.4000000000000003E-3</v>
      </c>
      <c r="H48" s="21">
        <v>7.5563000000000005E-2</v>
      </c>
      <c r="I48" s="22"/>
      <c r="J48" s="3"/>
    </row>
    <row r="49" spans="1:10" ht="12.95" customHeight="1">
      <c r="A49" s="16" t="s">
        <v>143</v>
      </c>
      <c r="B49" s="17" t="s">
        <v>144</v>
      </c>
      <c r="C49" s="13" t="s">
        <v>145</v>
      </c>
      <c r="D49" s="13" t="s">
        <v>42</v>
      </c>
      <c r="E49" s="18">
        <v>200</v>
      </c>
      <c r="F49" s="19">
        <v>1964.61</v>
      </c>
      <c r="G49" s="20">
        <v>4.3E-3</v>
      </c>
      <c r="H49" s="21">
        <v>8.3000000000000004E-2</v>
      </c>
      <c r="I49" s="22"/>
      <c r="J49" s="3"/>
    </row>
    <row r="50" spans="1:10" ht="12.95" customHeight="1">
      <c r="A50" s="16" t="s">
        <v>146</v>
      </c>
      <c r="B50" s="17" t="s">
        <v>147</v>
      </c>
      <c r="C50" s="13" t="s">
        <v>148</v>
      </c>
      <c r="D50" s="13" t="s">
        <v>31</v>
      </c>
      <c r="E50" s="18">
        <v>2040000</v>
      </c>
      <c r="F50" s="19">
        <v>1887.98</v>
      </c>
      <c r="G50" s="20">
        <v>4.1000000000000003E-3</v>
      </c>
      <c r="H50" s="21">
        <v>7.0213499999999998E-2</v>
      </c>
      <c r="I50" s="22"/>
      <c r="J50" s="3"/>
    </row>
    <row r="51" spans="1:10" ht="12.95" customHeight="1">
      <c r="A51" s="16" t="s">
        <v>149</v>
      </c>
      <c r="B51" s="17" t="s">
        <v>150</v>
      </c>
      <c r="C51" s="13" t="s">
        <v>151</v>
      </c>
      <c r="D51" s="13" t="s">
        <v>31</v>
      </c>
      <c r="E51" s="18">
        <v>2030900</v>
      </c>
      <c r="F51" s="19">
        <v>1880.65</v>
      </c>
      <c r="G51" s="20">
        <v>4.1000000000000003E-3</v>
      </c>
      <c r="H51" s="21">
        <v>7.0208499999999993E-2</v>
      </c>
      <c r="I51" s="22"/>
      <c r="J51" s="3"/>
    </row>
    <row r="52" spans="1:10" ht="12.95" customHeight="1">
      <c r="A52" s="16" t="s">
        <v>152</v>
      </c>
      <c r="B52" s="17" t="s">
        <v>80</v>
      </c>
      <c r="C52" s="13" t="s">
        <v>153</v>
      </c>
      <c r="D52" s="13" t="s">
        <v>31</v>
      </c>
      <c r="E52" s="18">
        <v>1003700</v>
      </c>
      <c r="F52" s="19">
        <v>1009.3</v>
      </c>
      <c r="G52" s="20">
        <v>2.2000000000000001E-3</v>
      </c>
      <c r="H52" s="21">
        <v>6.8255999999999997E-2</v>
      </c>
      <c r="I52" s="22"/>
      <c r="J52" s="3"/>
    </row>
    <row r="53" spans="1:10" ht="12.95" customHeight="1">
      <c r="A53" s="16" t="s">
        <v>154</v>
      </c>
      <c r="B53" s="17" t="s">
        <v>155</v>
      </c>
      <c r="C53" s="13" t="s">
        <v>156</v>
      </c>
      <c r="D53" s="13" t="s">
        <v>31</v>
      </c>
      <c r="E53" s="18">
        <v>1000000</v>
      </c>
      <c r="F53" s="19">
        <v>1006.52</v>
      </c>
      <c r="G53" s="20">
        <v>2.2000000000000001E-3</v>
      </c>
      <c r="H53" s="21">
        <v>6.7045999999999994E-2</v>
      </c>
      <c r="I53" s="22"/>
      <c r="J53" s="3"/>
    </row>
    <row r="54" spans="1:10" ht="12.95" customHeight="1">
      <c r="A54" s="16" t="s">
        <v>157</v>
      </c>
      <c r="B54" s="17" t="s">
        <v>158</v>
      </c>
      <c r="C54" s="13" t="s">
        <v>159</v>
      </c>
      <c r="D54" s="13" t="s">
        <v>35</v>
      </c>
      <c r="E54" s="18">
        <v>100</v>
      </c>
      <c r="F54" s="19">
        <v>988.97</v>
      </c>
      <c r="G54" s="20">
        <v>2.2000000000000001E-3</v>
      </c>
      <c r="H54" s="21">
        <v>7.2800000000000004E-2</v>
      </c>
      <c r="I54" s="22"/>
      <c r="J54" s="3"/>
    </row>
    <row r="55" spans="1:10" ht="12.95" customHeight="1">
      <c r="A55" s="16" t="s">
        <v>160</v>
      </c>
      <c r="B55" s="17" t="s">
        <v>161</v>
      </c>
      <c r="C55" s="13" t="s">
        <v>162</v>
      </c>
      <c r="D55" s="13" t="s">
        <v>31</v>
      </c>
      <c r="E55" s="18">
        <v>1015300</v>
      </c>
      <c r="F55" s="19">
        <v>938.19</v>
      </c>
      <c r="G55" s="20">
        <v>2.0999999999999999E-3</v>
      </c>
      <c r="H55" s="21">
        <v>7.0226499999999997E-2</v>
      </c>
      <c r="I55" s="22"/>
      <c r="J55" s="3"/>
    </row>
    <row r="56" spans="1:10" ht="12.95" customHeight="1">
      <c r="A56" s="16" t="s">
        <v>163</v>
      </c>
      <c r="B56" s="17" t="s">
        <v>164</v>
      </c>
      <c r="C56" s="13" t="s">
        <v>165</v>
      </c>
      <c r="D56" s="13" t="s">
        <v>31</v>
      </c>
      <c r="E56" s="18">
        <v>500000</v>
      </c>
      <c r="F56" s="19">
        <v>501.65</v>
      </c>
      <c r="G56" s="20">
        <v>1.1000000000000001E-3</v>
      </c>
      <c r="H56" s="21">
        <v>7.1249000000000007E-2</v>
      </c>
      <c r="I56" s="22"/>
      <c r="J56" s="3"/>
    </row>
    <row r="57" spans="1:10" ht="12.95" customHeight="1">
      <c r="A57" s="16" t="s">
        <v>166</v>
      </c>
      <c r="B57" s="17" t="s">
        <v>167</v>
      </c>
      <c r="C57" s="13" t="s">
        <v>168</v>
      </c>
      <c r="D57" s="13" t="s">
        <v>35</v>
      </c>
      <c r="E57" s="18">
        <v>50</v>
      </c>
      <c r="F57" s="19">
        <v>500.12</v>
      </c>
      <c r="G57" s="20">
        <v>1.1000000000000001E-3</v>
      </c>
      <c r="H57" s="21">
        <v>6.6906999999999994E-2</v>
      </c>
      <c r="I57" s="22"/>
      <c r="J57" s="3"/>
    </row>
    <row r="58" spans="1:10" ht="12.95" customHeight="1">
      <c r="A58" s="16" t="s">
        <v>169</v>
      </c>
      <c r="B58" s="17" t="s">
        <v>170</v>
      </c>
      <c r="C58" s="13" t="s">
        <v>171</v>
      </c>
      <c r="D58" s="13" t="s">
        <v>121</v>
      </c>
      <c r="E58" s="18">
        <v>50</v>
      </c>
      <c r="F58" s="19">
        <v>496.76</v>
      </c>
      <c r="G58" s="20">
        <v>1.1000000000000001E-3</v>
      </c>
      <c r="H58" s="21">
        <v>7.5783000000000003E-2</v>
      </c>
      <c r="I58" s="22"/>
      <c r="J58" s="3"/>
    </row>
    <row r="59" spans="1:10" ht="12.95" customHeight="1">
      <c r="A59" s="16" t="s">
        <v>172</v>
      </c>
      <c r="B59" s="17" t="s">
        <v>173</v>
      </c>
      <c r="C59" s="13" t="s">
        <v>174</v>
      </c>
      <c r="D59" s="13" t="s">
        <v>31</v>
      </c>
      <c r="E59" s="18">
        <v>400000</v>
      </c>
      <c r="F59" s="19">
        <v>410.55</v>
      </c>
      <c r="G59" s="20">
        <v>8.9999999999999998E-4</v>
      </c>
      <c r="H59" s="21">
        <v>7.3362999999999998E-2</v>
      </c>
      <c r="I59" s="22"/>
      <c r="J59" s="3"/>
    </row>
    <row r="60" spans="1:10" ht="12.95" customHeight="1">
      <c r="A60" s="16" t="s">
        <v>175</v>
      </c>
      <c r="B60" s="17" t="s">
        <v>176</v>
      </c>
      <c r="C60" s="13" t="s">
        <v>177</v>
      </c>
      <c r="D60" s="13" t="s">
        <v>35</v>
      </c>
      <c r="E60" s="18">
        <v>4</v>
      </c>
      <c r="F60" s="19">
        <v>42.98</v>
      </c>
      <c r="G60" s="20">
        <v>1E-4</v>
      </c>
      <c r="H60" s="21">
        <v>9.9123000000000003E-2</v>
      </c>
      <c r="I60" s="22"/>
      <c r="J60" s="3"/>
    </row>
    <row r="61" spans="1:10" ht="12.95" customHeight="1">
      <c r="A61" s="16" t="s">
        <v>178</v>
      </c>
      <c r="B61" s="17" t="s">
        <v>179</v>
      </c>
      <c r="C61" s="13" t="s">
        <v>180</v>
      </c>
      <c r="D61" s="13" t="s">
        <v>35</v>
      </c>
      <c r="E61" s="18">
        <v>4</v>
      </c>
      <c r="F61" s="19">
        <v>42.91</v>
      </c>
      <c r="G61" s="20">
        <v>1E-4</v>
      </c>
      <c r="H61" s="21">
        <v>9.83845E-2</v>
      </c>
      <c r="I61" s="22"/>
      <c r="J61" s="3"/>
    </row>
    <row r="62" spans="1:10" ht="12.95" customHeight="1">
      <c r="A62" s="16" t="s">
        <v>181</v>
      </c>
      <c r="B62" s="17" t="s">
        <v>182</v>
      </c>
      <c r="C62" s="13" t="s">
        <v>183</v>
      </c>
      <c r="D62" s="13" t="s">
        <v>35</v>
      </c>
      <c r="E62" s="18">
        <v>4</v>
      </c>
      <c r="F62" s="19">
        <v>42.9</v>
      </c>
      <c r="G62" s="20">
        <v>1E-4</v>
      </c>
      <c r="H62" s="21">
        <v>0.100285</v>
      </c>
      <c r="I62" s="22"/>
      <c r="J62" s="3"/>
    </row>
    <row r="63" spans="1:10" ht="12.95" customHeight="1">
      <c r="A63" s="16" t="s">
        <v>184</v>
      </c>
      <c r="B63" s="17" t="s">
        <v>185</v>
      </c>
      <c r="C63" s="13" t="s">
        <v>186</v>
      </c>
      <c r="D63" s="13" t="s">
        <v>35</v>
      </c>
      <c r="E63" s="18">
        <v>4</v>
      </c>
      <c r="F63" s="19">
        <v>42.89</v>
      </c>
      <c r="G63" s="20">
        <v>1E-4</v>
      </c>
      <c r="H63" s="21">
        <v>0.1017605</v>
      </c>
      <c r="I63" s="22"/>
      <c r="J63" s="3"/>
    </row>
    <row r="64" spans="1:10" ht="12.95" customHeight="1">
      <c r="A64" s="16" t="s">
        <v>187</v>
      </c>
      <c r="B64" s="17" t="s">
        <v>188</v>
      </c>
      <c r="C64" s="13" t="s">
        <v>189</v>
      </c>
      <c r="D64" s="13" t="s">
        <v>35</v>
      </c>
      <c r="E64" s="18">
        <v>4</v>
      </c>
      <c r="F64" s="19">
        <v>42.89</v>
      </c>
      <c r="G64" s="20">
        <v>1E-4</v>
      </c>
      <c r="H64" s="21">
        <v>0.1007805</v>
      </c>
      <c r="I64" s="22"/>
      <c r="J64" s="3"/>
    </row>
    <row r="65" spans="1:10" ht="12.95" customHeight="1">
      <c r="A65" s="16" t="s">
        <v>190</v>
      </c>
      <c r="B65" s="17" t="s">
        <v>191</v>
      </c>
      <c r="C65" s="13" t="s">
        <v>192</v>
      </c>
      <c r="D65" s="13" t="s">
        <v>35</v>
      </c>
      <c r="E65" s="18">
        <v>4</v>
      </c>
      <c r="F65" s="19">
        <v>42.89</v>
      </c>
      <c r="G65" s="20">
        <v>1E-4</v>
      </c>
      <c r="H65" s="21">
        <v>0.10126499999999999</v>
      </c>
      <c r="I65" s="22"/>
      <c r="J65" s="3"/>
    </row>
    <row r="66" spans="1:10" ht="12.95" customHeight="1">
      <c r="A66" s="16" t="s">
        <v>193</v>
      </c>
      <c r="B66" s="17" t="s">
        <v>194</v>
      </c>
      <c r="C66" s="13" t="s">
        <v>195</v>
      </c>
      <c r="D66" s="13" t="s">
        <v>35</v>
      </c>
      <c r="E66" s="18">
        <v>4</v>
      </c>
      <c r="F66" s="19">
        <v>42.88</v>
      </c>
      <c r="G66" s="20">
        <v>1E-4</v>
      </c>
      <c r="H66" s="21">
        <v>9.7474000000000005E-2</v>
      </c>
      <c r="I66" s="22"/>
      <c r="J66" s="3"/>
    </row>
    <row r="67" spans="1:10" ht="12.95" customHeight="1">
      <c r="A67" s="16" t="s">
        <v>196</v>
      </c>
      <c r="B67" s="17" t="s">
        <v>197</v>
      </c>
      <c r="C67" s="13" t="s">
        <v>198</v>
      </c>
      <c r="D67" s="13" t="s">
        <v>35</v>
      </c>
      <c r="E67" s="18">
        <v>4</v>
      </c>
      <c r="F67" s="19">
        <v>42.85</v>
      </c>
      <c r="G67" s="20">
        <v>1E-4</v>
      </c>
      <c r="H67" s="21">
        <v>9.6311499999999994E-2</v>
      </c>
      <c r="I67" s="22"/>
      <c r="J67" s="3"/>
    </row>
    <row r="68" spans="1:10" ht="12.95" customHeight="1">
      <c r="A68" s="16" t="s">
        <v>199</v>
      </c>
      <c r="B68" s="17" t="s">
        <v>200</v>
      </c>
      <c r="C68" s="13" t="s">
        <v>201</v>
      </c>
      <c r="D68" s="13" t="s">
        <v>35</v>
      </c>
      <c r="E68" s="18">
        <v>4</v>
      </c>
      <c r="F68" s="19">
        <v>42.79</v>
      </c>
      <c r="G68" s="20">
        <v>1E-4</v>
      </c>
      <c r="H68" s="21">
        <v>9.2666499999999999E-2</v>
      </c>
      <c r="I68" s="22"/>
      <c r="J68" s="3"/>
    </row>
    <row r="69" spans="1:10" ht="12.95" customHeight="1">
      <c r="A69" s="16" t="s">
        <v>202</v>
      </c>
      <c r="B69" s="17" t="s">
        <v>203</v>
      </c>
      <c r="C69" s="13" t="s">
        <v>204</v>
      </c>
      <c r="D69" s="13" t="s">
        <v>35</v>
      </c>
      <c r="E69" s="18">
        <v>4</v>
      </c>
      <c r="F69" s="19">
        <v>42.73</v>
      </c>
      <c r="G69" s="20">
        <v>1E-4</v>
      </c>
      <c r="H69" s="21">
        <v>9.5288499999999998E-2</v>
      </c>
      <c r="I69" s="22"/>
      <c r="J69" s="3"/>
    </row>
    <row r="70" spans="1:10" ht="12.95" customHeight="1">
      <c r="A70" s="3"/>
      <c r="B70" s="12" t="s">
        <v>20</v>
      </c>
      <c r="C70" s="13"/>
      <c r="D70" s="13"/>
      <c r="E70" s="13"/>
      <c r="F70" s="23">
        <v>164815.82999999999</v>
      </c>
      <c r="G70" s="24">
        <v>0.36070000000000002</v>
      </c>
      <c r="H70" s="25"/>
      <c r="I70" s="26"/>
      <c r="J70" s="3"/>
    </row>
    <row r="71" spans="1:10" ht="12.95" customHeight="1">
      <c r="A71" s="3"/>
      <c r="B71" s="27" t="s">
        <v>205</v>
      </c>
      <c r="C71" s="29"/>
      <c r="D71" s="29"/>
      <c r="E71" s="29"/>
      <c r="F71" s="25" t="s">
        <v>206</v>
      </c>
      <c r="G71" s="25" t="s">
        <v>206</v>
      </c>
      <c r="H71" s="25"/>
      <c r="I71" s="26"/>
      <c r="J71" s="3"/>
    </row>
    <row r="72" spans="1:10" ht="12.95" customHeight="1">
      <c r="A72" s="3"/>
      <c r="B72" s="27" t="s">
        <v>20</v>
      </c>
      <c r="C72" s="29"/>
      <c r="D72" s="29"/>
      <c r="E72" s="29"/>
      <c r="F72" s="25" t="s">
        <v>206</v>
      </c>
      <c r="G72" s="25" t="s">
        <v>206</v>
      </c>
      <c r="H72" s="25"/>
      <c r="I72" s="26"/>
      <c r="J72" s="3"/>
    </row>
    <row r="73" spans="1:10" ht="12.95" customHeight="1">
      <c r="A73" s="3"/>
      <c r="B73" s="27" t="s">
        <v>21</v>
      </c>
      <c r="C73" s="28"/>
      <c r="D73" s="29"/>
      <c r="E73" s="28"/>
      <c r="F73" s="23">
        <v>164815.82999999999</v>
      </c>
      <c r="G73" s="24">
        <v>0.36070000000000002</v>
      </c>
      <c r="H73" s="25"/>
      <c r="I73" s="26"/>
      <c r="J73" s="3"/>
    </row>
    <row r="74" spans="1:10" ht="12.95" customHeight="1">
      <c r="A74" s="3"/>
      <c r="B74" s="12" t="s">
        <v>207</v>
      </c>
      <c r="C74" s="13"/>
      <c r="D74" s="13"/>
      <c r="E74" s="13"/>
      <c r="F74" s="13"/>
      <c r="G74" s="13"/>
      <c r="H74" s="14"/>
      <c r="I74" s="15"/>
      <c r="J74" s="3"/>
    </row>
    <row r="75" spans="1:10" ht="12.95" customHeight="1">
      <c r="A75" s="3"/>
      <c r="B75" s="12" t="s">
        <v>208</v>
      </c>
      <c r="C75" s="13"/>
      <c r="D75" s="13"/>
      <c r="E75" s="13"/>
      <c r="F75" s="3"/>
      <c r="G75" s="14"/>
      <c r="H75" s="14"/>
      <c r="I75" s="15"/>
      <c r="J75" s="3"/>
    </row>
    <row r="76" spans="1:10" ht="12.95" customHeight="1">
      <c r="A76" s="16" t="s">
        <v>209</v>
      </c>
      <c r="B76" s="17" t="s">
        <v>210</v>
      </c>
      <c r="C76" s="13" t="s">
        <v>211</v>
      </c>
      <c r="D76" s="13" t="s">
        <v>212</v>
      </c>
      <c r="E76" s="18">
        <v>4000</v>
      </c>
      <c r="F76" s="19">
        <v>19287.82</v>
      </c>
      <c r="G76" s="20">
        <v>4.2200000000000001E-2</v>
      </c>
      <c r="H76" s="21">
        <v>7.2849999999999998E-2</v>
      </c>
      <c r="I76" s="22"/>
      <c r="J76" s="3"/>
    </row>
    <row r="77" spans="1:10" ht="12.95" customHeight="1">
      <c r="A77" s="16" t="s">
        <v>213</v>
      </c>
      <c r="B77" s="17" t="s">
        <v>214</v>
      </c>
      <c r="C77" s="13" t="s">
        <v>215</v>
      </c>
      <c r="D77" s="13" t="s">
        <v>216</v>
      </c>
      <c r="E77" s="18">
        <v>4000</v>
      </c>
      <c r="F77" s="19">
        <v>19110.240000000002</v>
      </c>
      <c r="G77" s="20">
        <v>4.1799999999999997E-2</v>
      </c>
      <c r="H77" s="21">
        <v>7.3250999999999997E-2</v>
      </c>
      <c r="I77" s="22"/>
      <c r="J77" s="3"/>
    </row>
    <row r="78" spans="1:10" ht="12.95" customHeight="1">
      <c r="A78" s="16" t="s">
        <v>217</v>
      </c>
      <c r="B78" s="17" t="s">
        <v>218</v>
      </c>
      <c r="C78" s="13" t="s">
        <v>219</v>
      </c>
      <c r="D78" s="13" t="s">
        <v>212</v>
      </c>
      <c r="E78" s="18">
        <v>3000</v>
      </c>
      <c r="F78" s="19">
        <v>14539.2</v>
      </c>
      <c r="G78" s="20">
        <v>3.1800000000000002E-2</v>
      </c>
      <c r="H78" s="21">
        <v>7.2301000000000004E-2</v>
      </c>
      <c r="I78" s="22"/>
      <c r="J78" s="3"/>
    </row>
    <row r="79" spans="1:10" ht="12.95" customHeight="1">
      <c r="A79" s="16" t="s">
        <v>220</v>
      </c>
      <c r="B79" s="17" t="s">
        <v>221</v>
      </c>
      <c r="C79" s="13" t="s">
        <v>222</v>
      </c>
      <c r="D79" s="13" t="s">
        <v>216</v>
      </c>
      <c r="E79" s="18">
        <v>3000</v>
      </c>
      <c r="F79" s="19">
        <v>14371.52</v>
      </c>
      <c r="G79" s="20">
        <v>3.15E-2</v>
      </c>
      <c r="H79" s="21">
        <v>7.5649999999999995E-2</v>
      </c>
      <c r="I79" s="22"/>
      <c r="J79" s="3"/>
    </row>
    <row r="80" spans="1:10" ht="12.95" customHeight="1">
      <c r="A80" s="16" t="s">
        <v>223</v>
      </c>
      <c r="B80" s="17" t="s">
        <v>224</v>
      </c>
      <c r="C80" s="13" t="s">
        <v>225</v>
      </c>
      <c r="D80" s="13" t="s">
        <v>212</v>
      </c>
      <c r="E80" s="18">
        <v>3000</v>
      </c>
      <c r="F80" s="19">
        <v>14104.14</v>
      </c>
      <c r="G80" s="20">
        <v>3.09E-2</v>
      </c>
      <c r="H80" s="21">
        <v>7.3599999999999999E-2</v>
      </c>
      <c r="I80" s="22"/>
      <c r="J80" s="3"/>
    </row>
    <row r="81" spans="1:10" ht="12.95" customHeight="1">
      <c r="A81" s="16" t="s">
        <v>226</v>
      </c>
      <c r="B81" s="17" t="s">
        <v>227</v>
      </c>
      <c r="C81" s="13" t="s">
        <v>228</v>
      </c>
      <c r="D81" s="13" t="s">
        <v>216</v>
      </c>
      <c r="E81" s="18">
        <v>2500</v>
      </c>
      <c r="F81" s="19">
        <v>12351.1</v>
      </c>
      <c r="G81" s="20">
        <v>2.7E-2</v>
      </c>
      <c r="H81" s="21">
        <v>6.7699999999999996E-2</v>
      </c>
      <c r="I81" s="22"/>
      <c r="J81" s="3"/>
    </row>
    <row r="82" spans="1:10" ht="12.95" customHeight="1">
      <c r="A82" s="16" t="s">
        <v>229</v>
      </c>
      <c r="B82" s="17" t="s">
        <v>230</v>
      </c>
      <c r="C82" s="13" t="s">
        <v>231</v>
      </c>
      <c r="D82" s="13" t="s">
        <v>232</v>
      </c>
      <c r="E82" s="18">
        <v>2500</v>
      </c>
      <c r="F82" s="19">
        <v>12105.63</v>
      </c>
      <c r="G82" s="20">
        <v>2.6499999999999999E-2</v>
      </c>
      <c r="H82" s="21">
        <v>7.2950000000000001E-2</v>
      </c>
      <c r="I82" s="22"/>
      <c r="J82" s="3"/>
    </row>
    <row r="83" spans="1:10" ht="12.95" customHeight="1">
      <c r="A83" s="16" t="s">
        <v>233</v>
      </c>
      <c r="B83" s="17" t="s">
        <v>234</v>
      </c>
      <c r="C83" s="13" t="s">
        <v>235</v>
      </c>
      <c r="D83" s="13" t="s">
        <v>232</v>
      </c>
      <c r="E83" s="18">
        <v>2500</v>
      </c>
      <c r="F83" s="19">
        <v>11766.48</v>
      </c>
      <c r="G83" s="20">
        <v>2.58E-2</v>
      </c>
      <c r="H83" s="21">
        <v>7.485E-2</v>
      </c>
      <c r="I83" s="22"/>
      <c r="J83" s="3"/>
    </row>
    <row r="84" spans="1:10" ht="12.95" customHeight="1">
      <c r="A84" s="16" t="s">
        <v>236</v>
      </c>
      <c r="B84" s="17" t="s">
        <v>237</v>
      </c>
      <c r="C84" s="13" t="s">
        <v>238</v>
      </c>
      <c r="D84" s="13" t="s">
        <v>216</v>
      </c>
      <c r="E84" s="18">
        <v>1500</v>
      </c>
      <c r="F84" s="19">
        <v>7172.9</v>
      </c>
      <c r="G84" s="20">
        <v>1.5699999999999999E-2</v>
      </c>
      <c r="H84" s="21">
        <v>7.3649999999999993E-2</v>
      </c>
      <c r="I84" s="22"/>
      <c r="J84" s="3"/>
    </row>
    <row r="85" spans="1:10" ht="12.95" customHeight="1">
      <c r="A85" s="16" t="s">
        <v>239</v>
      </c>
      <c r="B85" s="17" t="s">
        <v>240</v>
      </c>
      <c r="C85" s="13" t="s">
        <v>241</v>
      </c>
      <c r="D85" s="13" t="s">
        <v>216</v>
      </c>
      <c r="E85" s="18">
        <v>1000</v>
      </c>
      <c r="F85" s="19">
        <v>4941.3500000000004</v>
      </c>
      <c r="G85" s="20">
        <v>1.0800000000000001E-2</v>
      </c>
      <c r="H85" s="21">
        <v>6.7699499999999996E-2</v>
      </c>
      <c r="I85" s="22"/>
      <c r="J85" s="3"/>
    </row>
    <row r="86" spans="1:10" ht="12.95" customHeight="1">
      <c r="A86" s="16" t="s">
        <v>242</v>
      </c>
      <c r="B86" s="17" t="s">
        <v>243</v>
      </c>
      <c r="C86" s="13" t="s">
        <v>244</v>
      </c>
      <c r="D86" s="13" t="s">
        <v>216</v>
      </c>
      <c r="E86" s="18">
        <v>1000</v>
      </c>
      <c r="F86" s="19">
        <v>4868.09</v>
      </c>
      <c r="G86" s="20">
        <v>1.0699999999999999E-2</v>
      </c>
      <c r="H86" s="21">
        <v>7.0650000000000004E-2</v>
      </c>
      <c r="I86" s="22"/>
      <c r="J86" s="3"/>
    </row>
    <row r="87" spans="1:10" ht="12.95" customHeight="1">
      <c r="A87" s="16" t="s">
        <v>245</v>
      </c>
      <c r="B87" s="17" t="s">
        <v>246</v>
      </c>
      <c r="C87" s="13" t="s">
        <v>247</v>
      </c>
      <c r="D87" s="13" t="s">
        <v>216</v>
      </c>
      <c r="E87" s="18">
        <v>1000</v>
      </c>
      <c r="F87" s="19">
        <v>4797.28</v>
      </c>
      <c r="G87" s="20">
        <v>1.0500000000000001E-2</v>
      </c>
      <c r="H87" s="21">
        <v>7.3099999999999998E-2</v>
      </c>
      <c r="I87" s="22"/>
      <c r="J87" s="3"/>
    </row>
    <row r="88" spans="1:10" ht="12.95" customHeight="1">
      <c r="A88" s="16" t="s">
        <v>248</v>
      </c>
      <c r="B88" s="17" t="s">
        <v>249</v>
      </c>
      <c r="C88" s="13" t="s">
        <v>250</v>
      </c>
      <c r="D88" s="13" t="s">
        <v>232</v>
      </c>
      <c r="E88" s="18">
        <v>1000</v>
      </c>
      <c r="F88" s="19">
        <v>4748.28</v>
      </c>
      <c r="G88" s="20">
        <v>1.04E-2</v>
      </c>
      <c r="H88" s="21">
        <v>7.4999999999999997E-2</v>
      </c>
      <c r="I88" s="22"/>
      <c r="J88" s="3"/>
    </row>
    <row r="89" spans="1:10" ht="12.95" customHeight="1">
      <c r="A89" s="16" t="s">
        <v>251</v>
      </c>
      <c r="B89" s="17" t="s">
        <v>252</v>
      </c>
      <c r="C89" s="13" t="s">
        <v>253</v>
      </c>
      <c r="D89" s="13" t="s">
        <v>216</v>
      </c>
      <c r="E89" s="18">
        <v>1000</v>
      </c>
      <c r="F89" s="19">
        <v>4741.18</v>
      </c>
      <c r="G89" s="20">
        <v>1.04E-2</v>
      </c>
      <c r="H89" s="21">
        <v>7.4349999999999999E-2</v>
      </c>
      <c r="I89" s="22"/>
      <c r="J89" s="3"/>
    </row>
    <row r="90" spans="1:10" ht="12.95" customHeight="1">
      <c r="A90" s="16" t="s">
        <v>254</v>
      </c>
      <c r="B90" s="17" t="s">
        <v>255</v>
      </c>
      <c r="C90" s="13" t="s">
        <v>256</v>
      </c>
      <c r="D90" s="13" t="s">
        <v>232</v>
      </c>
      <c r="E90" s="18">
        <v>1000</v>
      </c>
      <c r="F90" s="19">
        <v>4730.2700000000004</v>
      </c>
      <c r="G90" s="20">
        <v>1.04E-2</v>
      </c>
      <c r="H90" s="21">
        <v>7.46E-2</v>
      </c>
      <c r="I90" s="22"/>
      <c r="J90" s="3"/>
    </row>
    <row r="91" spans="1:10" ht="12.95" customHeight="1">
      <c r="A91" s="16" t="s">
        <v>257</v>
      </c>
      <c r="B91" s="17" t="s">
        <v>258</v>
      </c>
      <c r="C91" s="13" t="s">
        <v>259</v>
      </c>
      <c r="D91" s="13" t="s">
        <v>216</v>
      </c>
      <c r="E91" s="18">
        <v>1000</v>
      </c>
      <c r="F91" s="19">
        <v>4722.0200000000004</v>
      </c>
      <c r="G91" s="20">
        <v>1.03E-2</v>
      </c>
      <c r="H91" s="21">
        <v>7.4349999999999999E-2</v>
      </c>
      <c r="I91" s="22"/>
      <c r="J91" s="3"/>
    </row>
    <row r="92" spans="1:10" ht="12.95" customHeight="1">
      <c r="A92" s="16" t="s">
        <v>260</v>
      </c>
      <c r="B92" s="17" t="s">
        <v>261</v>
      </c>
      <c r="C92" s="13" t="s">
        <v>262</v>
      </c>
      <c r="D92" s="13" t="s">
        <v>232</v>
      </c>
      <c r="E92" s="18">
        <v>1000</v>
      </c>
      <c r="F92" s="19">
        <v>4720.7299999999996</v>
      </c>
      <c r="G92" s="20">
        <v>1.03E-2</v>
      </c>
      <c r="H92" s="21">
        <v>7.5499999999999998E-2</v>
      </c>
      <c r="I92" s="22"/>
      <c r="J92" s="3"/>
    </row>
    <row r="93" spans="1:10" ht="12.95" customHeight="1">
      <c r="A93" s="16" t="s">
        <v>263</v>
      </c>
      <c r="B93" s="17" t="s">
        <v>264</v>
      </c>
      <c r="C93" s="13" t="s">
        <v>265</v>
      </c>
      <c r="D93" s="13" t="s">
        <v>216</v>
      </c>
      <c r="E93" s="18">
        <v>1000</v>
      </c>
      <c r="F93" s="19">
        <v>4719.67</v>
      </c>
      <c r="G93" s="20">
        <v>1.03E-2</v>
      </c>
      <c r="H93" s="21">
        <v>7.5015999999999999E-2</v>
      </c>
      <c r="I93" s="22"/>
      <c r="J93" s="3"/>
    </row>
    <row r="94" spans="1:10" ht="12.95" customHeight="1">
      <c r="A94" s="16" t="s">
        <v>266</v>
      </c>
      <c r="B94" s="17" t="s">
        <v>267</v>
      </c>
      <c r="C94" s="13" t="s">
        <v>268</v>
      </c>
      <c r="D94" s="13" t="s">
        <v>232</v>
      </c>
      <c r="E94" s="18">
        <v>1000</v>
      </c>
      <c r="F94" s="19">
        <v>4712.6099999999997</v>
      </c>
      <c r="G94" s="20">
        <v>1.03E-2</v>
      </c>
      <c r="H94" s="21">
        <v>7.5200000000000003E-2</v>
      </c>
      <c r="I94" s="22"/>
      <c r="J94" s="3"/>
    </row>
    <row r="95" spans="1:10" ht="12.95" customHeight="1">
      <c r="A95" s="16" t="s">
        <v>269</v>
      </c>
      <c r="B95" s="17" t="s">
        <v>270</v>
      </c>
      <c r="C95" s="13" t="s">
        <v>271</v>
      </c>
      <c r="D95" s="13" t="s">
        <v>216</v>
      </c>
      <c r="E95" s="18">
        <v>1000</v>
      </c>
      <c r="F95" s="19">
        <v>4658.1499999999996</v>
      </c>
      <c r="G95" s="20">
        <v>1.0200000000000001E-2</v>
      </c>
      <c r="H95" s="21">
        <v>7.9250000000000001E-2</v>
      </c>
      <c r="I95" s="22"/>
      <c r="J95" s="3"/>
    </row>
    <row r="96" spans="1:10" ht="12.95" customHeight="1">
      <c r="A96" s="16" t="s">
        <v>272</v>
      </c>
      <c r="B96" s="17" t="s">
        <v>273</v>
      </c>
      <c r="C96" s="13" t="s">
        <v>274</v>
      </c>
      <c r="D96" s="13" t="s">
        <v>216</v>
      </c>
      <c r="E96" s="18">
        <v>500</v>
      </c>
      <c r="F96" s="19">
        <v>2362.59</v>
      </c>
      <c r="G96" s="20">
        <v>5.1999999999999998E-3</v>
      </c>
      <c r="H96" s="21">
        <v>7.5017E-2</v>
      </c>
      <c r="I96" s="22"/>
      <c r="J96" s="3"/>
    </row>
    <row r="97" spans="1:10" ht="12.95" customHeight="1">
      <c r="A97" s="16" t="s">
        <v>275</v>
      </c>
      <c r="B97" s="17" t="s">
        <v>276</v>
      </c>
      <c r="C97" s="13" t="s">
        <v>277</v>
      </c>
      <c r="D97" s="13" t="s">
        <v>216</v>
      </c>
      <c r="E97" s="18">
        <v>500</v>
      </c>
      <c r="F97" s="19">
        <v>2360.11</v>
      </c>
      <c r="G97" s="20">
        <v>5.1999999999999998E-3</v>
      </c>
      <c r="H97" s="21">
        <v>7.46E-2</v>
      </c>
      <c r="I97" s="22"/>
      <c r="J97" s="3"/>
    </row>
    <row r="98" spans="1:10" ht="12.95" customHeight="1">
      <c r="A98" s="16" t="s">
        <v>278</v>
      </c>
      <c r="B98" s="17" t="s">
        <v>279</v>
      </c>
      <c r="C98" s="13" t="s">
        <v>280</v>
      </c>
      <c r="D98" s="13" t="s">
        <v>232</v>
      </c>
      <c r="E98" s="18">
        <v>300</v>
      </c>
      <c r="F98" s="19">
        <v>1471.44</v>
      </c>
      <c r="G98" s="20">
        <v>3.2000000000000002E-3</v>
      </c>
      <c r="H98" s="21">
        <v>7.0149000000000003E-2</v>
      </c>
      <c r="I98" s="22"/>
      <c r="J98" s="3"/>
    </row>
    <row r="99" spans="1:10" ht="12.95" customHeight="1">
      <c r="A99" s="3"/>
      <c r="B99" s="12" t="s">
        <v>20</v>
      </c>
      <c r="C99" s="13"/>
      <c r="D99" s="13"/>
      <c r="E99" s="13"/>
      <c r="F99" s="23">
        <v>183362.8</v>
      </c>
      <c r="G99" s="24">
        <v>0.40139999999999998</v>
      </c>
      <c r="H99" s="25"/>
      <c r="I99" s="26"/>
      <c r="J99" s="3"/>
    </row>
    <row r="100" spans="1:10" ht="12.95" customHeight="1">
      <c r="A100" s="3"/>
      <c r="B100" s="12" t="s">
        <v>281</v>
      </c>
      <c r="C100" s="13"/>
      <c r="D100" s="13"/>
      <c r="E100" s="13"/>
      <c r="F100" s="3"/>
      <c r="G100" s="14"/>
      <c r="H100" s="14"/>
      <c r="I100" s="15"/>
      <c r="J100" s="3"/>
    </row>
    <row r="101" spans="1:10" ht="12.95" customHeight="1">
      <c r="A101" s="16" t="s">
        <v>282</v>
      </c>
      <c r="B101" s="17" t="s">
        <v>283</v>
      </c>
      <c r="C101" s="13" t="s">
        <v>284</v>
      </c>
      <c r="D101" s="13" t="s">
        <v>216</v>
      </c>
      <c r="E101" s="18">
        <v>3000</v>
      </c>
      <c r="F101" s="19">
        <v>14839.53</v>
      </c>
      <c r="G101" s="20">
        <v>3.2500000000000001E-2</v>
      </c>
      <c r="H101" s="21">
        <v>6.6901000000000002E-2</v>
      </c>
      <c r="I101" s="22"/>
      <c r="J101" s="3"/>
    </row>
    <row r="102" spans="1:10" ht="12.95" customHeight="1">
      <c r="A102" s="16" t="s">
        <v>285</v>
      </c>
      <c r="B102" s="17" t="s">
        <v>286</v>
      </c>
      <c r="C102" s="13" t="s">
        <v>287</v>
      </c>
      <c r="D102" s="13" t="s">
        <v>216</v>
      </c>
      <c r="E102" s="18">
        <v>2500</v>
      </c>
      <c r="F102" s="19">
        <v>12141.21</v>
      </c>
      <c r="G102" s="20">
        <v>2.6599999999999999E-2</v>
      </c>
      <c r="H102" s="21">
        <v>7.7600000000000002E-2</v>
      </c>
      <c r="I102" s="22"/>
      <c r="J102" s="3"/>
    </row>
    <row r="103" spans="1:10" ht="12.95" customHeight="1">
      <c r="A103" s="16" t="s">
        <v>288</v>
      </c>
      <c r="B103" s="17" t="s">
        <v>289</v>
      </c>
      <c r="C103" s="13" t="s">
        <v>290</v>
      </c>
      <c r="D103" s="13" t="s">
        <v>232</v>
      </c>
      <c r="E103" s="18">
        <v>2000</v>
      </c>
      <c r="F103" s="19">
        <v>9736.01</v>
      </c>
      <c r="G103" s="20">
        <v>2.1299999999999999E-2</v>
      </c>
      <c r="H103" s="21">
        <v>7.1201E-2</v>
      </c>
      <c r="I103" s="22"/>
      <c r="J103" s="3"/>
    </row>
    <row r="104" spans="1:10" ht="12.95" customHeight="1">
      <c r="A104" s="16" t="s">
        <v>291</v>
      </c>
      <c r="B104" s="17" t="s">
        <v>292</v>
      </c>
      <c r="C104" s="13" t="s">
        <v>293</v>
      </c>
      <c r="D104" s="13" t="s">
        <v>216</v>
      </c>
      <c r="E104" s="18">
        <v>1600</v>
      </c>
      <c r="F104" s="19">
        <v>7799.26</v>
      </c>
      <c r="G104" s="20">
        <v>1.7100000000000001E-2</v>
      </c>
      <c r="H104" s="21">
        <v>7.8949000000000005E-2</v>
      </c>
      <c r="I104" s="22"/>
      <c r="J104" s="3"/>
    </row>
    <row r="105" spans="1:10" ht="12.95" customHeight="1">
      <c r="A105" s="16" t="s">
        <v>294</v>
      </c>
      <c r="B105" s="17" t="s">
        <v>295</v>
      </c>
      <c r="C105" s="13" t="s">
        <v>296</v>
      </c>
      <c r="D105" s="13" t="s">
        <v>216</v>
      </c>
      <c r="E105" s="18">
        <v>1500</v>
      </c>
      <c r="F105" s="19">
        <v>7301.78</v>
      </c>
      <c r="G105" s="20">
        <v>1.6E-2</v>
      </c>
      <c r="H105" s="21">
        <v>7.4499999999999997E-2</v>
      </c>
      <c r="I105" s="22"/>
      <c r="J105" s="3"/>
    </row>
    <row r="106" spans="1:10" ht="12.95" customHeight="1">
      <c r="A106" s="16" t="s">
        <v>297</v>
      </c>
      <c r="B106" s="17" t="s">
        <v>298</v>
      </c>
      <c r="C106" s="13" t="s">
        <v>299</v>
      </c>
      <c r="D106" s="13" t="s">
        <v>216</v>
      </c>
      <c r="E106" s="18">
        <v>1300</v>
      </c>
      <c r="F106" s="19">
        <v>6436.4</v>
      </c>
      <c r="G106" s="20">
        <v>1.41E-2</v>
      </c>
      <c r="H106" s="21">
        <v>7.3601E-2</v>
      </c>
      <c r="I106" s="22"/>
      <c r="J106" s="3"/>
    </row>
    <row r="107" spans="1:10" ht="12.95" customHeight="1">
      <c r="A107" s="16" t="s">
        <v>300</v>
      </c>
      <c r="B107" s="17" t="s">
        <v>301</v>
      </c>
      <c r="C107" s="13" t="s">
        <v>302</v>
      </c>
      <c r="D107" s="13" t="s">
        <v>216</v>
      </c>
      <c r="E107" s="18">
        <v>1000</v>
      </c>
      <c r="F107" s="19">
        <v>4943.57</v>
      </c>
      <c r="G107" s="20">
        <v>1.0800000000000001E-2</v>
      </c>
      <c r="H107" s="21">
        <v>7.4399999999999994E-2</v>
      </c>
      <c r="I107" s="22"/>
      <c r="J107" s="3"/>
    </row>
    <row r="108" spans="1:10" ht="12.95" customHeight="1">
      <c r="A108" s="16" t="s">
        <v>303</v>
      </c>
      <c r="B108" s="17" t="s">
        <v>304</v>
      </c>
      <c r="C108" s="13" t="s">
        <v>305</v>
      </c>
      <c r="D108" s="13" t="s">
        <v>216</v>
      </c>
      <c r="E108" s="18">
        <v>1000</v>
      </c>
      <c r="F108" s="19">
        <v>4924.74</v>
      </c>
      <c r="G108" s="20">
        <v>1.0800000000000001E-2</v>
      </c>
      <c r="H108" s="21">
        <v>7.3399000000000006E-2</v>
      </c>
      <c r="I108" s="22"/>
      <c r="J108" s="3"/>
    </row>
    <row r="109" spans="1:10" ht="12.95" customHeight="1">
      <c r="A109" s="16" t="s">
        <v>306</v>
      </c>
      <c r="B109" s="17" t="s">
        <v>307</v>
      </c>
      <c r="C109" s="13" t="s">
        <v>308</v>
      </c>
      <c r="D109" s="13" t="s">
        <v>216</v>
      </c>
      <c r="E109" s="18">
        <v>1000</v>
      </c>
      <c r="F109" s="19">
        <v>4895.7</v>
      </c>
      <c r="G109" s="20">
        <v>1.0699999999999999E-2</v>
      </c>
      <c r="H109" s="21">
        <v>7.2000999999999996E-2</v>
      </c>
      <c r="I109" s="22"/>
      <c r="J109" s="3"/>
    </row>
    <row r="110" spans="1:10" ht="12.95" customHeight="1">
      <c r="A110" s="16" t="s">
        <v>309</v>
      </c>
      <c r="B110" s="17" t="s">
        <v>310</v>
      </c>
      <c r="C110" s="13" t="s">
        <v>311</v>
      </c>
      <c r="D110" s="13" t="s">
        <v>232</v>
      </c>
      <c r="E110" s="18">
        <v>1000</v>
      </c>
      <c r="F110" s="19">
        <v>4888.74</v>
      </c>
      <c r="G110" s="20">
        <v>1.0699999999999999E-2</v>
      </c>
      <c r="H110" s="21">
        <v>7.0398000000000002E-2</v>
      </c>
      <c r="I110" s="22"/>
      <c r="J110" s="3"/>
    </row>
    <row r="111" spans="1:10" ht="12.95" customHeight="1">
      <c r="A111" s="16" t="s">
        <v>312</v>
      </c>
      <c r="B111" s="17" t="s">
        <v>313</v>
      </c>
      <c r="C111" s="13" t="s">
        <v>314</v>
      </c>
      <c r="D111" s="13" t="s">
        <v>216</v>
      </c>
      <c r="E111" s="18">
        <v>1000</v>
      </c>
      <c r="F111" s="19">
        <v>4846.47</v>
      </c>
      <c r="G111" s="20">
        <v>1.06E-2</v>
      </c>
      <c r="H111" s="21">
        <v>7.46E-2</v>
      </c>
      <c r="I111" s="22"/>
      <c r="J111" s="3"/>
    </row>
    <row r="112" spans="1:10" ht="12.95" customHeight="1">
      <c r="A112" s="16" t="s">
        <v>315</v>
      </c>
      <c r="B112" s="17" t="s">
        <v>316</v>
      </c>
      <c r="C112" s="13" t="s">
        <v>317</v>
      </c>
      <c r="D112" s="13" t="s">
        <v>216</v>
      </c>
      <c r="E112" s="18">
        <v>1000</v>
      </c>
      <c r="F112" s="19">
        <v>4701.2700000000004</v>
      </c>
      <c r="G112" s="20">
        <v>1.03E-2</v>
      </c>
      <c r="H112" s="21">
        <v>7.6799999999999993E-2</v>
      </c>
      <c r="I112" s="22"/>
      <c r="J112" s="3"/>
    </row>
    <row r="113" spans="1:10" ht="12.95" customHeight="1">
      <c r="A113" s="16" t="s">
        <v>318</v>
      </c>
      <c r="B113" s="17" t="s">
        <v>319</v>
      </c>
      <c r="C113" s="13" t="s">
        <v>320</v>
      </c>
      <c r="D113" s="13" t="s">
        <v>321</v>
      </c>
      <c r="E113" s="18">
        <v>500</v>
      </c>
      <c r="F113" s="19">
        <v>2351.1</v>
      </c>
      <c r="G113" s="20">
        <v>5.1000000000000004E-3</v>
      </c>
      <c r="H113" s="21">
        <v>7.6799999999999993E-2</v>
      </c>
      <c r="I113" s="22"/>
      <c r="J113" s="3"/>
    </row>
    <row r="114" spans="1:10" ht="12.95" customHeight="1">
      <c r="A114" s="3"/>
      <c r="B114" s="12" t="s">
        <v>20</v>
      </c>
      <c r="C114" s="13"/>
      <c r="D114" s="13"/>
      <c r="E114" s="13"/>
      <c r="F114" s="23">
        <v>89805.78</v>
      </c>
      <c r="G114" s="24">
        <v>0.1966</v>
      </c>
      <c r="H114" s="25"/>
      <c r="I114" s="26"/>
      <c r="J114" s="3"/>
    </row>
    <row r="115" spans="1:10" ht="12.95" customHeight="1">
      <c r="A115" s="3"/>
      <c r="B115" s="12" t="s">
        <v>322</v>
      </c>
      <c r="C115" s="13"/>
      <c r="D115" s="13"/>
      <c r="E115" s="13"/>
      <c r="F115" s="3"/>
      <c r="G115" s="14"/>
      <c r="H115" s="14"/>
      <c r="I115" s="15"/>
      <c r="J115" s="3"/>
    </row>
    <row r="116" spans="1:10" ht="12.95" customHeight="1">
      <c r="A116" s="16" t="s">
        <v>323</v>
      </c>
      <c r="B116" s="17" t="s">
        <v>324</v>
      </c>
      <c r="C116" s="13" t="s">
        <v>325</v>
      </c>
      <c r="D116" s="13" t="s">
        <v>31</v>
      </c>
      <c r="E116" s="18">
        <v>10000000</v>
      </c>
      <c r="F116" s="19">
        <v>9825.42</v>
      </c>
      <c r="G116" s="20">
        <v>2.1499999999999998E-2</v>
      </c>
      <c r="H116" s="21">
        <v>6.4855999999999997E-2</v>
      </c>
      <c r="I116" s="22"/>
      <c r="J116" s="3"/>
    </row>
    <row r="117" spans="1:10" ht="12.95" customHeight="1">
      <c r="A117" s="16" t="s">
        <v>326</v>
      </c>
      <c r="B117" s="17" t="s">
        <v>327</v>
      </c>
      <c r="C117" s="13" t="s">
        <v>328</v>
      </c>
      <c r="D117" s="13" t="s">
        <v>31</v>
      </c>
      <c r="E117" s="18">
        <v>3000000</v>
      </c>
      <c r="F117" s="19">
        <v>2981.44</v>
      </c>
      <c r="G117" s="20">
        <v>6.4999999999999997E-3</v>
      </c>
      <c r="H117" s="21">
        <v>6.1404E-2</v>
      </c>
      <c r="I117" s="22"/>
      <c r="J117" s="3"/>
    </row>
    <row r="118" spans="1:10" ht="12.95" customHeight="1">
      <c r="A118" s="16" t="s">
        <v>329</v>
      </c>
      <c r="B118" s="17" t="s">
        <v>330</v>
      </c>
      <c r="C118" s="13" t="s">
        <v>331</v>
      </c>
      <c r="D118" s="13" t="s">
        <v>31</v>
      </c>
      <c r="E118" s="18">
        <v>177100</v>
      </c>
      <c r="F118" s="19">
        <v>174.91</v>
      </c>
      <c r="G118" s="20">
        <v>4.0000000000000002E-4</v>
      </c>
      <c r="H118" s="21">
        <v>6.3500000000000001E-2</v>
      </c>
      <c r="I118" s="22"/>
      <c r="J118" s="3"/>
    </row>
    <row r="119" spans="1:10" ht="12.95" customHeight="1">
      <c r="A119" s="3"/>
      <c r="B119" s="12" t="s">
        <v>20</v>
      </c>
      <c r="C119" s="13"/>
      <c r="D119" s="13"/>
      <c r="E119" s="13"/>
      <c r="F119" s="23">
        <v>12981.77</v>
      </c>
      <c r="G119" s="24">
        <v>2.8400000000000002E-2</v>
      </c>
      <c r="H119" s="25"/>
      <c r="I119" s="26"/>
      <c r="J119" s="3"/>
    </row>
    <row r="120" spans="1:10" ht="12.95" customHeight="1">
      <c r="A120" s="3"/>
      <c r="B120" s="27" t="s">
        <v>21</v>
      </c>
      <c r="C120" s="28"/>
      <c r="D120" s="29"/>
      <c r="E120" s="28"/>
      <c r="F120" s="23">
        <v>286150.34999999998</v>
      </c>
      <c r="G120" s="24">
        <v>0.62639999999999996</v>
      </c>
      <c r="H120" s="25"/>
      <c r="I120" s="26"/>
      <c r="J120" s="3"/>
    </row>
    <row r="121" spans="1:10" ht="12.95" customHeight="1">
      <c r="A121" s="3"/>
      <c r="B121" s="12" t="s">
        <v>332</v>
      </c>
      <c r="C121" s="13"/>
      <c r="D121" s="13"/>
      <c r="E121" s="13"/>
      <c r="F121" s="13"/>
      <c r="G121" s="13"/>
      <c r="H121" s="14"/>
      <c r="I121" s="15"/>
      <c r="J121" s="3"/>
    </row>
    <row r="122" spans="1:10" ht="12.95" customHeight="1">
      <c r="A122" s="16" t="s">
        <v>333</v>
      </c>
      <c r="B122" s="17" t="s">
        <v>334</v>
      </c>
      <c r="C122" s="13"/>
      <c r="D122" s="13"/>
      <c r="E122" s="18"/>
      <c r="F122" s="19">
        <v>2418.33</v>
      </c>
      <c r="G122" s="20">
        <v>5.3E-3</v>
      </c>
      <c r="H122" s="21">
        <v>6.138439406897326E-2</v>
      </c>
      <c r="I122" s="22"/>
      <c r="J122" s="3"/>
    </row>
    <row r="123" spans="1:10" ht="12.95" customHeight="1">
      <c r="A123" s="3"/>
      <c r="B123" s="12" t="s">
        <v>20</v>
      </c>
      <c r="C123" s="13"/>
      <c r="D123" s="13"/>
      <c r="E123" s="13"/>
      <c r="F123" s="23">
        <v>2418.33</v>
      </c>
      <c r="G123" s="24">
        <v>5.3E-3</v>
      </c>
      <c r="H123" s="25"/>
      <c r="I123" s="26"/>
      <c r="J123" s="3"/>
    </row>
    <row r="124" spans="1:10" ht="12.95" customHeight="1">
      <c r="A124" s="3"/>
      <c r="B124" s="27" t="s">
        <v>205</v>
      </c>
      <c r="C124" s="29"/>
      <c r="D124" s="29"/>
      <c r="E124" s="29"/>
      <c r="F124" s="25" t="s">
        <v>206</v>
      </c>
      <c r="G124" s="25" t="s">
        <v>206</v>
      </c>
      <c r="H124" s="25"/>
      <c r="I124" s="26"/>
      <c r="J124" s="3"/>
    </row>
    <row r="125" spans="1:10" ht="12.95" customHeight="1">
      <c r="A125" s="3"/>
      <c r="B125" s="27" t="s">
        <v>20</v>
      </c>
      <c r="C125" s="29"/>
      <c r="D125" s="29"/>
      <c r="E125" s="29"/>
      <c r="F125" s="25" t="s">
        <v>206</v>
      </c>
      <c r="G125" s="25" t="s">
        <v>206</v>
      </c>
      <c r="H125" s="25"/>
      <c r="I125" s="26"/>
      <c r="J125" s="3"/>
    </row>
    <row r="126" spans="1:10" ht="12.95" customHeight="1">
      <c r="A126" s="3"/>
      <c r="B126" s="27" t="s">
        <v>21</v>
      </c>
      <c r="C126" s="28"/>
      <c r="D126" s="29"/>
      <c r="E126" s="28"/>
      <c r="F126" s="23">
        <v>2418.33</v>
      </c>
      <c r="G126" s="24">
        <v>5.3E-3</v>
      </c>
      <c r="H126" s="25"/>
      <c r="I126" s="26"/>
      <c r="J126" s="3"/>
    </row>
    <row r="127" spans="1:10" ht="12.95" customHeight="1">
      <c r="A127" s="3"/>
      <c r="B127" s="27" t="s">
        <v>335</v>
      </c>
      <c r="C127" s="13"/>
      <c r="D127" s="29"/>
      <c r="E127" s="13"/>
      <c r="F127" s="30">
        <v>3477.39</v>
      </c>
      <c r="G127" s="24">
        <v>7.6E-3</v>
      </c>
      <c r="H127" s="25"/>
      <c r="I127" s="26"/>
      <c r="J127" s="3"/>
    </row>
    <row r="128" spans="1:10" ht="12.95" customHeight="1" thickBot="1">
      <c r="A128" s="3"/>
      <c r="B128" s="31" t="s">
        <v>336</v>
      </c>
      <c r="C128" s="32"/>
      <c r="D128" s="32"/>
      <c r="E128" s="32"/>
      <c r="F128" s="33">
        <v>456855.13</v>
      </c>
      <c r="G128" s="34">
        <v>1</v>
      </c>
      <c r="H128" s="35"/>
      <c r="I128" s="36"/>
      <c r="J128" s="3"/>
    </row>
    <row r="129" spans="1:10" ht="12.95" customHeight="1">
      <c r="A129" s="3"/>
      <c r="B129" s="5"/>
      <c r="C129" s="3"/>
      <c r="D129" s="3"/>
      <c r="E129" s="3"/>
      <c r="F129" s="3"/>
      <c r="G129" s="3"/>
      <c r="H129" s="3"/>
      <c r="I129" s="3"/>
      <c r="J129" s="3"/>
    </row>
    <row r="130" spans="1:10" ht="12.95" customHeight="1">
      <c r="A130" s="3"/>
      <c r="B130" s="2" t="s">
        <v>337</v>
      </c>
      <c r="C130" s="3"/>
      <c r="D130" s="3"/>
      <c r="E130" s="3"/>
      <c r="F130" s="3"/>
      <c r="G130" s="3"/>
      <c r="H130" s="3"/>
      <c r="I130" s="3"/>
      <c r="J130" s="3"/>
    </row>
    <row r="131" spans="1:10" ht="12.95" customHeight="1">
      <c r="A131" s="3"/>
      <c r="B131" s="2" t="s">
        <v>338</v>
      </c>
      <c r="C131" s="3"/>
      <c r="D131" s="3"/>
      <c r="E131" s="3"/>
      <c r="F131" s="3"/>
      <c r="G131" s="3"/>
      <c r="H131" s="3"/>
      <c r="I131" s="3"/>
      <c r="J131" s="3"/>
    </row>
    <row r="132" spans="1:10" ht="12.95" customHeight="1">
      <c r="A132" s="3"/>
      <c r="B132" s="2" t="s">
        <v>339</v>
      </c>
      <c r="C132" s="3"/>
      <c r="D132" s="3"/>
      <c r="E132" s="3"/>
      <c r="F132" s="3"/>
      <c r="G132" s="3"/>
      <c r="H132" s="3"/>
      <c r="I132" s="3"/>
      <c r="J132" s="3"/>
    </row>
    <row r="133" spans="1:10" ht="12.95" customHeight="1">
      <c r="A133" s="3"/>
      <c r="B133" s="2" t="s">
        <v>340</v>
      </c>
      <c r="C133" s="3"/>
      <c r="D133" s="3"/>
      <c r="E133" s="3"/>
      <c r="F133" s="3"/>
      <c r="G133" s="3"/>
      <c r="H133" s="3"/>
      <c r="I133" s="3"/>
      <c r="J133" s="3"/>
    </row>
    <row r="134" spans="1:10" ht="28.9" customHeight="1">
      <c r="A134" s="3"/>
      <c r="B134" s="37" t="s">
        <v>341</v>
      </c>
      <c r="C134" s="37"/>
      <c r="D134" s="37"/>
      <c r="E134" s="37"/>
      <c r="F134" s="37"/>
      <c r="G134" s="37"/>
      <c r="H134" s="37"/>
      <c r="I134" s="3"/>
      <c r="J134" s="3"/>
    </row>
    <row r="135" spans="1:10" ht="12.95" customHeight="1">
      <c r="A135" s="3"/>
      <c r="B135" s="2"/>
      <c r="C135" s="3"/>
      <c r="D135" s="3"/>
      <c r="E135" s="3"/>
      <c r="F135" s="3"/>
      <c r="G135" s="3"/>
      <c r="H135" s="3"/>
      <c r="I135" s="3"/>
      <c r="J135" s="3"/>
    </row>
    <row r="137" spans="1:10" s="38" customFormat="1">
      <c r="C137" s="39" t="s">
        <v>342</v>
      </c>
    </row>
    <row r="138" spans="1:10" s="38" customFormat="1">
      <c r="B138" s="39" t="s">
        <v>343</v>
      </c>
      <c r="C138" s="39" t="s">
        <v>344</v>
      </c>
    </row>
    <row r="139" spans="1:10" s="38" customFormat="1" ht="14.25"/>
    <row r="140" spans="1:10" s="38" customFormat="1" ht="14.25"/>
    <row r="141" spans="1:10" s="38" customFormat="1" ht="14.25"/>
    <row r="142" spans="1:10" s="38" customFormat="1" ht="14.25"/>
    <row r="143" spans="1:10" s="38" customFormat="1" ht="14.25"/>
    <row r="144" spans="1:10" s="38" customFormat="1" ht="14.25"/>
    <row r="145" s="38" customFormat="1" ht="14.25"/>
    <row r="146" s="38" customFormat="1" ht="14.25"/>
    <row r="147" s="38" customFormat="1" ht="14.25"/>
    <row r="148" s="38" customFormat="1" ht="14.25"/>
    <row r="149" s="38" customFormat="1" ht="14.25"/>
  </sheetData>
  <mergeCells count="1">
    <mergeCell ref="B134:H134"/>
  </mergeCells>
  <hyperlinks>
    <hyperlink ref="A1" location="Index!A1" display="Index!A1" xr:uid="{B84FEFF6-F26A-486F-9688-5157C6CE8D4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AXISTAA</vt:lpstr>
      <vt:lpstr>JR_PAGE_ANCHOR_0_56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2022-11-07T07:39:37Z</dcterms:created>
  <dcterms:modified xsi:type="dcterms:W3CDTF">2022-11-07T07:39:38Z</dcterms:modified>
</cp:coreProperties>
</file>