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codeName="ThisWorkbook" defaultThemeVersion="166925"/>
  <xr:revisionPtr revIDLastSave="0" documentId="13_ncr:1_{BF891C85-E0EF-40A4-88DC-C0E48EC99E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" sheetId="1" r:id="rId1"/>
    <sheet name="AXIS112" sheetId="2" r:id="rId2"/>
    <sheet name="AXIS113" sheetId="3" r:id="rId3"/>
    <sheet name="AXISASD" sheetId="4" r:id="rId4"/>
    <sheet name="AXISBCF" sheetId="5" r:id="rId5"/>
    <sheet name="AXISBDF" sheetId="6" r:id="rId6"/>
    <sheet name="AXISBETF" sheetId="7" r:id="rId7"/>
    <sheet name="AXISBTF" sheetId="8" r:id="rId8"/>
    <sheet name="AXISCETF" sheetId="9" r:id="rId9"/>
    <sheet name="AXISCGF" sheetId="10" r:id="rId10"/>
    <sheet name="AXISCIB" sheetId="11" r:id="rId11"/>
    <sheet name="AXISCIG" sheetId="12" r:id="rId12"/>
    <sheet name="AXISCOF" sheetId="13" r:id="rId13"/>
    <sheet name="AXISCPSE" sheetId="14" r:id="rId14"/>
    <sheet name="AXISCSDL" sheetId="15" r:id="rId15"/>
    <sheet name="AXISDBF" sheetId="16" r:id="rId16"/>
    <sheet name="AXISDEF" sheetId="17" r:id="rId17"/>
    <sheet name="AXISEAF" sheetId="18" r:id="rId18"/>
    <sheet name="AXISEFOF" sheetId="19" r:id="rId19"/>
    <sheet name="AXISEHF" sheetId="20" r:id="rId20"/>
    <sheet name="AXISEQF" sheetId="21" r:id="rId21"/>
    <sheet name="AXISESF" sheetId="22" r:id="rId22"/>
    <sheet name="AXISESG" sheetId="23" r:id="rId23"/>
    <sheet name="AXISETS" sheetId="24" r:id="rId24"/>
    <sheet name="AXISF25" sheetId="25" r:id="rId25"/>
    <sheet name="AXISFLO" sheetId="26" r:id="rId26"/>
    <sheet name="AXISGCE" sheetId="27" r:id="rId27"/>
    <sheet name="AXISGEA" sheetId="28" r:id="rId28"/>
    <sheet name="AXISGETF" sheetId="29" r:id="rId29"/>
    <sheet name="AXISGIF" sheetId="30" r:id="rId30"/>
    <sheet name="AXISGLD" sheetId="31" r:id="rId31"/>
    <sheet name="AXISGOF" sheetId="32" r:id="rId32"/>
    <sheet name="AXISHETF" sheetId="33" r:id="rId33"/>
    <sheet name="AXISIFD" sheetId="34" r:id="rId34"/>
    <sheet name="AXISIOF" sheetId="35" r:id="rId35"/>
    <sheet name="AXISISF" sheetId="36" r:id="rId36"/>
    <sheet name="AXISLDF" sheetId="37" r:id="rId37"/>
    <sheet name="AXISLFA" sheetId="38" r:id="rId38"/>
    <sheet name="AXISM10" sheetId="39" r:id="rId39"/>
    <sheet name="AXISMCF" sheetId="40" r:id="rId40"/>
    <sheet name="AXISMLC" sheetId="41" r:id="rId41"/>
    <sheet name="AXISMLF" sheetId="42" r:id="rId42"/>
    <sheet name="AXISMMF" sheetId="43" r:id="rId43"/>
    <sheet name="AXISN50" sheetId="44" r:id="rId44"/>
    <sheet name="AXISNETF" sheetId="45" r:id="rId45"/>
    <sheet name="AXISNFOF" sheetId="46" r:id="rId46"/>
    <sheet name="AXISNIF" sheetId="47" r:id="rId47"/>
    <sheet name="AXISNIT" sheetId="48" r:id="rId48"/>
    <sheet name="AXISNM50" sheetId="49" r:id="rId49"/>
    <sheet name="AXISNNF" sheetId="50" r:id="rId50"/>
    <sheet name="AXISNS50" sheetId="51" r:id="rId51"/>
    <sheet name="AXISONF" sheetId="52" r:id="rId52"/>
    <sheet name="AXISQUA" sheetId="53" r:id="rId53"/>
    <sheet name="AXISRAP" sheetId="54" r:id="rId54"/>
    <sheet name="AXISRCP" sheetId="55" r:id="rId55"/>
    <sheet name="AXISRDP" sheetId="56" r:id="rId56"/>
    <sheet name="AXISSCF" sheetId="57" r:id="rId57"/>
    <sheet name="AXISSDI" sheetId="58" r:id="rId58"/>
    <sheet name="AXISSDL" sheetId="59" r:id="rId59"/>
    <sheet name="AXISSETF" sheetId="60" r:id="rId60"/>
    <sheet name="AXISSIL" sheetId="61" r:id="rId61"/>
    <sheet name="AXISSSF" sheetId="62" r:id="rId62"/>
    <sheet name="AXISSTF" sheetId="63" r:id="rId63"/>
    <sheet name="AXISTAA" sheetId="64" r:id="rId64"/>
    <sheet name="AXISTAF" sheetId="65" r:id="rId65"/>
    <sheet name="AXISTETF" sheetId="66" r:id="rId66"/>
    <sheet name="AXISTSF" sheetId="67" r:id="rId67"/>
    <sheet name="AXISUSF" sheetId="68" r:id="rId68"/>
    <sheet name="AXISVAL" sheetId="69" r:id="rId69"/>
  </sheets>
  <definedNames>
    <definedName name="_xlnm._FilterDatabase" localSheetId="22" hidden="1">AXISESG!$A$6:$K$94</definedName>
    <definedName name="AxisAllSeasonsDebtFundofFunds">Index!$B$4</definedName>
    <definedName name="AxisArbitrageFund">Index!$B$18</definedName>
    <definedName name="AxisBalancedAdvantageFund">Index!$B$17</definedName>
    <definedName name="AxisBankingPSUDebtFund">Index!$B$6</definedName>
    <definedName name="AxisBluechipFund">Index!$B$21</definedName>
    <definedName name="AxisBusinessCyclesFund">Index!$B$5</definedName>
    <definedName name="AxisChildrensGiftFund">Index!$B$10</definedName>
    <definedName name="AxisCorporateDebtFund">Index!$B$13</definedName>
    <definedName name="AxisCreditRiskFund">Index!$B$35</definedName>
    <definedName name="AxisCRISILIBX5050GiltPlusSDLJune2028IndexFund">Index!$B$11</definedName>
    <definedName name="AxisCRISILIBX5050GiltPlusSDLSep2027IndexFund">Index!$B$12</definedName>
    <definedName name="AxisCRISILIBX7030CPSEPlusSDLApr2025IndexFund">Index!$B$14</definedName>
    <definedName name="AxisCRISILIBXSDLMay2027IndexFund">Index!$B$15</definedName>
    <definedName name="AxisDynamicBondFund">Index!$B$16</definedName>
    <definedName name="AxisEquityETFsFoF">Index!$B$19</definedName>
    <definedName name="AxisEquityHybridFund">Index!$B$20</definedName>
    <definedName name="AxisEquitySaverFund">Index!$B$22</definedName>
    <definedName name="AxisESGEquityFund">Index!$B$23</definedName>
    <definedName name="AxisFixedTermPlanSeries1121143Days">Index!$B$2</definedName>
    <definedName name="AxisFixedTermPlanSeries1131228Days">Index!$B$3</definedName>
    <definedName name="AxisFlexiCapFund">Index!$B$42</definedName>
    <definedName name="AxisFloaterFund">Index!$B$26</definedName>
    <definedName name="AxisFocused25Fund">Index!$B$25</definedName>
    <definedName name="AxisGiltFund">Index!$B$39</definedName>
    <definedName name="AxisGlobalEquityAlphaFundofFund">Index!$B$28</definedName>
    <definedName name="AxisGlobalInnovationFundofFund">Index!$B$30</definedName>
    <definedName name="AxisGoldETF">Index!$B$29</definedName>
    <definedName name="AxisGoldFund">Index!$B$31</definedName>
    <definedName name="AxisGreaterChinaEquityFundofFund">Index!$B$27</definedName>
    <definedName name="AxisGrowthOpportunitiesFund">Index!$B$32</definedName>
    <definedName name="AxisLiquidFund">Index!$B$38</definedName>
    <definedName name="AxisLongDurationFund">Index!$B$37</definedName>
    <definedName name="AxisLongTermEquityFund">Index!$B$67</definedName>
    <definedName name="AxisMidcapFund">Index!$B$40</definedName>
    <definedName name="AxisMoneyMarketFund">Index!$B$43</definedName>
    <definedName name="AxisMultiAssetAllocationFund">Index!$B$65</definedName>
    <definedName name="AxisMulticapFund">Index!$B$41</definedName>
    <definedName name="AxisNASDAQ100FundofFund">Index!$B$46</definedName>
    <definedName name="AxisNifty100IndexFund">Index!$B$47</definedName>
    <definedName name="AxisNIFTY50ETF">Index!$B$45</definedName>
    <definedName name="AxisNifty50IndexFund">Index!$B$44</definedName>
    <definedName name="AxisNiftyAAABondPlusSDLApr20265050ETF">Index!$B$60</definedName>
    <definedName name="AxisNiftyAAABondPlusSDLApr20265050ETFFOF">Index!$B$59</definedName>
    <definedName name="AxisNIFTYBankETF">Index!$B$7</definedName>
    <definedName name="AxisNIFTYHealthcareETF">Index!$B$33</definedName>
    <definedName name="AxisNIFTYIndiaConsumptionETF">Index!$B$9</definedName>
    <definedName name="AxisNIFTYITETF">Index!$B$66</definedName>
    <definedName name="AxisNiftyITIndexFund">Index!$B$48</definedName>
    <definedName name="AXISNIFTYMIDCAP50INDEXFUND">Index!$B$49</definedName>
    <definedName name="AxisNiftyNext50IndexFund">Index!$B$50</definedName>
    <definedName name="AxisNIFTYSDLSeptember2026DebtIndexFund">Index!$B$58</definedName>
    <definedName name="AXISNIFTYSMALLCAP50INDEXFUND">Index!$B$51</definedName>
    <definedName name="AxisOvernightFund">Index!$B$52</definedName>
    <definedName name="AxisQuantFund">Index!$B$53</definedName>
    <definedName name="AxisRegularSaverFund">Index!$B$36</definedName>
    <definedName name="AxisRetirementSavingsFundAggressivePlan">Index!$B$54</definedName>
    <definedName name="AxisRetirementSavingsFundConservativePlan">Index!$B$55</definedName>
    <definedName name="AxisRetirementSavingsFundDynamicPlan">Index!$B$56</definedName>
    <definedName name="AxisShortTermFund">Index!$B$63</definedName>
    <definedName name="AxisSilverETF">Index!$B$24</definedName>
    <definedName name="AxisSilverFundofFund">Index!$B$61</definedName>
    <definedName name="AxisSmallCapFund">Index!$B$57</definedName>
    <definedName name="AxisSPBSESENSEXETF">Index!$B$8</definedName>
    <definedName name="AxisSpecialSituationsFund">Index!$B$62</definedName>
    <definedName name="AxisStrategicBondFund">Index!$B$34</definedName>
    <definedName name="AxisTreasuryAdvantageFund">Index!$B$64</definedName>
    <definedName name="AxisUltraShortTermFund">Index!$B$68</definedName>
    <definedName name="AxisValueFund">Index!$B$69</definedName>
    <definedName name="Index">AXISVAL!$B$1</definedName>
    <definedName name="JR_PAGE_ANCHOR_0_1">Index!$A$1</definedName>
    <definedName name="JR_PAGE_ANCHOR_0_10">AXISCGF!$A$1</definedName>
    <definedName name="JR_PAGE_ANCHOR_0_11">AXISCIB!$A$1</definedName>
    <definedName name="JR_PAGE_ANCHOR_0_12">AXISCIG!$A$1</definedName>
    <definedName name="JR_PAGE_ANCHOR_0_13">AXISCOF!$A$1</definedName>
    <definedName name="JR_PAGE_ANCHOR_0_14">AXISCPSE!$A$1</definedName>
    <definedName name="JR_PAGE_ANCHOR_0_15">AXISCSDL!$A$1</definedName>
    <definedName name="JR_PAGE_ANCHOR_0_16">AXISDBF!$A$1</definedName>
    <definedName name="JR_PAGE_ANCHOR_0_17">AXISDEF!$A$1</definedName>
    <definedName name="JR_PAGE_ANCHOR_0_18">AXISEAF!$A$1</definedName>
    <definedName name="JR_PAGE_ANCHOR_0_19">AXISEFOF!$A$1</definedName>
    <definedName name="JR_PAGE_ANCHOR_0_2">AXIS112!$A$1</definedName>
    <definedName name="JR_PAGE_ANCHOR_0_20">AXISEHF!$A$1</definedName>
    <definedName name="JR_PAGE_ANCHOR_0_21">AXISEQF!$A$1</definedName>
    <definedName name="JR_PAGE_ANCHOR_0_22">AXISESF!$A$1</definedName>
    <definedName name="JR_PAGE_ANCHOR_0_23">AXISESG!$A$1</definedName>
    <definedName name="JR_PAGE_ANCHOR_0_24">AXISETS!$A$1</definedName>
    <definedName name="JR_PAGE_ANCHOR_0_25">AXISF25!$A$1</definedName>
    <definedName name="JR_PAGE_ANCHOR_0_26">AXISFLO!$A$1</definedName>
    <definedName name="JR_PAGE_ANCHOR_0_27">AXISGCE!$A$1</definedName>
    <definedName name="JR_PAGE_ANCHOR_0_28">AXISGEA!$A$1</definedName>
    <definedName name="JR_PAGE_ANCHOR_0_29">AXISGETF!$A$1</definedName>
    <definedName name="JR_PAGE_ANCHOR_0_3">AXIS113!$A$1</definedName>
    <definedName name="JR_PAGE_ANCHOR_0_30">AXISGIF!$A$1</definedName>
    <definedName name="JR_PAGE_ANCHOR_0_31">AXISGLD!$A$1</definedName>
    <definedName name="JR_PAGE_ANCHOR_0_32">AXISGOF!$A$1</definedName>
    <definedName name="JR_PAGE_ANCHOR_0_33">AXISHETF!$A$1</definedName>
    <definedName name="JR_PAGE_ANCHOR_0_34">AXISIFD!$A$1</definedName>
    <definedName name="JR_PAGE_ANCHOR_0_35">AXISIOF!$A$1</definedName>
    <definedName name="JR_PAGE_ANCHOR_0_36">AXISISF!$A$1</definedName>
    <definedName name="JR_PAGE_ANCHOR_0_37">AXISLDF!$A$1</definedName>
    <definedName name="JR_PAGE_ANCHOR_0_38">AXISLFA!$A$1</definedName>
    <definedName name="JR_PAGE_ANCHOR_0_39">AXISM10!$A$1</definedName>
    <definedName name="JR_PAGE_ANCHOR_0_4">AXISASD!$A$1</definedName>
    <definedName name="JR_PAGE_ANCHOR_0_40">AXISMCF!$A$1</definedName>
    <definedName name="JR_PAGE_ANCHOR_0_41">AXISMLC!$A$1</definedName>
    <definedName name="JR_PAGE_ANCHOR_0_42">AXISMLF!$A$1</definedName>
    <definedName name="JR_PAGE_ANCHOR_0_43">AXISMMF!$A$1</definedName>
    <definedName name="JR_PAGE_ANCHOR_0_44">AXISN50!$A$1</definedName>
    <definedName name="JR_PAGE_ANCHOR_0_45">AXISNETF!$A$1</definedName>
    <definedName name="JR_PAGE_ANCHOR_0_46">AXISNFOF!$A$1</definedName>
    <definedName name="JR_PAGE_ANCHOR_0_47">AXISNIF!$A$1</definedName>
    <definedName name="JR_PAGE_ANCHOR_0_48">AXISNIT!$A$1</definedName>
    <definedName name="JR_PAGE_ANCHOR_0_49">AXISNM50!$A$1</definedName>
    <definedName name="JR_PAGE_ANCHOR_0_5">AXISBCF!$A$1</definedName>
    <definedName name="JR_PAGE_ANCHOR_0_50">AXISNNF!$A$1</definedName>
    <definedName name="JR_PAGE_ANCHOR_0_51">AXISNS50!$A$1</definedName>
    <definedName name="JR_PAGE_ANCHOR_0_52">AXISONF!$A$1</definedName>
    <definedName name="JR_PAGE_ANCHOR_0_53">AXISQUA!$A$1</definedName>
    <definedName name="JR_PAGE_ANCHOR_0_54">AXISRAP!$A$1</definedName>
    <definedName name="JR_PAGE_ANCHOR_0_55">AXISRCP!$A$1</definedName>
    <definedName name="JR_PAGE_ANCHOR_0_56">AXISRDP!$A$1</definedName>
    <definedName name="JR_PAGE_ANCHOR_0_57">AXISSCF!$A$1</definedName>
    <definedName name="JR_PAGE_ANCHOR_0_58">AXISSDI!$A$1</definedName>
    <definedName name="JR_PAGE_ANCHOR_0_59">AXISSDL!$A$1</definedName>
    <definedName name="JR_PAGE_ANCHOR_0_6">AXISBDF!$A$1</definedName>
    <definedName name="JR_PAGE_ANCHOR_0_60">AXISSETF!$A$1</definedName>
    <definedName name="JR_PAGE_ANCHOR_0_61">AXISSIL!$A$1</definedName>
    <definedName name="JR_PAGE_ANCHOR_0_62">AXISSSF!$A$1</definedName>
    <definedName name="JR_PAGE_ANCHOR_0_63">AXISSTF!$A$1</definedName>
    <definedName name="JR_PAGE_ANCHOR_0_64">AXISTAA!$A$1</definedName>
    <definedName name="JR_PAGE_ANCHOR_0_65">AXISTAF!$A$1</definedName>
    <definedName name="JR_PAGE_ANCHOR_0_66">AXISTETF!$A$1</definedName>
    <definedName name="JR_PAGE_ANCHOR_0_67">AXISTSF!$A$1</definedName>
    <definedName name="JR_PAGE_ANCHOR_0_68">AXISUSF!$A$1</definedName>
    <definedName name="JR_PAGE_ANCHOR_0_69">AXISVAL!$A$1</definedName>
    <definedName name="JR_PAGE_ANCHOR_0_7">AXISBETF!$A$1</definedName>
    <definedName name="JR_PAGE_ANCHOR_0_8">AXISBTF!$A$1</definedName>
    <definedName name="JR_PAGE_ANCHOR_0_9">AXISCETF!$A$1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63" l="1"/>
  <c r="F26" i="63" s="1"/>
</calcChain>
</file>

<file path=xl/sharedStrings.xml><?xml version="1.0" encoding="utf-8"?>
<sst xmlns="http://schemas.openxmlformats.org/spreadsheetml/2006/main" count="15778" uniqueCount="4321">
  <si>
    <t>Sr No.</t>
  </si>
  <si>
    <t>Short Name</t>
  </si>
  <si>
    <t>Scheme Name</t>
  </si>
  <si>
    <t>AXIS112</t>
  </si>
  <si>
    <t>Axis Fixed Term Plan - Series 112 (1143 Days)</t>
  </si>
  <si>
    <t>AXIS113</t>
  </si>
  <si>
    <t>Axis Fixed Term Plan - Series 113 (1228 Days)</t>
  </si>
  <si>
    <t>AXISASD</t>
  </si>
  <si>
    <t>Axis All Seasons Debt Fund of Funds</t>
  </si>
  <si>
    <t>AXISBCF</t>
  </si>
  <si>
    <t>Axis Business Cycles Fund</t>
  </si>
  <si>
    <t>AXISBDF</t>
  </si>
  <si>
    <t>Axis Banking &amp; PSU Debt Fund</t>
  </si>
  <si>
    <t>AXISBETF</t>
  </si>
  <si>
    <t>Axis NIFTY Bank ETF</t>
  </si>
  <si>
    <t>NSE</t>
  </si>
  <si>
    <t>AXISBTF</t>
  </si>
  <si>
    <t>Axis S&amp;P BSE SENSEX ETF</t>
  </si>
  <si>
    <t>AXISCETF</t>
  </si>
  <si>
    <t>Axis NIFTY India Consumption ETF</t>
  </si>
  <si>
    <t>AXISCGF</t>
  </si>
  <si>
    <t>Axis Children's Gift Fund</t>
  </si>
  <si>
    <t>AXISCIB</t>
  </si>
  <si>
    <t>Axis CRISIL IBX50:50 Gilt Plus SDL June 2028 Index Fund</t>
  </si>
  <si>
    <t>AXISCIG</t>
  </si>
  <si>
    <t>Axis CRISIL IBX50:50 Gilt Plus SDL Sep 2027 Index Fund</t>
  </si>
  <si>
    <t>AXISCOF</t>
  </si>
  <si>
    <t>Axis Corporate Debt Fund</t>
  </si>
  <si>
    <t>AXISCPSE</t>
  </si>
  <si>
    <t>Axis CRISIL IBX 70:30 CPSE Plus SDL Apr 2025 Index Fund</t>
  </si>
  <si>
    <t>AXISCSDL</t>
  </si>
  <si>
    <t>Axis CRISIL IBX SDL May 2027 Index Fund</t>
  </si>
  <si>
    <t>AXISDBF</t>
  </si>
  <si>
    <t>Axis Dynamic Bond Fund</t>
  </si>
  <si>
    <t>AXISDEF</t>
  </si>
  <si>
    <t>Axis Balanced Advantage Fund</t>
  </si>
  <si>
    <t>AXISEAF</t>
  </si>
  <si>
    <t>Axis Arbitrage Fund</t>
  </si>
  <si>
    <t>AXISEFOF</t>
  </si>
  <si>
    <t>Axis Equity ETFs FoF</t>
  </si>
  <si>
    <t>AXISEHF</t>
  </si>
  <si>
    <t>Axis Equity Hybrid Fund</t>
  </si>
  <si>
    <t>AXISEQF</t>
  </si>
  <si>
    <t>Axis Bluechip Fund</t>
  </si>
  <si>
    <t>AXISESF</t>
  </si>
  <si>
    <t>Axis Equity Saver Fund</t>
  </si>
  <si>
    <t>AXISESG</t>
  </si>
  <si>
    <t>Axis ESG Equity Fund</t>
  </si>
  <si>
    <t>AXISETS</t>
  </si>
  <si>
    <t>Axis Silver ETF</t>
  </si>
  <si>
    <t>AXISF25</t>
  </si>
  <si>
    <t>Axis Focused 25 Fund</t>
  </si>
  <si>
    <t>AXISFLO</t>
  </si>
  <si>
    <t>Axis Floater Fund</t>
  </si>
  <si>
    <t>AXISGCE</t>
  </si>
  <si>
    <t>Axis Greater China Equity Fund of Fund</t>
  </si>
  <si>
    <t>AXISGEA</t>
  </si>
  <si>
    <t>Axis Global Equity Alpha Fund of Fund</t>
  </si>
  <si>
    <t>AXISGETF</t>
  </si>
  <si>
    <t>Axis Gold ETF</t>
  </si>
  <si>
    <t>AXISGIF</t>
  </si>
  <si>
    <t>Axis Global Innovation Fund of Fund</t>
  </si>
  <si>
    <t>AXISGLD</t>
  </si>
  <si>
    <t>Axis Gold Fund</t>
  </si>
  <si>
    <t>AXISGOF</t>
  </si>
  <si>
    <t>Axis Growth Opportunities Fund</t>
  </si>
  <si>
    <t>AXISHETF</t>
  </si>
  <si>
    <t>Axis NIFTY Healthcare ETF</t>
  </si>
  <si>
    <t>AXISIFD</t>
  </si>
  <si>
    <t>Axis Strategic Bond Fund</t>
  </si>
  <si>
    <t>AXISIOF</t>
  </si>
  <si>
    <t>Axis Credit Risk Fund</t>
  </si>
  <si>
    <t>AXISISF</t>
  </si>
  <si>
    <t>Axis Regular Saver Fund</t>
  </si>
  <si>
    <t>AXISLDF</t>
  </si>
  <si>
    <t>Axis Long Duration Fund</t>
  </si>
  <si>
    <t>AXISLFA</t>
  </si>
  <si>
    <t>Axis Liquid Fund</t>
  </si>
  <si>
    <t>AXISM10</t>
  </si>
  <si>
    <t>Axis Gilt Fund</t>
  </si>
  <si>
    <t>AXISMCF</t>
  </si>
  <si>
    <t>Axis Midcap Fund</t>
  </si>
  <si>
    <t>AXISMLC</t>
  </si>
  <si>
    <t>Axis Multicap Fund</t>
  </si>
  <si>
    <t>AXISMLF</t>
  </si>
  <si>
    <t>Axis Flexi Cap Fund</t>
  </si>
  <si>
    <t>AXISMMF</t>
  </si>
  <si>
    <t>Axis Money Market Fund</t>
  </si>
  <si>
    <t>AXISN50</t>
  </si>
  <si>
    <t>Axis Nifty 50 Index Fund</t>
  </si>
  <si>
    <t>AXISNETF</t>
  </si>
  <si>
    <t>Axis NIFTY 50 ETF</t>
  </si>
  <si>
    <t>AXISNFOF</t>
  </si>
  <si>
    <t>Axis NASDAQ 100 Fund of Fund</t>
  </si>
  <si>
    <t>AXISNIF</t>
  </si>
  <si>
    <t>Axis Nifty 100 Index Fund</t>
  </si>
  <si>
    <t>AXISNIT</t>
  </si>
  <si>
    <t>Axis Nifty IT Index Fund</t>
  </si>
  <si>
    <t>AXISNM50</t>
  </si>
  <si>
    <t>AXIS NIFTY MIDCAP 50 INDEX FUND</t>
  </si>
  <si>
    <t>AXISNNF</t>
  </si>
  <si>
    <t>Axis Nifty Next 50 Index Fund</t>
  </si>
  <si>
    <t>AXISNS50</t>
  </si>
  <si>
    <t>AXIS NIFTY SMALLCAP 50 INDEX FUND</t>
  </si>
  <si>
    <t>AXISONF</t>
  </si>
  <si>
    <t>Axis Overnight Fund</t>
  </si>
  <si>
    <t>AXISQUA</t>
  </si>
  <si>
    <t>Axis Quant Fund</t>
  </si>
  <si>
    <t>AXISRAP</t>
  </si>
  <si>
    <t>Axis Retirement Savings Fund - Aggressive Plan</t>
  </si>
  <si>
    <t>AXISRCP</t>
  </si>
  <si>
    <t>Axis Retirement Savings Fund - Conservative Plan</t>
  </si>
  <si>
    <t>AXISRDP</t>
  </si>
  <si>
    <t>Axis Retirement Savings Fund - Dynamic Plan</t>
  </si>
  <si>
    <t>AXISSCF</t>
  </si>
  <si>
    <t>Axis Small Cap Fund</t>
  </si>
  <si>
    <t>AXISSDI</t>
  </si>
  <si>
    <t>Axis NIFTY SDL September 2026 Debt Index Fund</t>
  </si>
  <si>
    <t>AXISSDL</t>
  </si>
  <si>
    <t>Axis Nifty AAA Bond Plus SDL Apr 2026 50:50 ETF FOF</t>
  </si>
  <si>
    <t>AXISSETF</t>
  </si>
  <si>
    <t>Axis Nifty AAA Bond Plus SDL Apr 2026 50:50 ETF</t>
  </si>
  <si>
    <t>AXISSIL</t>
  </si>
  <si>
    <t>Axis Silver Fund of Fund</t>
  </si>
  <si>
    <t>AXISSSF</t>
  </si>
  <si>
    <t>Axis Special Situations Fund</t>
  </si>
  <si>
    <t>AXISSTF</t>
  </si>
  <si>
    <t>Axis Short Term Fund</t>
  </si>
  <si>
    <t>AXISTAA</t>
  </si>
  <si>
    <t>Axis Treasury Advantage Fund</t>
  </si>
  <si>
    <t>AXISTAF</t>
  </si>
  <si>
    <t>Axis Multi Asset Allocation Fund</t>
  </si>
  <si>
    <t>AXISTETF</t>
  </si>
  <si>
    <t>Axis NIFTY IT ETF</t>
  </si>
  <si>
    <t>AXISTSF</t>
  </si>
  <si>
    <t>Axis Long Term Equity Fund</t>
  </si>
  <si>
    <t>AXISUSF</t>
  </si>
  <si>
    <t>Axis Ultra Short Term Fund</t>
  </si>
  <si>
    <t>AXISVAL</t>
  </si>
  <si>
    <t>Axis Value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</si>
  <si>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</si>
  <si>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</si>
  <si>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</si>
  <si>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</si>
  <si>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</si>
  <si>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</si>
  <si>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</si>
  <si>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</si>
  <si>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</si>
  <si>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</si>
  <si>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</si>
  <si>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</si>
  <si>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</si>
  <si>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</si>
  <si>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</si>
  <si>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</si>
  <si>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</si>
  <si>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</si>
  <si>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</si>
  <si>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</si>
  <si>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</si>
  <si>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</si>
  <si>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</si>
  <si>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</si>
  <si>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</si>
  <si>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</si>
  <si>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</si>
  <si>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</si>
  <si>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</si>
  <si>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</si>
  <si>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</si>
  <si>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</si>
  <si>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</si>
  <si>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</si>
  <si>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</si>
  <si>
    <t>Rating</t>
  </si>
  <si>
    <t>IRLY366</t>
  </si>
  <si>
    <t>7.4% Indian Railway Finance Corporation Limited (18/04/2026) **</t>
  </si>
  <si>
    <t>INE053F08239</t>
  </si>
  <si>
    <t>CRISIL AAA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</si>
  <si>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</si>
  <si>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</si>
  <si>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</si>
  <si>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</si>
  <si>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</si>
  <si>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</si>
  <si>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NBAR699</t>
  </si>
  <si>
    <t>7.57% National Bank For Agriculture and Rural Development (19/03/2026)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</si>
  <si>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</si>
  <si>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</si>
  <si>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</si>
  <si>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</si>
  <si>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</si>
  <si>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</si>
  <si>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</si>
  <si>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</si>
  <si>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</si>
  <si>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</si>
  <si>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</si>
  <si>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</si>
  <si>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</si>
  <si>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BPCL130</t>
  </si>
  <si>
    <t>7.58% Bharat Petroleum Corporation Limited (17/03/2026) **</t>
  </si>
  <si>
    <t>INE029A08073</t>
  </si>
  <si>
    <t>NTPC243</t>
  </si>
  <si>
    <t>7.35% NTPC Limited (17/04/2026) **</t>
  </si>
  <si>
    <t>INE733E08247</t>
  </si>
  <si>
    <t>**  Thinly Traded / Non Traded Security</t>
  </si>
  <si>
    <t>Others</t>
  </si>
  <si>
    <t>Exchange Traded Funds</t>
  </si>
  <si>
    <t>139430</t>
  </si>
  <si>
    <t>SBI Nifty 10 yr Benchmark G-Sec ETF</t>
  </si>
  <si>
    <t>INF200KA1JT1</t>
  </si>
  <si>
    <t>Mutual Fund Units</t>
  </si>
  <si>
    <t>120475</t>
  </si>
  <si>
    <t>Axis Strategic Bond Fund - Direct Plan - Growth Option</t>
  </si>
  <si>
    <t>INF846K01DT0</t>
  </si>
  <si>
    <t>119081</t>
  </si>
  <si>
    <t>HDFC Medium Term Debt Fund - Direct Plan - Growth Option</t>
  </si>
  <si>
    <t>INF179K01WI9</t>
  </si>
  <si>
    <t>131061</t>
  </si>
  <si>
    <t>ICICI Prudential Constant Maturity Gilt Fund - Direct Plan - Growth Option</t>
  </si>
  <si>
    <t>INF109KA1O37</t>
  </si>
  <si>
    <t>120670</t>
  </si>
  <si>
    <t>ICICI Prudential Medium Term Bond Fund - Direct Plan - Growth Option</t>
  </si>
  <si>
    <t>INF109K015A5</t>
  </si>
  <si>
    <t>151489</t>
  </si>
  <si>
    <t>HDFC Nifty G-Sec Jun 2036 Index Fund - Growth Option - Direct Plan - Growth Option</t>
  </si>
  <si>
    <t>INF179KC1FS6</t>
  </si>
  <si>
    <t>119739</t>
  </si>
  <si>
    <t>Kotak Bond Short Term Plan - Direct Plan - Growth Option</t>
  </si>
  <si>
    <t>INF174K01JI7</t>
  </si>
  <si>
    <t>130314</t>
  </si>
  <si>
    <t>Axis Credit Risk Fund - Direct Plan - Growth Option</t>
  </si>
  <si>
    <t>INF846K01PJ5</t>
  </si>
  <si>
    <t>120137</t>
  </si>
  <si>
    <t>SBI Magnum Constant Maturity Fund - Direct Plan - Growth Option</t>
  </si>
  <si>
    <t>INF200K01SK7</t>
  </si>
  <si>
    <t>148789</t>
  </si>
  <si>
    <t>Bandhan CRISIL IBX Gilt June 2027 Index Fund - Direct Plan - Growth Option</t>
  </si>
  <si>
    <t>INF194KB1BP3</t>
  </si>
  <si>
    <t>120510</t>
  </si>
  <si>
    <t>Axis Short Term Fund - Direct Plan - Growth Option</t>
  </si>
  <si>
    <t>INF846K01EI1</t>
  </si>
  <si>
    <t>Benchmark Name - NIFTY COMPOSITE DEBT INDEX</t>
  </si>
  <si>
    <t>Industry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</si>
  <si>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</si>
  <si>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</si>
  <si>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</si>
  <si>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</si>
  <si>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</si>
  <si>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</si>
  <si>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</si>
  <si>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</si>
  <si>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</si>
  <si>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</si>
  <si>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</si>
  <si>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</si>
  <si>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</si>
  <si>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</si>
  <si>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TCSL01</t>
  </si>
  <si>
    <t>Tata Consultancy Services Limited</t>
  </si>
  <si>
    <t>INE467B01029</t>
  </si>
  <si>
    <t>IT - Software</t>
  </si>
  <si>
    <t>ULCC01</t>
  </si>
  <si>
    <t>UltraTech Cement Limited</t>
  </si>
  <si>
    <t>INE481G01011</t>
  </si>
  <si>
    <t>Cement &amp; Cement Products</t>
  </si>
  <si>
    <t>IBCL05</t>
  </si>
  <si>
    <t>ICICI Bank Limited</t>
  </si>
  <si>
    <t>INE090A01021</t>
  </si>
  <si>
    <t>Banks</t>
  </si>
  <si>
    <t>TINV04</t>
  </si>
  <si>
    <t>Cholamandalam Financial Holdings Limited</t>
  </si>
  <si>
    <t>INE149A01033</t>
  </si>
  <si>
    <t>SBAI02</t>
  </si>
  <si>
    <t>State Bank of India</t>
  </si>
  <si>
    <t>INE062A01020</t>
  </si>
  <si>
    <t>TELC03</t>
  </si>
  <si>
    <t>Tata Motors Limited</t>
  </si>
  <si>
    <t>INE155A01022</t>
  </si>
  <si>
    <t>Automobiles</t>
  </si>
  <si>
    <t>HDFB03</t>
  </si>
  <si>
    <t>HDFC Bank Limited</t>
  </si>
  <si>
    <t>INE040A01034</t>
  </si>
  <si>
    <t>INFS02</t>
  </si>
  <si>
    <t>Infosys Limited</t>
  </si>
  <si>
    <t>INE009A01021</t>
  </si>
  <si>
    <t>NTPC01</t>
  </si>
  <si>
    <t>NTPC Limited</t>
  </si>
  <si>
    <t>INE733E01010</t>
  </si>
  <si>
    <t>Power</t>
  </si>
  <si>
    <t>ORRE01</t>
  </si>
  <si>
    <t>RHI Magnesita India Limited</t>
  </si>
  <si>
    <t>INE743M01012</t>
  </si>
  <si>
    <t>Industrial Products</t>
  </si>
  <si>
    <t>MAAU01</t>
  </si>
  <si>
    <t>CIE Automotive India Limited</t>
  </si>
  <si>
    <t>INE536H01010</t>
  </si>
  <si>
    <t>KPRM03</t>
  </si>
  <si>
    <t>K.P.R. Mill Limited</t>
  </si>
  <si>
    <t>INE930H01031</t>
  </si>
  <si>
    <t>Textiles &amp; Apparels</t>
  </si>
  <si>
    <t>DPIL01</t>
  </si>
  <si>
    <t>Data Patterns (India) Limited</t>
  </si>
  <si>
    <t>INE0IX101010</t>
  </si>
  <si>
    <t>Aerospace &amp; Defense</t>
  </si>
  <si>
    <t>BALC02</t>
  </si>
  <si>
    <t>Balrampur Chini Mills Limited</t>
  </si>
  <si>
    <t>INE119A01028</t>
  </si>
  <si>
    <t>Agricultural Food &amp; other Products</t>
  </si>
  <si>
    <t>SOEL02</t>
  </si>
  <si>
    <t>Solar Industries India Limited</t>
  </si>
  <si>
    <t>INE343H01029</t>
  </si>
  <si>
    <t>Chemicals &amp; Petrochemicals</t>
  </si>
  <si>
    <t>SRFL01</t>
  </si>
  <si>
    <t>SRF Limited</t>
  </si>
  <si>
    <t>INE647A01010</t>
  </si>
  <si>
    <t>LTIL01</t>
  </si>
  <si>
    <t>LTIMindtree Limited</t>
  </si>
  <si>
    <t>INE214T01019</t>
  </si>
  <si>
    <t>ASPA02</t>
  </si>
  <si>
    <t>Asian Paints Limited</t>
  </si>
  <si>
    <t>INE021A01026</t>
  </si>
  <si>
    <t>Consumer Durables</t>
  </si>
  <si>
    <t>BHEL02</t>
  </si>
  <si>
    <t>Bharat Electronics Limited</t>
  </si>
  <si>
    <t>INE263A01024</t>
  </si>
  <si>
    <t>FAGP02</t>
  </si>
  <si>
    <t>Schaeffler India Limited</t>
  </si>
  <si>
    <t>INE513A01022</t>
  </si>
  <si>
    <t>BRIG01</t>
  </si>
  <si>
    <t>Brigade Enterprises Limited</t>
  </si>
  <si>
    <t>INE791I01019</t>
  </si>
  <si>
    <t>Realty</t>
  </si>
  <si>
    <t>TEMA02</t>
  </si>
  <si>
    <t>Tech Mahindra Limited</t>
  </si>
  <si>
    <t>INE669C01036</t>
  </si>
  <si>
    <t>DLFL01</t>
  </si>
  <si>
    <t>DLF Limited</t>
  </si>
  <si>
    <t>INE271C01023</t>
  </si>
  <si>
    <t>JSPL03</t>
  </si>
  <si>
    <t>Jindal Steel &amp; Power Limited</t>
  </si>
  <si>
    <t>INE749A01030</t>
  </si>
  <si>
    <t>Ferrous Metals</t>
  </si>
  <si>
    <t>HLEL02</t>
  </si>
  <si>
    <t>Hindustan Unilever Limited</t>
  </si>
  <si>
    <t>INE030A01027</t>
  </si>
  <si>
    <t>Diversified FMCG</t>
  </si>
  <si>
    <t>KAYN01</t>
  </si>
  <si>
    <t>Kaynes Technology India Limited</t>
  </si>
  <si>
    <t>INE918Z01012</t>
  </si>
  <si>
    <t>Industrial Manufacturing</t>
  </si>
  <si>
    <t>SHCE01</t>
  </si>
  <si>
    <t>Shree Cement Limited</t>
  </si>
  <si>
    <t>INE070A01015</t>
  </si>
  <si>
    <t>PGCI01</t>
  </si>
  <si>
    <t>Power Grid Corporation of India Limited</t>
  </si>
  <si>
    <t>INE752E01010</t>
  </si>
  <si>
    <t>RELS01</t>
  </si>
  <si>
    <t>Jio Financial Services Limited</t>
  </si>
  <si>
    <t>INE758E01017</t>
  </si>
  <si>
    <t>CHEM04</t>
  </si>
  <si>
    <t>Chemplast Sanmar Limited</t>
  </si>
  <si>
    <t>INE488A01050</t>
  </si>
  <si>
    <t>AETH01</t>
  </si>
  <si>
    <t>Aether Industries Limited</t>
  </si>
  <si>
    <t>INE0BWX01014</t>
  </si>
  <si>
    <t>BPCL01</t>
  </si>
  <si>
    <t>Bharat Petroleum Corporation Limited</t>
  </si>
  <si>
    <t>INE029A01011</t>
  </si>
  <si>
    <t>VOLT02</t>
  </si>
  <si>
    <t>Voltas Limited</t>
  </si>
  <si>
    <t>INE226A01021</t>
  </si>
  <si>
    <t>MARC02</t>
  </si>
  <si>
    <t>Marico Limited</t>
  </si>
  <si>
    <t>INE196A01026</t>
  </si>
  <si>
    <t>COAL01</t>
  </si>
  <si>
    <t>Coal India Limited</t>
  </si>
  <si>
    <t>INE522F01014</t>
  </si>
  <si>
    <t>Consumable Fuels</t>
  </si>
  <si>
    <t>INAV01</t>
  </si>
  <si>
    <t>InterGlobe Aviation Limited</t>
  </si>
  <si>
    <t>INE646L01027</t>
  </si>
  <si>
    <t>Transport Services</t>
  </si>
  <si>
    <t>MAFS02</t>
  </si>
  <si>
    <t>Mahindra &amp; Mahindra Financial Services Limited</t>
  </si>
  <si>
    <t>INE774D01024</t>
  </si>
  <si>
    <t>CEAT02</t>
  </si>
  <si>
    <t>CEAT Limited</t>
  </si>
  <si>
    <t>INE482A01020</t>
  </si>
  <si>
    <t>UNBI01</t>
  </si>
  <si>
    <t>Union Bank of India</t>
  </si>
  <si>
    <t>INE692A01016</t>
  </si>
  <si>
    <t>LTFL01</t>
  </si>
  <si>
    <t>L&amp;T Finance Holdings Limited</t>
  </si>
  <si>
    <t>INE498L01015</t>
  </si>
  <si>
    <t>MINC01</t>
  </si>
  <si>
    <t>Minda Corporation Limited</t>
  </si>
  <si>
    <t>INE842C01021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</si>
  <si>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</si>
  <si>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</si>
  <si>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</si>
  <si>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</si>
  <si>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</si>
  <si>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</si>
  <si>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</si>
  <si>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</si>
  <si>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(b) Unlisted</t>
  </si>
  <si>
    <t>Derivatives</t>
  </si>
  <si>
    <t>Index / Stock Futures</t>
  </si>
  <si>
    <t>TISCOCT23</t>
  </si>
  <si>
    <t>Tata Steel Limited October 2023 Future</t>
  </si>
  <si>
    <t>HINIOCT23</t>
  </si>
  <si>
    <t>Hindalco Industries Limited October 2023 Future</t>
  </si>
  <si>
    <t>ZEETOCT23</t>
  </si>
  <si>
    <t>Zee Entertainment Enterprises Limited October 2023 Future</t>
  </si>
  <si>
    <t>Money Market Instruments</t>
  </si>
  <si>
    <t>Treasury Bill</t>
  </si>
  <si>
    <t>TBIL2208</t>
  </si>
  <si>
    <t>182 Days Tbill (MD 23/11/2023)</t>
  </si>
  <si>
    <t>IN002023Y086</t>
  </si>
  <si>
    <t>Benchmark Name - NIFTY 500 TRI</t>
  </si>
  <si>
    <t>EXIM736</t>
  </si>
  <si>
    <t>7.1% Export Import Bank of India (18/03/2026) **</t>
  </si>
  <si>
    <t>INE514E08GA6</t>
  </si>
  <si>
    <t>RECL428</t>
  </si>
  <si>
    <t>7.56% REC Limited (30/06/2026) **</t>
  </si>
  <si>
    <t>INE020B08ED9</t>
  </si>
  <si>
    <t>SIDB472</t>
  </si>
  <si>
    <t>7.11% Small Industries Dev Bank of India (27/02/2026) **</t>
  </si>
  <si>
    <t>INE556F08KB4</t>
  </si>
  <si>
    <t>ICRA AAA</t>
  </si>
  <si>
    <t>HDFB905</t>
  </si>
  <si>
    <t>7.7% HDFC Bank Limited (18/11/2025) **</t>
  </si>
  <si>
    <t>INE040A08641</t>
  </si>
  <si>
    <t>IRLY371</t>
  </si>
  <si>
    <t>7.23% Indian Railway Finance Corporation Limited (15/10/2026)</t>
  </si>
  <si>
    <t>INE053F08304</t>
  </si>
  <si>
    <t>NHBA321</t>
  </si>
  <si>
    <t>7.22% National Housing Bank (23/07/2026) **</t>
  </si>
  <si>
    <t>INE557F08FR8</t>
  </si>
  <si>
    <t>NBAR701</t>
  </si>
  <si>
    <t>7.58% National Bank For Agriculture and Rural Development (31/07/2026)</t>
  </si>
  <si>
    <t>INE261F08DX0</t>
  </si>
  <si>
    <t>NBAR719</t>
  </si>
  <si>
    <t>7.50% National Bank For Agriculture and Rural Development (31/08/2026) **</t>
  </si>
  <si>
    <t>INE261F08EA6</t>
  </si>
  <si>
    <t>NBAR684</t>
  </si>
  <si>
    <t>7.2% National Bank For Agriculture and Rural Development (23/09/2025) **</t>
  </si>
  <si>
    <t>INE261F08DR2</t>
  </si>
  <si>
    <t>GOI3103</t>
  </si>
  <si>
    <t>5.63% Government of India (12/04/2026)</t>
  </si>
  <si>
    <t>IN0020210012</t>
  </si>
  <si>
    <t>HDFB887</t>
  </si>
  <si>
    <t>5.78% HDFC Bank Limited (25/11/2025) **</t>
  </si>
  <si>
    <t>INE040A08856</t>
  </si>
  <si>
    <t>SBAI204</t>
  </si>
  <si>
    <t>5.83% State Bank of India (25/10/2030) **</t>
  </si>
  <si>
    <t>INE062A08264</t>
  </si>
  <si>
    <t>POWF512</t>
  </si>
  <si>
    <t>7.37% Power Finance Corporation Limited (22/05/2026) **</t>
  </si>
  <si>
    <t>INE134E08MO2</t>
  </si>
  <si>
    <t>NHBA322</t>
  </si>
  <si>
    <t>7.4% National Housing Bank (16/07/2026) **</t>
  </si>
  <si>
    <t>INE557F08FS6</t>
  </si>
  <si>
    <t>POWF497</t>
  </si>
  <si>
    <t>7.58% Power Finance Corporation Limited (15/01/2026) **</t>
  </si>
  <si>
    <t>INE134E08LZ0</t>
  </si>
  <si>
    <t>SBAI203</t>
  </si>
  <si>
    <t>6.24% State Bank of India (20/09/2030) **</t>
  </si>
  <si>
    <t>INE062A08256</t>
  </si>
  <si>
    <t>INBK359</t>
  </si>
  <si>
    <t>6.18% Indian Bank (13/01/2031) **</t>
  </si>
  <si>
    <t>INE562A08081</t>
  </si>
  <si>
    <t>HDBF305</t>
  </si>
  <si>
    <t>HDB Financial Services Limited (13/01/2026) (ZCB) **</t>
  </si>
  <si>
    <t>INE756I07EK0</t>
  </si>
  <si>
    <t>POWF486</t>
  </si>
  <si>
    <t>7.13% Power Finance Corporation Limited (08/08/2025)</t>
  </si>
  <si>
    <t>INE134E08LO4</t>
  </si>
  <si>
    <t>BHFL96</t>
  </si>
  <si>
    <t>7.9237% Bajaj Housing Finance Limited (16/03/2026) **</t>
  </si>
  <si>
    <t>INE377Y07375</t>
  </si>
  <si>
    <t>GOI3639</t>
  </si>
  <si>
    <t>5.74% Government of India (15/11/2026)</t>
  </si>
  <si>
    <t>IN0020210186</t>
  </si>
  <si>
    <t>SIDB513</t>
  </si>
  <si>
    <t>7.43% Small Industries Dev Bank of India (31/08/2026) **</t>
  </si>
  <si>
    <t>INE556F08KH1</t>
  </si>
  <si>
    <t>SIDB467</t>
  </si>
  <si>
    <t>7.15% Small Industries Dev Bank of India (21/07/2025) **</t>
  </si>
  <si>
    <t>INE556F08JZ5</t>
  </si>
  <si>
    <t>IBCL1121</t>
  </si>
  <si>
    <t>7.1% ICICI Bank Limited (17/02/2030) **</t>
  </si>
  <si>
    <t>INE090A08UD0</t>
  </si>
  <si>
    <t>NBAR677</t>
  </si>
  <si>
    <t>7.4% National Bank For Agriculture and Rural Development (30/01/2026) **</t>
  </si>
  <si>
    <t>INE261F08DO9</t>
  </si>
  <si>
    <t>GOI1643</t>
  </si>
  <si>
    <t>8.38% State Government Securities (27/01/2026)</t>
  </si>
  <si>
    <t>IN2920150231</t>
  </si>
  <si>
    <t>NBAR680</t>
  </si>
  <si>
    <t>7.25% National Bank For Agriculture and Rural Development (01/08/2025) **</t>
  </si>
  <si>
    <t>INE261F08DQ4</t>
  </si>
  <si>
    <t>BHFL91</t>
  </si>
  <si>
    <t>7.42% Bajaj Housing Finance Limited (12/08/2025) **</t>
  </si>
  <si>
    <t>INE377Y07334</t>
  </si>
  <si>
    <t>SIDB519</t>
  </si>
  <si>
    <t>7.44% Small Industries Dev Bank of India (04/09/2026)</t>
  </si>
  <si>
    <t>INE556F08KI9</t>
  </si>
  <si>
    <t>HDBF304</t>
  </si>
  <si>
    <t>8.04% HDB Financial Services Limited (25/02/2026) **</t>
  </si>
  <si>
    <t>INE756I07EL8</t>
  </si>
  <si>
    <t>GOI1430</t>
  </si>
  <si>
    <t>7.59% Government of India (11/01/2026)</t>
  </si>
  <si>
    <t>IN0020150093</t>
  </si>
  <si>
    <t>IRLY372</t>
  </si>
  <si>
    <t>7.41% Indian Railway Finance Corporation Limited (15/10/2026) **</t>
  </si>
  <si>
    <t>INE053F08312</t>
  </si>
  <si>
    <t>SIDB488</t>
  </si>
  <si>
    <t>7.54% Small Industries Dev Bank of India (12/01/2026) **</t>
  </si>
  <si>
    <t>INE556F08KF5</t>
  </si>
  <si>
    <t>TCHF351</t>
  </si>
  <si>
    <t>6.50% Tata Capital Housing Finance Limited (15/06/2026) **</t>
  </si>
  <si>
    <t>INE033L07HF1</t>
  </si>
  <si>
    <t>GOI4847</t>
  </si>
  <si>
    <t>7.57% State Government Securities (09/11/2026)</t>
  </si>
  <si>
    <t>IN1520220154</t>
  </si>
  <si>
    <t>SIDB486</t>
  </si>
  <si>
    <t>7.47% Small Industries Dev Bank of India (25/11/2025) **</t>
  </si>
  <si>
    <t>INE556F08KE8</t>
  </si>
  <si>
    <t>NBAR723</t>
  </si>
  <si>
    <t>7.49% National Bank For Agriculture and Rural Development (15/10/2026)</t>
  </si>
  <si>
    <t>INE261F08EB4</t>
  </si>
  <si>
    <t>HDFB899</t>
  </si>
  <si>
    <t>7.4% HDFC Bank Limited (02/06/2025) **</t>
  </si>
  <si>
    <t>INE040A08AH8</t>
  </si>
  <si>
    <t>GOI1467</t>
  </si>
  <si>
    <t>8.67% State Government Securities (24/02/2026)</t>
  </si>
  <si>
    <t>IN1920150092</t>
  </si>
  <si>
    <t>KMIL458</t>
  </si>
  <si>
    <t>Kotak Mahindra Investments Limited (29/01/2026) (ZCB) **</t>
  </si>
  <si>
    <t>INE975F07HV2</t>
  </si>
  <si>
    <t>GOI1462</t>
  </si>
  <si>
    <t>IN2220150196</t>
  </si>
  <si>
    <t>RECL439</t>
  </si>
  <si>
    <t>7.64% REC Limited (30/06/2026) **</t>
  </si>
  <si>
    <t>INE020B08EM0</t>
  </si>
  <si>
    <t>KOMP1674</t>
  </si>
  <si>
    <t>7.8376% Kotak Mahindra Prime Limited (21/07/2025) **</t>
  </si>
  <si>
    <t>INE916DA7RU6</t>
  </si>
  <si>
    <t>RECL433</t>
  </si>
  <si>
    <t>7.51% REC Limited (31/07/2026) **</t>
  </si>
  <si>
    <t>INE020B08EI8</t>
  </si>
  <si>
    <t>GOI4658</t>
  </si>
  <si>
    <t>Government of India (19/03/2027)</t>
  </si>
  <si>
    <t>IN000327C048</t>
  </si>
  <si>
    <t>SUFI737</t>
  </si>
  <si>
    <t>7.74% Sundaram Finance Limited (09/06/2025) **</t>
  </si>
  <si>
    <t>INE660A07RM9</t>
  </si>
  <si>
    <t>GOI2383</t>
  </si>
  <si>
    <t>6.80% Government of India (15/06/2025)</t>
  </si>
  <si>
    <t>IN000625C052</t>
  </si>
  <si>
    <t>TCHF380</t>
  </si>
  <si>
    <t>7.97% Tata Capital Housing Finance Limited (03/11/2025) **</t>
  </si>
  <si>
    <t>INE033L07HV8</t>
  </si>
  <si>
    <t>HDBF306</t>
  </si>
  <si>
    <t>7.96% HDB Financial Services Limited (17/11/2025) **</t>
  </si>
  <si>
    <t>INE756I07EM6</t>
  </si>
  <si>
    <t>HDFB915</t>
  </si>
  <si>
    <t>7.8% HDFC Bank Limited (02/06/2025) **</t>
  </si>
  <si>
    <t>INE040A08922</t>
  </si>
  <si>
    <t>GOI2925</t>
  </si>
  <si>
    <t>6.80% Government of India (15/06/2026)</t>
  </si>
  <si>
    <t>IN000626C050</t>
  </si>
  <si>
    <t>RECL436</t>
  </si>
  <si>
    <t>7.44% REC Limited (30/04/2026) **</t>
  </si>
  <si>
    <t>INE020B08EL2</t>
  </si>
  <si>
    <t>NBAR678</t>
  </si>
  <si>
    <t>7.35% National Bank For Agriculture and Rural Development (08/07/2025) **</t>
  </si>
  <si>
    <t>INE261F08DP6</t>
  </si>
  <si>
    <t>SIDB479</t>
  </si>
  <si>
    <t>7.23% Small Industries Dev Bank of India (09/03/2026)</t>
  </si>
  <si>
    <t>INE556F08KC2</t>
  </si>
  <si>
    <t>HDFB886</t>
  </si>
  <si>
    <t>6.43% HDFC Bank Limited (29/09/2025) **</t>
  </si>
  <si>
    <t>INE040A08849</t>
  </si>
  <si>
    <t>GOI4062</t>
  </si>
  <si>
    <t>6.18% State Government Securities (31/03/2026)</t>
  </si>
  <si>
    <t>IN1520200339</t>
  </si>
  <si>
    <t>RECL411</t>
  </si>
  <si>
    <t>5.94% REC Limited (31/01/2026) **</t>
  </si>
  <si>
    <t>INE020B08DK6</t>
  </si>
  <si>
    <t>GOI4657</t>
  </si>
  <si>
    <t>7.40% Government of India (19/09/2026)</t>
  </si>
  <si>
    <t>IN000926C047</t>
  </si>
  <si>
    <t>GOI1400</t>
  </si>
  <si>
    <t>8.15% State Government Securities (13/11/2025)</t>
  </si>
  <si>
    <t>IN3120150138</t>
  </si>
  <si>
    <t>GOI4489</t>
  </si>
  <si>
    <t>6.95% Government of India (16/12/2026)</t>
  </si>
  <si>
    <t>IN001226C074</t>
  </si>
  <si>
    <t>SIDB468</t>
  </si>
  <si>
    <t>7.25% Small Industries Dev Bank of India (31/07/2025) **</t>
  </si>
  <si>
    <t>INE556F08KA6</t>
  </si>
  <si>
    <t>GOI1853</t>
  </si>
  <si>
    <t>8.16% State Government Securities (26/11/2025)</t>
  </si>
  <si>
    <t>IN1920150043</t>
  </si>
  <si>
    <t>POWF509</t>
  </si>
  <si>
    <t>7.55% Power Finance Corporation Limited (15/07/2026) **</t>
  </si>
  <si>
    <t>INE134E08ML8</t>
  </si>
  <si>
    <t>GOI4748</t>
  </si>
  <si>
    <t>7.36% Government of India (12/09/2026)</t>
  </si>
  <si>
    <t>IN000926C054</t>
  </si>
  <si>
    <t>GOI4482</t>
  </si>
  <si>
    <t>Government of India (16/06/2026)</t>
  </si>
  <si>
    <t>IN000626C076</t>
  </si>
  <si>
    <t>POWF500</t>
  </si>
  <si>
    <t>7.77% Power Finance Corporation Limited (15/07/2026) **</t>
  </si>
  <si>
    <t>INE134E08MC7</t>
  </si>
  <si>
    <t>POWF507</t>
  </si>
  <si>
    <t>7.70% Power Finance Corporation Limited (15/09/2026) **</t>
  </si>
  <si>
    <t>INE134E08MK0</t>
  </si>
  <si>
    <t>POWF517</t>
  </si>
  <si>
    <t>7.64% Power Finance Corporation Limited (25/08/2026)</t>
  </si>
  <si>
    <t>INE134E08MT1</t>
  </si>
  <si>
    <t>BAFL846</t>
  </si>
  <si>
    <t>7.8925% Bajaj Finance Limited (10/06/2025)</t>
  </si>
  <si>
    <t>INE296A07SK4</t>
  </si>
  <si>
    <t>NBAR650</t>
  </si>
  <si>
    <t>5.70% National Bank For Agriculture and Rural Development (31/07/2025) **</t>
  </si>
  <si>
    <t>INE261F08DK7</t>
  </si>
  <si>
    <t>GOI1458</t>
  </si>
  <si>
    <t>8.49% State Government Securities (10/02/2026)</t>
  </si>
  <si>
    <t>IN3120150195</t>
  </si>
  <si>
    <t>GOI2924</t>
  </si>
  <si>
    <t>6.80% Government of India (15/12/2026)</t>
  </si>
  <si>
    <t>IN001226C058</t>
  </si>
  <si>
    <t>GOI4607</t>
  </si>
  <si>
    <t>6.95% Government of India (16/06/2025)</t>
  </si>
  <si>
    <t>IN000625C078</t>
  </si>
  <si>
    <t>EXIM515</t>
  </si>
  <si>
    <t>8.18% Export Import Bank of India (07/12/2025) **</t>
  </si>
  <si>
    <t>INE514E08EU9</t>
  </si>
  <si>
    <t>KOMP1667</t>
  </si>
  <si>
    <t>8.255% Kotak Mahindra Prime Limited (22/06/2026) **</t>
  </si>
  <si>
    <t>INE916DA7SF5</t>
  </si>
  <si>
    <t>PGCI353</t>
  </si>
  <si>
    <t>8.93% Power Grid Corporation of India Limited (20/10/2023) **</t>
  </si>
  <si>
    <t>INE752E07LX6</t>
  </si>
  <si>
    <t>POWF470</t>
  </si>
  <si>
    <t>6.5% Power Finance Corporation Limited (17/09/2025) **</t>
  </si>
  <si>
    <t>INE134E08LD7</t>
  </si>
  <si>
    <t>KMIL462</t>
  </si>
  <si>
    <t>Kotak Mahindra Investments Limited (19/05/2026) (ZCB) **</t>
  </si>
  <si>
    <t>INE975F07IB2</t>
  </si>
  <si>
    <t>POWF167</t>
  </si>
  <si>
    <t>8.90% Power Finance Corporation Limited (15/03/2025) **</t>
  </si>
  <si>
    <t>INE134E08CS4</t>
  </si>
  <si>
    <t>GOI1409</t>
  </si>
  <si>
    <t>8.22% State Government Securities (09/12/2025)</t>
  </si>
  <si>
    <t>IN3120150153</t>
  </si>
  <si>
    <t>GOI3006</t>
  </si>
  <si>
    <t>8.04% State Government Securities (20/03/2026)</t>
  </si>
  <si>
    <t>IN3520180131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</si>
  <si>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</si>
  <si>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</si>
  <si>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</si>
  <si>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</si>
  <si>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</si>
  <si>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</si>
  <si>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</si>
  <si>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</si>
  <si>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</si>
  <si>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</si>
  <si>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</si>
  <si>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</si>
  <si>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</si>
  <si>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Certificate of Deposit</t>
  </si>
  <si>
    <t>EXIM741</t>
  </si>
  <si>
    <t>Export Import Bank of India (14/03/2024)</t>
  </si>
  <si>
    <t>INE514E16CE0</t>
  </si>
  <si>
    <t>CRISIL A1+</t>
  </si>
  <si>
    <t>ZCB - Zero Coupon Bond</t>
  </si>
  <si>
    <t xml:space="preserve">$  Less Than 0.01% of Net Asset Value </t>
  </si>
  <si>
    <t>Benchmark Name - NIFTY BANKING &amp; PSU DEBT INDEX</t>
  </si>
  <si>
    <t>UTIB02</t>
  </si>
  <si>
    <t>Axis Bank Limited</t>
  </si>
  <si>
    <t>INE238A01034</t>
  </si>
  <si>
    <t>KOMA02</t>
  </si>
  <si>
    <t>Kotak Mahindra Bank Limited</t>
  </si>
  <si>
    <t>INE237A01028</t>
  </si>
  <si>
    <t>IIBL01</t>
  </si>
  <si>
    <t>IndusInd Bank Limited</t>
  </si>
  <si>
    <t>INE095A01012</t>
  </si>
  <si>
    <t>BKBA02</t>
  </si>
  <si>
    <t>Bank of Baroda</t>
  </si>
  <si>
    <t>INE028A01039</t>
  </si>
  <si>
    <t>FEBA02</t>
  </si>
  <si>
    <t>The Federal Bank Limited</t>
  </si>
  <si>
    <t>INE171A01029</t>
  </si>
  <si>
    <t>AFPL02</t>
  </si>
  <si>
    <t>AU Small Finance Bank Limited</t>
  </si>
  <si>
    <t>INE949L01017</t>
  </si>
  <si>
    <t>IDBK01</t>
  </si>
  <si>
    <t>IDFC First Bank Limited</t>
  </si>
  <si>
    <t>INE092T01019</t>
  </si>
  <si>
    <t>PUBA02</t>
  </si>
  <si>
    <t>Punjab National Bank</t>
  </si>
  <si>
    <t>INE160A01022</t>
  </si>
  <si>
    <t>BAND01</t>
  </si>
  <si>
    <t>Bandhan Bank Limited</t>
  </si>
  <si>
    <t>INE545U01014</t>
  </si>
  <si>
    <t>Aggregate Investments by other schemes (At NAV)  as on September 30, 2023 RS 306.71 Lakh's</t>
  </si>
  <si>
    <t>Benchmark Name - NIFTY BANK TRI</t>
  </si>
  <si>
    <t>ITCL02</t>
  </si>
  <si>
    <t>ITC Limited</t>
  </si>
  <si>
    <t>INE154A01025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</si>
  <si>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</si>
  <si>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</si>
  <si>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</si>
  <si>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</si>
  <si>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</si>
  <si>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</si>
  <si>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</si>
  <si>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</si>
  <si>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</si>
  <si>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</si>
  <si>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</si>
  <si>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</si>
  <si>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</si>
  <si>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</si>
  <si>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</si>
  <si>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</si>
  <si>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</si>
  <si>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</si>
  <si>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</si>
  <si>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</si>
  <si>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</si>
  <si>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</si>
  <si>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</si>
  <si>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</si>
  <si>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</si>
  <si>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</si>
  <si>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</si>
  <si>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</si>
  <si>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</si>
  <si>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</si>
  <si>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</si>
  <si>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</si>
  <si>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</si>
  <si>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</si>
  <si>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</si>
  <si>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</si>
  <si>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</si>
  <si>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</si>
  <si>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</si>
  <si>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</si>
  <si>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WIPR02</t>
  </si>
  <si>
    <t>Wipro Limited</t>
  </si>
  <si>
    <t>INE075A01022</t>
  </si>
  <si>
    <t>Benchmark Name - S&amp;P BSE SENSEX TRI</t>
  </si>
  <si>
    <t>BALN01</t>
  </si>
  <si>
    <t>Bajaj Auto Limited</t>
  </si>
  <si>
    <t>INE917I01010</t>
  </si>
  <si>
    <t>AVSP01</t>
  </si>
  <si>
    <t>Avenue Supermarts Limited</t>
  </si>
  <si>
    <t>INE192R01011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</si>
  <si>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</si>
  <si>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</si>
  <si>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</si>
  <si>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</si>
  <si>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</si>
  <si>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</si>
  <si>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</si>
  <si>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</si>
  <si>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</si>
  <si>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</si>
  <si>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</si>
  <si>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</si>
  <si>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</si>
  <si>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LAKM02</t>
  </si>
  <si>
    <t>Trent Limited</t>
  </si>
  <si>
    <t>INE849A01020</t>
  </si>
  <si>
    <t>VNBL02</t>
  </si>
  <si>
    <t>Varun Beverages Limited</t>
  </si>
  <si>
    <t>INE200M01021</t>
  </si>
  <si>
    <t>Beverages</t>
  </si>
  <si>
    <t>MAHE01</t>
  </si>
  <si>
    <t>Max Healthcare Institute Limited</t>
  </si>
  <si>
    <t>INE027H01010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</si>
  <si>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</si>
  <si>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</si>
  <si>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</si>
  <si>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</si>
  <si>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</si>
  <si>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</si>
  <si>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</si>
  <si>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TPOW02</t>
  </si>
  <si>
    <t>Tata Power Company Limited</t>
  </si>
  <si>
    <t>INE245A01021</t>
  </si>
  <si>
    <t>HAIL03</t>
  </si>
  <si>
    <t>Havells India Limited</t>
  </si>
  <si>
    <t>INE176B01034</t>
  </si>
  <si>
    <t>IHOT02</t>
  </si>
  <si>
    <t>The Indian Hotels Company Limited</t>
  </si>
  <si>
    <t>INE053A01029</t>
  </si>
  <si>
    <t>Leisure Services</t>
  </si>
  <si>
    <t>IEIN01</t>
  </si>
  <si>
    <t>Info Edge (India) Limited</t>
  </si>
  <si>
    <t>INE663F01024</t>
  </si>
  <si>
    <t>DABU02</t>
  </si>
  <si>
    <t>Dabur India Limited</t>
  </si>
  <si>
    <t>INE016A01026</t>
  </si>
  <si>
    <t>MCSP02</t>
  </si>
  <si>
    <t>United Spirits Limited</t>
  </si>
  <si>
    <t>INE854D01024</t>
  </si>
  <si>
    <t>ADTL01</t>
  </si>
  <si>
    <t>Adani Energy Solutions Limited</t>
  </si>
  <si>
    <t>INE931S01010</t>
  </si>
  <si>
    <t>COLG02</t>
  </si>
  <si>
    <t>Colgate Palmolive (India) Limited</t>
  </si>
  <si>
    <t>INE259A01022</t>
  </si>
  <si>
    <t>PAGE01</t>
  </si>
  <si>
    <t>Page Industries Limited</t>
  </si>
  <si>
    <t>INE761H01022</t>
  </si>
  <si>
    <t>Aggregate Investments by other schemes (At NAV)  as on September 30, 2023 RS 228.1 Lakh's</t>
  </si>
  <si>
    <t>Benchmark Name - NIFTY INDIA CONSUMPTION TRI INDEX</t>
  </si>
  <si>
    <t>PIIN03</t>
  </si>
  <si>
    <t>PI Industries Limited</t>
  </si>
  <si>
    <t>INE603J01030</t>
  </si>
  <si>
    <t>Fertilizers &amp; Agrochemicals</t>
  </si>
  <si>
    <t>MTAR01</t>
  </si>
  <si>
    <t>MTAR Technologies Limited</t>
  </si>
  <si>
    <t>INE864I01014</t>
  </si>
  <si>
    <t>NECH01</t>
  </si>
  <si>
    <t>Neogen Chemicals Limited</t>
  </si>
  <si>
    <t>INE136S01016</t>
  </si>
  <si>
    <t>DIVI02</t>
  </si>
  <si>
    <t>Divi's Laboratories Limited</t>
  </si>
  <si>
    <t>INE361B01024</t>
  </si>
  <si>
    <t>SANE01</t>
  </si>
  <si>
    <t>Sansera Engineering Limited</t>
  </si>
  <si>
    <t>INE953O01021</t>
  </si>
  <si>
    <t>FRHL01</t>
  </si>
  <si>
    <t>Fortis Healthcare Limited</t>
  </si>
  <si>
    <t>INE061F01013</t>
  </si>
  <si>
    <t>CHOL02</t>
  </si>
  <si>
    <t>Cholamandalam Investment and Finance Company Ltd</t>
  </si>
  <si>
    <t>INE121A01024</t>
  </si>
  <si>
    <t>MIIL02</t>
  </si>
  <si>
    <t>UNO Minda Limited</t>
  </si>
  <si>
    <t>INE405E01023</t>
  </si>
  <si>
    <t>CSTL01</t>
  </si>
  <si>
    <t>Clean Science and Technology Limited</t>
  </si>
  <si>
    <t>INE227W01023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</si>
  <si>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</si>
  <si>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</si>
  <si>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</si>
  <si>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</si>
  <si>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</si>
  <si>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</si>
  <si>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JBCH03</t>
  </si>
  <si>
    <t>JB Chemicals &amp; Pharmaceuticals Limited</t>
  </si>
  <si>
    <t>INE572A01036</t>
  </si>
  <si>
    <t>ZMPL01</t>
  </si>
  <si>
    <t>Zomato Limited</t>
  </si>
  <si>
    <t>INE758T01015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</si>
  <si>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</si>
  <si>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</si>
  <si>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</si>
  <si>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</si>
  <si>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</si>
  <si>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</si>
  <si>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FSNE01</t>
  </si>
  <si>
    <t>FSN E-Commerce Ventures Limited</t>
  </si>
  <si>
    <t>INE388Y01029</t>
  </si>
  <si>
    <t>CANH02</t>
  </si>
  <si>
    <t>Can Fin Homes Limited</t>
  </si>
  <si>
    <t>INE477A01020</t>
  </si>
  <si>
    <t>HKFIN01</t>
  </si>
  <si>
    <t>Privi Speciality Chemicals Limited</t>
  </si>
  <si>
    <t>INE959A01019</t>
  </si>
  <si>
    <t>SUCH02</t>
  </si>
  <si>
    <t>Sudarshan Chemical Industries Limited</t>
  </si>
  <si>
    <t>INE659A01023</t>
  </si>
  <si>
    <t>IPLI01</t>
  </si>
  <si>
    <t>ICICI Prudential Life Insurance Company Limited</t>
  </si>
  <si>
    <t>INE726G01019</t>
  </si>
  <si>
    <t>Insurance</t>
  </si>
  <si>
    <t>SUFI01</t>
  </si>
  <si>
    <t>Sundaram Finance Limited</t>
  </si>
  <si>
    <t>INE660A01013</t>
  </si>
  <si>
    <t>SBAIOCT23</t>
  </si>
  <si>
    <t>State Bank of India October 2023 Future</t>
  </si>
  <si>
    <t>GOI4485</t>
  </si>
  <si>
    <t>7.38% Government of India (20/06/2027)</t>
  </si>
  <si>
    <t>IN0020220037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</si>
  <si>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</si>
  <si>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</si>
  <si>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</si>
  <si>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</si>
  <si>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</si>
  <si>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</si>
  <si>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HDFB880</t>
  </si>
  <si>
    <t>7.99% HDFC Bank Limited (11/07/2024) **</t>
  </si>
  <si>
    <t>INE040A08609</t>
  </si>
  <si>
    <t>POWF498</t>
  </si>
  <si>
    <t>7.64% Power Finance Corporation Limited (22/02/2033)</t>
  </si>
  <si>
    <t>INE134E08MA1</t>
  </si>
  <si>
    <t>GOI5077</t>
  </si>
  <si>
    <t>7.06% Government of India (10/04/2028)</t>
  </si>
  <si>
    <t>IN0020230010</t>
  </si>
  <si>
    <t>GOI5137</t>
  </si>
  <si>
    <t>7.25% Government of India (12/06/2063)</t>
  </si>
  <si>
    <t>IN0020230044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</si>
  <si>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</si>
  <si>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</si>
  <si>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</si>
  <si>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</si>
  <si>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</si>
  <si>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</si>
  <si>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</si>
  <si>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</si>
  <si>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</si>
  <si>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Benchmark Name - NIFTY 50 HYBRID COMPOSITE DEBT 65:35 INDEX</t>
  </si>
  <si>
    <t>GOI1973</t>
  </si>
  <si>
    <t>7.17% Government of India (08/01/2028)</t>
  </si>
  <si>
    <t>IN0020170174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</si>
  <si>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</si>
  <si>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</si>
  <si>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</si>
  <si>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</si>
  <si>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</si>
  <si>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</si>
  <si>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GOI2089</t>
  </si>
  <si>
    <t>8.15% State Government Securities (09/05/2028)</t>
  </si>
  <si>
    <t>IN3120180036</t>
  </si>
  <si>
    <t>GOI4096</t>
  </si>
  <si>
    <t>8.16% State Government Securities (09/05/2028)</t>
  </si>
  <si>
    <t>IN2920180030</t>
  </si>
  <si>
    <t>GOI2039</t>
  </si>
  <si>
    <t>8% State Government Securities (11/04/2028)</t>
  </si>
  <si>
    <t>IN2020180013</t>
  </si>
  <si>
    <t>Benchmark Name - CRISIL IBX 50:50 GILT PLUS SDL - JUNE 2028 INDEX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</si>
  <si>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</si>
  <si>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</si>
  <si>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</si>
  <si>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</si>
  <si>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</si>
  <si>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</si>
  <si>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Benchmark Name - CRISIL IBX 50:50 GILT PLUS SDL INDEX - SEPTEMBER 2027</t>
  </si>
  <si>
    <t>Interest Rate Swaps</t>
  </si>
  <si>
    <t>IRS1163719</t>
  </si>
  <si>
    <t>Interest Rate Swaps Pay Floating Receive Fix -ICICI BANK (03/10/2028) (FV 2500 Lacs)</t>
  </si>
  <si>
    <t>IRS1163874</t>
  </si>
  <si>
    <t>Interest Rate Swaps Pay Floating Receive Fix -IDFC BANK (03/10/2028) (FV 2500 Lacs)</t>
  </si>
  <si>
    <t>IRS1147078</t>
  </si>
  <si>
    <t>Interest Rate Swaps Pay Floating Receive Fix -ICISECPD (11/09/2028) (FV 1000 Lacs)</t>
  </si>
  <si>
    <t>IRS1146758</t>
  </si>
  <si>
    <t>Interest Rate Swaps Pay Floating Receive Fix -IDFC BANK (11/09/2028) (FV 2500 Lacs)</t>
  </si>
  <si>
    <t>IRS1127944</t>
  </si>
  <si>
    <t>Interest Rate Swaps Pay Floating Receive Fix -ICISECPD (22/08/2028) (FV 2500 Lacs)</t>
  </si>
  <si>
    <t>IRS1095304</t>
  </si>
  <si>
    <t>Interest Rate Swaps Pay Floating Receive Fix -HSBC BANK (12/07/2025) (FV 2500 Lacs)</t>
  </si>
  <si>
    <t>IRS1131958</t>
  </si>
  <si>
    <t>Interest Rate Swaps Pay Floating Receive Fix -HSBC BANK (25/08/2028) (FV 2500 Lacs)</t>
  </si>
  <si>
    <t>IRS1098398</t>
  </si>
  <si>
    <t>Interest Rate Swaps Pay Floating Receive Fix -ICISECPD (17/07/2025) (FV 2500 Lacs)</t>
  </si>
  <si>
    <t>IRS1134785</t>
  </si>
  <si>
    <t>Interest Rate Swaps Pay Floating Receive Fix -IDFC BANK (29/08/2028) (FV 2500 Lacs)</t>
  </si>
  <si>
    <t>IRS1101177</t>
  </si>
  <si>
    <t>Interest Rate Swaps Pay Floating Receive Fix -ICISECPD (21/07/2025) (FV 5000 Lacs)</t>
  </si>
  <si>
    <t>GOI2936</t>
  </si>
  <si>
    <t>4.7% Government of India (22/09/2033)</t>
  </si>
  <si>
    <t>IN0020200120</t>
  </si>
  <si>
    <t>GOI5081</t>
  </si>
  <si>
    <t>7.17% Government of India (17/04/2030)</t>
  </si>
  <si>
    <t>IN0020230036</t>
  </si>
  <si>
    <t>SIDB465</t>
  </si>
  <si>
    <t>7.15% Small Industries Dev Bank of India (02/06/2025) **</t>
  </si>
  <si>
    <t>INE556F08JY8</t>
  </si>
  <si>
    <t>POWF405</t>
  </si>
  <si>
    <t>7.74% Power Finance Corporation Limited (29/01/2028) **</t>
  </si>
  <si>
    <t>INE134E08JI0</t>
  </si>
  <si>
    <t>GOI3607</t>
  </si>
  <si>
    <t>4.04% Government of India (04/10/2028)</t>
  </si>
  <si>
    <t>IN0020210160</t>
  </si>
  <si>
    <t>HDFB916</t>
  </si>
  <si>
    <t>7.75% HDFC Bank Limited (13/06/2033) **</t>
  </si>
  <si>
    <t>INE040A08AF2</t>
  </si>
  <si>
    <t>HDFB908</t>
  </si>
  <si>
    <t>7.97% HDFC Bank Limited (17/02/2033)</t>
  </si>
  <si>
    <t>INE040A08914</t>
  </si>
  <si>
    <t>NBAR695</t>
  </si>
  <si>
    <t>7.62% National Bank For Agriculture and Rural Development (31/01/2028)</t>
  </si>
  <si>
    <t>INE261F08DV4</t>
  </si>
  <si>
    <t>BAFL842</t>
  </si>
  <si>
    <t>8% Bajaj Finance Limited (27/02/2026) **</t>
  </si>
  <si>
    <t>INE296A07SJ6</t>
  </si>
  <si>
    <t>BHFL108</t>
  </si>
  <si>
    <t>7.85% Bajaj Housing Finance Limited (01/09/2028) **</t>
  </si>
  <si>
    <t>INE377Y07433</t>
  </si>
  <si>
    <t>POWF492</t>
  </si>
  <si>
    <t>7.59% Power Finance Corporation Limited (03/11/2025) **</t>
  </si>
  <si>
    <t>INE134E08LU1</t>
  </si>
  <si>
    <t>SUMM21</t>
  </si>
  <si>
    <t>6.59% Summit Digitel Infrastructure Limited (16/06/2026) **</t>
  </si>
  <si>
    <t>INE507T07062</t>
  </si>
  <si>
    <t>IGIF42</t>
  </si>
  <si>
    <t>7.85% India Grid Trust InvIT Fund (28/02/2028) **</t>
  </si>
  <si>
    <t>INE219X07363</t>
  </si>
  <si>
    <t>BHFL100</t>
  </si>
  <si>
    <t>7.90% Bajaj Housing Finance Limited (28/04/2028) **</t>
  </si>
  <si>
    <t>INE377Y07417</t>
  </si>
  <si>
    <t>HDFB903</t>
  </si>
  <si>
    <t>7.8% HDFC Bank Limited (06/09/2032) **</t>
  </si>
  <si>
    <t>INE040A08773</t>
  </si>
  <si>
    <t>HDFB911</t>
  </si>
  <si>
    <t>7.79% HDFC Bank Limited (04/03/2025)</t>
  </si>
  <si>
    <t>INE040A08948</t>
  </si>
  <si>
    <t>GOI5196</t>
  </si>
  <si>
    <t>7.18% Government of India (24/07/2037)</t>
  </si>
  <si>
    <t>IN0020230077</t>
  </si>
  <si>
    <t>PGCI455</t>
  </si>
  <si>
    <t>7.52% Power Grid Corporation of India Limited (23/03/2033) **</t>
  </si>
  <si>
    <t>INE752E08684</t>
  </si>
  <si>
    <t>PGCI453</t>
  </si>
  <si>
    <t>7.40% Power Grid Corporation of India Limited (17/02/2033) **</t>
  </si>
  <si>
    <t>INE752E08676</t>
  </si>
  <si>
    <t>VSEL20</t>
  </si>
  <si>
    <t>REPO+2.8% Varanasi Sangam Expressway Private Limited (29/12/2034) (FRN) **</t>
  </si>
  <si>
    <t>INE213Y07018</t>
  </si>
  <si>
    <t>IND AAA</t>
  </si>
  <si>
    <t>BAFL840</t>
  </si>
  <si>
    <t>Bajaj Finance Limited (18/02/2026) (ZCB) **</t>
  </si>
  <si>
    <t>INE296A07RY7</t>
  </si>
  <si>
    <t>LARS419</t>
  </si>
  <si>
    <t>7.725% Larsen &amp; Toubro Limited (28/04/2028) **</t>
  </si>
  <si>
    <t>INE018A08BE9</t>
  </si>
  <si>
    <t>SUFI738</t>
  </si>
  <si>
    <t>7.95% Sundaram Finance Limited (29/08/2025) **</t>
  </si>
  <si>
    <t>INE660A07RO5</t>
  </si>
  <si>
    <t>GOI1530</t>
  </si>
  <si>
    <t>8.21% State Government Securities (31/03/2026)</t>
  </si>
  <si>
    <t>IN1620150186</t>
  </si>
  <si>
    <t>NUCL133</t>
  </si>
  <si>
    <t>7.7% Nuclear Power Corporation Of India Limited (21/03/2038) **</t>
  </si>
  <si>
    <t>INE206D08501</t>
  </si>
  <si>
    <t>TCHF389</t>
  </si>
  <si>
    <t>7.8445% Tata Capital Housing Finance Limited (18/09/2026) **</t>
  </si>
  <si>
    <t>INE033L07IC6</t>
  </si>
  <si>
    <t>HDFB912</t>
  </si>
  <si>
    <t>7.80% HDFC Bank Limited (03/05/2033)</t>
  </si>
  <si>
    <t>INE040A08666</t>
  </si>
  <si>
    <t>GOI4746</t>
  </si>
  <si>
    <t>7.36% Government of India (12/09/2025)</t>
  </si>
  <si>
    <t>IN000925C056</t>
  </si>
  <si>
    <t>SIDB483</t>
  </si>
  <si>
    <t>7.75% Small Industries Dev Bank of India (27/10/2025) **</t>
  </si>
  <si>
    <t>INE556F08KD0</t>
  </si>
  <si>
    <t>IRLY369</t>
  </si>
  <si>
    <t>7.51% Indian Railway Finance Corporation Limited (15/04/2026) **</t>
  </si>
  <si>
    <t>INE053F08288</t>
  </si>
  <si>
    <t>GOI4745</t>
  </si>
  <si>
    <t>7.36% Government of India (12/03/2025)</t>
  </si>
  <si>
    <t>IN000325C059</t>
  </si>
  <si>
    <t>IILD51</t>
  </si>
  <si>
    <t>8.6% India Infradebt Limited (30/12/2024) **</t>
  </si>
  <si>
    <t>INE537P07497</t>
  </si>
  <si>
    <t>KOMP1666</t>
  </si>
  <si>
    <t>8.25% Kotak Mahindra Prime Limited (20/06/2025) **</t>
  </si>
  <si>
    <t>INE916DA7SG3</t>
  </si>
  <si>
    <t>RECL431</t>
  </si>
  <si>
    <t>7.77% REC Limited (31/03/2028) **</t>
  </si>
  <si>
    <t>INE020B08EH0</t>
  </si>
  <si>
    <t>MMFS1145</t>
  </si>
  <si>
    <t>4.88% Mahindra &amp; Mahindra Financial Services Limited (23/07/2024) (FRN) **</t>
  </si>
  <si>
    <t>INE774D07UF0</t>
  </si>
  <si>
    <t>RUPL50</t>
  </si>
  <si>
    <t>7.90% Jamnagar Utilities &amp; Power Private Limited (10/08/2028)</t>
  </si>
  <si>
    <t>INE936D07182</t>
  </si>
  <si>
    <t>BHFL98</t>
  </si>
  <si>
    <t>7.83% Bajaj Housing Finance Limited (12/12/2025) **</t>
  </si>
  <si>
    <t>INE377Y07391</t>
  </si>
  <si>
    <t>KOMP1657</t>
  </si>
  <si>
    <t>7.8815% Kotak Mahindra Prime Limited (17/02/2025) **</t>
  </si>
  <si>
    <t>INE916DA7RZ5</t>
  </si>
  <si>
    <t>TCFS665</t>
  </si>
  <si>
    <t>7.82% Tata Capital Financial Services Limited (08/12/2025) **</t>
  </si>
  <si>
    <t>INE306N07NG3</t>
  </si>
  <si>
    <t>IOIC654</t>
  </si>
  <si>
    <t>7.44% Indian Oil Corporation Limited (25/11/2027) **</t>
  </si>
  <si>
    <t>INE242A08544</t>
  </si>
  <si>
    <t>RECL426</t>
  </si>
  <si>
    <t>7.55% REC Limited (31/03/2028) **</t>
  </si>
  <si>
    <t>INE020B08EA5</t>
  </si>
  <si>
    <t>HDFB883</t>
  </si>
  <si>
    <t>7.35% HDFC Bank Limited (10/02/2025)</t>
  </si>
  <si>
    <t>INE040A08989</t>
  </si>
  <si>
    <t>IDFL56</t>
  </si>
  <si>
    <t>5.955% NIIF Infrastructure Finance Limited (16/02/2024) **</t>
  </si>
  <si>
    <t>INE246R07566</t>
  </si>
  <si>
    <t>RECL437</t>
  </si>
  <si>
    <t>7.46% REC Limited (30/06/2028) **</t>
  </si>
  <si>
    <t>INE020B08EK4</t>
  </si>
  <si>
    <t>EXIM669</t>
  </si>
  <si>
    <t>6.35% Export Import Bank of India (18/02/2025) **</t>
  </si>
  <si>
    <t>INE514E08FT8</t>
  </si>
  <si>
    <t>SUMM22</t>
  </si>
  <si>
    <t>7.4% Summit Digitel Infrastructure Limited (28/09/2028) **</t>
  </si>
  <si>
    <t>INE507T07070</t>
  </si>
  <si>
    <t>NBAR646</t>
  </si>
  <si>
    <t>5.23% National Bank For Agriculture and Rural Development (31/01/2025)</t>
  </si>
  <si>
    <t>INE261F08DI1</t>
  </si>
  <si>
    <t>IOIC535</t>
  </si>
  <si>
    <t>5.50% Indian Oil Corporation Limited (20/10/2025) **</t>
  </si>
  <si>
    <t>INE242A08486</t>
  </si>
  <si>
    <t>IOIC622</t>
  </si>
  <si>
    <t>6.14% Indian Oil Corporation Limited (18/02/2027) **</t>
  </si>
  <si>
    <t>INE242A08502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</si>
  <si>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</si>
  <si>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</si>
  <si>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</si>
  <si>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</si>
  <si>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</si>
  <si>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</si>
  <si>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GOI3348</t>
  </si>
  <si>
    <t>8.21% State Government Securities (31/03/2025)</t>
  </si>
  <si>
    <t>IN2920150447</t>
  </si>
  <si>
    <t>SUMM23</t>
  </si>
  <si>
    <t>8.05% Summit Digitel Infrastructure Limited (31/05/2027) **</t>
  </si>
  <si>
    <t>INE507T07096</t>
  </si>
  <si>
    <t>NHBA317</t>
  </si>
  <si>
    <t>7.34% National Housing Bank (07/08/2025) **</t>
  </si>
  <si>
    <t>INE557F08FN7</t>
  </si>
  <si>
    <t>GOI3119</t>
  </si>
  <si>
    <t>6.76% Government of India (22/08/2026)</t>
  </si>
  <si>
    <t>IN000826C023</t>
  </si>
  <si>
    <t>GOI4655</t>
  </si>
  <si>
    <t>7.40% Government of India (19/09/2025)</t>
  </si>
  <si>
    <t>IN000925C049</t>
  </si>
  <si>
    <t>GOI3120</t>
  </si>
  <si>
    <t>6.76% Government of India (22/02/2027)</t>
  </si>
  <si>
    <t>IN000227C024</t>
  </si>
  <si>
    <t>GOI1777</t>
  </si>
  <si>
    <t>8.21% State Government Securities (31/03/2024)</t>
  </si>
  <si>
    <t>IN2920150439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</si>
  <si>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</si>
  <si>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</si>
  <si>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</si>
  <si>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</si>
  <si>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</si>
  <si>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</si>
  <si>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</si>
  <si>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</si>
  <si>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</si>
  <si>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</si>
  <si>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</si>
  <si>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</si>
  <si>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</si>
  <si>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</si>
  <si>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</si>
  <si>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HDFB829</t>
  </si>
  <si>
    <t>7.86% HDFC Bank Limited (02/12/2032) **</t>
  </si>
  <si>
    <t>INE040A08427</t>
  </si>
  <si>
    <t>RECL397</t>
  </si>
  <si>
    <t>7.55% REC Limited (10/05/2030) **</t>
  </si>
  <si>
    <t>INE020B08CU7</t>
  </si>
  <si>
    <t>POWF173</t>
  </si>
  <si>
    <t>8.7% Power Finance Corporation Limited (14/05/2025) **</t>
  </si>
  <si>
    <t>INE134E08CY2</t>
  </si>
  <si>
    <t>GOI3727</t>
  </si>
  <si>
    <t>7.29% State Government Securities (12/01/2034)</t>
  </si>
  <si>
    <t>IN1920210250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</si>
  <si>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</si>
  <si>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</si>
  <si>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</si>
  <si>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</si>
  <si>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</si>
  <si>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</si>
  <si>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</si>
  <si>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</si>
  <si>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BKBA375</t>
  </si>
  <si>
    <t>Bank of Baroda (20/10/2023)</t>
  </si>
  <si>
    <t>INE028A16DO6</t>
  </si>
  <si>
    <t>IND A1+</t>
  </si>
  <si>
    <t>FRN - Floating Rate Note , ZCB - Zero Coupon Bond</t>
  </si>
  <si>
    <t>Benchmark Name - NIFTY CORPORATE BOND INDEX B-III</t>
  </si>
  <si>
    <t>NBAR595</t>
  </si>
  <si>
    <t>5.47% National Bank For Agriculture and Rural Development (11/04/2025) **</t>
  </si>
  <si>
    <t>INE261F08CI3</t>
  </si>
  <si>
    <t>IOIC485</t>
  </si>
  <si>
    <t>6.39% Indian Oil Corporation Limited (06/03/2025) **</t>
  </si>
  <si>
    <t>INE242A08452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</si>
  <si>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</si>
  <si>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</si>
  <si>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</si>
  <si>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</si>
  <si>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</si>
  <si>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</si>
  <si>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</si>
  <si>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</si>
  <si>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</si>
  <si>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</si>
  <si>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</si>
  <si>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</si>
  <si>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</si>
  <si>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</si>
  <si>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</si>
  <si>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POWF454</t>
  </si>
  <si>
    <t>7.16% Power Finance Corporation Limited (24/04/2025) **</t>
  </si>
  <si>
    <t>INE134E08KP3</t>
  </si>
  <si>
    <t>GOI3096</t>
  </si>
  <si>
    <t>6.69% State Government Securities (17/03/2025)</t>
  </si>
  <si>
    <t>IN2120200273</t>
  </si>
  <si>
    <t>PGCI444</t>
  </si>
  <si>
    <t>6.85% Power Grid Corporation of India Limited (15/04/2025) **</t>
  </si>
  <si>
    <t>INE752E08643</t>
  </si>
  <si>
    <t>GOI4362</t>
  </si>
  <si>
    <t>6.03% State Government Securities (11/03/2025)</t>
  </si>
  <si>
    <t>IN2920190435</t>
  </si>
  <si>
    <t>GOI1272</t>
  </si>
  <si>
    <t>8.05% State Government Securities (25/02/2025)</t>
  </si>
  <si>
    <t>IN1920140101</t>
  </si>
  <si>
    <t>POWF313</t>
  </si>
  <si>
    <t>8.2% Power Finance Corporation Limited (10/03/2025) **</t>
  </si>
  <si>
    <t>INE134E08GY3</t>
  </si>
  <si>
    <t>GOI2401</t>
  </si>
  <si>
    <t>8.09% State Government Securities (11/03/2025)</t>
  </si>
  <si>
    <t>IN2120140115</t>
  </si>
  <si>
    <t>RECL274</t>
  </si>
  <si>
    <t>8.27% REC Limited (06/02/2025) **</t>
  </si>
  <si>
    <t>INE020B08906</t>
  </si>
  <si>
    <t>POWF170</t>
  </si>
  <si>
    <t>8.95% Power Finance Corporation Limited (30/03/2025) **</t>
  </si>
  <si>
    <t>INE134E08CV8</t>
  </si>
  <si>
    <t>POWF163</t>
  </si>
  <si>
    <t>8.80% Power Finance Corporation Limited (15/01/2025) **</t>
  </si>
  <si>
    <t>INE134E08CP0</t>
  </si>
  <si>
    <t>GOI1629</t>
  </si>
  <si>
    <t>8.06% State Government Securities (29/04/2025)</t>
  </si>
  <si>
    <t>IN3120150021</t>
  </si>
  <si>
    <t>GOI3457</t>
  </si>
  <si>
    <t>8.1% State Government Securities (28/01/2025)</t>
  </si>
  <si>
    <t>IN3420140136</t>
  </si>
  <si>
    <t>RECL273</t>
  </si>
  <si>
    <t>8.23% REC Limited (23/01/2025) **</t>
  </si>
  <si>
    <t>INE020B08898</t>
  </si>
  <si>
    <t>PGCI365</t>
  </si>
  <si>
    <t>8.15% Power Grid Corporation of India Limited (08/03/2025) **</t>
  </si>
  <si>
    <t>INE752E07MJ3</t>
  </si>
  <si>
    <t>GOI1690</t>
  </si>
  <si>
    <t>8.08% State Government Securities (11/03/2025)</t>
  </si>
  <si>
    <t>IN1920140119</t>
  </si>
  <si>
    <t>Benchmark Name - CRISIL IBX 70:30 CPSE PLUS SDL – APRIL 2025</t>
  </si>
  <si>
    <t>GOI1869</t>
  </si>
  <si>
    <t>7.51% State Government Securities (24/05/2027)</t>
  </si>
  <si>
    <t>IN2220170020</t>
  </si>
  <si>
    <t>GOI1873</t>
  </si>
  <si>
    <t>7.52% State Government Securities (24/05/2027)</t>
  </si>
  <si>
    <t>IN1520170045</t>
  </si>
  <si>
    <t>GOI1872</t>
  </si>
  <si>
    <t>IN3120170037</t>
  </si>
  <si>
    <t>GOI3644</t>
  </si>
  <si>
    <t>6.58% State Government Securities (31/03/2027)</t>
  </si>
  <si>
    <t>IN1520200347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</si>
  <si>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</si>
  <si>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</si>
  <si>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</si>
  <si>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</si>
  <si>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</si>
  <si>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</si>
  <si>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GOI1841</t>
  </si>
  <si>
    <t>7.71% State Government Securities (01/03/2027)</t>
  </si>
  <si>
    <t>IN1520160202</t>
  </si>
  <si>
    <t>GOI3755</t>
  </si>
  <si>
    <t>6.54% State Government Securities (09/02/2027)</t>
  </si>
  <si>
    <t>IN2220210271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</si>
  <si>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</si>
  <si>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</si>
  <si>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</si>
  <si>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</si>
  <si>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</si>
  <si>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</si>
  <si>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</si>
  <si>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</si>
  <si>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GOI1893</t>
  </si>
  <si>
    <t>7.59% State Government Securities (29/03/2027)</t>
  </si>
  <si>
    <t>IN1920160125</t>
  </si>
  <si>
    <t>GOI1785</t>
  </si>
  <si>
    <t>7.86% State Government Securities (15/03/2027)</t>
  </si>
  <si>
    <t>IN1920160117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</si>
  <si>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</si>
  <si>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</si>
  <si>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</si>
  <si>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</si>
  <si>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</si>
  <si>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</si>
  <si>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</si>
  <si>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</si>
  <si>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</si>
  <si>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</si>
  <si>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</si>
  <si>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GOI1829</t>
  </si>
  <si>
    <t>7.62% State Government Securities (29/03/2027)</t>
  </si>
  <si>
    <t>IN3120161424</t>
  </si>
  <si>
    <t>GOI1878</t>
  </si>
  <si>
    <t>7.6% State Government Securities (15/02/2027)</t>
  </si>
  <si>
    <t>IN2120160097</t>
  </si>
  <si>
    <t>GOI1702</t>
  </si>
  <si>
    <t>7.19% State Government Securities (25/01/2027)</t>
  </si>
  <si>
    <t>IN1520160186</t>
  </si>
  <si>
    <t>GOI1788</t>
  </si>
  <si>
    <t>7.88% State Government Securities (15/03/2027)</t>
  </si>
  <si>
    <t>IN3520160034</t>
  </si>
  <si>
    <t>GOI1758</t>
  </si>
  <si>
    <t>IN3420160167</t>
  </si>
  <si>
    <t>GOI1759</t>
  </si>
  <si>
    <t>7.74% State Government Securities (01/03/2027)</t>
  </si>
  <si>
    <t>IN3120161309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</si>
  <si>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</si>
  <si>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</si>
  <si>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</si>
  <si>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</si>
  <si>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</si>
  <si>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</si>
  <si>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</si>
  <si>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</si>
  <si>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</si>
  <si>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</si>
  <si>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</si>
  <si>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GOI1760</t>
  </si>
  <si>
    <t>7.75% State Government Securities (01/03/2027)</t>
  </si>
  <si>
    <t>IN1920160109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</si>
  <si>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</si>
  <si>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</si>
  <si>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</si>
  <si>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</si>
  <si>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</si>
  <si>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</si>
  <si>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GOI1756</t>
  </si>
  <si>
    <t>7.80% State Government Securities (01/03/2027)</t>
  </si>
  <si>
    <t>IN1620160276</t>
  </si>
  <si>
    <t>Benchmark Name - CRISIL IBX SDL INDEX - MAY 2027</t>
  </si>
  <si>
    <t>GOI2183</t>
  </si>
  <si>
    <t>8.08% State Government Securities (26/12/2028)</t>
  </si>
  <si>
    <t>IN3120180200</t>
  </si>
  <si>
    <t>SBAI201</t>
  </si>
  <si>
    <t>6.8% State Bank of India (21/08/2035) **</t>
  </si>
  <si>
    <t>INE062A08231</t>
  </si>
  <si>
    <t>HDFB879</t>
  </si>
  <si>
    <t>8.55% HDFC Bank Limited (27/03/2029) **</t>
  </si>
  <si>
    <t>INE040A08724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</si>
  <si>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</si>
  <si>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</si>
  <si>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</si>
  <si>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</si>
  <si>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</si>
  <si>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</si>
  <si>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</si>
  <si>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</si>
  <si>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</si>
  <si>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</si>
  <si>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</si>
  <si>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</si>
  <si>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</si>
  <si>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</si>
  <si>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</si>
  <si>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</si>
  <si>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</si>
  <si>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</si>
  <si>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</si>
  <si>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NHAI73</t>
  </si>
  <si>
    <t>7.35% National Highways Auth Of Ind (26/04/2030) **</t>
  </si>
  <si>
    <t>INE906B07HP8</t>
  </si>
  <si>
    <t>HDFB896</t>
  </si>
  <si>
    <t>7.05% HDFC Bank Limited (01/12/2031) **</t>
  </si>
  <si>
    <t>INE040A08963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</si>
  <si>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</si>
  <si>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</si>
  <si>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</si>
  <si>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</si>
  <si>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</si>
  <si>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</si>
  <si>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NTPC146</t>
  </si>
  <si>
    <t>8.3% NTPC Limited (15/01/2029) **</t>
  </si>
  <si>
    <t>INE733E07KJ7</t>
  </si>
  <si>
    <t>NBAR509</t>
  </si>
  <si>
    <t>8.24% National Bank For Agriculture and Rural Development (22/03/2029) **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</si>
  <si>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</si>
  <si>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</si>
  <si>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</si>
  <si>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</si>
  <si>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</si>
  <si>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</si>
  <si>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</si>
  <si>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</si>
  <si>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</si>
  <si>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</si>
  <si>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</si>
  <si>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</si>
  <si>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</si>
  <si>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</si>
  <si>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</si>
  <si>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</si>
  <si>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</si>
  <si>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</si>
  <si>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</si>
  <si>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HDFB895</t>
  </si>
  <si>
    <t>7.1% HDFC Bank Limited (12/11/2031) **</t>
  </si>
  <si>
    <t>INE040A08831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</si>
  <si>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</si>
  <si>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</si>
  <si>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</si>
  <si>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</si>
  <si>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</si>
  <si>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</si>
  <si>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GOI2855</t>
  </si>
  <si>
    <t>6.5% State Government Securities (25/11/2030)</t>
  </si>
  <si>
    <t>IN1520200214</t>
  </si>
  <si>
    <t>HDFB892</t>
  </si>
  <si>
    <t>6.88% HDFC Bank Limited (24/09/2031) **</t>
  </si>
  <si>
    <t>INE040A08781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</si>
  <si>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</si>
  <si>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</si>
  <si>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</si>
  <si>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</si>
  <si>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</si>
  <si>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</si>
  <si>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</si>
  <si>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</si>
  <si>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</si>
  <si>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</si>
  <si>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</si>
  <si>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</si>
  <si>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FCOI35</t>
  </si>
  <si>
    <t>7.09% Food Corporation Of India (13/08/2031) **</t>
  </si>
  <si>
    <t>INE861G08084</t>
  </si>
  <si>
    <t>HDFB885</t>
  </si>
  <si>
    <t>7.25% HDFC Bank Limited (17/06/2030) **</t>
  </si>
  <si>
    <t>INE040A08815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</si>
  <si>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</si>
  <si>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</si>
  <si>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</si>
  <si>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</si>
  <si>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</si>
  <si>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</si>
  <si>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NBAR606</t>
  </si>
  <si>
    <t>6.49% National Bank For Agriculture and Rural Development (30/12/2030) **</t>
  </si>
  <si>
    <t>INE261F08CQ6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</si>
  <si>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</si>
  <si>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</si>
  <si>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</si>
  <si>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</si>
  <si>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</si>
  <si>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</si>
  <si>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GOI2543</t>
  </si>
  <si>
    <t>7.04% State Government Securities (18/03/2030)</t>
  </si>
  <si>
    <t>IN1520190217</t>
  </si>
  <si>
    <t>HURD208</t>
  </si>
  <si>
    <t>8.58% Housing &amp; Urban Development Corporation Limited (14/02/2029) **</t>
  </si>
  <si>
    <t>INE031A08681</t>
  </si>
  <si>
    <t>NHPC117</t>
  </si>
  <si>
    <t>8.12% NHPC Limited (22/03/2029) **</t>
  </si>
  <si>
    <t>INE848E08136</t>
  </si>
  <si>
    <t>FCOI32</t>
  </si>
  <si>
    <t>7.6% Food Corporation Of India (09/01/2030) **</t>
  </si>
  <si>
    <t>INE861G08068</t>
  </si>
  <si>
    <t>HDFB884</t>
  </si>
  <si>
    <t>7.40% HDFC Bank Limited (28/02/2030) **</t>
  </si>
  <si>
    <t>INE040A08690</t>
  </si>
  <si>
    <t>GOI3511</t>
  </si>
  <si>
    <t>6.83% State Government Securities (23/06/2031)</t>
  </si>
  <si>
    <t>IN2220210131</t>
  </si>
  <si>
    <t>HDFB878</t>
  </si>
  <si>
    <t>9% HDFC Bank Limited (29/11/2028) **</t>
  </si>
  <si>
    <t>INE040A08AB1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</si>
  <si>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</si>
  <si>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</si>
  <si>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</si>
  <si>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</si>
  <si>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</si>
  <si>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</si>
  <si>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GOI5075</t>
  </si>
  <si>
    <t>7.7% State Government Securities (06/04/2032)</t>
  </si>
  <si>
    <t>IN1020230026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</si>
  <si>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</si>
  <si>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</si>
  <si>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</si>
  <si>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</si>
  <si>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</si>
  <si>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</si>
  <si>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</si>
  <si>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</si>
  <si>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</si>
  <si>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</si>
  <si>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</si>
  <si>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</si>
  <si>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</si>
  <si>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</si>
  <si>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</si>
  <si>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</si>
  <si>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</si>
  <si>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HDFB875</t>
  </si>
  <si>
    <t>9.05% HDFC Bank Limited (16/10/2028) **</t>
  </si>
  <si>
    <t>INE040A08732</t>
  </si>
  <si>
    <t>HURD210</t>
  </si>
  <si>
    <t>8.41% Housing &amp; Urban Development Corporation Limited (15/03/2029) **</t>
  </si>
  <si>
    <t>INE031A08699</t>
  </si>
  <si>
    <t>NBAR516</t>
  </si>
  <si>
    <t>8.5% National Bank For Agriculture and Rural Development (27/02/2029) **</t>
  </si>
  <si>
    <t>INE261F08BC8</t>
  </si>
  <si>
    <t>NHAI62</t>
  </si>
  <si>
    <t>8.27% National Highways Auth Of Ind (28/03/2029) **</t>
  </si>
  <si>
    <t>INE906B07GP0</t>
  </si>
  <si>
    <t>IRLY325</t>
  </si>
  <si>
    <t>8.23% Indian Railway Finance Corporation Limited (29/03/2029) **</t>
  </si>
  <si>
    <t>INE053F07BE7</t>
  </si>
  <si>
    <t>PGCI366</t>
  </si>
  <si>
    <t>8.15% Power Grid Corporation of India Limited (09/03/2030) **</t>
  </si>
  <si>
    <t>INE752E07MK1</t>
  </si>
  <si>
    <t>NBAR511</t>
  </si>
  <si>
    <t>8.15% National Bank For Agriculture and Rural Development (28/03/2029) **</t>
  </si>
  <si>
    <t>INE261F08BH7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</si>
  <si>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</si>
  <si>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</si>
  <si>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</si>
  <si>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</si>
  <si>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</si>
  <si>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</si>
  <si>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</si>
  <si>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</si>
  <si>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</si>
  <si>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</si>
  <si>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</si>
  <si>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</si>
  <si>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PGCI403</t>
  </si>
  <si>
    <t>7.55% Power Grid Corporation of India Limited (20/09/2031) **</t>
  </si>
  <si>
    <t>INE752E07OB6</t>
  </si>
  <si>
    <t>NHPC122</t>
  </si>
  <si>
    <t>7.5% NHPC Limited (06/10/2029) **</t>
  </si>
  <si>
    <t>INE848E07AS5</t>
  </si>
  <si>
    <t>NHPC124</t>
  </si>
  <si>
    <t>7.5% NHPC Limited (07/10/2027) **</t>
  </si>
  <si>
    <t>INE848E07AQ9</t>
  </si>
  <si>
    <t>NHAI65</t>
  </si>
  <si>
    <t>7.49% National Highways Auth Of Ind (01/08/2029) **</t>
  </si>
  <si>
    <t>INE906B07HG7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</si>
  <si>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</si>
  <si>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</si>
  <si>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</si>
  <si>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</si>
  <si>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</si>
  <si>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</si>
  <si>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</si>
  <si>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</si>
  <si>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</si>
  <si>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</si>
  <si>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</si>
  <si>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</si>
  <si>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</si>
  <si>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</si>
  <si>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</si>
  <si>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GOI1197</t>
  </si>
  <si>
    <t>8.60% Government of India (02/06/2028)</t>
  </si>
  <si>
    <t>IN0020140011</t>
  </si>
  <si>
    <t>Benchmark Name - NIFTY COMPOSITE DEBT INDEX B-III</t>
  </si>
  <si>
    <t>GUAM02</t>
  </si>
  <si>
    <t>Ambuja Cements Limited</t>
  </si>
  <si>
    <t>INE079A01024</t>
  </si>
  <si>
    <t>PSYL01</t>
  </si>
  <si>
    <t>Persistent Systems Limited</t>
  </si>
  <si>
    <t>INE262H01013</t>
  </si>
  <si>
    <t>CIPL03</t>
  </si>
  <si>
    <t>Cipla Limited</t>
  </si>
  <si>
    <t>INE059A01026</t>
  </si>
  <si>
    <t>SLIF01</t>
  </si>
  <si>
    <t>SBI Life Insurance Company Limited</t>
  </si>
  <si>
    <t>INE123W01016</t>
  </si>
  <si>
    <t>SAEL02</t>
  </si>
  <si>
    <t>TVS Motor Company Limited</t>
  </si>
  <si>
    <t>INE494B01023</t>
  </si>
  <si>
    <t>NITL01</t>
  </si>
  <si>
    <t>Coforge Limited</t>
  </si>
  <si>
    <t>INE591G01017</t>
  </si>
  <si>
    <t>KFIN01</t>
  </si>
  <si>
    <t>KFin Technologies Limited</t>
  </si>
  <si>
    <t>INE138Y01010</t>
  </si>
  <si>
    <t>Capital Markets</t>
  </si>
  <si>
    <t>ZEET02</t>
  </si>
  <si>
    <t>Zee Entertainment Enterprises Limited</t>
  </si>
  <si>
    <t>INE256A01028</t>
  </si>
  <si>
    <t>Entertainment</t>
  </si>
  <si>
    <t>GHPL01</t>
  </si>
  <si>
    <t>Global Health Limited</t>
  </si>
  <si>
    <t>INE474Q01031</t>
  </si>
  <si>
    <t>MCEL03</t>
  </si>
  <si>
    <t>The Ramco Cements Limited</t>
  </si>
  <si>
    <t>INE331A01037</t>
  </si>
  <si>
    <t>ACCL02</t>
  </si>
  <si>
    <t>ACC Limited</t>
  </si>
  <si>
    <t>INE012A01025</t>
  </si>
  <si>
    <t>IPPL01</t>
  </si>
  <si>
    <t>Indigo Paints Limited</t>
  </si>
  <si>
    <t>INE09VQ01012</t>
  </si>
  <si>
    <t>NACL03</t>
  </si>
  <si>
    <t>National Aluminium Company Limited</t>
  </si>
  <si>
    <t>INE139A01034</t>
  </si>
  <si>
    <t>HDLI01</t>
  </si>
  <si>
    <t>HDFC Life Insurance Company Limited</t>
  </si>
  <si>
    <t>INE795G01014</t>
  </si>
  <si>
    <t>GAIL01</t>
  </si>
  <si>
    <t>GAIL (India) Limited</t>
  </si>
  <si>
    <t>INE129A01019</t>
  </si>
  <si>
    <t>Gas</t>
  </si>
  <si>
    <t>MKIP01</t>
  </si>
  <si>
    <t>Mankind Pharma Limited</t>
  </si>
  <si>
    <t>INE634S01028</t>
  </si>
  <si>
    <t>IBHF01</t>
  </si>
  <si>
    <t>Indiabulls Housing Finance Limited</t>
  </si>
  <si>
    <t>INE148I01020</t>
  </si>
  <si>
    <t>MCSPOCT23</t>
  </si>
  <si>
    <t>United Spirits Limited October 2023 Future</t>
  </si>
  <si>
    <t>ACCLOCT23</t>
  </si>
  <si>
    <t>ACC Limited October 2023 Future</t>
  </si>
  <si>
    <t>JSPLOCT23</t>
  </si>
  <si>
    <t>Jindal Steel &amp; Power Limited October 2023 Future</t>
  </si>
  <si>
    <t>IIBLOCT23</t>
  </si>
  <si>
    <t>IndusInd Bank Limited October 2023 Future</t>
  </si>
  <si>
    <t>TTEAOCT23</t>
  </si>
  <si>
    <t>Tata Consumer Products Limited October 2023 Future</t>
  </si>
  <si>
    <t>IBHFOCT23</t>
  </si>
  <si>
    <t>Indiabulls Housing Finance Limited October 2023 Future</t>
  </si>
  <si>
    <t>GAILOCT23</t>
  </si>
  <si>
    <t>GAIL (India) Limited October 2023 Future</t>
  </si>
  <si>
    <t>HDLIOCT23</t>
  </si>
  <si>
    <t>HDFC Life Insurance Company Limited October 2023 Future</t>
  </si>
  <si>
    <t>NACLOCT23</t>
  </si>
  <si>
    <t>National Aluminium Company Limited October 2023 Future</t>
  </si>
  <si>
    <t>DABUOCT23</t>
  </si>
  <si>
    <t>Dabur India Limited October 2023 Future</t>
  </si>
  <si>
    <t>IBCLOCT23</t>
  </si>
  <si>
    <t>ICICI Bank Limited October 2023 Future</t>
  </si>
  <si>
    <t>HDFBOCT23</t>
  </si>
  <si>
    <t>HDFC Bank Limited October 2023 Future</t>
  </si>
  <si>
    <t>TPOWOCT23</t>
  </si>
  <si>
    <t>Tata Power Company Limited October 2023 Future</t>
  </si>
  <si>
    <t>GUAMOCT23</t>
  </si>
  <si>
    <t>Ambuja Cements Limited October 2023 Future</t>
  </si>
  <si>
    <t>BHAT57</t>
  </si>
  <si>
    <t>8.6% Bharti Telecom Limited (12/12/2025) **</t>
  </si>
  <si>
    <t>INE403D08165</t>
  </si>
  <si>
    <t>CRISIL AA+</t>
  </si>
  <si>
    <t>GOI4976</t>
  </si>
  <si>
    <t>7.26% Government of India (06/02/2033)</t>
  </si>
  <si>
    <t>IN0020220151</t>
  </si>
  <si>
    <t>HDFB872</t>
  </si>
  <si>
    <t>1.50% HDFC Bank Limited (27/03/2027) **</t>
  </si>
  <si>
    <t>INE040A08567</t>
  </si>
  <si>
    <t>RECL421</t>
  </si>
  <si>
    <t>6.92% REC Limited (20/03/2032) **</t>
  </si>
  <si>
    <t>INE020B08DV3</t>
  </si>
  <si>
    <t>MALE572</t>
  </si>
  <si>
    <t>7.6% Poonawalla Fincorp Limited (19/07/2024) **</t>
  </si>
  <si>
    <t>INE511C07755</t>
  </si>
  <si>
    <t>SHEB136</t>
  </si>
  <si>
    <t>7.15% Tata Motors Finance Solutions Limited (25/06/2024) **</t>
  </si>
  <si>
    <t>INE601U08259</t>
  </si>
  <si>
    <t>CRISIL AA</t>
  </si>
  <si>
    <t>GOI4659</t>
  </si>
  <si>
    <t>7.40% Government of India (19/09/2027)</t>
  </si>
  <si>
    <t>IN000927C045</t>
  </si>
  <si>
    <t>VIVL26</t>
  </si>
  <si>
    <t>10.25% Vivriti Capital Private Limited (26/12/2024) **</t>
  </si>
  <si>
    <t>INE01HV07338</t>
  </si>
  <si>
    <t>CARE A</t>
  </si>
  <si>
    <t>GOI4900</t>
  </si>
  <si>
    <t>7.41% Government of India (19/12/2036)</t>
  </si>
  <si>
    <t>IN0020220102</t>
  </si>
  <si>
    <t>HDFB914</t>
  </si>
  <si>
    <t>7.65% HDFC Bank Limited (25/05/2033) **</t>
  </si>
  <si>
    <t>INE040A08930</t>
  </si>
  <si>
    <t>ICFP136</t>
  </si>
  <si>
    <t>9.95% IndoStar Capital Finance Limited (07/08/2025)</t>
  </si>
  <si>
    <t>INE896L07926</t>
  </si>
  <si>
    <t>CRISIL AA-</t>
  </si>
  <si>
    <t>AAHF88</t>
  </si>
  <si>
    <t>8.50% Aadhar Housing Finance Limited (26/05/2026) **</t>
  </si>
  <si>
    <t>INE883F07306</t>
  </si>
  <si>
    <t>IND AA</t>
  </si>
  <si>
    <t>EKAF29</t>
  </si>
  <si>
    <t>9.15% SK Finance Limited (02/02/2025) **</t>
  </si>
  <si>
    <t>INE124N07655</t>
  </si>
  <si>
    <t>CRISIL A+</t>
  </si>
  <si>
    <t>GOI3642</t>
  </si>
  <si>
    <t>6.24% State Government Securities (11/08/2026)</t>
  </si>
  <si>
    <t>IN2220210214</t>
  </si>
  <si>
    <t>GOI1474</t>
  </si>
  <si>
    <t>8.51% State Government Securities (09/03/2026)</t>
  </si>
  <si>
    <t>IN2220150204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</si>
  <si>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</si>
  <si>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</si>
  <si>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</si>
  <si>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</si>
  <si>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</si>
  <si>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</si>
  <si>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TBIL2197</t>
  </si>
  <si>
    <t>182 Days Tbill (MD 26/10/2023)</t>
  </si>
  <si>
    <t>IN002023Y045</t>
  </si>
  <si>
    <t>TBIL2243</t>
  </si>
  <si>
    <t>182 Days Tbill (MD 16/02/2024)</t>
  </si>
  <si>
    <t>IN002023Y219</t>
  </si>
  <si>
    <t>Benchmark Name - NIFTY 50 HYBRID COMPOSITE DEBT 50:50 INDEX</t>
  </si>
  <si>
    <t>BINL01</t>
  </si>
  <si>
    <t>Indus Towers Limited</t>
  </si>
  <si>
    <t>INE121J01017</t>
  </si>
  <si>
    <t>MNGF02</t>
  </si>
  <si>
    <t>Manappuram Finance Limited</t>
  </si>
  <si>
    <t>INE522D01027</t>
  </si>
  <si>
    <t>AUPH03</t>
  </si>
  <si>
    <t>Aurobindo Pharma Limited</t>
  </si>
  <si>
    <t>INE406A01037</t>
  </si>
  <si>
    <t>KPIT03</t>
  </si>
  <si>
    <t>Birlasoft Limited</t>
  </si>
  <si>
    <t>INE836A01035</t>
  </si>
  <si>
    <t>DRRL02</t>
  </si>
  <si>
    <t>Dr. Reddy's Laboratories Limited</t>
  </si>
  <si>
    <t>INE089A01023</t>
  </si>
  <si>
    <t>BIOC01</t>
  </si>
  <si>
    <t>Biocon Limited</t>
  </si>
  <si>
    <t>INE376G01013</t>
  </si>
  <si>
    <t>GRAS02</t>
  </si>
  <si>
    <t>Grasim Industries Limited</t>
  </si>
  <si>
    <t>INE047A01021</t>
  </si>
  <si>
    <t>LICH02</t>
  </si>
  <si>
    <t>LIC Housing Finance Limited</t>
  </si>
  <si>
    <t>INE115A01026</t>
  </si>
  <si>
    <t>BTAT01</t>
  </si>
  <si>
    <t>Vodafone Idea Limited</t>
  </si>
  <si>
    <t>INE669E01016</t>
  </si>
  <si>
    <t>NMDC01</t>
  </si>
  <si>
    <t>NMDC Limited</t>
  </si>
  <si>
    <t>INE584A01023</t>
  </si>
  <si>
    <t>Minerals &amp; Mining</t>
  </si>
  <si>
    <t>CANB01</t>
  </si>
  <si>
    <t>Canara Bank</t>
  </si>
  <si>
    <t>INE476A01014</t>
  </si>
  <si>
    <t>ICEM01</t>
  </si>
  <si>
    <t>The India Cements Limited</t>
  </si>
  <si>
    <t>INE383A01012</t>
  </si>
  <si>
    <t>SAIL01</t>
  </si>
  <si>
    <t>Steel Authority of India Limited</t>
  </si>
  <si>
    <t>INE114A01011</t>
  </si>
  <si>
    <t>GRAN02</t>
  </si>
  <si>
    <t>Granules India Limited</t>
  </si>
  <si>
    <t>INE101D01020</t>
  </si>
  <si>
    <t>TOPH02</t>
  </si>
  <si>
    <t>Torrent Pharmaceuticals Limited</t>
  </si>
  <si>
    <t>INE685A01028</t>
  </si>
  <si>
    <t>HALT02</t>
  </si>
  <si>
    <t>Hindustan Aeronautics Limited</t>
  </si>
  <si>
    <t>INE066F01020</t>
  </si>
  <si>
    <t>HICO02</t>
  </si>
  <si>
    <t>Hindustan Copper Limited</t>
  </si>
  <si>
    <t>INE531E01026</t>
  </si>
  <si>
    <t>GUJN01</t>
  </si>
  <si>
    <t>Gujarat Narmada Valley Fertilizers and Chemicals Limited</t>
  </si>
  <si>
    <t>INE113A01013</t>
  </si>
  <si>
    <t>PVRL01</t>
  </si>
  <si>
    <t>PVR INOX Limited</t>
  </si>
  <si>
    <t>INE191H01014</t>
  </si>
  <si>
    <t>SECH03</t>
  </si>
  <si>
    <t>UPL Limited</t>
  </si>
  <si>
    <t>INE628A01036</t>
  </si>
  <si>
    <t>PIDI02</t>
  </si>
  <si>
    <t>Pidilite Industries Limited</t>
  </si>
  <si>
    <t>INE318A01026</t>
  </si>
  <si>
    <t>ARWE03</t>
  </si>
  <si>
    <t>Delta Corp Limited</t>
  </si>
  <si>
    <t>INE124G01033</t>
  </si>
  <si>
    <t>HPEC01</t>
  </si>
  <si>
    <t>Hindustan Petroleum Corporation Limited</t>
  </si>
  <si>
    <t>INE094A01015</t>
  </si>
  <si>
    <t>IEEL02</t>
  </si>
  <si>
    <t>Indian Energy Exchange Limited</t>
  </si>
  <si>
    <t>INE022Q01020</t>
  </si>
  <si>
    <t>ABFS01</t>
  </si>
  <si>
    <t>Aditya Birla Capital Limited</t>
  </si>
  <si>
    <t>INE674K01013</t>
  </si>
  <si>
    <t>PLNG01</t>
  </si>
  <si>
    <t>Petronet LNG Limited</t>
  </si>
  <si>
    <t>INE347G01014</t>
  </si>
  <si>
    <t>RATN01</t>
  </si>
  <si>
    <t>RBL Bank Limited</t>
  </si>
  <si>
    <t>INE976G01028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</si>
  <si>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</si>
  <si>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</si>
  <si>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</si>
  <si>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</si>
  <si>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</si>
  <si>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</si>
  <si>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</si>
  <si>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CCOI02</t>
  </si>
  <si>
    <t>Container Corporation of India Limited</t>
  </si>
  <si>
    <t>INE111A01025</t>
  </si>
  <si>
    <t>AARI02</t>
  </si>
  <si>
    <t>Aarti Industries Limited</t>
  </si>
  <si>
    <t>INE769A01020</t>
  </si>
  <si>
    <t>MAXI02</t>
  </si>
  <si>
    <t>Max Financial Services Limited</t>
  </si>
  <si>
    <t>INE180A01020</t>
  </si>
  <si>
    <t>SIEM02</t>
  </si>
  <si>
    <t>Siemens Limited</t>
  </si>
  <si>
    <t>INE003A01024</t>
  </si>
  <si>
    <t>Electrical Equipment</t>
  </si>
  <si>
    <t>OBRL01</t>
  </si>
  <si>
    <t>Oberoi Realty Limited</t>
  </si>
  <si>
    <t>INE093I01010</t>
  </si>
  <si>
    <t>CHAM01</t>
  </si>
  <si>
    <t>Chambal Fertilizers &amp; Chemicals Limited</t>
  </si>
  <si>
    <t>INE085A01013</t>
  </si>
  <si>
    <t>BHFO02</t>
  </si>
  <si>
    <t>Bharat Forge Limited</t>
  </si>
  <si>
    <t>INE465A01025</t>
  </si>
  <si>
    <t>BHAH02</t>
  </si>
  <si>
    <t>Bharat Heavy Electricals Limited</t>
  </si>
  <si>
    <t>INE257A01026</t>
  </si>
  <si>
    <t>GLPH03</t>
  </si>
  <si>
    <t>Glenmark Pharmaceuticals Limited</t>
  </si>
  <si>
    <t>INE935A01035</t>
  </si>
  <si>
    <t>IFEL01</t>
  </si>
  <si>
    <t>Oracle Financial Services Software Limited</t>
  </si>
  <si>
    <t>INE881D01027</t>
  </si>
  <si>
    <t>CHLO02</t>
  </si>
  <si>
    <t>Exide Industries Limited</t>
  </si>
  <si>
    <t>INE302A01020</t>
  </si>
  <si>
    <t>CGCE01</t>
  </si>
  <si>
    <t>Crompton Greaves Consumer Electricals Limited</t>
  </si>
  <si>
    <t>INE299U01018</t>
  </si>
  <si>
    <t>POCA01</t>
  </si>
  <si>
    <t>Polycab India Limited</t>
  </si>
  <si>
    <t>INE455K01017</t>
  </si>
  <si>
    <t>SUNT02</t>
  </si>
  <si>
    <t>Sun TV Network Limited</t>
  </si>
  <si>
    <t>INE424H01027</t>
  </si>
  <si>
    <t>CUBI02</t>
  </si>
  <si>
    <t>City Union Bank Limited</t>
  </si>
  <si>
    <t>INE491A01021</t>
  </si>
  <si>
    <t>ASEA02</t>
  </si>
  <si>
    <t>ABB India Limited</t>
  </si>
  <si>
    <t>INE117A01022</t>
  </si>
  <si>
    <t>IRCT02</t>
  </si>
  <si>
    <t>Indian Railway Catering And Tourism Corporation Limited</t>
  </si>
  <si>
    <t>INE335Y01020</t>
  </si>
  <si>
    <t>GMRI03</t>
  </si>
  <si>
    <t>GMR Airports Infrastructure Limited</t>
  </si>
  <si>
    <t>INE776C01039</t>
  </si>
  <si>
    <t>Transport Infrastructure</t>
  </si>
  <si>
    <t>UBBL02</t>
  </si>
  <si>
    <t>United Breweries Limited</t>
  </si>
  <si>
    <t>INE686F01025</t>
  </si>
  <si>
    <t>RELC01</t>
  </si>
  <si>
    <t>REC Limited</t>
  </si>
  <si>
    <t>INE020B01018</t>
  </si>
  <si>
    <t>IGAS02</t>
  </si>
  <si>
    <t>Indraprastha Gas Limited</t>
  </si>
  <si>
    <t>INE203G01027</t>
  </si>
  <si>
    <t>ESCO01</t>
  </si>
  <si>
    <t>Escorts Kubota Limited</t>
  </si>
  <si>
    <t>INE042A01014</t>
  </si>
  <si>
    <t>Agricultural, Commercial &amp; Construction Vehicles</t>
  </si>
  <si>
    <t>SHTR01</t>
  </si>
  <si>
    <t>Shriram Finance Limited</t>
  </si>
  <si>
    <t>INE721A01013</t>
  </si>
  <si>
    <t>METR01</t>
  </si>
  <si>
    <t>Metropolis Healthcare Limited</t>
  </si>
  <si>
    <t>INE112L01020</t>
  </si>
  <si>
    <t>PFCL01</t>
  </si>
  <si>
    <t>Power Finance Corporation Limited</t>
  </si>
  <si>
    <t>INE134E01011</t>
  </si>
  <si>
    <t>ASHL02</t>
  </si>
  <si>
    <t>Ashok Leyland Limited</t>
  </si>
  <si>
    <t>INE208A01029</t>
  </si>
  <si>
    <t>BOOT01</t>
  </si>
  <si>
    <t>Abbott India Limited</t>
  </si>
  <si>
    <t>INE358A01014</t>
  </si>
  <si>
    <t>MCEX01</t>
  </si>
  <si>
    <t>Multi Commodity Exchange of India Limited</t>
  </si>
  <si>
    <t>INE745G01035</t>
  </si>
  <si>
    <t>JKCE01</t>
  </si>
  <si>
    <t>JK Cement Limited</t>
  </si>
  <si>
    <t>INE823G01014</t>
  </si>
  <si>
    <t>BHELOCT23</t>
  </si>
  <si>
    <t>Bharat Electronics Limited October 2023 Future</t>
  </si>
  <si>
    <t>JKCEOCT23</t>
  </si>
  <si>
    <t>JK Cement Limited October 2023 Future</t>
  </si>
  <si>
    <t>MCEXOCT23</t>
  </si>
  <si>
    <t>Multi Commodity Exchange of India Limited October 2023 Future</t>
  </si>
  <si>
    <t>BOOTOCT23</t>
  </si>
  <si>
    <t>Abbott India Limited October 2023 Future</t>
  </si>
  <si>
    <t>INAVOCT23</t>
  </si>
  <si>
    <t>InterGlobe Aviation Limited October 2023 Future</t>
  </si>
  <si>
    <t>ASHLOCT23</t>
  </si>
  <si>
    <t>Ashok Leyland Limited October 2023 Future</t>
  </si>
  <si>
    <t>POWFOCT23</t>
  </si>
  <si>
    <t>Power Finance Corporation Limited October 2023 Future</t>
  </si>
  <si>
    <t>SRFLOCT23</t>
  </si>
  <si>
    <t>SRF Limited October 2023 Future</t>
  </si>
  <si>
    <t>METROCT23</t>
  </si>
  <si>
    <t>Metropolis Healthcare Limited October 2023 Future</t>
  </si>
  <si>
    <t>LAKMOCT23</t>
  </si>
  <si>
    <t>Trent Limited October 2023 Future</t>
  </si>
  <si>
    <t>MARCOCT23</t>
  </si>
  <si>
    <t>Marico Limited October 2023 Future</t>
  </si>
  <si>
    <t>SHTROCT23</t>
  </si>
  <si>
    <t>Shriram Finance Limited October 2023 Future</t>
  </si>
  <si>
    <t>ESCOOCT23</t>
  </si>
  <si>
    <t>Escorts Kubota Limited October 2023 Future</t>
  </si>
  <si>
    <t>IGASOCT23</t>
  </si>
  <si>
    <t>Indraprastha Gas Limited October 2023 Future</t>
  </si>
  <si>
    <t>ASPAOCT23</t>
  </si>
  <si>
    <t>Asian Paints Limited October 2023 Future</t>
  </si>
  <si>
    <t>RELCOCT23</t>
  </si>
  <si>
    <t>REC Limited October 2023 Future</t>
  </si>
  <si>
    <t>UBBLOCT23</t>
  </si>
  <si>
    <t>United Breweries Limited October 2023 Future</t>
  </si>
  <si>
    <t>GMRIOCT23</t>
  </si>
  <si>
    <t>GMR Airports Infrastructure Limited October 2023 Future</t>
  </si>
  <si>
    <t>IRCTOCT23</t>
  </si>
  <si>
    <t>Indian Railway Catering And Tourism Corporation Limited October 2023 Future</t>
  </si>
  <si>
    <t>DIVIOCT23</t>
  </si>
  <si>
    <t>Divi's Laboratories Limited October 2023 Future</t>
  </si>
  <si>
    <t>ASEAOCT23</t>
  </si>
  <si>
    <t>ABB India Limited October 2023 Future</t>
  </si>
  <si>
    <t>NESTOCT23</t>
  </si>
  <si>
    <t>Nestle India Limited October 2023 Future</t>
  </si>
  <si>
    <t>CUBIOCT23</t>
  </si>
  <si>
    <t>City Union Bank Limited October 2023 Future</t>
  </si>
  <si>
    <t>MAHIOCT23</t>
  </si>
  <si>
    <t>Mahindra &amp; Mahindra Limited October 2023 Future</t>
  </si>
  <si>
    <t>SUNTOCT23</t>
  </si>
  <si>
    <t>Sun TV Network Limited October 2023 Future</t>
  </si>
  <si>
    <t>POCAOCT23</t>
  </si>
  <si>
    <t>Polycab India Limited October 2023 Future</t>
  </si>
  <si>
    <t>HAILOCT23</t>
  </si>
  <si>
    <t>Havells India Limited October 2023 Future</t>
  </si>
  <si>
    <t>CGCEOCT23</t>
  </si>
  <si>
    <t>Crompton Greaves Consumer Electricals Limited October 2023 Future</t>
  </si>
  <si>
    <t>SLIFOCT23</t>
  </si>
  <si>
    <t>SBI Life Insurance Company Limited October 2023 Future</t>
  </si>
  <si>
    <t>CHLOOCT23</t>
  </si>
  <si>
    <t>Exide Industries Limited October 2023 Future</t>
  </si>
  <si>
    <t>IFELOCT23</t>
  </si>
  <si>
    <t>Oracle Financial Services Software Limited October 2023 Future</t>
  </si>
  <si>
    <t>BALCOCT23</t>
  </si>
  <si>
    <t>Balrampur Chini Mills Limited October 2023 Future</t>
  </si>
  <si>
    <t>IEINOCT23</t>
  </si>
  <si>
    <t>Info Edge (India) Limited October 2023 Future</t>
  </si>
  <si>
    <t>TWATOCT23</t>
  </si>
  <si>
    <t>Titan Company Limited October 2023 Future</t>
  </si>
  <si>
    <t>GLPHOCT23</t>
  </si>
  <si>
    <t>Glenmark Pharmaceuticals Limited October 2023 Future</t>
  </si>
  <si>
    <t>VOLTOCT23</t>
  </si>
  <si>
    <t>Voltas Limited October 2023 Future</t>
  </si>
  <si>
    <t>BHAHOCT23</t>
  </si>
  <si>
    <t>Bharat Heavy Electricals Limited October 2023 Future</t>
  </si>
  <si>
    <t>BHFOOCT23</t>
  </si>
  <si>
    <t>Bharat Forge Limited October 2023 Future</t>
  </si>
  <si>
    <t>CHAMOCT23</t>
  </si>
  <si>
    <t>Chambal Fertilizers &amp; Chemicals Limited October 2023 Future</t>
  </si>
  <si>
    <t>OBRLOCT23</t>
  </si>
  <si>
    <t>Oberoi Realty Limited October 2023 Future</t>
  </si>
  <si>
    <t>SIEMOCT23</t>
  </si>
  <si>
    <t>Siemens Limited October 2023 Future</t>
  </si>
  <si>
    <t>MAXIOCT23</t>
  </si>
  <si>
    <t>Max Financial Services Limited October 2023 Future</t>
  </si>
  <si>
    <t>BKBAOCT23</t>
  </si>
  <si>
    <t>Bank of Baroda October 2023 Future</t>
  </si>
  <si>
    <t>CIPLOCT23</t>
  </si>
  <si>
    <t>Cipla Limited October 2023 Future</t>
  </si>
  <si>
    <t>AARIOCT23</t>
  </si>
  <si>
    <t>Aarti Industries Limited October 2023 Future</t>
  </si>
  <si>
    <t>CCOIOCT23</t>
  </si>
  <si>
    <t>Container Corporation of India Limited October 2023 Future</t>
  </si>
  <si>
    <t>LUPLOCT23</t>
  </si>
  <si>
    <t>Lupin Limited October 2023 Future</t>
  </si>
  <si>
    <t>RTBKOCT23</t>
  </si>
  <si>
    <t>RBL Bank Limited October 2023 Future</t>
  </si>
  <si>
    <t>SESAOCT23</t>
  </si>
  <si>
    <t>Vedanta Limited October 2023 Future</t>
  </si>
  <si>
    <t>PLNGOCT23</t>
  </si>
  <si>
    <t>Petronet LNG Limited October 2023 Future</t>
  </si>
  <si>
    <t>ABFSOCT23</t>
  </si>
  <si>
    <t>Aditya Birla Capital Limited October 2023 Future</t>
  </si>
  <si>
    <t>PGCIOCT23</t>
  </si>
  <si>
    <t>Power Grid Corporation of India Limited October 2023 Future</t>
  </si>
  <si>
    <t>CANHOCT23</t>
  </si>
  <si>
    <t>Can Fin Homes Limited October 2023 Future</t>
  </si>
  <si>
    <t>EIMLOCT23</t>
  </si>
  <si>
    <t>Eicher Motors Limited October 2023 Future</t>
  </si>
  <si>
    <t>HPECOCT23</t>
  </si>
  <si>
    <t>Hindustan Petroleum Corporation Limited October 2023 Future</t>
  </si>
  <si>
    <t>IEELOCT23</t>
  </si>
  <si>
    <t>Indian Energy Exchange Limited October 2023 Future</t>
  </si>
  <si>
    <t>ARWEOCT23</t>
  </si>
  <si>
    <t>Delta Corp Limited October 2023 Future</t>
  </si>
  <si>
    <t>PIDIOCT23</t>
  </si>
  <si>
    <t>Pidilite Industries Limited October 2023 Future</t>
  </si>
  <si>
    <t>SECHOCT23</t>
  </si>
  <si>
    <t>UPL Limited October 2023 Future</t>
  </si>
  <si>
    <t>ITCLOCT23</t>
  </si>
  <si>
    <t>ITC Limited October 2023 Future</t>
  </si>
  <si>
    <t>PVRLOCT23</t>
  </si>
  <si>
    <t>PVR INOX Limited October 2023 Future</t>
  </si>
  <si>
    <t>GUJNOCT23</t>
  </si>
  <si>
    <t>Gujarat Narmada Valley Fertilizers and Chemicals Limited October 2023 Future</t>
  </si>
  <si>
    <t>TCSLOCT23</t>
  </si>
  <si>
    <t>Tata Consultancy Services Limited October 2023 Future</t>
  </si>
  <si>
    <t>HICOOCT23</t>
  </si>
  <si>
    <t>Hindustan Copper Limited October 2023 Future</t>
  </si>
  <si>
    <t>HALTOCT23</t>
  </si>
  <si>
    <t>Hindustan Aeronautics Limited October 2023 Future</t>
  </si>
  <si>
    <t>NTPCOCT23</t>
  </si>
  <si>
    <t>NTPC Limited October 2023 Future</t>
  </si>
  <si>
    <t>TOPHOCT23</t>
  </si>
  <si>
    <t>Torrent Pharmaceuticals Limited October 2023 Future</t>
  </si>
  <si>
    <t>TELCOCT23</t>
  </si>
  <si>
    <t>Tata Motors Limited October 2023 Future</t>
  </si>
  <si>
    <t>PAGEOCT23</t>
  </si>
  <si>
    <t>Page Industries Limited October 2023 Future</t>
  </si>
  <si>
    <t>BFSLOCT23</t>
  </si>
  <si>
    <t>Bajaj Finserv Limited October 2023 Future</t>
  </si>
  <si>
    <t>IHOTOCT23</t>
  </si>
  <si>
    <t>The Indian Hotels Company Limited October 2023 Future</t>
  </si>
  <si>
    <t>GRANOCT23</t>
  </si>
  <si>
    <t>Granules India Limited October 2023 Future</t>
  </si>
  <si>
    <t>WIPROCT23</t>
  </si>
  <si>
    <t>Wipro Limited October 2023 Future</t>
  </si>
  <si>
    <t>SAILOCT23</t>
  </si>
  <si>
    <t>Steel Authority of India Limited October 2023 Future</t>
  </si>
  <si>
    <t>DLFLOCT23</t>
  </si>
  <si>
    <t>DLF Limited October 2023 Future</t>
  </si>
  <si>
    <t>ICEMOCT23</t>
  </si>
  <si>
    <t>The India Cements Limited October 2023 Future</t>
  </si>
  <si>
    <t>ULCCOCT23</t>
  </si>
  <si>
    <t>UltraTech Cement Limited October 2023 Future</t>
  </si>
  <si>
    <t>MAUDOCT23</t>
  </si>
  <si>
    <t>Maruti Suzuki India Limited October 2023 Future</t>
  </si>
  <si>
    <t>CANBOCT23</t>
  </si>
  <si>
    <t>Canara Bank October 2023 Future</t>
  </si>
  <si>
    <t>NMDCOCT23</t>
  </si>
  <si>
    <t>NMDC Limited October 2023 Future</t>
  </si>
  <si>
    <t>LICHOCT23</t>
  </si>
  <si>
    <t>LIC Housing Finance Limited October 2023 Future</t>
  </si>
  <si>
    <t>ATATOCT23</t>
  </si>
  <si>
    <t>Vodafone Idea Limited October 2023 Future</t>
  </si>
  <si>
    <t>GRASOCT23</t>
  </si>
  <si>
    <t>Grasim Industries Limited October 2023 Future</t>
  </si>
  <si>
    <t>APOLOCT23</t>
  </si>
  <si>
    <t>Apollo Hospitals Enterprise Limited October 2023 Future</t>
  </si>
  <si>
    <t>SPILOCT23</t>
  </si>
  <si>
    <t>Sun Pharmaceutical Industries Limited October 2023 Future</t>
  </si>
  <si>
    <t>KMBKOCT23</t>
  </si>
  <si>
    <t>Kotak Mahindra Bank Limited October 2023 Future</t>
  </si>
  <si>
    <t>BIOCOCT23</t>
  </si>
  <si>
    <t>Biocon Limited October 2023 Future</t>
  </si>
  <si>
    <t>FEBAOCT23</t>
  </si>
  <si>
    <t>The Federal Bank Limited October 2023 Future</t>
  </si>
  <si>
    <t>GCPLOCT23</t>
  </si>
  <si>
    <t>Godrej Consumer Products Limited October 2023 Future</t>
  </si>
  <si>
    <t>DRRLOCT23</t>
  </si>
  <si>
    <t>Dr. Reddy's Laboratories Limited October 2023 Future</t>
  </si>
  <si>
    <t>KPITOCT23</t>
  </si>
  <si>
    <t>Birlasoft Limited October 2023 Future</t>
  </si>
  <si>
    <t>AUPHOCT23</t>
  </si>
  <si>
    <t>Aurobindo Pharma Limited October 2023 Future</t>
  </si>
  <si>
    <t>MNGFOCT23</t>
  </si>
  <si>
    <t>Manappuram Finance Limited October 2023 Future</t>
  </si>
  <si>
    <t>BALNOCT23</t>
  </si>
  <si>
    <t>Bajaj Auto Limited October 2023 Future</t>
  </si>
  <si>
    <t>BANDOCT23</t>
  </si>
  <si>
    <t>Bandhan Bank Limited October 2023 Future</t>
  </si>
  <si>
    <t>PIINOCT23</t>
  </si>
  <si>
    <t>PI Industries Limited October 2023 Future</t>
  </si>
  <si>
    <t>BINLOCT23</t>
  </si>
  <si>
    <t>Indus Towers Limited October 2023 Future</t>
  </si>
  <si>
    <t>RINDOCT23</t>
  </si>
  <si>
    <t>Reliance Industries Limited October 2023 Future</t>
  </si>
  <si>
    <t>GOI5268</t>
  </si>
  <si>
    <t>8.43% State Government Securities (26/11/2024)</t>
  </si>
  <si>
    <t>IN2920140174</t>
  </si>
  <si>
    <t>CANB930</t>
  </si>
  <si>
    <t>Canara Bank (01/02/2024)</t>
  </si>
  <si>
    <t>INE476A16WK5</t>
  </si>
  <si>
    <t>HDFB834</t>
  </si>
  <si>
    <t>HDFC Bank Limited (20/03/2024)</t>
  </si>
  <si>
    <t>INE040A16DU8</t>
  </si>
  <si>
    <t>CARE A1+</t>
  </si>
  <si>
    <t>Commercial Paper</t>
  </si>
  <si>
    <t>ICBR446</t>
  </si>
  <si>
    <t>ICICI Securities Limited (04/12/2023) **</t>
  </si>
  <si>
    <t>INE763G14QU9</t>
  </si>
  <si>
    <t>HDFB917</t>
  </si>
  <si>
    <t>HDFC Bank Limited (24/04/2024)</t>
  </si>
  <si>
    <t>INE040A14292</t>
  </si>
  <si>
    <t>MMFS1175</t>
  </si>
  <si>
    <t>Mahindra &amp; Mahindra Financial Services Limited (24/05/2024) **</t>
  </si>
  <si>
    <t>INE774D14RS5</t>
  </si>
  <si>
    <t>TBIL2231</t>
  </si>
  <si>
    <t>182 Days Tbill (MD 25/01/2024)</t>
  </si>
  <si>
    <t>IN002023Y177</t>
  </si>
  <si>
    <t>TBIL2246</t>
  </si>
  <si>
    <t>182 Days Tbill (MD 22/02/2024)</t>
  </si>
  <si>
    <t>IN002023Y227</t>
  </si>
  <si>
    <t>TBIL2217</t>
  </si>
  <si>
    <t>182 Days Tbill (MD 21/12/2023)</t>
  </si>
  <si>
    <t>IN002023Y128</t>
  </si>
  <si>
    <t>TBIL2237</t>
  </si>
  <si>
    <t>182 Days Tbill (MD 29/12/2023)</t>
  </si>
  <si>
    <t>IN002023Y136</t>
  </si>
  <si>
    <t>TBIL2227</t>
  </si>
  <si>
    <t>182 Days Tbill (MD 18/01/2024)</t>
  </si>
  <si>
    <t>IN002023Y169</t>
  </si>
  <si>
    <t>TBIL2163</t>
  </si>
  <si>
    <t>364 Days Tbill (MD 08/02/2024)</t>
  </si>
  <si>
    <t>IN002022Z457</t>
  </si>
  <si>
    <t>TBIL2234</t>
  </si>
  <si>
    <t>182 Days Tbill (MD 01/02/2024)</t>
  </si>
  <si>
    <t>IN002023Y185</t>
  </si>
  <si>
    <t>TBIL2175</t>
  </si>
  <si>
    <t>364 Days Tbill (MD 07/03/2024)</t>
  </si>
  <si>
    <t>IN002022Z499</t>
  </si>
  <si>
    <t>TBIL2178</t>
  </si>
  <si>
    <t>364 Days Tbill (MD 14/03/2024)</t>
  </si>
  <si>
    <t>IN002022Z507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</si>
  <si>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</si>
  <si>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</si>
  <si>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</si>
  <si>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</si>
  <si>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</si>
  <si>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</si>
  <si>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Benchmark Name - NIFTY 50 ARBITRAGE INDEX</t>
  </si>
  <si>
    <t>AXMB50ME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</si>
  <si>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</si>
  <si>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</si>
  <si>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</si>
  <si>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</si>
  <si>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</si>
  <si>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</si>
  <si>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</si>
  <si>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</si>
  <si>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INF846K016C7</t>
  </si>
  <si>
    <t>AXNE51ME</t>
  </si>
  <si>
    <t>INF846K01W98</t>
  </si>
  <si>
    <t>AXTF50ME</t>
  </si>
  <si>
    <t>AXIS NIFTY IT ETF</t>
  </si>
  <si>
    <t>INF846K01Y96</t>
  </si>
  <si>
    <t>AXHE50ME</t>
  </si>
  <si>
    <t>INF846K01Z12</t>
  </si>
  <si>
    <t>FOIL01</t>
  </si>
  <si>
    <t>Fine Organic Industries Limited</t>
  </si>
  <si>
    <t>INE686Y01026</t>
  </si>
  <si>
    <t>DEFE01</t>
  </si>
  <si>
    <t>Deepak Fertilizers and Petrochemicals Corporation Limited</t>
  </si>
  <si>
    <t>INE501A01019</t>
  </si>
  <si>
    <t>ALKE01</t>
  </si>
  <si>
    <t>Alkem Laboratories Limited</t>
  </si>
  <si>
    <t>INE540L01014</t>
  </si>
  <si>
    <t>BFLS01</t>
  </si>
  <si>
    <t>MphasiS Limited</t>
  </si>
  <si>
    <t>INE356A01018</t>
  </si>
  <si>
    <t>RRKL01</t>
  </si>
  <si>
    <t>R R Kabel Limited</t>
  </si>
  <si>
    <t>INE777K01022</t>
  </si>
  <si>
    <t>SBFC01</t>
  </si>
  <si>
    <t>SBFC Finance Limited</t>
  </si>
  <si>
    <t>INE423Y01016</t>
  </si>
  <si>
    <t>TLSL01</t>
  </si>
  <si>
    <t>TeamLease Services Limited</t>
  </si>
  <si>
    <t>INE985S01024</t>
  </si>
  <si>
    <t>Commercial Services &amp; Supplies</t>
  </si>
  <si>
    <t>SMFP01</t>
  </si>
  <si>
    <t>Suryoday Small Finance Bank Limited</t>
  </si>
  <si>
    <t>INE428Q01011</t>
  </si>
  <si>
    <t>PRRC03</t>
  </si>
  <si>
    <t>Navin Fluorine International Limited</t>
  </si>
  <si>
    <t>INE048G01026</t>
  </si>
  <si>
    <t>NETW01</t>
  </si>
  <si>
    <t>Netweb Technologies India Limited</t>
  </si>
  <si>
    <t>INE0NT901020</t>
  </si>
  <si>
    <t>IT - Hardware</t>
  </si>
  <si>
    <t>IRS1092017</t>
  </si>
  <si>
    <t>Interest Rate Swaps Pay Floating Receive Fix -ICICI BANK (07/07/2028) (FV 2000 Lacs)</t>
  </si>
  <si>
    <t>HDBF300</t>
  </si>
  <si>
    <t>HDB Financial Services Limited (07/07/2025) (ZCB) **</t>
  </si>
  <si>
    <t>INE756I07EF0</t>
  </si>
  <si>
    <t>SUFI727</t>
  </si>
  <si>
    <t>7.4% Sundaram Finance Limited (26/08/2025) **</t>
  </si>
  <si>
    <t>INE660A07RH9</t>
  </si>
  <si>
    <t>AIAH21</t>
  </si>
  <si>
    <t>7.39% AI Assets Holding Limited (22/10/2029) **</t>
  </si>
  <si>
    <t>INE0AED08037</t>
  </si>
  <si>
    <t>ICRA AAA(CE)</t>
  </si>
  <si>
    <t>SHEB142</t>
  </si>
  <si>
    <t>7.28% Tata Motors Finance Solutions Limited (20/01/2025) **</t>
  </si>
  <si>
    <t>INE601U08291</t>
  </si>
  <si>
    <t>PUBA951</t>
  </si>
  <si>
    <t>7.25% Punjab National Bank (29/07/2030) **</t>
  </si>
  <si>
    <t>INE160A08159</t>
  </si>
  <si>
    <t>Benchmark Name - CRISIL HYBRID 35+65 - AGGRESSIVE INDEX</t>
  </si>
  <si>
    <t>TBIL2172</t>
  </si>
  <si>
    <t>364 Days Tbill (MD 29/02/2024)</t>
  </si>
  <si>
    <t>IN002022Z481</t>
  </si>
  <si>
    <t>Benchmark Name - S&amp;P BSE 100 - TRI</t>
  </si>
  <si>
    <t>BEFS01</t>
  </si>
  <si>
    <t>Mrs. Bectors Food Specialities Limited</t>
  </si>
  <si>
    <t>INE495P01012</t>
  </si>
  <si>
    <t>CRAF01</t>
  </si>
  <si>
    <t>Craftsman Automation Limited</t>
  </si>
  <si>
    <t>INE00LO01017</t>
  </si>
  <si>
    <t>IDEF01</t>
  </si>
  <si>
    <t>Ideaforge Technology Limited</t>
  </si>
  <si>
    <t>INE349Y01013</t>
  </si>
  <si>
    <t>CHEL02</t>
  </si>
  <si>
    <t>Zydus Lifesciences Limited</t>
  </si>
  <si>
    <t>INE010B01027</t>
  </si>
  <si>
    <t>ILOM01</t>
  </si>
  <si>
    <t>ICICI Lombard General Insurance Company Limited</t>
  </si>
  <si>
    <t>INE765G01017</t>
  </si>
  <si>
    <t>TEMAOCT23</t>
  </si>
  <si>
    <t>Tech Mahindra Limited October 2023 Future</t>
  </si>
  <si>
    <t>INFSOCT23</t>
  </si>
  <si>
    <t>Infosys Limited October 2023 Future</t>
  </si>
  <si>
    <t>ILOMOCT23</t>
  </si>
  <si>
    <t>ICICI Lombard General Insurance Company Limited October 2023 Future</t>
  </si>
  <si>
    <t>JVSLOCT23</t>
  </si>
  <si>
    <t>JSW Steel Limited October 2023 Future</t>
  </si>
  <si>
    <t>CHELOCT23</t>
  </si>
  <si>
    <t>Zydus Lifesciences Limited October 2023 Future</t>
  </si>
  <si>
    <t>PUBAOCT23</t>
  </si>
  <si>
    <t>Punjab National Bank October 2023 Future</t>
  </si>
  <si>
    <t>IPLIOCT23</t>
  </si>
  <si>
    <t>ICICI Prudential Life Insurance Company Limited October 2023 Future</t>
  </si>
  <si>
    <t>HLELOCT23</t>
  </si>
  <si>
    <t>Hindustan Unilever Limited October 2023 Future</t>
  </si>
  <si>
    <t>MAHT34</t>
  </si>
  <si>
    <t>7.59% Mahanagar Telephone Nigam Limited (20/07/2033)</t>
  </si>
  <si>
    <t>INE153A08154</t>
  </si>
  <si>
    <t>IND AAA(CE)</t>
  </si>
  <si>
    <t>NBAR351</t>
  </si>
  <si>
    <t>7.69% National Bank For Agriculture and Rural Development (31/03/2032) **</t>
  </si>
  <si>
    <t>INE261F08832</t>
  </si>
  <si>
    <t>GOI1389</t>
  </si>
  <si>
    <t>7.72% Government of India (26/10/2055)</t>
  </si>
  <si>
    <t>IN0020150077</t>
  </si>
  <si>
    <t>Benchmark Name - NIFTY EQUITY SAVINGS INDEX</t>
  </si>
  <si>
    <t>TOPL01</t>
  </si>
  <si>
    <t>Torrent Power Limited</t>
  </si>
  <si>
    <t>INE813H01021</t>
  </si>
  <si>
    <t>GFPL01</t>
  </si>
  <si>
    <t>Go Fashion (India) Limited</t>
  </si>
  <si>
    <t>INE0BJS01011</t>
  </si>
  <si>
    <t>RACM01</t>
  </si>
  <si>
    <t>Rainbow Childrens Medicare Limited</t>
  </si>
  <si>
    <t>INE961O01016</t>
  </si>
  <si>
    <t>TAEL01</t>
  </si>
  <si>
    <t>Tata Elxsi Limited</t>
  </si>
  <si>
    <t>INE670A01012</t>
  </si>
  <si>
    <t>JYLL02</t>
  </si>
  <si>
    <t>Jyothy Labs Limited</t>
  </si>
  <si>
    <t>INE668F01031</t>
  </si>
  <si>
    <t>Household Products</t>
  </si>
  <si>
    <t>SPCO02</t>
  </si>
  <si>
    <t>Symphony Limited</t>
  </si>
  <si>
    <t>INE225D01027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</si>
  <si>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</si>
  <si>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</si>
  <si>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</si>
  <si>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</si>
  <si>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</si>
  <si>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</si>
  <si>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</si>
  <si>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</si>
  <si>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</si>
  <si>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3632181GBP</t>
  </si>
  <si>
    <t>Relx Plc</t>
  </si>
  <si>
    <t>GB00B2B0DG97</t>
  </si>
  <si>
    <t>Research &amp; Consulting Services</t>
  </si>
  <si>
    <t>1042296USD</t>
  </si>
  <si>
    <t>Banco Bilbao Vizcaya Argentaria</t>
  </si>
  <si>
    <t>US05946K1016</t>
  </si>
  <si>
    <t>Diversified Banks</t>
  </si>
  <si>
    <t>903472USD</t>
  </si>
  <si>
    <t>Adobe Inc</t>
  </si>
  <si>
    <t>US00724F1012</t>
  </si>
  <si>
    <t>Application Software</t>
  </si>
  <si>
    <t>40656108USD</t>
  </si>
  <si>
    <t>Booking Holdings Inc</t>
  </si>
  <si>
    <t>US09857L1089</t>
  </si>
  <si>
    <t>Hotels, Resorts &amp; Cruise Lines</t>
  </si>
  <si>
    <t>2162847GBP</t>
  </si>
  <si>
    <t>Bunzl PLC</t>
  </si>
  <si>
    <t>GB00B0744B38</t>
  </si>
  <si>
    <t>Trading Companies &amp; Distributors</t>
  </si>
  <si>
    <t>2477074GBP</t>
  </si>
  <si>
    <t>Unilever PLC</t>
  </si>
  <si>
    <t>GB00B10RZP78</t>
  </si>
  <si>
    <t>Personal Care Products</t>
  </si>
  <si>
    <t>2282206USD</t>
  </si>
  <si>
    <t>Mastercard Incorporated</t>
  </si>
  <si>
    <t>US57636Q1040</t>
  </si>
  <si>
    <t>Transaction &amp; Payment Processing Services</t>
  </si>
  <si>
    <t>982352GBP</t>
  </si>
  <si>
    <t>Astrazeneca PLC</t>
  </si>
  <si>
    <t>GB0009895292</t>
  </si>
  <si>
    <t>Pharmaceuticals</t>
  </si>
  <si>
    <t>20085930USD</t>
  </si>
  <si>
    <t>ASML Holding NV</t>
  </si>
  <si>
    <t>USN070592100</t>
  </si>
  <si>
    <t>Semiconductor Materials &amp; Equipment</t>
  </si>
  <si>
    <t>3826452USD</t>
  </si>
  <si>
    <t>Visa Inc</t>
  </si>
  <si>
    <t>US92826C8394</t>
  </si>
  <si>
    <t>724641USD</t>
  </si>
  <si>
    <t>Taiwan Semiconductor Manufacturing Co Ltd</t>
  </si>
  <si>
    <t>US8740391003</t>
  </si>
  <si>
    <t>Semiconductors</t>
  </si>
  <si>
    <t>26124340USD</t>
  </si>
  <si>
    <t>Elevance Health Inc</t>
  </si>
  <si>
    <t>US0367521038</t>
  </si>
  <si>
    <t>Managed Health Care</t>
  </si>
  <si>
    <t>60141USD</t>
  </si>
  <si>
    <t>Intuit Inc</t>
  </si>
  <si>
    <t>US4612021034</t>
  </si>
  <si>
    <t>977576USD</t>
  </si>
  <si>
    <t>Thermo Fisher Scientific Inc</t>
  </si>
  <si>
    <t>US8835561023</t>
  </si>
  <si>
    <t>Life Sciences Tools &amp; Services</t>
  </si>
  <si>
    <t>11872025HKD</t>
  </si>
  <si>
    <t>AIA Group Ltd</t>
  </si>
  <si>
    <t>HK0000069689</t>
  </si>
  <si>
    <t>Life &amp; Health Insurance</t>
  </si>
  <si>
    <t>31976317USD</t>
  </si>
  <si>
    <t>Raia Drogasil</t>
  </si>
  <si>
    <t>US7507231089</t>
  </si>
  <si>
    <t>Drug Retail</t>
  </si>
  <si>
    <t>1002903USD</t>
  </si>
  <si>
    <t>DBS Group Holdings Ltd</t>
  </si>
  <si>
    <t>US23304Y1001</t>
  </si>
  <si>
    <t>761900USD</t>
  </si>
  <si>
    <t>HITACHI Limited</t>
  </si>
  <si>
    <t>US4335785071</t>
  </si>
  <si>
    <t>Industrial Conglomerates</t>
  </si>
  <si>
    <t>224184USD</t>
  </si>
  <si>
    <t>Roche Holding Ltd</t>
  </si>
  <si>
    <t>US7711951043</t>
  </si>
  <si>
    <t>1755645USD</t>
  </si>
  <si>
    <t>Salesforce Inc</t>
  </si>
  <si>
    <t>US79466L3024</t>
  </si>
  <si>
    <t>213743USD</t>
  </si>
  <si>
    <t>Nestle Ltd</t>
  </si>
  <si>
    <t>US6410694060</t>
  </si>
  <si>
    <t>Packaged Foods &amp; Meats</t>
  </si>
  <si>
    <t>976910USD</t>
  </si>
  <si>
    <t>Texas Instruments Inc</t>
  </si>
  <si>
    <t>US8825081040</t>
  </si>
  <si>
    <t>948564USD</t>
  </si>
  <si>
    <t>Lowes Cos Inc</t>
  </si>
  <si>
    <t>US5486611073</t>
  </si>
  <si>
    <t>Home Improvement Retail</t>
  </si>
  <si>
    <t>3406783GBP</t>
  </si>
  <si>
    <t>Reckitt Benckiser Group PLC</t>
  </si>
  <si>
    <t>GB00B24CGK77</t>
  </si>
  <si>
    <t>10020730GBP</t>
  </si>
  <si>
    <t>Greggs PLC</t>
  </si>
  <si>
    <t>GB00B63QSB39</t>
  </si>
  <si>
    <t>Restaurants</t>
  </si>
  <si>
    <t>2107726USD</t>
  </si>
  <si>
    <t>Dexcom Inc</t>
  </si>
  <si>
    <t>US2521311074</t>
  </si>
  <si>
    <t>Health Care Equipment</t>
  </si>
  <si>
    <t>3270648USD</t>
  </si>
  <si>
    <t>LULULEMON ATHLETICA INC</t>
  </si>
  <si>
    <t>US5500211090</t>
  </si>
  <si>
    <t>Apparel, Accessories and Luxury Goods</t>
  </si>
  <si>
    <t>1626624GBP</t>
  </si>
  <si>
    <t>Kingfisher PLC</t>
  </si>
  <si>
    <t>GB0033195214</t>
  </si>
  <si>
    <t>27712419GBP</t>
  </si>
  <si>
    <t>Spirax-Sarco Engineering PLC</t>
  </si>
  <si>
    <t>GB00BWFGQN14</t>
  </si>
  <si>
    <t>Industrial Machinery &amp; Supplies &amp; Components</t>
  </si>
  <si>
    <t>599396USD</t>
  </si>
  <si>
    <t>Norsk Hydro As</t>
  </si>
  <si>
    <t>US6565316055</t>
  </si>
  <si>
    <t>Aluminum</t>
  </si>
  <si>
    <t>Benchmark Name - NIFTY 100 ESG TRI</t>
  </si>
  <si>
    <t>Silver</t>
  </si>
  <si>
    <t>SILR100</t>
  </si>
  <si>
    <t>SILVER 999 1KG BAR</t>
  </si>
  <si>
    <t>Aggregate Investments by other schemes (At NAV)  as on September 30, 2023 RS 3040.83 Lakh's</t>
  </si>
  <si>
    <t>Benchmark Name - DOMESTIC PRICE OF PHYSICAL SILVER</t>
  </si>
  <si>
    <t>BOCL01</t>
  </si>
  <si>
    <t>Linde India Limited</t>
  </si>
  <si>
    <t>INE473A01011</t>
  </si>
  <si>
    <t>CHOLOCT23</t>
  </si>
  <si>
    <t>Cholamandalam Investment and Finance Company Ltd October 2023 Future</t>
  </si>
  <si>
    <t>IRS1140396</t>
  </si>
  <si>
    <t>Interest Rate Swaps Pay Fix Receive Floating -AXIS BANK (05/10/2023) (FV 3000 Lacs)</t>
  </si>
  <si>
    <t>IRS1162434</t>
  </si>
  <si>
    <t>Interest Rate Swaps Pay Fix Receive Floating -IDFC BANK (03/11/2023) (FV 2500 Lacs)</t>
  </si>
  <si>
    <t>IRS1162436</t>
  </si>
  <si>
    <t>Interest Rate Swaps Pay Fix Receive Floating -NOMURA (03/11/2023) (FV 2500 Lacs)</t>
  </si>
  <si>
    <t>IRS1155942</t>
  </si>
  <si>
    <t>Interest Rate Swaps Pay Fix Receive Floating -ICICI BANK (25/10/2023) (FV 2500 Lacs)</t>
  </si>
  <si>
    <t>IRS1147082</t>
  </si>
  <si>
    <t>Interest Rate Swaps Pay Floating Receive Fix -ICISECPD (11/09/2028) (FV 1500 Lacs)</t>
  </si>
  <si>
    <t>IRS1091922</t>
  </si>
  <si>
    <t>Interest Rate Swaps Pay Floating Receive Fix -HSBC BANK (07/07/2028) (FV 2000 Lacs)</t>
  </si>
  <si>
    <t>KMIL465</t>
  </si>
  <si>
    <t>8.1059% Kotak Mahindra Investments Limited (18/07/2025) **</t>
  </si>
  <si>
    <t>INE975F07II7</t>
  </si>
  <si>
    <t>HDBF310</t>
  </si>
  <si>
    <t>8.3774% HDB Financial Services Limited (24/04/2026) **</t>
  </si>
  <si>
    <t>INE756I07ER5</t>
  </si>
  <si>
    <t>Benchmark Name - CRISIL SHORT TERM BOND FUND INDEX</t>
  </si>
  <si>
    <t>International  Mutual Fund Units</t>
  </si>
  <si>
    <t>110017585USD</t>
  </si>
  <si>
    <t>Schroder ISF Greater China Class X Acc</t>
  </si>
  <si>
    <t>LU2289884996</t>
  </si>
  <si>
    <t>Benchmark Name - MSCI GOLDEN DRAGON (INR)</t>
  </si>
  <si>
    <t>SCHR01USD</t>
  </si>
  <si>
    <t>Schroder ISF Global Equity Alpha Class X1 Acc</t>
  </si>
  <si>
    <t>LU2225036040</t>
  </si>
  <si>
    <t>Benchmark Name - MSCI WORLD NET TOTAL RETURN INDEX</t>
  </si>
  <si>
    <t>Gold</t>
  </si>
  <si>
    <t>GOLD100</t>
  </si>
  <si>
    <t>GOLD .995 1KG BAR</t>
  </si>
  <si>
    <t>Aggregate Investments by other schemes (At NAV)  as on September 30, 2023 RS 48677.03 Lakh's</t>
  </si>
  <si>
    <t>Benchmark Name - DOMESTIC PRICE OF GOLD</t>
  </si>
  <si>
    <t>111854105USD</t>
  </si>
  <si>
    <t>Schroder ISF Global Disruption Class X Acc</t>
  </si>
  <si>
    <t>LU2340194146</t>
  </si>
  <si>
    <t>Benchmark Name - MSCI ACWI INDEX (INR)</t>
  </si>
  <si>
    <t>AXGE02</t>
  </si>
  <si>
    <t>INF846K01W80</t>
  </si>
  <si>
    <t>CROM02</t>
  </si>
  <si>
    <t>CG Power and Industrial Solutions Limited</t>
  </si>
  <si>
    <t>INE067A01029</t>
  </si>
  <si>
    <t>WABT01</t>
  </si>
  <si>
    <t>ZF Commercial Vehicle Control Systems India Limited</t>
  </si>
  <si>
    <t>INE342J01019</t>
  </si>
  <si>
    <t>ASTP04</t>
  </si>
  <si>
    <t>Astral Limited</t>
  </si>
  <si>
    <t>INE006I01046</t>
  </si>
  <si>
    <t>SUPI02</t>
  </si>
  <si>
    <t>Supreme Industries Limited</t>
  </si>
  <si>
    <t>INE195A01028</t>
  </si>
  <si>
    <t>TLFH01</t>
  </si>
  <si>
    <t>Tube Investments of India Limited</t>
  </si>
  <si>
    <t>INE974X01010</t>
  </si>
  <si>
    <t>AIEL02</t>
  </si>
  <si>
    <t>AIA Engineering Limited</t>
  </si>
  <si>
    <t>INE212H01026</t>
  </si>
  <si>
    <t>VIDI01</t>
  </si>
  <si>
    <t>Vijaya Diagnostic Centre Limited</t>
  </si>
  <si>
    <t>INE043W01024</t>
  </si>
  <si>
    <t>GRIN02</t>
  </si>
  <si>
    <t>Grindwell Norton Limited</t>
  </si>
  <si>
    <t>INE536A01023</t>
  </si>
  <si>
    <t>SUFA02</t>
  </si>
  <si>
    <t>Sundram Fasteners Limited</t>
  </si>
  <si>
    <t>INE387A01021</t>
  </si>
  <si>
    <t>PHMI02</t>
  </si>
  <si>
    <t>The Phoenix Mills Limited</t>
  </si>
  <si>
    <t>INE211B01039</t>
  </si>
  <si>
    <t>ENDT01</t>
  </si>
  <si>
    <t>Endurance Technologies Limited</t>
  </si>
  <si>
    <t>INE913H01037</t>
  </si>
  <si>
    <t>994529USD</t>
  </si>
  <si>
    <t>Nvidia Corp Com</t>
  </si>
  <si>
    <t>US67066G1040</t>
  </si>
  <si>
    <t>1078451USD</t>
  </si>
  <si>
    <t>Unitedhealth Group Inc</t>
  </si>
  <si>
    <t>US91324P1021</t>
  </si>
  <si>
    <t>947556USD</t>
  </si>
  <si>
    <t>Eli Lilly &amp; Co</t>
  </si>
  <si>
    <t>US5324571083</t>
  </si>
  <si>
    <t>919390USD</t>
  </si>
  <si>
    <t>Coca Cola Co.</t>
  </si>
  <si>
    <t>US1912161007</t>
  </si>
  <si>
    <t>Soft Drinks &amp; Non-alcoholic Beverages</t>
  </si>
  <si>
    <t>10683053USD</t>
  </si>
  <si>
    <t>Merck &amp; Co. Inc</t>
  </si>
  <si>
    <t>US58933Y1055</t>
  </si>
  <si>
    <t>1447201USD</t>
  </si>
  <si>
    <t>SANOFI-ADR</t>
  </si>
  <si>
    <t>US80105N1054</t>
  </si>
  <si>
    <t>1206758USD</t>
  </si>
  <si>
    <t>Siemens AG</t>
  </si>
  <si>
    <t>US8261975010</t>
  </si>
  <si>
    <t>763302USD</t>
  </si>
  <si>
    <t>Sony Group Corporation - ADR</t>
  </si>
  <si>
    <t>US8356993076</t>
  </si>
  <si>
    <t>Consumer Electronics</t>
  </si>
  <si>
    <t>910125USD</t>
  </si>
  <si>
    <t>Autozone Inc</t>
  </si>
  <si>
    <t>US0533321024</t>
  </si>
  <si>
    <t>Automotive Retail</t>
  </si>
  <si>
    <t>25187155USD</t>
  </si>
  <si>
    <t>Medtronic PLC</t>
  </si>
  <si>
    <t>IE00BTN1Y115</t>
  </si>
  <si>
    <t>959184USD</t>
  </si>
  <si>
    <t>Oracle Corporation</t>
  </si>
  <si>
    <t>US68389X1054</t>
  </si>
  <si>
    <t>1413346USD</t>
  </si>
  <si>
    <t>Netflix Inc</t>
  </si>
  <si>
    <t>US64110L1061</t>
  </si>
  <si>
    <t>Movies &amp; Entertainment</t>
  </si>
  <si>
    <t>24122208USD</t>
  </si>
  <si>
    <t>Arista Networks Inc</t>
  </si>
  <si>
    <t>US0404131064</t>
  </si>
  <si>
    <t>Communications Equipment</t>
  </si>
  <si>
    <t>43249246USD</t>
  </si>
  <si>
    <t>Alcon Inc</t>
  </si>
  <si>
    <t>CH0432492467</t>
  </si>
  <si>
    <t>Health Care Supplies</t>
  </si>
  <si>
    <t>960541USD</t>
  </si>
  <si>
    <t>Parker-Hannifin Corp</t>
  </si>
  <si>
    <t>US7010941042</t>
  </si>
  <si>
    <t>922906USD</t>
  </si>
  <si>
    <t>Amdocs Ltd</t>
  </si>
  <si>
    <t>GB0022569080</t>
  </si>
  <si>
    <t>IT Consulting &amp; Other Services</t>
  </si>
  <si>
    <t>24409862USD</t>
  </si>
  <si>
    <t>Alibaba Group Holding Ltd</t>
  </si>
  <si>
    <t>US01609W1027</t>
  </si>
  <si>
    <t>Broadline Retail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</si>
  <si>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</si>
  <si>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</si>
  <si>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</si>
  <si>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</si>
  <si>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</si>
  <si>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</si>
  <si>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</si>
  <si>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Benchmark Name - NIFTY LARGE MIDCAP 250 TRI</t>
  </si>
  <si>
    <t>LAUR02</t>
  </si>
  <si>
    <t>Laurus Labs Limited</t>
  </si>
  <si>
    <t>INE947Q01028</t>
  </si>
  <si>
    <t>SYNI01</t>
  </si>
  <si>
    <t>Syngene International Limited</t>
  </si>
  <si>
    <t>INE398R01022</t>
  </si>
  <si>
    <t>IPCA03</t>
  </si>
  <si>
    <t>IPCA Laboratories Limited</t>
  </si>
  <si>
    <t>INE571A01038</t>
  </si>
  <si>
    <t>DLPL01</t>
  </si>
  <si>
    <t>Dr. Lal Path Labs Limited</t>
  </si>
  <si>
    <t>INE600L01024</t>
  </si>
  <si>
    <t>Aggregate Investments by other schemes (At NAV)  as on September 30, 2023 RS 63 Lakh's</t>
  </si>
  <si>
    <t>Benchmark Name - NIFTY HEALTHCARE TRI</t>
  </si>
  <si>
    <t>IRS1155658</t>
  </si>
  <si>
    <t>Interest Rate Swaps Pay Floating Receive Fix -HSBC BANK (22/09/2028) (FV 2500 Lacs)</t>
  </si>
  <si>
    <t>IRS1103932</t>
  </si>
  <si>
    <t>Interest Rate Swaps Pay Floating Receive Fix -NOMURA (24/07/2024) (FV 2500 Lacs)</t>
  </si>
  <si>
    <t>IRS1103928</t>
  </si>
  <si>
    <t>Interest Rate Swaps Pay Floating Receive Fix -ICISECPD (18/07/2024) (FV 2500 Lacs)</t>
  </si>
  <si>
    <t>IRS1131960</t>
  </si>
  <si>
    <t>Interest Rate Swaps Pay Floating Receive Fix -ICISECPD (25/08/2028) (FV 2500 Lacs)</t>
  </si>
  <si>
    <t>IRS1118490</t>
  </si>
  <si>
    <t>Interest Rate Swaps Pay Floating Receive Fix -IDFC BANK (08/08/2028) (FV 2500 Lacs)</t>
  </si>
  <si>
    <t>IRS1104543</t>
  </si>
  <si>
    <t>Interest Rate Swaps Pay Floating Receive Fix -HSBC BANK (24/07/2028) (FV 1500 Lacs)</t>
  </si>
  <si>
    <t>GOI5228</t>
  </si>
  <si>
    <t>7.18% Government of India (14/08/2033)</t>
  </si>
  <si>
    <t>IN0020230085</t>
  </si>
  <si>
    <t>MAGH93</t>
  </si>
  <si>
    <t>8.6% Poonawalla Housing Finance Limited (29/11/2024) **</t>
  </si>
  <si>
    <t>INE055I07131</t>
  </si>
  <si>
    <t>CARE AA-</t>
  </si>
  <si>
    <t>CENT241</t>
  </si>
  <si>
    <t>8.1% Century Textiles &amp; Industries Limited (25/04/2026) **</t>
  </si>
  <si>
    <t>INE055A08037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</si>
  <si>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</si>
  <si>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</si>
  <si>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</si>
  <si>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</si>
  <si>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</si>
  <si>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</si>
  <si>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</si>
  <si>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ICFP135</t>
  </si>
  <si>
    <t>9.95% IndoStar Capital Finance Limited (30/06/2025) **</t>
  </si>
  <si>
    <t>INE896L07892</t>
  </si>
  <si>
    <t>MEBP28</t>
  </si>
  <si>
    <t>7.75% Mindspace Business Parks REIT (30/06/2026) **</t>
  </si>
  <si>
    <t>INE0CCU07082</t>
  </si>
  <si>
    <t>BHAT52</t>
  </si>
  <si>
    <t>8.7% Bharti Telecom Limited (21/11/2024) **</t>
  </si>
  <si>
    <t>INE403D08116</t>
  </si>
  <si>
    <t>DCCD20</t>
  </si>
  <si>
    <t>6.7% DLF Cyber City Developers Limited (30/09/2024) **</t>
  </si>
  <si>
    <t>INE186K07049</t>
  </si>
  <si>
    <t>MUFL367</t>
  </si>
  <si>
    <t>5.35% Muthoot Finance Limited (26/08/2024) (FRN) **</t>
  </si>
  <si>
    <t>INE414G07FZ5</t>
  </si>
  <si>
    <t>SHTR492</t>
  </si>
  <si>
    <t>9.0% Shriram Finance Limited (24/06/2024)</t>
  </si>
  <si>
    <t>INE721A07RJ5</t>
  </si>
  <si>
    <t>MOFV38</t>
  </si>
  <si>
    <t>9.25% Motilal Oswal Finvest Limited (01/11/2024) **</t>
  </si>
  <si>
    <t>INE01WN07060</t>
  </si>
  <si>
    <t>TCHF371</t>
  </si>
  <si>
    <t>7.75% Tata Capital Housing Finance Limited (18/05/2027) **</t>
  </si>
  <si>
    <t>INE033L07HQ8</t>
  </si>
  <si>
    <t>POWF496</t>
  </si>
  <si>
    <t>7.59% Power Finance Corporation Limited (17/01/2028) **</t>
  </si>
  <si>
    <t>INE134E08LX5</t>
  </si>
  <si>
    <t>GODP219</t>
  </si>
  <si>
    <t>8.15% Godrej Properties Limited (03/07/2026) **</t>
  </si>
  <si>
    <t>INE484J08048</t>
  </si>
  <si>
    <t>ICRA AA+</t>
  </si>
  <si>
    <t>GRAM25</t>
  </si>
  <si>
    <t>9.1% CreditAccess Grameen Limited (06/09/2025) **</t>
  </si>
  <si>
    <t>INE741K07520</t>
  </si>
  <si>
    <t>IND AA-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</si>
  <si>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</si>
  <si>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</si>
  <si>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</si>
  <si>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</si>
  <si>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</si>
  <si>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</si>
  <si>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ONBH34</t>
  </si>
  <si>
    <t>8.28% Oriental Nagpur Betul Highway Limited (30/03/2024) **</t>
  </si>
  <si>
    <t>INE105N07159</t>
  </si>
  <si>
    <t>NXST20</t>
  </si>
  <si>
    <t>7.86% Nexus Select Trust - REIT (16/06/2026) **</t>
  </si>
  <si>
    <t>INE0NDH07019</t>
  </si>
  <si>
    <t>EKAF30</t>
  </si>
  <si>
    <t>9.2627% SK Finance Limited (27/01/2025) **</t>
  </si>
  <si>
    <t>INE124N07648</t>
  </si>
  <si>
    <t>GRIL20</t>
  </si>
  <si>
    <t>7.78% Greenlam Industries Limited (28/02/2025) **</t>
  </si>
  <si>
    <t>INE544R07028</t>
  </si>
  <si>
    <t>ICRA AA-</t>
  </si>
  <si>
    <t>MSPG20</t>
  </si>
  <si>
    <t>6.49% Malwa Solar Power Generation Private Limited (01/07/2024) **</t>
  </si>
  <si>
    <t>INE999X07014</t>
  </si>
  <si>
    <t>GRIF31</t>
  </si>
  <si>
    <t>7.15% G R Infraprojects Limited (31/05/2024) **</t>
  </si>
  <si>
    <t>INE201P08142</t>
  </si>
  <si>
    <t>GRIF30</t>
  </si>
  <si>
    <t>7.27% G R Infraprojects Limited (05/12/2025) **</t>
  </si>
  <si>
    <t>INE201P08134</t>
  </si>
  <si>
    <t>TRIF93</t>
  </si>
  <si>
    <t>6.5% TATA Realty &amp; Infrastructure Limited (17/07/2024) **</t>
  </si>
  <si>
    <t>INE371K08185</t>
  </si>
  <si>
    <t>VEFP24</t>
  </si>
  <si>
    <t>10.58% Veritas Finance Private Limited (24/09/2024) **</t>
  </si>
  <si>
    <t>INE448U07190</t>
  </si>
  <si>
    <t>RSOP20</t>
  </si>
  <si>
    <t>6.49% RattanIndia Solar 2 Private Limited (01/07/2024) **</t>
  </si>
  <si>
    <t>INE935V07012</t>
  </si>
  <si>
    <t>EKAF28</t>
  </si>
  <si>
    <t>8.3% SK Finance Limited (29/04/2025) (FRN) **</t>
  </si>
  <si>
    <t>INE124N07572</t>
  </si>
  <si>
    <t>NCCL35</t>
  </si>
  <si>
    <t>9.65% Nuvoco Vistas Corporation Limited (06/07/2077) **</t>
  </si>
  <si>
    <t>INE118D08052</t>
  </si>
  <si>
    <t>ONBH35</t>
  </si>
  <si>
    <t>8.28% Oriental Nagpur Betul Highway Limited (30/09/2024) **</t>
  </si>
  <si>
    <t>INE105N07167</t>
  </si>
  <si>
    <t>JKCE46</t>
  </si>
  <si>
    <t>7.36% JK Cement Limited (23/07/2024) **</t>
  </si>
  <si>
    <t>INE823G07201</t>
  </si>
  <si>
    <t>CARE AA+</t>
  </si>
  <si>
    <t>SWPL20</t>
  </si>
  <si>
    <t>6.1% Sundew Properties Limited (28/06/2024) **</t>
  </si>
  <si>
    <t>INE424L07018</t>
  </si>
  <si>
    <t>KOGT25</t>
  </si>
  <si>
    <t>10.6% Kogta Financial (India) Limited (09/05/2025) **</t>
  </si>
  <si>
    <t>INE192U07301</t>
  </si>
  <si>
    <t>ICRA A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</si>
  <si>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</si>
  <si>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</si>
  <si>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</si>
  <si>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</si>
  <si>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</si>
  <si>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</si>
  <si>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RECL405</t>
  </si>
  <si>
    <t>5.85% REC Limited (20/12/2025) **</t>
  </si>
  <si>
    <t>INE020B08DF6</t>
  </si>
  <si>
    <t>GOI2179</t>
  </si>
  <si>
    <t>7.26% Government of India (14/01/2029)</t>
  </si>
  <si>
    <t>IN0020180454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</si>
  <si>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</si>
  <si>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</si>
  <si>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</si>
  <si>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</si>
  <si>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</si>
  <si>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</si>
  <si>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FBRT38</t>
  </si>
  <si>
    <t>First Business Receivables Trust (01/10/2024) **</t>
  </si>
  <si>
    <t>INE0BTV15196</t>
  </si>
  <si>
    <t>FRN - Floating Rate Note</t>
  </si>
  <si>
    <t>Aggregate Investments by other schemes (At NAV)  as on September 30, 2023 RS 2691.62 Lakh's</t>
  </si>
  <si>
    <t>Benchmark Name - NIFTY MEDIUM DURATION DEBT INDEX C-III</t>
  </si>
  <si>
    <t>GOSL303</t>
  </si>
  <si>
    <t>8.35% Godrej Industries Limited (12/12/2025) **</t>
  </si>
  <si>
    <t>INE233A08063</t>
  </si>
  <si>
    <t>GHFL30</t>
  </si>
  <si>
    <t>7.75% Godrej Housing Finance Limited (03/10/2024)</t>
  </si>
  <si>
    <t>INE02JD07025</t>
  </si>
  <si>
    <t>BIRJ44</t>
  </si>
  <si>
    <t>9.25% Birla Corporation Limited (18/08/2026) **</t>
  </si>
  <si>
    <t>INE340A07084</t>
  </si>
  <si>
    <t>SCOL20</t>
  </si>
  <si>
    <t>6.49% Sepset Constructions Limited (01/07/2024) **</t>
  </si>
  <si>
    <t>INE961M07017</t>
  </si>
  <si>
    <t>BCIP66</t>
  </si>
  <si>
    <t>9% Bahadur Chand Investments Pvt Limited (01/03/2024) **</t>
  </si>
  <si>
    <t>INE087M08050</t>
  </si>
  <si>
    <t>GOI5084</t>
  </si>
  <si>
    <t>7.72% Government of India (26/10/2025)</t>
  </si>
  <si>
    <t>IN001025C013</t>
  </si>
  <si>
    <t>GOI2561</t>
  </si>
  <si>
    <t>7.63% Government of India (17/06/2027)</t>
  </si>
  <si>
    <t>IN000627C033</t>
  </si>
  <si>
    <t>GOI1864</t>
  </si>
  <si>
    <t>6.79% Government of India (15/05/2027)</t>
  </si>
  <si>
    <t>IN0020170026</t>
  </si>
  <si>
    <t>BELM29</t>
  </si>
  <si>
    <t>Bharti Enterprises Limited (05/12/2023)</t>
  </si>
  <si>
    <t>INE396J14216</t>
  </si>
  <si>
    <t>TPOW229</t>
  </si>
  <si>
    <t>Tata Power Company Limited (07/11/2023) **</t>
  </si>
  <si>
    <t>INE245A14IU7</t>
  </si>
  <si>
    <t>Aggregate Investments by other schemes (At NAV)  as on September 30, 2023 RS 1262.61 Lakh's</t>
  </si>
  <si>
    <t>Benchmark Name - NIFTY CREDIT RISK BOND INDEX C III</t>
  </si>
  <si>
    <t>SKFB02</t>
  </si>
  <si>
    <t>SKF India Limited</t>
  </si>
  <si>
    <t>INE640A01023</t>
  </si>
  <si>
    <t>IRS1090306</t>
  </si>
  <si>
    <t>Interest Rate Swaps Pay Floating Receive Fix -ICISECPD (06/07/2026) (FV 1500 Lacs)</t>
  </si>
  <si>
    <t>IRS1108190</t>
  </si>
  <si>
    <t>Interest Rate Swaps Pay Floating Receive Fix -IDFC BANK (27/07/2028) (FV 1000 Lacs)</t>
  </si>
  <si>
    <t>IRS1083636</t>
  </si>
  <si>
    <t>Interest Rate Swaps Pay Floating Receive Fix -HSBC BANK (26/06/2028) (FV 1500 Lacs)</t>
  </si>
  <si>
    <t>MUFL394</t>
  </si>
  <si>
    <t>8.50% Muthoot Finance Limited (29/01/2026) **</t>
  </si>
  <si>
    <t>INE414G07HK3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</si>
  <si>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</si>
  <si>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</si>
  <si>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</si>
  <si>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</si>
  <si>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</si>
  <si>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</si>
  <si>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INBK357</t>
  </si>
  <si>
    <t>8.44% Indian Bank (30/12/2025) **</t>
  </si>
  <si>
    <t>INE562A08073</t>
  </si>
  <si>
    <t>LICH562</t>
  </si>
  <si>
    <t>7.33% LIC Housing Finance Limited (12/02/2025) **</t>
  </si>
  <si>
    <t>INE115A07OS8</t>
  </si>
  <si>
    <t>EOPR26</t>
  </si>
  <si>
    <t>6.25% Embassy Office Parks REIT (18/10/2024) **</t>
  </si>
  <si>
    <t>INE041007076</t>
  </si>
  <si>
    <t>Benchmark Name - NIFTY 50 HYBRID COMPOSITE DEBT 15:85 INDEX</t>
  </si>
  <si>
    <t>GOI4639</t>
  </si>
  <si>
    <t>7.36% Government of India (12/09/2052)</t>
  </si>
  <si>
    <t>IN0020220086</t>
  </si>
  <si>
    <t>Aggregate Investments by other schemes (At NAV)  as on September 30, 2023 RS 848.14 Lakh's</t>
  </si>
  <si>
    <t>Benchmark Name - NIFTY LONG DURATION DEBT INDEX A-III</t>
  </si>
  <si>
    <t>HDFB831</t>
  </si>
  <si>
    <t>HDFC Bank Limited (14/12/2023)</t>
  </si>
  <si>
    <t>INE040A16DO1</t>
  </si>
  <si>
    <t>CANB928</t>
  </si>
  <si>
    <t>Canara Bank (20/11/2023)</t>
  </si>
  <si>
    <t>INE476A16WH1</t>
  </si>
  <si>
    <t>BKBA382</t>
  </si>
  <si>
    <t>Bank of Baroda (21/12/2023)</t>
  </si>
  <si>
    <t>INE028A16DW9</t>
  </si>
  <si>
    <t>BKBA379</t>
  </si>
  <si>
    <t>Bank of Baroda (07/12/2023)</t>
  </si>
  <si>
    <t>INE028A16DT5</t>
  </si>
  <si>
    <t>PUBA994</t>
  </si>
  <si>
    <t>Punjab National Bank (04/12/2023)</t>
  </si>
  <si>
    <t>INE160A16NO6</t>
  </si>
  <si>
    <t>CANB915</t>
  </si>
  <si>
    <t>Canara Bank (14/12/2023)</t>
  </si>
  <si>
    <t>INE476A16VU6</t>
  </si>
  <si>
    <t>CANB924</t>
  </si>
  <si>
    <t>Canara Bank (02/11/2023)</t>
  </si>
  <si>
    <t>INE476A16WE8</t>
  </si>
  <si>
    <t>BKBA381</t>
  </si>
  <si>
    <t>Bank of Baroda (13/12/2023)</t>
  </si>
  <si>
    <t>INE028A16DV1</t>
  </si>
  <si>
    <t>BKBA377</t>
  </si>
  <si>
    <t>Bank of Baroda (23/11/2023)</t>
  </si>
  <si>
    <t>INE028A16DR9</t>
  </si>
  <si>
    <t>IDBK490</t>
  </si>
  <si>
    <t>IDFC First Bank Limited (23/11/2023)</t>
  </si>
  <si>
    <t>INE092T16VI6</t>
  </si>
  <si>
    <t>IDBK491</t>
  </si>
  <si>
    <t>IDFC First Bank Limited (24/11/2023)</t>
  </si>
  <si>
    <t>INE092T16VJ4</t>
  </si>
  <si>
    <t>CANB931</t>
  </si>
  <si>
    <t>Canara Bank (05/12/2023)</t>
  </si>
  <si>
    <t>INE476A16WL3</t>
  </si>
  <si>
    <t>BKBA374</t>
  </si>
  <si>
    <t>Bank of Baroda (12/10/2023)</t>
  </si>
  <si>
    <t>INE028A16DM0</t>
  </si>
  <si>
    <t>SIDB487</t>
  </si>
  <si>
    <t>Small Industries Dev Bank of India (21/11/2023)</t>
  </si>
  <si>
    <t>INE556F16AB8</t>
  </si>
  <si>
    <t>NBAR726</t>
  </si>
  <si>
    <t>National Bank For Agriculture and Rural Development (08/12/2023)</t>
  </si>
  <si>
    <t>INE261F14KD5</t>
  </si>
  <si>
    <t>ICRA A1+</t>
  </si>
  <si>
    <t>SIDB531</t>
  </si>
  <si>
    <t>Small Industries Dev Bank of India (15/12/2023)</t>
  </si>
  <si>
    <t>INE556F14JQ2</t>
  </si>
  <si>
    <t>RRVL123</t>
  </si>
  <si>
    <t>Reliance Retail Ventures Limited (24/11/2023) **</t>
  </si>
  <si>
    <t>INE929O14AV2</t>
  </si>
  <si>
    <t>SIDB528</t>
  </si>
  <si>
    <t>Small Industries Dev Bank of India (22/11/2023) **</t>
  </si>
  <si>
    <t>INE556F14JN9</t>
  </si>
  <si>
    <t>NBAR727</t>
  </si>
  <si>
    <t>National Bank For Agriculture and Rural Development (13/12/2023)</t>
  </si>
  <si>
    <t>INE261F14KE3</t>
  </si>
  <si>
    <t>LARS432</t>
  </si>
  <si>
    <t>Larsen &amp; Toubro Limited (31/10/2023) **</t>
  </si>
  <si>
    <t>INE018A14JW2</t>
  </si>
  <si>
    <t>SIDB530</t>
  </si>
  <si>
    <t>Small Industries Dev Bank of India (07/12/2023) **</t>
  </si>
  <si>
    <t>INE556F14JP4</t>
  </si>
  <si>
    <t>LARS436</t>
  </si>
  <si>
    <t>Larsen &amp; Toubro Limited (05/12/2023) **</t>
  </si>
  <si>
    <t>INE018A14JZ5</t>
  </si>
  <si>
    <t>ICBR449</t>
  </si>
  <si>
    <t>ICICI Securities Limited (18/12/2023) **</t>
  </si>
  <si>
    <t>INE763G14QY1</t>
  </si>
  <si>
    <t>HDFS152</t>
  </si>
  <si>
    <t>HDFC Securities Limited (22/11/2023) **</t>
  </si>
  <si>
    <t>INE700G14FZ3</t>
  </si>
  <si>
    <t>BAFL864</t>
  </si>
  <si>
    <t>Bajaj Finance Limited (14/12/2023) **</t>
  </si>
  <si>
    <t>INE296A14VT5</t>
  </si>
  <si>
    <t>NBAR725</t>
  </si>
  <si>
    <t>National Bank For Agriculture and Rural Development (28/11/2023) **</t>
  </si>
  <si>
    <t>INE261F14KC7</t>
  </si>
  <si>
    <t>BHFL105</t>
  </si>
  <si>
    <t>Bajaj Housing Finance Limited (20/11/2023) **</t>
  </si>
  <si>
    <t>INE377Y14AJ8</t>
  </si>
  <si>
    <t>HDFS150</t>
  </si>
  <si>
    <t>HDFC Securities Limited (20/11/2023) **</t>
  </si>
  <si>
    <t>INE700G14FY6</t>
  </si>
  <si>
    <t>RRVL125</t>
  </si>
  <si>
    <t>Reliance Retail Ventures Limited (04/12/2023) **</t>
  </si>
  <si>
    <t>INE929O14AX8</t>
  </si>
  <si>
    <t>BGFL1053</t>
  </si>
  <si>
    <t>Aditya Birla Finance Limited (16/10/2023) **</t>
  </si>
  <si>
    <t>INE860H140Y8</t>
  </si>
  <si>
    <t>BINL27</t>
  </si>
  <si>
    <t>Indus Towers Limited (16/10/2023) **</t>
  </si>
  <si>
    <t>INE121J14226</t>
  </si>
  <si>
    <t>BAFL858</t>
  </si>
  <si>
    <t>Bajaj Finance Limited (23/10/2023) **</t>
  </si>
  <si>
    <t>INE296A14VK4</t>
  </si>
  <si>
    <t>RRVL119</t>
  </si>
  <si>
    <t>Reliance Retail Ventures Limited (27/10/2023) **</t>
  </si>
  <si>
    <t>INE929O14AS8</t>
  </si>
  <si>
    <t>ICBR439</t>
  </si>
  <si>
    <t>ICICI Securities Limited (08/11/2023) **</t>
  </si>
  <si>
    <t>INE763G14QO2</t>
  </si>
  <si>
    <t>ICBR443</t>
  </si>
  <si>
    <t>ICICI Securities Limited (21/11/2023) **</t>
  </si>
  <si>
    <t>INE763G14QR5</t>
  </si>
  <si>
    <t>MMFS1177</t>
  </si>
  <si>
    <t>Mahindra &amp; Mahindra Financial Services Limited (24/11/2023) **</t>
  </si>
  <si>
    <t>INE774D14RW7</t>
  </si>
  <si>
    <t>AFGL354</t>
  </si>
  <si>
    <t>L&amp;T Finance Limited (28/11/2023) **</t>
  </si>
  <si>
    <t>INE027E14NV9</t>
  </si>
  <si>
    <t>ABHF106</t>
  </si>
  <si>
    <t>Aditya Birla Housing Finance Limited (10/11/2023) **</t>
  </si>
  <si>
    <t>INE831R14CW7</t>
  </si>
  <si>
    <t>LARS434</t>
  </si>
  <si>
    <t>Larsen &amp; Toubro Limited (30/11/2023) **</t>
  </si>
  <si>
    <t>INE018A14JY8</t>
  </si>
  <si>
    <t>MMFS1178</t>
  </si>
  <si>
    <t>Mahindra &amp; Mahindra Financial Services Limited (29/11/2023) **</t>
  </si>
  <si>
    <t>INE774D14RX5</t>
  </si>
  <si>
    <t>NICH998</t>
  </si>
  <si>
    <t>Piramal Enterprises Limited (30/11/2023) **</t>
  </si>
  <si>
    <t>INE140A141D9</t>
  </si>
  <si>
    <t>LTMR45</t>
  </si>
  <si>
    <t>L&amp;T Metro Rail (Hyderabad) Limited (07/12/2023) **</t>
  </si>
  <si>
    <t>INE128M14621</t>
  </si>
  <si>
    <t>HDFS159</t>
  </si>
  <si>
    <t>HDFC Securities Limited (21/12/2023) **</t>
  </si>
  <si>
    <t>INE700G14GN7</t>
  </si>
  <si>
    <t>BELM35</t>
  </si>
  <si>
    <t>Bharti Enterprises Limited (27/10/2023) **</t>
  </si>
  <si>
    <t>INE396J14299</t>
  </si>
  <si>
    <t>BAFL859</t>
  </si>
  <si>
    <t>Bajaj Finance Limited (20/11/2023) **</t>
  </si>
  <si>
    <t>INE296A14VL2</t>
  </si>
  <si>
    <t>JBCI123</t>
  </si>
  <si>
    <t>Julius Baer Capital India Pvt Ltd (17/11/2023) **</t>
  </si>
  <si>
    <t>INE824H14KS4</t>
  </si>
  <si>
    <t>BGHP130</t>
  </si>
  <si>
    <t>Birla Group Holdings Private Limited (24/11/2023) **</t>
  </si>
  <si>
    <t>INE09OL14DV1</t>
  </si>
  <si>
    <t>RRVL124</t>
  </si>
  <si>
    <t>Reliance Retail Ventures Limited (01/12/2023) **</t>
  </si>
  <si>
    <t>INE929O14AW0</t>
  </si>
  <si>
    <t>PHFL104</t>
  </si>
  <si>
    <t>Piramal Capital &amp; Housing Finance Limited (24/11/2023) **</t>
  </si>
  <si>
    <t>INE516Y14DT4</t>
  </si>
  <si>
    <t>LICH657</t>
  </si>
  <si>
    <t>LIC Housing Finance Limited (12/12/2023) **</t>
  </si>
  <si>
    <t>INE115A14EB1</t>
  </si>
  <si>
    <t>MOFV58</t>
  </si>
  <si>
    <t>Motilal Oswal Finvest Limited (30/11/2023) **</t>
  </si>
  <si>
    <t>INE01WN14AF6</t>
  </si>
  <si>
    <t>NUVI25</t>
  </si>
  <si>
    <t>Nu Vista Limited (10/10/2023) **</t>
  </si>
  <si>
    <t>INE973U14060</t>
  </si>
  <si>
    <t>NUVI26</t>
  </si>
  <si>
    <t>Nu Vista Limited (17/10/2023) **</t>
  </si>
  <si>
    <t>INE973U14078</t>
  </si>
  <si>
    <t>NCIP35</t>
  </si>
  <si>
    <t>Nomura Capital India Pvt Limited (18/10/2023) **</t>
  </si>
  <si>
    <t>INE357L14339</t>
  </si>
  <si>
    <t>HDFS148</t>
  </si>
  <si>
    <t>HDFC Securities Limited (09/11/2023) **</t>
  </si>
  <si>
    <t>INE700G14FW0</t>
  </si>
  <si>
    <t>TMFL62</t>
  </si>
  <si>
    <t>Tata Motors Finance Solutions Limited (22/11/2023) **</t>
  </si>
  <si>
    <t>INE477S14BP3</t>
  </si>
  <si>
    <t>JBCI124</t>
  </si>
  <si>
    <t>Julius Baer Capital India Pvt Ltd (22/11/2023) **</t>
  </si>
  <si>
    <t>INE824H14MH3</t>
  </si>
  <si>
    <t>JMMS388</t>
  </si>
  <si>
    <t>JM Financial Services Limited (04/12/2023) **</t>
  </si>
  <si>
    <t>INE012I14PF0</t>
  </si>
  <si>
    <t>SHTR499</t>
  </si>
  <si>
    <t>Shriram Finance Limited (14/12/2023) **</t>
  </si>
  <si>
    <t>INE721A14DL7</t>
  </si>
  <si>
    <t>ICBR450</t>
  </si>
  <si>
    <t>ICICI Securities Limited (20/12/2023) **</t>
  </si>
  <si>
    <t>INE763G14QZ8</t>
  </si>
  <si>
    <t>IIFW278</t>
  </si>
  <si>
    <t>360 One Prime Limited (13/12/2023) **</t>
  </si>
  <si>
    <t>INE248U14NZ8</t>
  </si>
  <si>
    <t>HUTE38</t>
  </si>
  <si>
    <t>Tata Teleservices (Maharashtra) Limited (31/10/2023) **</t>
  </si>
  <si>
    <t>INE517B14958</t>
  </si>
  <si>
    <t>GOSL318</t>
  </si>
  <si>
    <t>Godrej Industries Limited (31/10/2023) **</t>
  </si>
  <si>
    <t>INE233A14ZZ6</t>
  </si>
  <si>
    <t>MOFS161</t>
  </si>
  <si>
    <t>Motilal Oswal Financial Services Limited (30/11/2023) **</t>
  </si>
  <si>
    <t>INE338I14FM6</t>
  </si>
  <si>
    <t>HDFB835</t>
  </si>
  <si>
    <t>HDFC Bank Limited (18/10/2023) **</t>
  </si>
  <si>
    <t>INE040A14110</t>
  </si>
  <si>
    <t>BGFL1060</t>
  </si>
  <si>
    <t>Aditya Birla Finance Limited (10/11/2023) **</t>
  </si>
  <si>
    <t>INE860H141H1</t>
  </si>
  <si>
    <t>JBCI125</t>
  </si>
  <si>
    <t>Julius Baer Capital India Pvt Ltd (07/12/2023) **</t>
  </si>
  <si>
    <t>INE824H14MK7</t>
  </si>
  <si>
    <t>GOSL319</t>
  </si>
  <si>
    <t>Godrej Industries Limited (02/11/2023) **</t>
  </si>
  <si>
    <t>INE233A14A04</t>
  </si>
  <si>
    <t>TATE63</t>
  </si>
  <si>
    <t>Tata Teleservices Limited (31/10/2023) **</t>
  </si>
  <si>
    <t>INE037E14AN2</t>
  </si>
  <si>
    <t>SIDB514</t>
  </si>
  <si>
    <t>Small Industries Dev Bank of India (20/11/2023)</t>
  </si>
  <si>
    <t>INE556F14JF5</t>
  </si>
  <si>
    <t>TBIL2256</t>
  </si>
  <si>
    <t>91 Days Tbill (MD 21/12/2023)</t>
  </si>
  <si>
    <t>IN002023X260</t>
  </si>
  <si>
    <t>TBIL2240</t>
  </si>
  <si>
    <t>91 Days Tbill (MD 09/11/2023)</t>
  </si>
  <si>
    <t>IN002023X195</t>
  </si>
  <si>
    <t>TBIL2226</t>
  </si>
  <si>
    <t>91 Days Tbill (MD 12/10/2023)</t>
  </si>
  <si>
    <t>IN002023X153</t>
  </si>
  <si>
    <t>TBIL2230</t>
  </si>
  <si>
    <t>91 Days Tbill (MD 26/10/2023)</t>
  </si>
  <si>
    <t>IN002023X179</t>
  </si>
  <si>
    <t>TBIL2247</t>
  </si>
  <si>
    <t>91 Days Tbill (MD 23/11/2023)</t>
  </si>
  <si>
    <t>IN002023X229</t>
  </si>
  <si>
    <t>TBIL2255</t>
  </si>
  <si>
    <t>91 Days Tbill (MD 14/12/2023)</t>
  </si>
  <si>
    <t>IN002023X252</t>
  </si>
  <si>
    <t>TBIL2250</t>
  </si>
  <si>
    <t>91 Days Tbill (MD 07/12/2023)</t>
  </si>
  <si>
    <t>IN002023X245</t>
  </si>
  <si>
    <t>TBIL2215</t>
  </si>
  <si>
    <t>182 Days Tbill (MD 14/12/2023)</t>
  </si>
  <si>
    <t>IN002023Y110</t>
  </si>
  <si>
    <t>TBIL2189</t>
  </si>
  <si>
    <t>364 Days Tbill (MD 30/11/2023)</t>
  </si>
  <si>
    <t>IN002022Z358</t>
  </si>
  <si>
    <t>TBIL2233</t>
  </si>
  <si>
    <t>91 Days Tbill (MD 02/11/2023)</t>
  </si>
  <si>
    <t>IN002023X187</t>
  </si>
  <si>
    <t>TBIL2248</t>
  </si>
  <si>
    <t>91 Days Tbill (MD 30/11/2023)</t>
  </si>
  <si>
    <t>IN002023X237</t>
  </si>
  <si>
    <t>TBIL2212</t>
  </si>
  <si>
    <t>182 Days Tbill (MD 30/11/2023)</t>
  </si>
  <si>
    <t>IN002023Y094</t>
  </si>
  <si>
    <t>Benchmark Name - NIFTY LIQUID INDEX B-I</t>
  </si>
  <si>
    <t>IRS1155656</t>
  </si>
  <si>
    <t>Interest Rate Swaps Pay Floating Receive Fix -HSBC BANK (22/09/2028) (FV 1000 Lacs)</t>
  </si>
  <si>
    <t>IRS1131962</t>
  </si>
  <si>
    <t>Interest Rate Swaps Pay Floating Receive Fix -ICISECPD (25/08/2028) (FV 500 Lacs)</t>
  </si>
  <si>
    <t>IRS1108188</t>
  </si>
  <si>
    <t>Interest Rate Swaps Pay Floating Receive Fix -IDFC BANK (27/07/2028) (FV 1500 Lacs)</t>
  </si>
  <si>
    <t>Benchmark Name - NIFTY ALL DURATION G-SEC INDEX</t>
  </si>
  <si>
    <t>COFE03</t>
  </si>
  <si>
    <t>Coromandel International Limited</t>
  </si>
  <si>
    <t>INE169A01031</t>
  </si>
  <si>
    <t>KCUL02</t>
  </si>
  <si>
    <t>Cummins India Limited</t>
  </si>
  <si>
    <t>INE298A01020</t>
  </si>
  <si>
    <t>VSNL01</t>
  </si>
  <si>
    <t>Tata Communications Limited</t>
  </si>
  <si>
    <t>INE151A01013</t>
  </si>
  <si>
    <t>BALI02</t>
  </si>
  <si>
    <t>Balkrishna Industries Limited</t>
  </si>
  <si>
    <t>INE787D01026</t>
  </si>
  <si>
    <t>BATA02</t>
  </si>
  <si>
    <t>Bata India Limited</t>
  </si>
  <si>
    <t>INE176A01028</t>
  </si>
  <si>
    <t>BIRM01</t>
  </si>
  <si>
    <t>3M India Limited</t>
  </si>
  <si>
    <t>INE470A01017</t>
  </si>
  <si>
    <t>Diversified</t>
  </si>
  <si>
    <t>PEFR01</t>
  </si>
  <si>
    <t>Aditya Birla Fashion and Retail Limited</t>
  </si>
  <si>
    <t>INE647O01011</t>
  </si>
  <si>
    <t>CARU03</t>
  </si>
  <si>
    <t>Carborundum Universal Limited</t>
  </si>
  <si>
    <t>INE120A01034</t>
  </si>
  <si>
    <t>GGLT02</t>
  </si>
  <si>
    <t>Gujarat Gas Limited</t>
  </si>
  <si>
    <t>INE844O01030</t>
  </si>
  <si>
    <t>JUFL02</t>
  </si>
  <si>
    <t>Jubilant Foodworks Limited</t>
  </si>
  <si>
    <t>INE797F01020</t>
  </si>
  <si>
    <t>BHDY01</t>
  </si>
  <si>
    <t>Bharat Dynamics Limited</t>
  </si>
  <si>
    <t>INE171Z01018</t>
  </si>
  <si>
    <t>TIIN01</t>
  </si>
  <si>
    <t>Timken India Limited</t>
  </si>
  <si>
    <t>INE325A01013</t>
  </si>
  <si>
    <t>ATUL01</t>
  </si>
  <si>
    <t>Atul Limited</t>
  </si>
  <si>
    <t>INE100A01010</t>
  </si>
  <si>
    <t>Benchmark Name - S&amp;P BSE MIDCAP 150 TRI</t>
  </si>
  <si>
    <t>KIMS01</t>
  </si>
  <si>
    <t>Krishna Institute Of Medical Sciences Limited</t>
  </si>
  <si>
    <t>INE967H01017</t>
  </si>
  <si>
    <t>NAHR01</t>
  </si>
  <si>
    <t>Narayana Hrudayalaya Limited</t>
  </si>
  <si>
    <t>INE410P01011</t>
  </si>
  <si>
    <t>BLUS03</t>
  </si>
  <si>
    <t>Blue Star Limited</t>
  </si>
  <si>
    <t>INE472A01039</t>
  </si>
  <si>
    <t>GALS01</t>
  </si>
  <si>
    <t>Galaxy Surfactants Limited</t>
  </si>
  <si>
    <t>INE600K01018</t>
  </si>
  <si>
    <t>CPIL02</t>
  </si>
  <si>
    <t>CCL Products (India) Limited</t>
  </si>
  <si>
    <t>INE421D01022</t>
  </si>
  <si>
    <t>ROLR01</t>
  </si>
  <si>
    <t>Rolex Rings Limited</t>
  </si>
  <si>
    <t>INE645S01016</t>
  </si>
  <si>
    <t>Benchmark Name - NIFTY 500 MULTICAP 50:25:25 INDEX</t>
  </si>
  <si>
    <t>IRS1149749</t>
  </si>
  <si>
    <t>Interest Rate Swaps Pay Floating Receive Fix -IDFC BANK (12/09/2024) (FV 5000 Lacs)</t>
  </si>
  <si>
    <t>IRS1126585</t>
  </si>
  <si>
    <t>Interest Rate Swaps Pay Floating Receive Fix -IDFC BANK (16/08/2024) (FV 5000 Lacs)</t>
  </si>
  <si>
    <t>IRS1110702</t>
  </si>
  <si>
    <t>Interest Rate Swaps Pay Floating Receive Fix -ICISECPD (27/07/2024) (FV 5000 Lacs)</t>
  </si>
  <si>
    <t>IRS1097028</t>
  </si>
  <si>
    <t>Interest Rate Swaps Pay Floating Receive Fix -HSBC BANK (13/04/2024) (FV 10000 Lacs)</t>
  </si>
  <si>
    <t>IRS1089171</t>
  </si>
  <si>
    <t>Interest Rate Swaps Pay Floating Receive Fix -ICISECPD (28/06/2024) (FV 15000 Lacs)</t>
  </si>
  <si>
    <t>GOI1010</t>
  </si>
  <si>
    <t>8.35% Government of India (27/03/2024)</t>
  </si>
  <si>
    <t>IN0020079045</t>
  </si>
  <si>
    <t>GOI5190</t>
  </si>
  <si>
    <t>8.83% Government of India (12/06/2024)</t>
  </si>
  <si>
    <t>IN000624C048</t>
  </si>
  <si>
    <t>GOI1290</t>
  </si>
  <si>
    <t>7.68% Government of India (15/12/2023)</t>
  </si>
  <si>
    <t>IN0020150010</t>
  </si>
  <si>
    <t>HDFB833</t>
  </si>
  <si>
    <t>HDFC Bank Limited (05/02/2024)</t>
  </si>
  <si>
    <t>INE040A16DT0</t>
  </si>
  <si>
    <t>SIDB516</t>
  </si>
  <si>
    <t>Small Industries Dev Bank of India (29/05/2024)</t>
  </si>
  <si>
    <t>INE556F16AJ1</t>
  </si>
  <si>
    <t>NBAR698</t>
  </si>
  <si>
    <t>National Bank For Agriculture and Rural Development (23/01/2024)</t>
  </si>
  <si>
    <t>INE261F16686</t>
  </si>
  <si>
    <t>PUBA979</t>
  </si>
  <si>
    <t>Punjab National Bank (16/02/2024)</t>
  </si>
  <si>
    <t>INE160A16MZ4</t>
  </si>
  <si>
    <t>NBAR708</t>
  </si>
  <si>
    <t>National Bank For Agriculture and Rural Development (08/03/2024)</t>
  </si>
  <si>
    <t>INE261F16702</t>
  </si>
  <si>
    <t>SIDB508</t>
  </si>
  <si>
    <t>Small Industries Dev Bank of India (27/03/2024)</t>
  </si>
  <si>
    <t>INE556F16AH5</t>
  </si>
  <si>
    <t>NBAR712</t>
  </si>
  <si>
    <t>National Bank For Agriculture and Rural Development (28/03/2024)</t>
  </si>
  <si>
    <t>INE261F16728</t>
  </si>
  <si>
    <t>RTBK450</t>
  </si>
  <si>
    <t>RBL Bank Limited (22/12/2023)</t>
  </si>
  <si>
    <t>INE976G16NG8</t>
  </si>
  <si>
    <t>KMBK834</t>
  </si>
  <si>
    <t>Kotak Mahindra Bank Limited (26/06/2024)</t>
  </si>
  <si>
    <t>INE237A164U9</t>
  </si>
  <si>
    <t>IBCL1145</t>
  </si>
  <si>
    <t>ICICI Bank Limited (29/12/2023)</t>
  </si>
  <si>
    <t>INE090A162Z8</t>
  </si>
  <si>
    <t>SIDB492</t>
  </si>
  <si>
    <t>Small Industries Dev Bank of India (11/01/2024)</t>
  </si>
  <si>
    <t>INE556F16AE2</t>
  </si>
  <si>
    <t>UNBI350</t>
  </si>
  <si>
    <t>Union Bank of India (10/01/2024)</t>
  </si>
  <si>
    <t>INE692A16FT3</t>
  </si>
  <si>
    <t>SIDB496</t>
  </si>
  <si>
    <t>Small Industries Dev Bank of India (31/01/2024)</t>
  </si>
  <si>
    <t>INE556F16AF9</t>
  </si>
  <si>
    <t>KMBK815</t>
  </si>
  <si>
    <t>Kotak Mahindra Bank Limited (16/02/2024)</t>
  </si>
  <si>
    <t>INE237A165S0</t>
  </si>
  <si>
    <t>CANB936</t>
  </si>
  <si>
    <t>Canara Bank (27/02/2024)</t>
  </si>
  <si>
    <t>INE476A16WQ2</t>
  </si>
  <si>
    <t>PUBA987</t>
  </si>
  <si>
    <t>Punjab National Bank (07/03/2024)</t>
  </si>
  <si>
    <t>INE160A16NH0</t>
  </si>
  <si>
    <t>NBAR713</t>
  </si>
  <si>
    <t>National Bank For Agriculture and Rural Development (29/03/2024)</t>
  </si>
  <si>
    <t>INE261F16736</t>
  </si>
  <si>
    <t>CANB919</t>
  </si>
  <si>
    <t>Canara Bank (10/01/2024)</t>
  </si>
  <si>
    <t>INE476A16VZ5</t>
  </si>
  <si>
    <t>NBAR703</t>
  </si>
  <si>
    <t>National Bank For Agriculture and Rural Development (06/02/2024)</t>
  </si>
  <si>
    <t>INE261F16694</t>
  </si>
  <si>
    <t>KMBK814</t>
  </si>
  <si>
    <t>Kotak Mahindra Bank Limited (13/02/2024)</t>
  </si>
  <si>
    <t>INE237A163S5</t>
  </si>
  <si>
    <t>IIBL939</t>
  </si>
  <si>
    <t>IndusInd Bank Limited (16/02/2024)</t>
  </si>
  <si>
    <t>INE095A16S17</t>
  </si>
  <si>
    <t>KMBK832</t>
  </si>
  <si>
    <t>Kotak Mahindra Bank Limited (07/06/2024)</t>
  </si>
  <si>
    <t>INE237A163U1</t>
  </si>
  <si>
    <t>SIDB517</t>
  </si>
  <si>
    <t>Small Industries Dev Bank of India (06/06/2024)</t>
  </si>
  <si>
    <t>INE556F16AK9</t>
  </si>
  <si>
    <t>IBCL1152</t>
  </si>
  <si>
    <t>ICICI Bank Limited (13/06/2024)</t>
  </si>
  <si>
    <t>INE090A169Z3</t>
  </si>
  <si>
    <t>HDFB923</t>
  </si>
  <si>
    <t>HDFC Bank Limited (13/09/2024)</t>
  </si>
  <si>
    <t>INE040A16DX2</t>
  </si>
  <si>
    <t>CANB882</t>
  </si>
  <si>
    <t>Canara Bank (04/12/2023)</t>
  </si>
  <si>
    <t>INE476A16UN3</t>
  </si>
  <si>
    <t>KMBK813</t>
  </si>
  <si>
    <t>Kotak Mahindra Bank Limited (17/01/2024)</t>
  </si>
  <si>
    <t>INE237A160S1</t>
  </si>
  <si>
    <t>IDBK471</t>
  </si>
  <si>
    <t>IDFC First Bank Limited (17/01/2024)</t>
  </si>
  <si>
    <t>INE092T16UB3</t>
  </si>
  <si>
    <t>UNBI352</t>
  </si>
  <si>
    <t>Union Bank of India (19/01/2024)</t>
  </si>
  <si>
    <t>INE692A16FU1</t>
  </si>
  <si>
    <t>INBK396</t>
  </si>
  <si>
    <t>Indian Bank (05/02/2024)</t>
  </si>
  <si>
    <t>INE562A16LK5</t>
  </si>
  <si>
    <t>UNBI356</t>
  </si>
  <si>
    <t>Union Bank of India (14/02/2024)</t>
  </si>
  <si>
    <t>INE692A16FX5</t>
  </si>
  <si>
    <t>KMBK819</t>
  </si>
  <si>
    <t>Kotak Mahindra Bank Limited (29/02/2024)</t>
  </si>
  <si>
    <t>INE237A161T7</t>
  </si>
  <si>
    <t>UNBI360</t>
  </si>
  <si>
    <t>Union Bank of India (05/03/2024)</t>
  </si>
  <si>
    <t>INE692A16GB9</t>
  </si>
  <si>
    <t>INBK398</t>
  </si>
  <si>
    <t>Indian Bank (05/03/2024)</t>
  </si>
  <si>
    <t>INE562A16LN9</t>
  </si>
  <si>
    <t>KMBK816</t>
  </si>
  <si>
    <t>Kotak Mahindra Bank Limited (08/03/2024)</t>
  </si>
  <si>
    <t>INE237A168S4</t>
  </si>
  <si>
    <t>NBAR709</t>
  </si>
  <si>
    <t>National Bank For Agriculture and Rural Development (13/03/2024)</t>
  </si>
  <si>
    <t>INE261F16710</t>
  </si>
  <si>
    <t>KMBK824</t>
  </si>
  <si>
    <t>Kotak Mahindra Bank Limited (26/04/2024)</t>
  </si>
  <si>
    <t>INE237A165T8</t>
  </si>
  <si>
    <t>HDFB924</t>
  </si>
  <si>
    <t>HDFC Bank Limited (14/06/2024)</t>
  </si>
  <si>
    <t>INE040A16DZ7</t>
  </si>
  <si>
    <t>PUBA998</t>
  </si>
  <si>
    <t>Punjab National Bank (14/02/2024)</t>
  </si>
  <si>
    <t>INE160A16NA5</t>
  </si>
  <si>
    <t>CANB913</t>
  </si>
  <si>
    <t>Canara Bank (15/12/2023)</t>
  </si>
  <si>
    <t>INE476A16UL7</t>
  </si>
  <si>
    <t>UNBI354</t>
  </si>
  <si>
    <t>Union Bank of India (09/02/2024)</t>
  </si>
  <si>
    <t>INE692A16FW7</t>
  </si>
  <si>
    <t>SIDB489</t>
  </si>
  <si>
    <t>Small Industries Dev Bank of India (14/02/2024)</t>
  </si>
  <si>
    <t>INE556F16AC6</t>
  </si>
  <si>
    <t>BHFL107</t>
  </si>
  <si>
    <t>Bajaj Housing Finance Limited (28/06/2024) **</t>
  </si>
  <si>
    <t>INE377Y14AM2</t>
  </si>
  <si>
    <t>SCIN300</t>
  </si>
  <si>
    <t>Standard Chartered Capital Limited (21/08/2024) **</t>
  </si>
  <si>
    <t>INE403G14RK1</t>
  </si>
  <si>
    <t>CHOL1015</t>
  </si>
  <si>
    <t>Cholamandalam Investment and Finance Company Ltd (12/01/2024) **</t>
  </si>
  <si>
    <t>INE121A14VI8</t>
  </si>
  <si>
    <t>EXIM748</t>
  </si>
  <si>
    <t>Export Import Bank of India (22/03/2024) **</t>
  </si>
  <si>
    <t>INE514E14QY3</t>
  </si>
  <si>
    <t>TCFS662</t>
  </si>
  <si>
    <t>Tata Capital Financial Services Limited (21/05/2024) **</t>
  </si>
  <si>
    <t>INE306N14WA3</t>
  </si>
  <si>
    <t>PHFL103</t>
  </si>
  <si>
    <t>Piramal Capital &amp; Housing Finance Limited (30/11/2023) **</t>
  </si>
  <si>
    <t>INE516Y14DU2</t>
  </si>
  <si>
    <t>BELM36</t>
  </si>
  <si>
    <t>Bharti Enterprises Limited (22/12/2023)</t>
  </si>
  <si>
    <t>INE396J14281</t>
  </si>
  <si>
    <t>HDFB845</t>
  </si>
  <si>
    <t>HDFC Bank Limited (29/01/2024) **</t>
  </si>
  <si>
    <t>INE040A14185</t>
  </si>
  <si>
    <t>SIDB526</t>
  </si>
  <si>
    <t>Small Industries Dev Bank of India (15/02/2024) **</t>
  </si>
  <si>
    <t>INE556F14JL3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</si>
  <si>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</si>
  <si>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</si>
  <si>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</si>
  <si>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</si>
  <si>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</si>
  <si>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</si>
  <si>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MMFS1163</t>
  </si>
  <si>
    <t>Mahindra &amp; Mahindra Financial Services Limited (06/03/2024) **</t>
  </si>
  <si>
    <t>INE774D14RQ9</t>
  </si>
  <si>
    <t>HDFB846</t>
  </si>
  <si>
    <t>HDFC Bank Limited (24/05/2024) **</t>
  </si>
  <si>
    <t>INE040A14326</t>
  </si>
  <si>
    <t>SCIN302</t>
  </si>
  <si>
    <t>Standard Chartered Capital Limited (29/08/2024) **</t>
  </si>
  <si>
    <t>INE403G14RL9</t>
  </si>
  <si>
    <t>BCIP90</t>
  </si>
  <si>
    <t>Bahadur Chand Investments Pvt Limited (21/11/2023) **</t>
  </si>
  <si>
    <t>INE087M14BG2</t>
  </si>
  <si>
    <t>PAFI40</t>
  </si>
  <si>
    <t>Panatone Finvest Limited (22/01/2024) **</t>
  </si>
  <si>
    <t>INE116F14158</t>
  </si>
  <si>
    <t>MFPL188</t>
  </si>
  <si>
    <t>Infina Finance Private Limited (06/02/2024) **</t>
  </si>
  <si>
    <t>INE879F14HT6</t>
  </si>
  <si>
    <t>GODP221</t>
  </si>
  <si>
    <t>Godrej Properties Limited (20/02/2024) **</t>
  </si>
  <si>
    <t>INE484J14SE6</t>
  </si>
  <si>
    <t>GODP223</t>
  </si>
  <si>
    <t>Godrej Properties Limited (22/02/2024) **</t>
  </si>
  <si>
    <t>INE484J14SF3</t>
  </si>
  <si>
    <t>BELM31</t>
  </si>
  <si>
    <t>Bharti Enterprises Limited (27/02/2024) **</t>
  </si>
  <si>
    <t>INE396J14240</t>
  </si>
  <si>
    <t>TCHF385</t>
  </si>
  <si>
    <t>Tata Capital Housing Finance Limited (07/03/2024) **</t>
  </si>
  <si>
    <t>INE033L14MH3</t>
  </si>
  <si>
    <t>BGHP120</t>
  </si>
  <si>
    <t>Birla Group Holdings Private Limited (08/05/2024) **</t>
  </si>
  <si>
    <t>INE09OL14DE7</t>
  </si>
  <si>
    <t>PHOX26</t>
  </si>
  <si>
    <t>Phoenix Arc Pvt Limited (14/05/2024) **</t>
  </si>
  <si>
    <t>INE163K14127</t>
  </si>
  <si>
    <t>TCHF387</t>
  </si>
  <si>
    <t>Tata Capital Housing Finance Limited (28/03/2024) **</t>
  </si>
  <si>
    <t>INE033L14MK7</t>
  </si>
  <si>
    <t>HDFB839</t>
  </si>
  <si>
    <t>HDFC Bank Limited (26/12/2023) **</t>
  </si>
  <si>
    <t>INE040A14169</t>
  </si>
  <si>
    <t>SHEB153</t>
  </si>
  <si>
    <t>Tata Motors Finance Solutions Limited (12/03/2024) **</t>
  </si>
  <si>
    <t>INE601U14JH4</t>
  </si>
  <si>
    <t>TMLF470</t>
  </si>
  <si>
    <t>TMF Holdings Limited (12/03/2024) **</t>
  </si>
  <si>
    <t>INE909H14PF9</t>
  </si>
  <si>
    <t>HDFB852</t>
  </si>
  <si>
    <t>HDFC Bank Limited (22/03/2024) **</t>
  </si>
  <si>
    <t>INE040A14268</t>
  </si>
  <si>
    <t>MUFL403</t>
  </si>
  <si>
    <t>Muthoot Finance Limited (08/04/2024) **</t>
  </si>
  <si>
    <t>INE414G14SU5</t>
  </si>
  <si>
    <t>MUFL409</t>
  </si>
  <si>
    <t>Muthoot Finance Limited (18/07/2024) **</t>
  </si>
  <si>
    <t>INE414G14TB3</t>
  </si>
  <si>
    <t>HDFB853</t>
  </si>
  <si>
    <t>HDFC Bank Limited (19/03/2024) **</t>
  </si>
  <si>
    <t>INE040A14250</t>
  </si>
  <si>
    <t>MUFL407</t>
  </si>
  <si>
    <t>Muthoot Finance Limited (13/05/2024) **</t>
  </si>
  <si>
    <t>INE414G14SV3</t>
  </si>
  <si>
    <t>TBIL2167</t>
  </si>
  <si>
    <t>364 Days Tbill (MD 22/02/2024)</t>
  </si>
  <si>
    <t>IN002022Z473</t>
  </si>
  <si>
    <t>TBIL2249</t>
  </si>
  <si>
    <t>182 Days Tbill (MD 29/02/2024)</t>
  </si>
  <si>
    <t>IN002023Y235</t>
  </si>
  <si>
    <t>TBIL2164</t>
  </si>
  <si>
    <t>364 Days Tbill (MD 15/02/2024)</t>
  </si>
  <si>
    <t>IN002022Z465</t>
  </si>
  <si>
    <t>TBIL2259</t>
  </si>
  <si>
    <t>182 Days Tbill (MD 29/03/2024)</t>
  </si>
  <si>
    <t>IN002023Y276</t>
  </si>
  <si>
    <t>Aggregate Investments by other schemes (At NAV)  as on September 30, 2023 RS 20068.43 Lakh's</t>
  </si>
  <si>
    <t>Benchmark Name - NIFTY MONEY MARKET INDEX B-I</t>
  </si>
  <si>
    <t>ADAN02</t>
  </si>
  <si>
    <t>Adani Enterprises Limited</t>
  </si>
  <si>
    <t>INE423A01024</t>
  </si>
  <si>
    <t>Metals &amp; Minerals Trading</t>
  </si>
  <si>
    <t>ONGC02</t>
  </si>
  <si>
    <t>Oil &amp; Natural Gas Corporation Limited</t>
  </si>
  <si>
    <t>INE213A01029</t>
  </si>
  <si>
    <t>Oil</t>
  </si>
  <si>
    <t>MUND02</t>
  </si>
  <si>
    <t>Adani Ports and Special Economic Zone Limited</t>
  </si>
  <si>
    <t>INE742F01042</t>
  </si>
  <si>
    <t>Benchmark Name - NIFTY 50 TRI</t>
  </si>
  <si>
    <t>BRIT32</t>
  </si>
  <si>
    <t>5.50% Britannia Industries Limited (03/06/2024) **</t>
  </si>
  <si>
    <t>INE216A08027</t>
  </si>
  <si>
    <t>Aggregate Investments by other schemes (At NAV)  as on September 30, 2023 RS 19644.81 Lakh's</t>
  </si>
  <si>
    <t>Benchmark Name - NASDAQ 100 TRI (INR)</t>
  </si>
  <si>
    <t>AGEL01</t>
  </si>
  <si>
    <t>Adani Green Energy Limited</t>
  </si>
  <si>
    <t>INE364U01010</t>
  </si>
  <si>
    <t>IOIC01</t>
  </si>
  <si>
    <t>Indian Oil Corporation Limited</t>
  </si>
  <si>
    <t>INE242A01010</t>
  </si>
  <si>
    <t>BAJA01</t>
  </si>
  <si>
    <t>Bajaj Holdings &amp; Investment Limited</t>
  </si>
  <si>
    <t>INE118A01012</t>
  </si>
  <si>
    <t>SBCP01</t>
  </si>
  <si>
    <t>SBI Cards and Payment Services Limited</t>
  </si>
  <si>
    <t>INE018E01016</t>
  </si>
  <si>
    <t>TELC04</t>
  </si>
  <si>
    <t>IN9155A01020</t>
  </si>
  <si>
    <t>ADGL01</t>
  </si>
  <si>
    <t>Adani Total Gas Limited</t>
  </si>
  <si>
    <t>INE399L01023</t>
  </si>
  <si>
    <t>PROG01</t>
  </si>
  <si>
    <t>Procter &amp; Gamble Hygiene and Health Care Limited</t>
  </si>
  <si>
    <t>INE179A01014</t>
  </si>
  <si>
    <t>MOTI02</t>
  </si>
  <si>
    <t>Bosch Limited</t>
  </si>
  <si>
    <t>INE323A01026</t>
  </si>
  <si>
    <t>BERG03</t>
  </si>
  <si>
    <t>Berger Paints (I) Limited</t>
  </si>
  <si>
    <t>INE463A01038</t>
  </si>
  <si>
    <t>MUFL01</t>
  </si>
  <si>
    <t>Muthoot Finance Limited</t>
  </si>
  <si>
    <t>INE414G01012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</si>
  <si>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</si>
  <si>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</si>
  <si>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</si>
  <si>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</si>
  <si>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</si>
  <si>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</si>
  <si>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Benchmark Name - NIFTY 100 TRI</t>
  </si>
  <si>
    <t>LTTS01</t>
  </si>
  <si>
    <t>L&amp;T Technology Services Limited</t>
  </si>
  <si>
    <t>INE010V01017</t>
  </si>
  <si>
    <t>IT - Services</t>
  </si>
  <si>
    <t>Benchmark Name - NIFTY IT TRI</t>
  </si>
  <si>
    <t>HDAM01</t>
  </si>
  <si>
    <t>HDFC Asset Management Company Limited</t>
  </si>
  <si>
    <t>INE127D01025</t>
  </si>
  <si>
    <t>MRFL01</t>
  </si>
  <si>
    <t>MRF Limited</t>
  </si>
  <si>
    <t>INE883A01011</t>
  </si>
  <si>
    <t>ODCL03</t>
  </si>
  <si>
    <t>Dalmia Bharat Limited</t>
  </si>
  <si>
    <t>INE00R701025</t>
  </si>
  <si>
    <t>GODP02</t>
  </si>
  <si>
    <t>Godrej Properties Limited</t>
  </si>
  <si>
    <t>INE484J01027</t>
  </si>
  <si>
    <t>Benchmark Name - NIFTY MIDCAP 50 INDEX TRI</t>
  </si>
  <si>
    <t>Benchmark Name - NIFTY NEXT 50 INDEX TRI</t>
  </si>
  <si>
    <t>SUZE02</t>
  </si>
  <si>
    <t>Suzlon Energy Limited</t>
  </si>
  <si>
    <t>INE040H01021</t>
  </si>
  <si>
    <t>IDFC01</t>
  </si>
  <si>
    <t>IDFC Limited</t>
  </si>
  <si>
    <t>INE043D01016</t>
  </si>
  <si>
    <t>KEII02</t>
  </si>
  <si>
    <t>KEI Industries Limited</t>
  </si>
  <si>
    <t>INE878B01027</t>
  </si>
  <si>
    <t>INEN02</t>
  </si>
  <si>
    <t>Cyient Limited</t>
  </si>
  <si>
    <t>INE136B01020</t>
  </si>
  <si>
    <t>CDSL01</t>
  </si>
  <si>
    <t>Central Depository Services (India) Limited</t>
  </si>
  <si>
    <t>INE736A01011</t>
  </si>
  <si>
    <t>SOSO03</t>
  </si>
  <si>
    <t>Sonata Software Limited</t>
  </si>
  <si>
    <t>INE269A01021</t>
  </si>
  <si>
    <t>RAKH02</t>
  </si>
  <si>
    <t>Radico Khaitan Limited</t>
  </si>
  <si>
    <t>INE944F01028</t>
  </si>
  <si>
    <t>REIN02</t>
  </si>
  <si>
    <t>Redington Limited</t>
  </si>
  <si>
    <t>INE891D01026</t>
  </si>
  <si>
    <t>AGBL01</t>
  </si>
  <si>
    <t>Angel One Limited</t>
  </si>
  <si>
    <t>INE732I01013</t>
  </si>
  <si>
    <t>IMIN01</t>
  </si>
  <si>
    <t>Indiamart Intermesh Limited</t>
  </si>
  <si>
    <t>INE933S01016</t>
  </si>
  <si>
    <t>CAMS01</t>
  </si>
  <si>
    <t>Computer Age Management Services Limited</t>
  </si>
  <si>
    <t>INE596I01012</t>
  </si>
  <si>
    <t>FINO02</t>
  </si>
  <si>
    <t>Finolex Cables Limited</t>
  </si>
  <si>
    <t>INE235A01022</t>
  </si>
  <si>
    <t>TSLD02</t>
  </si>
  <si>
    <t>Tanla Platforms Limited</t>
  </si>
  <si>
    <t>INE483C01032</t>
  </si>
  <si>
    <t>PHFP02</t>
  </si>
  <si>
    <t>PNB Housing Finance Limited</t>
  </si>
  <si>
    <t>INE572E01012</t>
  </si>
  <si>
    <t>HIMF02</t>
  </si>
  <si>
    <t>HFCL Limited</t>
  </si>
  <si>
    <t>INE548A01028</t>
  </si>
  <si>
    <t>TEJN01</t>
  </si>
  <si>
    <t>Tejas Networks Limited</t>
  </si>
  <si>
    <t>INE010J01012</t>
  </si>
  <si>
    <t>Telecom -  Equipment &amp; Accessories</t>
  </si>
  <si>
    <t>AMRA03</t>
  </si>
  <si>
    <t>Amara Raja Batteries Limited</t>
  </si>
  <si>
    <t>INE885A01032</t>
  </si>
  <si>
    <t>PPHA01</t>
  </si>
  <si>
    <t>Piramal Pharma Limited</t>
  </si>
  <si>
    <t>INE0DK501011</t>
  </si>
  <si>
    <t>RAWO01</t>
  </si>
  <si>
    <t>Raymond Limited</t>
  </si>
  <si>
    <t>INE301A01014</t>
  </si>
  <si>
    <t>MAGL01</t>
  </si>
  <si>
    <t>Mahanagar Gas Limited</t>
  </si>
  <si>
    <t>INE002S01010</t>
  </si>
  <si>
    <t>CALC03</t>
  </si>
  <si>
    <t>CESC Limited</t>
  </si>
  <si>
    <t>INE486A01021</t>
  </si>
  <si>
    <t>KALJ01</t>
  </si>
  <si>
    <t>Kalyan Jewellers India Limited</t>
  </si>
  <si>
    <t>INE303R01014</t>
  </si>
  <si>
    <t>IRBL02</t>
  </si>
  <si>
    <t>IRB Infrastructure Developers Limited</t>
  </si>
  <si>
    <t>INE821I01022</t>
  </si>
  <si>
    <t>SRSL02</t>
  </si>
  <si>
    <t>Shree Renuka Sugars Limited</t>
  </si>
  <si>
    <t>INE087H01022</t>
  </si>
  <si>
    <t>ROUM01</t>
  </si>
  <si>
    <t>Route Mobile Limited</t>
  </si>
  <si>
    <t>INE450U01017</t>
  </si>
  <si>
    <t>IDBI01</t>
  </si>
  <si>
    <t>IDBI Bank Limited</t>
  </si>
  <si>
    <t>INE008A01015</t>
  </si>
  <si>
    <t>INOB01</t>
  </si>
  <si>
    <t>Indian Overseas Bank</t>
  </si>
  <si>
    <t>INE565A01014</t>
  </si>
  <si>
    <t>WELS02</t>
  </si>
  <si>
    <t>Welspun India Limited</t>
  </si>
  <si>
    <t>INE192B01031</t>
  </si>
  <si>
    <t>UTIA01</t>
  </si>
  <si>
    <t>UTI Asset Management Company Limited</t>
  </si>
  <si>
    <t>INE094J01016</t>
  </si>
  <si>
    <t>BIKA02</t>
  </si>
  <si>
    <t>BIKAJI FOODS INTERNATIONAL LIMITED</t>
  </si>
  <si>
    <t>INE00E101023</t>
  </si>
  <si>
    <t>UCOB01</t>
  </si>
  <si>
    <t>UCO Bank</t>
  </si>
  <si>
    <t>INE691A01018</t>
  </si>
  <si>
    <t>PESL03</t>
  </si>
  <si>
    <t>JBM Auto Limited</t>
  </si>
  <si>
    <t>INE927D01044</t>
  </si>
  <si>
    <t>CAMP01</t>
  </si>
  <si>
    <t>Campus Activewear Limited</t>
  </si>
  <si>
    <t>INE278Y01022</t>
  </si>
  <si>
    <t>ANUP01</t>
  </si>
  <si>
    <t>Anupam Rasayan India Limited</t>
  </si>
  <si>
    <t>INE930P01018</t>
  </si>
  <si>
    <t>MARE01</t>
  </si>
  <si>
    <t>Mangalore Refinery and Petrochemicals Limited</t>
  </si>
  <si>
    <t>INE103A01014</t>
  </si>
  <si>
    <t>Benchmark Name - NIFTY SMALLCAP 50 INDEX TRI</t>
  </si>
  <si>
    <t>TBIL2194</t>
  </si>
  <si>
    <t>182 Days Tbill (MD 19/10/2023)</t>
  </si>
  <si>
    <t>IN002023Y037</t>
  </si>
  <si>
    <t>TBIL2222</t>
  </si>
  <si>
    <t>91 Days Tbill (MD 05/10/2023)</t>
  </si>
  <si>
    <t>IN002023X146</t>
  </si>
  <si>
    <t>Benchmark Name - NIFTY 1D RATE INDEX</t>
  </si>
  <si>
    <t>FUJI02</t>
  </si>
  <si>
    <t>Zensar Technologies Limited</t>
  </si>
  <si>
    <t>INE520A01027</t>
  </si>
  <si>
    <t>TRTL01</t>
  </si>
  <si>
    <t>Triveni Turbine Limited</t>
  </si>
  <si>
    <t>INE152M01016</t>
  </si>
  <si>
    <t>AJPH03</t>
  </si>
  <si>
    <t>Ajanta Pharma Limited</t>
  </si>
  <si>
    <t>INE031B01049</t>
  </si>
  <si>
    <t>GPPL01</t>
  </si>
  <si>
    <t>Gujarat Pipavav Port Limited</t>
  </si>
  <si>
    <t>INE517F01014</t>
  </si>
  <si>
    <t>CAST03</t>
  </si>
  <si>
    <t>Castrol India Limited</t>
  </si>
  <si>
    <t>INE172A01027</t>
  </si>
  <si>
    <t>IIFM02</t>
  </si>
  <si>
    <t>360 One WAM Limited</t>
  </si>
  <si>
    <t>INE466L01038</t>
  </si>
  <si>
    <t>Benchmark Name - S&amp;P BSE 200 TRI</t>
  </si>
  <si>
    <t>VGIL02</t>
  </si>
  <si>
    <t>V-Guard Industries Limited</t>
  </si>
  <si>
    <t>INE951I01027</t>
  </si>
  <si>
    <t>BKBA322</t>
  </si>
  <si>
    <t>7.84% Bank of Baroda (15/01/2035) **</t>
  </si>
  <si>
    <t>INE028A08208</t>
  </si>
  <si>
    <t>BKBA316</t>
  </si>
  <si>
    <t>7.75% Bank of Baroda (11/09/2034) **</t>
  </si>
  <si>
    <t>INE028A08166</t>
  </si>
  <si>
    <t>151179</t>
  </si>
  <si>
    <t>Axis Long Duration Fund - Direct Plan - Growth Option</t>
  </si>
  <si>
    <t>INF846K014L3</t>
  </si>
  <si>
    <t>TTPL02</t>
  </si>
  <si>
    <t>TTK Prestige Limited</t>
  </si>
  <si>
    <t>INE690A01028</t>
  </si>
  <si>
    <t>MASP02</t>
  </si>
  <si>
    <t>Vardhman Textiles Limited</t>
  </si>
  <si>
    <t>INE825A01020</t>
  </si>
  <si>
    <t>RILI01</t>
  </si>
  <si>
    <t>RITES Limited</t>
  </si>
  <si>
    <t>INE320J01015</t>
  </si>
  <si>
    <t>Index / Stock Options</t>
  </si>
  <si>
    <t>N23K19200P</t>
  </si>
  <si>
    <t>Nifty 50 Index 19200 Put November 2023 Option</t>
  </si>
  <si>
    <t>N23J19000P</t>
  </si>
  <si>
    <t>Nifty 50 Index 19000 Put October 2023 Option</t>
  </si>
  <si>
    <t>STPR03</t>
  </si>
  <si>
    <t>JK Lakshmi Cement Limited</t>
  </si>
  <si>
    <t>INE786A01032</t>
  </si>
  <si>
    <t>AHCO01</t>
  </si>
  <si>
    <t>Ahluwalia Contracts (India) Limited</t>
  </si>
  <si>
    <t>INE758C01029</t>
  </si>
  <si>
    <t>VESU01</t>
  </si>
  <si>
    <t>Vesuvius India Limited</t>
  </si>
  <si>
    <t>INE386A01015</t>
  </si>
  <si>
    <t>KPEL01</t>
  </si>
  <si>
    <t>KPIT Technologies Limited</t>
  </si>
  <si>
    <t>INE04I401011</t>
  </si>
  <si>
    <t>ESMC02</t>
  </si>
  <si>
    <t>PB Fintech Limited</t>
  </si>
  <si>
    <t>INE417T01026</t>
  </si>
  <si>
    <t>Financial Technology (Fintech)</t>
  </si>
  <si>
    <t>OREL01</t>
  </si>
  <si>
    <t>Orient Electric Limited</t>
  </si>
  <si>
    <t>INE142Z01019</t>
  </si>
  <si>
    <t>PNCI02</t>
  </si>
  <si>
    <t>PNC Infratech Limited</t>
  </si>
  <si>
    <t>INE195J01029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</si>
  <si>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</si>
  <si>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</si>
  <si>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</si>
  <si>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</si>
  <si>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</si>
  <si>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</si>
  <si>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SJSE01</t>
  </si>
  <si>
    <t>S.J.S. Enterprises Limited</t>
  </si>
  <si>
    <t>INE284S01014</t>
  </si>
  <si>
    <t>MYCE01</t>
  </si>
  <si>
    <t>HeidelbergCement India Limited</t>
  </si>
  <si>
    <t>INE578A01017</t>
  </si>
  <si>
    <t>EMCL02</t>
  </si>
  <si>
    <t>Alicon Castalloy Limited</t>
  </si>
  <si>
    <t>INE062D01024</t>
  </si>
  <si>
    <t>BSEL02</t>
  </si>
  <si>
    <t>BSE Limited</t>
  </si>
  <si>
    <t>INE118H01025</t>
  </si>
  <si>
    <t>JAAU03</t>
  </si>
  <si>
    <t>Jamna Auto Industries Limited</t>
  </si>
  <si>
    <t>INE039C01032</t>
  </si>
  <si>
    <t>JMFL02</t>
  </si>
  <si>
    <t>JM Financial Limited</t>
  </si>
  <si>
    <t>INE780C01023</t>
  </si>
  <si>
    <t>VSTI01</t>
  </si>
  <si>
    <t>VST Industries Limited</t>
  </si>
  <si>
    <t>INE710A01016</t>
  </si>
  <si>
    <t>Cigarettes &amp; Tobacco Products</t>
  </si>
  <si>
    <t>ESSP02</t>
  </si>
  <si>
    <t>EPL Limited</t>
  </si>
  <si>
    <t>INE255A01020</t>
  </si>
  <si>
    <t>ICBR01</t>
  </si>
  <si>
    <t>ICICI Securities Limited</t>
  </si>
  <si>
    <t>INE763G01038</t>
  </si>
  <si>
    <t>TCNS01</t>
  </si>
  <si>
    <t>TCNS Clothing Co. Limited</t>
  </si>
  <si>
    <t>INE778U01029</t>
  </si>
  <si>
    <t>JLLH01</t>
  </si>
  <si>
    <t>Jupiter Life Line Hospitals Limited</t>
  </si>
  <si>
    <t>INE682M01012</t>
  </si>
  <si>
    <t>ALPM01</t>
  </si>
  <si>
    <t>Alembic Pharmaceuticals Limited</t>
  </si>
  <si>
    <t>INE901L01018</t>
  </si>
  <si>
    <t>AAPH01</t>
  </si>
  <si>
    <t>Aarti Pharmalabs Limited</t>
  </si>
  <si>
    <t>INE0LRU01027</t>
  </si>
  <si>
    <t>SUEN02</t>
  </si>
  <si>
    <t>Suprajit Engineering Limited</t>
  </si>
  <si>
    <t>INE399C01030</t>
  </si>
  <si>
    <t>Benchmark Name - NIFTY SMALLCAP 250 TRI</t>
  </si>
  <si>
    <t>GOI3730</t>
  </si>
  <si>
    <t>7.38% State Government Securities (14/09/2026)</t>
  </si>
  <si>
    <t>IN2920160156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</si>
  <si>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</si>
  <si>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</si>
  <si>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</si>
  <si>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</si>
  <si>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</si>
  <si>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</si>
  <si>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</si>
  <si>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</si>
  <si>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</si>
  <si>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</si>
  <si>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</si>
  <si>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</si>
  <si>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</si>
  <si>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</si>
  <si>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</si>
  <si>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</si>
  <si>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</si>
  <si>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</si>
  <si>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</si>
  <si>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</si>
  <si>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Benchmark Name - NIFTY SDL SEP 2026 INDEX</t>
  </si>
  <si>
    <t>148926</t>
  </si>
  <si>
    <t>Axis Nifty AAA Bond Plus SDL Apr 2026 50-50 ETF</t>
  </si>
  <si>
    <t>INF846K01Z04</t>
  </si>
  <si>
    <t>Benchmark Name - NIFTY AAA BOND PLUS SDL APR 2026 50:50 INDEX</t>
  </si>
  <si>
    <t>GOI1475</t>
  </si>
  <si>
    <t>8.88% State Government Securities (24/02/2026)</t>
  </si>
  <si>
    <t>IN3420150150</t>
  </si>
  <si>
    <t>GOI1464</t>
  </si>
  <si>
    <t>8.83% State Government Securities (24/02/2026)</t>
  </si>
  <si>
    <t>IN3320150383</t>
  </si>
  <si>
    <t>GOI1470</t>
  </si>
  <si>
    <t>8.69% State Government Securities (24/02/2026)</t>
  </si>
  <si>
    <t>IN3120150203</t>
  </si>
  <si>
    <t>GOI1478</t>
  </si>
  <si>
    <t>8.57% State Government Securities (09/03/2026)</t>
  </si>
  <si>
    <t>IN3420150168</t>
  </si>
  <si>
    <t>GOI1454</t>
  </si>
  <si>
    <t>8.47% State Government Securities (10/02/2026)</t>
  </si>
  <si>
    <t>IN2220150188</t>
  </si>
  <si>
    <t>GOI4352</t>
  </si>
  <si>
    <t>6.18% State Government Securities (25/01/2026)</t>
  </si>
  <si>
    <t>IN1520210171</t>
  </si>
  <si>
    <t>GOI1438</t>
  </si>
  <si>
    <t>8.27% State Government Securities (13/01/2026)</t>
  </si>
  <si>
    <t>IN1920150076</t>
  </si>
  <si>
    <t>POWF488</t>
  </si>
  <si>
    <t>7.15% Power Finance Corporation Limited (08/09/2025) **</t>
  </si>
  <si>
    <t>INE134E08LR7</t>
  </si>
  <si>
    <t>EXIM559</t>
  </si>
  <si>
    <t>8.02% Export Import Bank of India (20/04/2026) **</t>
  </si>
  <si>
    <t>INE514E08FB6</t>
  </si>
  <si>
    <t>RECL407</t>
  </si>
  <si>
    <t>5.81% REC Limited (31/12/2025) **</t>
  </si>
  <si>
    <t>INE020B08DH2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</si>
  <si>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</si>
  <si>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</si>
  <si>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</si>
  <si>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</si>
  <si>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</si>
  <si>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</si>
  <si>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RECL287</t>
  </si>
  <si>
    <t>8.11% REC Limited (07/10/2025) **</t>
  </si>
  <si>
    <t>INE020B08963</t>
  </si>
  <si>
    <t>RECL423</t>
  </si>
  <si>
    <t>7.32% REC Limited (27/02/2026) **</t>
  </si>
  <si>
    <t>INE020B08DW1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</si>
  <si>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</si>
  <si>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</si>
  <si>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</si>
  <si>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</si>
  <si>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</si>
  <si>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</si>
  <si>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</si>
  <si>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</si>
  <si>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</si>
  <si>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</si>
  <si>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</si>
  <si>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</si>
  <si>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NTPC206</t>
  </si>
  <si>
    <t>5.45% NTPC Limited (15/10/2025) **</t>
  </si>
  <si>
    <t>INE733E08163</t>
  </si>
  <si>
    <t>GOI1647</t>
  </si>
  <si>
    <t>8.53% State Government Securities (10/02/2026)</t>
  </si>
  <si>
    <t>IN3320150375</t>
  </si>
  <si>
    <t>GOI1448</t>
  </si>
  <si>
    <t>IN3120150187</t>
  </si>
  <si>
    <t>GOI2218</t>
  </si>
  <si>
    <t>8.28% State Government Securities (06/03/2026)</t>
  </si>
  <si>
    <t>IN1920180198</t>
  </si>
  <si>
    <t>GOI1433</t>
  </si>
  <si>
    <t>IN3120150179</t>
  </si>
  <si>
    <t>GOI1434</t>
  </si>
  <si>
    <t>IN1520150104</t>
  </si>
  <si>
    <t>GOI1410</t>
  </si>
  <si>
    <t>IN1920150050</t>
  </si>
  <si>
    <t>GOI1346</t>
  </si>
  <si>
    <t>8.23% State Government Securities (09/09/2025)</t>
  </si>
  <si>
    <t>IN2220150089</t>
  </si>
  <si>
    <t>GOI1517</t>
  </si>
  <si>
    <t>8% State Government Securities (20/04/2026)</t>
  </si>
  <si>
    <t>IN1520160012</t>
  </si>
  <si>
    <t>GOI1421</t>
  </si>
  <si>
    <t>8.27% State Government Securities (23/12/2025)</t>
  </si>
  <si>
    <t>IN3120150161</t>
  </si>
  <si>
    <t>GOI1397</t>
  </si>
  <si>
    <t>8.14% State Government Securities (13/11/2025)</t>
  </si>
  <si>
    <t>IN1920150035</t>
  </si>
  <si>
    <t>GOI1436</t>
  </si>
  <si>
    <t>8.25% State Government Securities (13/01/2026)</t>
  </si>
  <si>
    <t>IN2220150162</t>
  </si>
  <si>
    <t>GOI1447</t>
  </si>
  <si>
    <t>IN1920150084</t>
  </si>
  <si>
    <t>GOI4604</t>
  </si>
  <si>
    <t>8.01% State Government Securities (20/04/2026)</t>
  </si>
  <si>
    <t>IN3120160012</t>
  </si>
  <si>
    <t>GOI2470</t>
  </si>
  <si>
    <t>5.95% State Government Securities (13/05/2025)</t>
  </si>
  <si>
    <t>IN3120200057</t>
  </si>
  <si>
    <t>Aggregate Investments by other schemes (At NAV)  as on September 30, 2023 RS 28626.93 Lakh's</t>
  </si>
  <si>
    <t>150610</t>
  </si>
  <si>
    <t>INF846K011K1</t>
  </si>
  <si>
    <t>SSNL02</t>
  </si>
  <si>
    <t>Delhivery Limited</t>
  </si>
  <si>
    <t>INE148O01028</t>
  </si>
  <si>
    <t>FESL01</t>
  </si>
  <si>
    <t>Eureka Forbes Ltd</t>
  </si>
  <si>
    <t>INE0KCE01017</t>
  </si>
  <si>
    <t>115606002GBP</t>
  </si>
  <si>
    <t>Shell Plc</t>
  </si>
  <si>
    <t>GB00BP6MXD84</t>
  </si>
  <si>
    <t>Integrated Oil &amp; Gas</t>
  </si>
  <si>
    <t>908440USD</t>
  </si>
  <si>
    <t>Apple Inc</t>
  </si>
  <si>
    <t>US0378331005</t>
  </si>
  <si>
    <t>Technology Hardware, Storage &amp; Peripherals</t>
  </si>
  <si>
    <t>913577USD</t>
  </si>
  <si>
    <t>Boston Scientific Corp</t>
  </si>
  <si>
    <t>US1011371077</t>
  </si>
  <si>
    <t>461641USD</t>
  </si>
  <si>
    <t>Novo Nordisk A/S</t>
  </si>
  <si>
    <t>US6701002056</t>
  </si>
  <si>
    <t>645156USD</t>
  </si>
  <si>
    <t>Amazon Com Inc</t>
  </si>
  <si>
    <t>US0231351067</t>
  </si>
  <si>
    <t>903618USD</t>
  </si>
  <si>
    <t>Costco Wholesale Corp</t>
  </si>
  <si>
    <t>US22160K1051</t>
  </si>
  <si>
    <t>Consumer Staples Merchandise Retail</t>
  </si>
  <si>
    <t>47976949USD</t>
  </si>
  <si>
    <t>Crowdstrike Holdings Inc</t>
  </si>
  <si>
    <t>US22788C1053</t>
  </si>
  <si>
    <t>126082700USD</t>
  </si>
  <si>
    <t>Canadian Pacific Kansas City Limited</t>
  </si>
  <si>
    <t>CA13646K1084</t>
  </si>
  <si>
    <t>Rail Transportation</t>
  </si>
  <si>
    <t>12117355USD</t>
  </si>
  <si>
    <t>Motorola Solutions Inc</t>
  </si>
  <si>
    <t>US6200763075</t>
  </si>
  <si>
    <t>1130337USD</t>
  </si>
  <si>
    <t>Moody's Corp</t>
  </si>
  <si>
    <t>US6153691059</t>
  </si>
  <si>
    <t>Financial Exchanges &amp; Data</t>
  </si>
  <si>
    <t>11448018USD</t>
  </si>
  <si>
    <t>Tesla Inc</t>
  </si>
  <si>
    <t>US88160R1014</t>
  </si>
  <si>
    <t>Automobile Manufacturers</t>
  </si>
  <si>
    <t>2626060USD</t>
  </si>
  <si>
    <t>First Solar Inc</t>
  </si>
  <si>
    <t>US3364331070</t>
  </si>
  <si>
    <t>40769307USD</t>
  </si>
  <si>
    <t>Spotify Technology SA</t>
  </si>
  <si>
    <t>LU1778762911</t>
  </si>
  <si>
    <t>928215USD</t>
  </si>
  <si>
    <t>EMERSON ELECTRIC CO</t>
  </si>
  <si>
    <t>US2910111044</t>
  </si>
  <si>
    <t>Electrical Components &amp; Equipment</t>
  </si>
  <si>
    <t>1946078USD</t>
  </si>
  <si>
    <t>Las Vegas Sands Corp</t>
  </si>
  <si>
    <t>US5178341070</t>
  </si>
  <si>
    <t>Casinos &amp; Gaming</t>
  </si>
  <si>
    <t>681997USD</t>
  </si>
  <si>
    <t>AMETEK Inc</t>
  </si>
  <si>
    <t>US0311001004</t>
  </si>
  <si>
    <t>903491USD</t>
  </si>
  <si>
    <t>Advanced Micro Devices Inc</t>
  </si>
  <si>
    <t>US0079031078</t>
  </si>
  <si>
    <t>975377USD</t>
  </si>
  <si>
    <t>SYNOPSYS INC COM</t>
  </si>
  <si>
    <t>US8716071076</t>
  </si>
  <si>
    <t>117812USD</t>
  </si>
  <si>
    <t>Gartner Inc</t>
  </si>
  <si>
    <t>US3666511072</t>
  </si>
  <si>
    <t>55256713HKD</t>
  </si>
  <si>
    <t>JD.com Inc</t>
  </si>
  <si>
    <t>KYG8208B1014</t>
  </si>
  <si>
    <t>IRS1163876</t>
  </si>
  <si>
    <t>Interest Rate Swaps Pay Floating Receive Fix -IDFC BANK (03/10/2028) (FV 5000 Lacs)</t>
  </si>
  <si>
    <t>IRS1163721</t>
  </si>
  <si>
    <t>IRS1150695</t>
  </si>
  <si>
    <t>Interest Rate Swaps Pay Floating Receive Fix -HSBC BANK (14/06/2024) (FV 5000 Lacs)</t>
  </si>
  <si>
    <t>IRS1155660</t>
  </si>
  <si>
    <t>Interest Rate Swaps Pay Floating Receive Fix -HSBC BANK (22/09/2028) (FV 5000 Lacs)</t>
  </si>
  <si>
    <t>IRS1149701</t>
  </si>
  <si>
    <t>Interest Rate Swaps Pay Floating Receive Fix -ICISECPD (16/09/2024) (FV 5000 Lacs)</t>
  </si>
  <si>
    <t>IRS1158127</t>
  </si>
  <si>
    <t>Interest Rate Swaps Pay Floating Receive Fix -ICISECPD (27/09/2028) (FV 5000 Lacs)</t>
  </si>
  <si>
    <t>IRS1158191</t>
  </si>
  <si>
    <t>Interest Rate Swaps Pay Floating Receive Fix -HSBC BANK (27/09/2028) (FV 5000 Lacs)</t>
  </si>
  <si>
    <t>IRS1140567</t>
  </si>
  <si>
    <t>Interest Rate Swaps Pay Floating Receive Fix -ICISECPD (05/09/2024) (FV 5000 Lacs)</t>
  </si>
  <si>
    <t>IRS1092013</t>
  </si>
  <si>
    <t>Interest Rate Swaps Pay Floating Receive Fix -ICICI BANK (07/07/2028) (FV 500 Lacs)</t>
  </si>
  <si>
    <t>IRS1144626</t>
  </si>
  <si>
    <t>Interest Rate Swaps Pay Floating Receive Fix -IDFC BANK (08/09/2028) (FV 2500 Lacs)</t>
  </si>
  <si>
    <t>IRS1106742</t>
  </si>
  <si>
    <t>Interest Rate Swaps Pay Floating Receive Fix -HSBC BANK (18/07/2024) (FV 5000 Lacs)</t>
  </si>
  <si>
    <t>IRS1103926</t>
  </si>
  <si>
    <t>Interest Rate Swaps Pay Floating Receive Fix -ICISECPD (18/07/2024) (FV 5000 Lacs)</t>
  </si>
  <si>
    <t>IRS1129711</t>
  </si>
  <si>
    <t>Interest Rate Swaps Pay Floating Receive Fix -IDFC BANK (23/08/2028) (FV 2500 Lacs)</t>
  </si>
  <si>
    <t>IRS1118488</t>
  </si>
  <si>
    <t>IRS1099462</t>
  </si>
  <si>
    <t>Interest Rate Swaps Pay Floating Receive Fix -IDFC BANK (18/07/2025) (FV 5000 Lacs)</t>
  </si>
  <si>
    <t>IRS1083297</t>
  </si>
  <si>
    <t>Interest Rate Swaps Pay Floating Receive Fix -IDFC BANK (23/06/2025) (FV 5000 Lacs)</t>
  </si>
  <si>
    <t>IRS1098396</t>
  </si>
  <si>
    <t>Interest Rate Swaps Pay Floating Receive Fix -ICISECPD (17/07/2025) (FV 5000 Lacs)</t>
  </si>
  <si>
    <t>IRS1090308</t>
  </si>
  <si>
    <t>Interest Rate Swaps Pay Floating Receive Fix -ICISECPD (06/07/2026) (FV 6000 Lacs)</t>
  </si>
  <si>
    <t>HHFL172</t>
  </si>
  <si>
    <t>5.16% Hero Fincorp Limited (19/07/2024) (FRN) **</t>
  </si>
  <si>
    <t>INE957N07625</t>
  </si>
  <si>
    <t>MRHF90</t>
  </si>
  <si>
    <t>6.7% Mahindra Rural Housing Finance Limited (28/05/2024) **</t>
  </si>
  <si>
    <t>INE950O08238</t>
  </si>
  <si>
    <t>IND AA+</t>
  </si>
  <si>
    <t>HDFB901</t>
  </si>
  <si>
    <t>7.77% HDFC Bank Limited (28/06/2027) **</t>
  </si>
  <si>
    <t>INE040A08823</t>
  </si>
  <si>
    <t>NBAR689</t>
  </si>
  <si>
    <t>7.5% National Bank For Agriculture and Rural Development (17/12/2025)</t>
  </si>
  <si>
    <t>INE261F08DT8</t>
  </si>
  <si>
    <t>GOI4481</t>
  </si>
  <si>
    <t>6.95% Government of India (16/12/2025)</t>
  </si>
  <si>
    <t>IN001225C076</t>
  </si>
  <si>
    <t>SUFI729</t>
  </si>
  <si>
    <t>7.8983% Sundaram Finance Limited (18/12/2024) **</t>
  </si>
  <si>
    <t>INE660A07RJ5</t>
  </si>
  <si>
    <t>TMLF465</t>
  </si>
  <si>
    <t>7.7% TMF Holdings Limited (25/02/2025) **</t>
  </si>
  <si>
    <t>INE909H08444</t>
  </si>
  <si>
    <t>TCFS658</t>
  </si>
  <si>
    <t>8.30% Tata Capital Financial Services Limited (13/03/2026) **</t>
  </si>
  <si>
    <t>INE306N07NL3</t>
  </si>
  <si>
    <t>BHAT55</t>
  </si>
  <si>
    <t>8.6% Bharti Telecom Limited (05/12/2024) **</t>
  </si>
  <si>
    <t>INE403D08140</t>
  </si>
  <si>
    <t>HDFB830</t>
  </si>
  <si>
    <t>7.84% HDFC Bank Limited (16/12/2032) **</t>
  </si>
  <si>
    <t>INE040A08435</t>
  </si>
  <si>
    <t>TRIF104</t>
  </si>
  <si>
    <t>8.1% TATA Realty &amp; Infrastructure Limited (06/08/2026) **</t>
  </si>
  <si>
    <t>INE371K08227</t>
  </si>
  <si>
    <t>SBAI198</t>
  </si>
  <si>
    <t>7.99% State Bank of India (28/06/2029) **</t>
  </si>
  <si>
    <t>INE062A08207</t>
  </si>
  <si>
    <t>POWF511</t>
  </si>
  <si>
    <t>7.44% Power Finance Corporation Limited (10/05/2028) **</t>
  </si>
  <si>
    <t>INE134E08MN4</t>
  </si>
  <si>
    <t>EOPR24</t>
  </si>
  <si>
    <t>6.4% Embassy Office Parks REIT (15/02/2024) **</t>
  </si>
  <si>
    <t>INE041007050</t>
  </si>
  <si>
    <t>GOI3124</t>
  </si>
  <si>
    <t>6.76% Government of India (22/02/2029)</t>
  </si>
  <si>
    <t>IN000229C020</t>
  </si>
  <si>
    <t>GODP225</t>
  </si>
  <si>
    <t>8.30% Godrej Properties Limited (19/03/2027) **</t>
  </si>
  <si>
    <t>INE484J08055</t>
  </si>
  <si>
    <t>EXIM719</t>
  </si>
  <si>
    <t>5.20% Export Import Bank of India (04/03/2025) **</t>
  </si>
  <si>
    <t>INE514E08FW2</t>
  </si>
  <si>
    <t>GOI3117</t>
  </si>
  <si>
    <t>6.76% Government of India (22/08/2025)</t>
  </si>
  <si>
    <t>IN000825C025</t>
  </si>
  <si>
    <t>YIPL20</t>
  </si>
  <si>
    <t>6.49% Yarrow Infrastructure Private Limited (01/07/2024) **</t>
  </si>
  <si>
    <t>INE001W07011</t>
  </si>
  <si>
    <t>FICC534</t>
  </si>
  <si>
    <t>8.54% Smfg India Credit Company Limited (24/03/2025) **</t>
  </si>
  <si>
    <t>INE535H07BY7</t>
  </si>
  <si>
    <t>CHOL1025</t>
  </si>
  <si>
    <t>8.25% Cholamandalam Investment and Finance Company Ltd (09/06/2025) **</t>
  </si>
  <si>
    <t>INE121A07RH2</t>
  </si>
  <si>
    <t>SIDB460</t>
  </si>
  <si>
    <t>5.4% Small Industries Dev Bank of India (17/03/2025)</t>
  </si>
  <si>
    <t>INE556F08JW2</t>
  </si>
  <si>
    <t>POWF479</t>
  </si>
  <si>
    <t>6.35% Power Finance Corporation Limited (30/06/2025) **</t>
  </si>
  <si>
    <t>INE134E08LF2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</si>
  <si>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</si>
  <si>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</si>
  <si>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</si>
  <si>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</si>
  <si>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</si>
  <si>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</si>
  <si>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LARS378</t>
  </si>
  <si>
    <t>7.25% Larsen &amp; Toubro Limited (06/05/2024) **</t>
  </si>
  <si>
    <t>INE018A08BB5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</si>
  <si>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</si>
  <si>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</si>
  <si>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</si>
  <si>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</si>
  <si>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</si>
  <si>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</si>
  <si>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GOI1089</t>
  </si>
  <si>
    <t>9.20% Government of India (30/09/2030)</t>
  </si>
  <si>
    <t>IN0020130053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</si>
  <si>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</si>
  <si>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</si>
  <si>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</si>
  <si>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</si>
  <si>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</si>
  <si>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</si>
  <si>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</si>
  <si>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</si>
  <si>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</si>
  <si>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</si>
  <si>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</si>
  <si>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</si>
  <si>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</si>
  <si>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</si>
  <si>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</si>
  <si>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</si>
  <si>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</si>
  <si>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</si>
  <si>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LICH537</t>
  </si>
  <si>
    <t>7.99% LIC Housing Finance Limited (12/07/2029) **</t>
  </si>
  <si>
    <t>INE115A07OF5</t>
  </si>
  <si>
    <t>HDBF312</t>
  </si>
  <si>
    <t>8.1965% HDB Financial Services Limited (30/05/2025) **</t>
  </si>
  <si>
    <t>INE756I07ES3</t>
  </si>
  <si>
    <t>GOI2186</t>
  </si>
  <si>
    <t>7.32% Government of India (28/01/2024)</t>
  </si>
  <si>
    <t>IN0020180488</t>
  </si>
  <si>
    <t>POWF459</t>
  </si>
  <si>
    <t>7.17% Power Finance Corporation Limited (22/05/2025)</t>
  </si>
  <si>
    <t>INE134E08KT5</t>
  </si>
  <si>
    <t>GOI1904</t>
  </si>
  <si>
    <t>7.2% State Government Securities (09/08/2027)</t>
  </si>
  <si>
    <t>IN2220170061</t>
  </si>
  <si>
    <t>GOI2738</t>
  </si>
  <si>
    <t>6.69% State Government Securities (23/09/2030)</t>
  </si>
  <si>
    <t>IN3120200297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</si>
  <si>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</si>
  <si>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</si>
  <si>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</si>
  <si>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</si>
  <si>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</si>
  <si>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</si>
  <si>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GOI4067</t>
  </si>
  <si>
    <t>7.17% State Government Securities (02/03/2032)</t>
  </si>
  <si>
    <t>IN3420210269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</si>
  <si>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</si>
  <si>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</si>
  <si>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</si>
  <si>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</si>
  <si>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</si>
  <si>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</si>
  <si>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</si>
  <si>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</si>
  <si>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</si>
  <si>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</si>
  <si>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</si>
  <si>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</si>
  <si>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FBRT36</t>
  </si>
  <si>
    <t>First Business Receivables Trust (01/04/2024) **</t>
  </si>
  <si>
    <t>INE0BTV15170</t>
  </si>
  <si>
    <t>FBRT37</t>
  </si>
  <si>
    <t>First Business Receivables Trust (01/07/2024) **</t>
  </si>
  <si>
    <t>INE0BTV15188</t>
  </si>
  <si>
    <t>Aggregate Investments by other schemes (At NAV)  as on September 30, 2023 RS 259.38 Lakh's</t>
  </si>
  <si>
    <t>Benchmark Name - NIFTY SHORT DURATION DEBT INDEX B-II</t>
  </si>
  <si>
    <t>IRS1144306</t>
  </si>
  <si>
    <t>Interest Rate Swaps Pay Floating Receive Fix -HSBC BANK (18/04/2025) (FV 5000 Lacs)</t>
  </si>
  <si>
    <t>IRS1110731</t>
  </si>
  <si>
    <t>Interest Rate Swaps Pay Floating Receive Fix -ICISECPD (31/07/2025) (FV 2500 Lacs)</t>
  </si>
  <si>
    <t>IRS1083412</t>
  </si>
  <si>
    <t>Interest Rate Swaps Pay Floating Receive Fix -ICISECPD (26/06/2025) (FV 5000 Lacs)</t>
  </si>
  <si>
    <t>NHBA319</t>
  </si>
  <si>
    <t>7.77% National Housing Bank (02/04/2026) **</t>
  </si>
  <si>
    <t>INE557F08FP2</t>
  </si>
  <si>
    <t>HDBF297</t>
  </si>
  <si>
    <t>5.42% HDB Financial Services Limited (17/01/2024) **</t>
  </si>
  <si>
    <t>INE756I07EA1</t>
  </si>
  <si>
    <t>BHFL70</t>
  </si>
  <si>
    <t>5.70% Bajaj Housing Finance Limited (10/06/2024) **</t>
  </si>
  <si>
    <t>INE377Y07227</t>
  </si>
  <si>
    <t>LICH524</t>
  </si>
  <si>
    <t>8.79% LIC Housing Finance Limited (05/03/2024) **</t>
  </si>
  <si>
    <t>INE115A07NY8</t>
  </si>
  <si>
    <t>SHEB132</t>
  </si>
  <si>
    <t>6.3% Tata Motors Finance Solutions Limited (31/05/2024) (FRN) **</t>
  </si>
  <si>
    <t>INE601U08234</t>
  </si>
  <si>
    <t>SHTR493</t>
  </si>
  <si>
    <t>8.95% Shriram Finance Limited (21/04/2025) (FRN) **</t>
  </si>
  <si>
    <t>INE721A07RI7</t>
  </si>
  <si>
    <t>NBAR587</t>
  </si>
  <si>
    <t>5.14% National Bank For Agriculture and Rural Development (31/01/2024) **</t>
  </si>
  <si>
    <t>INE261F08CK9</t>
  </si>
  <si>
    <t>TCHF345</t>
  </si>
  <si>
    <t>Tata Capital Housing Finance Limited (24/01/2024) (ZCB) **</t>
  </si>
  <si>
    <t>INE033L07GY4</t>
  </si>
  <si>
    <t>BHFL84</t>
  </si>
  <si>
    <t>5.84% Bajaj Housing Finance Limited (21/02/2024) **</t>
  </si>
  <si>
    <t>INE377Y07292</t>
  </si>
  <si>
    <t>BAFL758</t>
  </si>
  <si>
    <t>5.95% Bajaj Finance Limited (12/04/2024) **</t>
  </si>
  <si>
    <t>INE296A07RR1</t>
  </si>
  <si>
    <t>SIDB457</t>
  </si>
  <si>
    <t>5.59% Small Industries Dev Bank of India (21/02/2025) **</t>
  </si>
  <si>
    <t>INE556F08JU6</t>
  </si>
  <si>
    <t>CARE AAA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</si>
  <si>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</si>
  <si>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</si>
  <si>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</si>
  <si>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</si>
  <si>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</si>
  <si>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</si>
  <si>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GOI4086</t>
  </si>
  <si>
    <t>7.77% State Government Securities (28/02/2024)</t>
  </si>
  <si>
    <t>IN1720160275</t>
  </si>
  <si>
    <t>GOI3075</t>
  </si>
  <si>
    <t>9.23% Government of India (23/12/2023)</t>
  </si>
  <si>
    <t>IN001223C063</t>
  </si>
  <si>
    <t>KOMP1596</t>
  </si>
  <si>
    <t>Kotak Mahindra Prime Limited (19/01/2024) (ZCB) **</t>
  </si>
  <si>
    <t>INE916DA7QV6</t>
  </si>
  <si>
    <t>TCHF360</t>
  </si>
  <si>
    <t>5.86% Tata Capital Housing Finance Limited (23/02/2024)</t>
  </si>
  <si>
    <t>INE033L07HP0</t>
  </si>
  <si>
    <t>GOI1168</t>
  </si>
  <si>
    <t>9.55% State Government Securities (12/02/2024)</t>
  </si>
  <si>
    <t>IN1920130102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</si>
  <si>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</si>
  <si>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</si>
  <si>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</si>
  <si>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</si>
  <si>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</si>
  <si>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</si>
  <si>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DMED27</t>
  </si>
  <si>
    <t>6.85% DME Development Limited (16/03/2035) (FRN) **</t>
  </si>
  <si>
    <t>INE0J7Q07090</t>
  </si>
  <si>
    <t>DMED25</t>
  </si>
  <si>
    <t>6.85% DME Development Limited (16/03/2033) (FRN) **</t>
  </si>
  <si>
    <t>INE0J7Q07074</t>
  </si>
  <si>
    <t>DMED26</t>
  </si>
  <si>
    <t>6.85% DME Development Limited (16/03/2034) (FRN) **</t>
  </si>
  <si>
    <t>INE0J7Q07082</t>
  </si>
  <si>
    <t>DMED24</t>
  </si>
  <si>
    <t>6.85% DME Development Limited (16/03/2032) (FRN) **</t>
  </si>
  <si>
    <t>INE0J7Q07066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</si>
  <si>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</si>
  <si>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</si>
  <si>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</si>
  <si>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</si>
  <si>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</si>
  <si>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</si>
  <si>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</si>
  <si>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</si>
  <si>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</si>
  <si>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</si>
  <si>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</si>
  <si>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</si>
  <si>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IBCL1151</t>
  </si>
  <si>
    <t>ICICI Bank Limited (30/04/2024)</t>
  </si>
  <si>
    <t>INE090A168Z5</t>
  </si>
  <si>
    <t>UNBI353</t>
  </si>
  <si>
    <t>Union Bank of India (06/02/2024)</t>
  </si>
  <si>
    <t>INE692A16FV9</t>
  </si>
  <si>
    <t>INBK397</t>
  </si>
  <si>
    <t>Indian Bank (14/02/2024)</t>
  </si>
  <si>
    <t>INE562A16LL3</t>
  </si>
  <si>
    <t>SIDB503</t>
  </si>
  <si>
    <t>Small Industries Dev Bank of India (14/03/2024)</t>
  </si>
  <si>
    <t>INE556F16AG7</t>
  </si>
  <si>
    <t>KMBK823</t>
  </si>
  <si>
    <t>Kotak Mahindra Bank Limited (09/05/2024)</t>
  </si>
  <si>
    <t>INE237A166T6</t>
  </si>
  <si>
    <t>KMBK807</t>
  </si>
  <si>
    <t>Kotak Mahindra Bank Limited (06/12/2023)</t>
  </si>
  <si>
    <t>INE237A162R9</t>
  </si>
  <si>
    <t>EXIM742</t>
  </si>
  <si>
    <t>Export Import Bank of India (15/03/2024)</t>
  </si>
  <si>
    <t>INE514E16CF7</t>
  </si>
  <si>
    <t>HDFB842</t>
  </si>
  <si>
    <t>HDFC Bank Limited (16/04/2024) **</t>
  </si>
  <si>
    <t>INE040A14276</t>
  </si>
  <si>
    <t>MMFS1179</t>
  </si>
  <si>
    <t>Mahindra &amp; Mahindra Financial Services Limited (23/02/2024) **</t>
  </si>
  <si>
    <t>INE774D14RY3</t>
  </si>
  <si>
    <t>HDFB918</t>
  </si>
  <si>
    <t>HDFC Bank Limited (26/04/2024) **</t>
  </si>
  <si>
    <t>INE040A14300</t>
  </si>
  <si>
    <t>TBIL2201</t>
  </si>
  <si>
    <t>182 Days Tbill (MD 09/11/2023)</t>
  </si>
  <si>
    <t>IN002023Y060</t>
  </si>
  <si>
    <t>Benchmark Name - NIFTY LOW DURATION DEBT INDEX B-I</t>
  </si>
  <si>
    <t>GOI1662</t>
  </si>
  <si>
    <t>IN2920150454</t>
  </si>
  <si>
    <t>Aggregate Investments by other schemes (At NAV)  as on September 30, 2023 RS 130.21 Lakh's</t>
  </si>
  <si>
    <t>TTKH01</t>
  </si>
  <si>
    <t>TTK Healthcare Limited</t>
  </si>
  <si>
    <t>INE910C01018</t>
  </si>
  <si>
    <t>IRS1126549</t>
  </si>
  <si>
    <t>Interest Rate Swaps Pay Floating Receive Fix -IDFC BANK (18/08/2024) (FV 5000 Lacs)</t>
  </si>
  <si>
    <t>GOI5263</t>
  </si>
  <si>
    <t>8.87% State Government Securities (16/10/2024)</t>
  </si>
  <si>
    <t>IN1720140061</t>
  </si>
  <si>
    <t>NBAR613</t>
  </si>
  <si>
    <t>5.44% National Bank For Agriculture and Rural Development (05/02/2024) **</t>
  </si>
  <si>
    <t>INE261F08CU8</t>
  </si>
  <si>
    <t>HDFB897</t>
  </si>
  <si>
    <t>5.9% HDFC Bank Limited (25/02/2025) **</t>
  </si>
  <si>
    <t>INE040A08971</t>
  </si>
  <si>
    <t>MAGH94</t>
  </si>
  <si>
    <t>8.5% Poonawalla Housing Finance Limited (16/09/2024) **</t>
  </si>
  <si>
    <t>INE055I07149</t>
  </si>
  <si>
    <t>POWF448</t>
  </si>
  <si>
    <t>7.42% Power Finance Corporation Limited (19/11/2024)</t>
  </si>
  <si>
    <t>INE134E08KH0</t>
  </si>
  <si>
    <t>HDBF299</t>
  </si>
  <si>
    <t>7.49% HDB Financial Services Limited (24/01/2025) **</t>
  </si>
  <si>
    <t>INE756I07EE3</t>
  </si>
  <si>
    <t>MALE569</t>
  </si>
  <si>
    <t>9% Poonawalla Fincorp Limited (05/04/2024) **</t>
  </si>
  <si>
    <t>INE511C07599</t>
  </si>
  <si>
    <t>MALE568</t>
  </si>
  <si>
    <t>9% Poonawalla Fincorp Limited (13/02/2024) **</t>
  </si>
  <si>
    <t>INE511C07581</t>
  </si>
  <si>
    <t>GOI4992</t>
  </si>
  <si>
    <t>7.72% Government of India (26/04/2024)</t>
  </si>
  <si>
    <t>IN000424C019</t>
  </si>
  <si>
    <t>SATR39</t>
  </si>
  <si>
    <t>Sansar Trust (25/02/2026) **</t>
  </si>
  <si>
    <t>INE0N4M15010</t>
  </si>
  <si>
    <t>IBCL1143</t>
  </si>
  <si>
    <t>ICICI Bank Limited (12/12/2023)</t>
  </si>
  <si>
    <t>INE090A161Z0</t>
  </si>
  <si>
    <t>BKBA361</t>
  </si>
  <si>
    <t>Bank of Baroda (15/11/2023)</t>
  </si>
  <si>
    <t>INE028A16CY7</t>
  </si>
  <si>
    <t>KMBK808</t>
  </si>
  <si>
    <t>Kotak Mahindra Bank Limited (11/12/2023)</t>
  </si>
  <si>
    <t>INE237A164R5</t>
  </si>
  <si>
    <t>KMBK830</t>
  </si>
  <si>
    <t>Kotak Mahindra Bank Limited (22/05/2024)</t>
  </si>
  <si>
    <t>INE237A167T4</t>
  </si>
  <si>
    <t>GCPL69</t>
  </si>
  <si>
    <t>Godrej Consumer Products Limited (21/12/2023) **</t>
  </si>
  <si>
    <t>INE102D14856</t>
  </si>
  <si>
    <t>SIDB509</t>
  </si>
  <si>
    <t>Small Industries Dev Bank of India (15/03/2024) **</t>
  </si>
  <si>
    <t>INE556F14JB4</t>
  </si>
  <si>
    <t>SIDB523</t>
  </si>
  <si>
    <t>Small Industries Dev Bank of India (18/12/2023) **</t>
  </si>
  <si>
    <t>INE556F14JJ7</t>
  </si>
  <si>
    <t>IIFW275</t>
  </si>
  <si>
    <t>360 One Prime Limited (16/01/2024) **</t>
  </si>
  <si>
    <t>INE248U14NU9</t>
  </si>
  <si>
    <t>SHKL61</t>
  </si>
  <si>
    <t>Sharekhan Limited (18/01/2024) **</t>
  </si>
  <si>
    <t>INE211H14542</t>
  </si>
  <si>
    <t>JMFP873</t>
  </si>
  <si>
    <t>JM Financial Products Limited (28/02/2024) **</t>
  </si>
  <si>
    <t>INE523H140N0</t>
  </si>
  <si>
    <t>EFIL96</t>
  </si>
  <si>
    <t>Nuvama Wealth Finance Limited (01/03/2024) **</t>
  </si>
  <si>
    <t>INE918K14AG4</t>
  </si>
  <si>
    <t>MOFV55</t>
  </si>
  <si>
    <t>Motilal Oswal Finvest Limited (14/03/2024) **</t>
  </si>
  <si>
    <t>INE01WN14942</t>
  </si>
  <si>
    <t>TATE59</t>
  </si>
  <si>
    <t>Tata Teleservices Limited (10/11/2023) **</t>
  </si>
  <si>
    <t>INE037E14AI2</t>
  </si>
  <si>
    <t>TBIL2252</t>
  </si>
  <si>
    <t>182 Days Tbill (MD 07/03/2024)</t>
  </si>
  <si>
    <t>IN002023Y243</t>
  </si>
  <si>
    <t>Aggregate Investments by other schemes (At NAV)  as on September 30, 2023 RS 20091.23 Lakh's</t>
  </si>
  <si>
    <t>Benchmark Name - NIFTY ULTRA SHORT DURATION DEBT INDEX B-I</t>
  </si>
  <si>
    <t>ESG Score $</t>
  </si>
  <si>
    <t>Link to BRSR</t>
  </si>
  <si>
    <t>https://www.bseindia.com/xml-data/corpfiling/AttachHis/66218d73-aa7a-4a62-8f31-83febdb9ca28.pdf</t>
  </si>
  <si>
    <t>https://www.bseindia.com/xml-data/corpfiling/AttachHis/b369f968-361d-4e42-be3d-1e1c85886dbe.pdf</t>
  </si>
  <si>
    <t>https://www.bseindia.com/xml-data/corpfiling/AttachHis//3ba3c011-0411-49ba-a250-f746a5b9d940.pdf</t>
  </si>
  <si>
    <t>https://www.bseindia.com/xml-data/corpfiling/AttachHis/f63315c4-0a2d-46bd-ba57-21b9d446180c.pdf</t>
  </si>
  <si>
    <t>https://www.bseindia.com/xml-data/corpfiling/AttachHis//0fb0e6bd-7110-44c3-a750-76933ddf105c.pdf</t>
  </si>
  <si>
    <t>https://www.bseindia.com/xml-data/corpfiling/AttachLive/70a4b4a5-5b94-41f0-b351-60518e4ce59d.pdf</t>
  </si>
  <si>
    <t>https://www.bseindia.com/xml-data/corpfiling/AttachHis/b22b182c-3ce9-4ea9-85b9-61d868eedc0e.pdf</t>
  </si>
  <si>
    <t>https://www.bseindia.com/xml-data/corpfiling/AttachHis/af7bf28e-4b46-4584-9749-370ab9b5396d.pdf</t>
  </si>
  <si>
    <t>https://www.bseindia.com/xml-data/corpfiling/AttachHis/af3d3321-f744-464a-8180-c2aaac79b9c3.pdf</t>
  </si>
  <si>
    <t>https://www.tataconsumer.com/sites/g/files/gfwrlq316/files/2023-05/BRSR%20for%20Website.pdf</t>
  </si>
  <si>
    <t>https://www.bseindia.com/xml-data/corpfiling/AttachLive/86411942-58e7-4543-985d-537d08a03b1f.pdf</t>
  </si>
  <si>
    <t>https://www.bseindia.com/xml-data/corpfiling/AttachHis/4c3c9f6d-cbe5-496c-9715-a416c4556a62.pdf</t>
  </si>
  <si>
    <t>https://www.bseindia.com/xml-data/corpfiling/AttachHis/3d9e0916-806c-48c6-9de4-fd4d86ce1eaf.pdf</t>
  </si>
  <si>
    <t>https://www.bseindia.com/xml-data/corpfiling/AttachHis/7b38462e-6988-4672-84f0-d2ac98022e7a.pdf</t>
  </si>
  <si>
    <t>https://www.bseindia.com/xml-data/corpfiling/AttachHis/6cee6405-b6cd-42d2-9120-e39dba725617.pdf</t>
  </si>
  <si>
    <t>https://search.abb.com/library/Download.aspx?DocumentID=9AKK108468A0034&amp;LanguageCode=en&amp;DocumentPartId=&amp;Action=Launch</t>
  </si>
  <si>
    <t>https://www.bseindia.com/xml-data/corpfiling/AttachHis/461249e9-9c1d-47e7-9aa8-04a9eeecd4f7.pdf</t>
  </si>
  <si>
    <t>https://www.bseindia.com/xml-data/corpfiling/AttachHis/6417731d-9036-47bf-ad99-4f2019c1fad0.pdf</t>
  </si>
  <si>
    <t>https://www.bseindia.com/xml-data/corpfiling/AttachHis/6664f869-d4d5-498f-aaf4-4fccc5e1bd80.pdf</t>
  </si>
  <si>
    <t>Note -   Schemes &amp; Benchmark Riskometer(s) mentioned are as per the latest details available with the AMC as on the date of hosting of portfolio.
                For latest riskometer(s), kindly visit www.axismf.com.</t>
  </si>
  <si>
    <t>Nifty 500 TRI Index (65%) + Nifty Composite Debt Index (20%) + Domestic Price of Physical Gold (7.5%) + Domestic Price of Physical Silver (7.5%)</t>
  </si>
  <si>
    <t>85d30027-f9f7-4478-91f8-5870fb8a5add.pdf (bseindia.com)</t>
  </si>
  <si>
    <t>1222771 Annual report 2022_PART 1_Revised (bseindia.com)</t>
  </si>
  <si>
    <t>https://www.bseindia.com/xml-data/corpfiling/AttachHis/974f47e6-933e-4b4f-9218-e08f314011d2.pdf</t>
  </si>
  <si>
    <t>c13d2265-6407-4c16-b921-87593724daca.pdf (bseindia.com)</t>
  </si>
  <si>
    <t>https://insights.techmahindra.com/investors/tml-integrated-annual-report-fy-2021-22-f.pdf</t>
  </si>
  <si>
    <t>f3025278-0d58-49d9-8188-11a54ea878ce.pdf (bseindia.com)</t>
  </si>
  <si>
    <t>https://www.bseindia.com/xml-data/corpfiling/AttachHis/4d178a5f-8021-48b3-b3c6-ead490b76461.pdf</t>
  </si>
  <si>
    <t>ee0ad1a6-ffcb-4e43-a454-e47b6946be85.pdf (bseindia.com)</t>
  </si>
  <si>
    <t>3e5c9221-91e8-45a0-a487-ff53f828659a.pdf (bseindia.com)</t>
  </si>
  <si>
    <t>db167469-d497-43ed-8496-8eba256c851b.pdf (bseindia.com)</t>
  </si>
  <si>
    <t>Microsoft Word - Covering Letter_BRSR.docx (bseindia.com)</t>
  </si>
  <si>
    <t>34eb2d83-a7e5-49d1-a001-dbe72566242a.pdf (bseindia.com)</t>
  </si>
  <si>
    <t>5838d1dd-0d09-45af-9fc6-7e662f74c697.pdf (bseindia.com)</t>
  </si>
  <si>
    <t>https://www.bseindia.com/xml-data/corpfiling/AttachHis/59db00b1-c5f7-4cd7-9831-60f5b738f459.pdf</t>
  </si>
  <si>
    <t>Microsoft Word - TVSM_NSEBSE_BRSR (bseindia.com)</t>
  </si>
  <si>
    <t>https://www.bseindia.com/xml-data/corpfiling/AttachHis//45052186-04c0-48a7-bccb-07b12b16303a.pdf</t>
  </si>
  <si>
    <t>https://www.bseindia.com/xml-data/corpfiling/AttachHis//79f7996d-399f-4440-9201-8d28ee148289.pdf</t>
  </si>
  <si>
    <t>https://www.bseindia.com/xml-data/corpfiling/AttachHis/3c1b853a-7115-455f-a3c3-285693b4e943.pdf</t>
  </si>
  <si>
    <t>https://www.bseindia.com/xml-data/corpfiling/AttachHis/60dabd06-e7e7-478c-91b1-88bd77557662.pdf</t>
  </si>
  <si>
    <t>https://www.bseindia.com/xml-data/corpfiling/AttachHis/7b27ac6e-0f68-4445-8aff-79e2a6fc0d61.pdf</t>
  </si>
  <si>
    <t>Benchmark Name - CRISIL Hybrid 25+75 - Aggressive Index</t>
  </si>
  <si>
    <t>Benchmark Name - CRISIL Hybrid 75+25 - Conservative Index</t>
  </si>
  <si>
    <t>Benchmark Name - CRISIL Hybrid 35+65 - Aggressive Index</t>
  </si>
  <si>
    <t>ESG Scores disclosed in the above portfolio is provided based on ESG scores of domestic securities, it does not include ESG scores for foreign securities.</t>
  </si>
  <si>
    <t xml:space="preserve">	Security wise ESG scores disclosed above are provided by CRISIL (ESG rating provider).</t>
  </si>
  <si>
    <t>https://query.prod.cms.rt.microsoft.com/cms/api/am/binary/RW15mgm</t>
  </si>
  <si>
    <t>https://sustainability.google/reports/</t>
  </si>
  <si>
    <t>https://www.relx.com/~/media/Files/R/RELX-Group/documents/reports/annual-reports/2022-ar-sections/relx-2022-corporate-responsibility.pdf</t>
  </si>
  <si>
    <t>https://shareholdersandinvestors.bbva.com/wp-content/uploads/2023/03/BBVA_Report_on_TCFD_ENG_Dec2022.pdf</t>
  </si>
  <si>
    <t>https://www.adobe.com/content/dam/cc/en/corporate-responsibility/pdfs/Adobe-CSR-Report-2022.pdf</t>
  </si>
  <si>
    <t>https://www.bookingholdings.com/wp-content/uploads/2023/04/BKNG-Sustainability-Report-2022.pdf</t>
  </si>
  <si>
    <t>https://www.bunzl.com/media/ggce2tbs/bunzl_ar22_sustainability.pdf</t>
  </si>
  <si>
    <t>https://www.unilever.com/files/92ui5egz/production/90573b23363da2a620606c0981b0bbd771940a0b.pdf#page=7</t>
  </si>
  <si>
    <t>https://www.mastercard.com/news/perspectives/featured-topics/sustainability/mastercard-esg-report-2022/</t>
  </si>
  <si>
    <t>https://www.astrazeneca.com/content/dam/az/Sustainability/2023/pdf/Sustainability_Report_2022.pdf</t>
  </si>
  <si>
    <t>https://www.asml.com/en/company/sustainability</t>
  </si>
  <si>
    <t>https://usa.visa.com/content/dam/VCOM/regional/na/us/about-visa/documents/2022-environmental-social-governance-report.pdf</t>
  </si>
  <si>
    <t>https://esg.tsmc.com/download/file/2022_sustainabilityReport/english/e-all.pdf</t>
  </si>
  <si>
    <t>https://www.elevancehealth.com/who-we-are/corporate-responsibility/environmental-sustainability</t>
  </si>
  <si>
    <t>https://www.intuit.com/oidam/intuit/ic/en_us/content/intuit-cr-report-2022-icom.pdf</t>
  </si>
  <si>
    <t>https://corporate.thermofisher.com/content/dam/tfcorpsite/documents/corporate-social-responsibility/2022%20Corporate%20Social%20Responsibility%20Report.pdf</t>
  </si>
  <si>
    <t>https://aia.gcs-web.com/static-files/09bc9e0a-db14-475a-acac-ee6cf524cc76</t>
  </si>
  <si>
    <t>https://cdn.rd.com.br/prod/2023/07/c1530c09-rd_relat2022_en_06062023_-reshi_07.06.23.pdf</t>
  </si>
  <si>
    <t>https://www.dbs.com/iwov-resources/images/sustainability/reporting/pdf/web/DBS_SR2022.pdf?pid=sg-group-pweb-sustainability-pdf-dbs-sustainability-report-2022</t>
  </si>
  <si>
    <t>https://www.hitachi.com/sustainability/download/pdf/en_sustainability2022_print.pdf</t>
  </si>
  <si>
    <t>https://assets.cwp.roche.com/f/126832/x/7cd4e2ba4c/ar22e.pdf</t>
  </si>
  <si>
    <t>https://www.salesforce.com/content/dam/web/en_us/www/documents/white-papers/schedules-of-environmental-and-social-metrics-fy23.pdf</t>
  </si>
  <si>
    <t>https://www.nestle.com/sites/default/files/2023-03/creating-shared-value-sustainability-report-2022-en.pdf</t>
  </si>
  <si>
    <t>https://www.ti.com/lit/ml/szzo086b/szzo086b.pdf?ts=1693800970934&amp;ref_url=https%253A%252F%252Fwww.google.com%252F</t>
  </si>
  <si>
    <t>https://www.reckitt.com/media/nl3lyktu/sustainability-insights-2022.pdf</t>
  </si>
  <si>
    <t>https://a.storyblok.com/f/162306/x/48abf22d24/greggs-sustainability-report-2022.pdf</t>
  </si>
  <si>
    <t>https://s201.q4cdn.com/758408164/files/doc_downloads/2023/Dexcom-Annual-Sustainability-Report-March-2023.pdf</t>
  </si>
  <si>
    <t>https://corporate.lululemon.com/~/media/Files/L/Lululemon/our-impact/reporting-and-disclosure/lululemon-impact-report-2022.pdf</t>
  </si>
  <si>
    <t>https://www.kingfisher.com/responsiblebusiness-report</t>
  </si>
  <si>
    <t>https://www.spiraxsarcoengineering.com/sites/spirax-sarco-corp/files/2023-03/2022-Annual-Report.pdf</t>
  </si>
  <si>
    <t>https://www.hydro.com/globalassets/06-investors/reports-and-presentations/annual-report/jenincharge22/annual-report-2022eng2.pdf</t>
  </si>
  <si>
    <t>https://corporate.lowes.com/sites/lowes-corp/files/2023-07/lowes-2022-crr.pdf</t>
  </si>
  <si>
    <t>https://www.bseindia.com/xml-data/corpfiling/AttachHis//0b98b421-ddb7-4c51-93e8-c2e6c35e6db2.pdf</t>
  </si>
  <si>
    <t>$ Weighted average score - excluding foregin securities - 60.69</t>
  </si>
  <si>
    <t>$ Weighted average score - including foregin securities - 47.37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</si>
</sst>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justify" vertical="top" wrapText="1"/>
    </xf>
    <xf numFmtId="0" fontId="3" fillId="15" borderId="7" xfId="0" applyFont="1" applyFill="1" applyBorder="1" applyAlignment="1">
      <alignment horizontal="left" vertical="top" wrapText="1"/>
    </xf>
    <xf numFmtId="0" fontId="1" fillId="16" borderId="8" xfId="0" applyFont="1" applyFill="1" applyBorder="1" applyAlignment="1">
      <alignment horizontal="left" vertical="top" wrapText="1"/>
    </xf>
    <xf numFmtId="0" fontId="5" fillId="17" borderId="9" xfId="0" applyFont="1" applyFill="1" applyBorder="1" applyAlignment="1">
      <alignment horizontal="right" vertical="top" wrapText="1"/>
    </xf>
    <xf numFmtId="0" fontId="5" fillId="18" borderId="10" xfId="0" applyFont="1" applyFill="1" applyBorder="1" applyAlignment="1">
      <alignment horizontal="right" vertical="top" wrapText="1"/>
    </xf>
    <xf numFmtId="0" fontId="6" fillId="19" borderId="2" xfId="0" applyFont="1" applyFill="1" applyBorder="1" applyAlignment="1">
      <alignment horizontal="left" vertical="top" wrapText="1"/>
    </xf>
    <xf numFmtId="0" fontId="1" fillId="20" borderId="7" xfId="0" applyFont="1" applyFill="1" applyBorder="1" applyAlignment="1">
      <alignment horizontal="left" vertical="top" wrapText="1"/>
    </xf>
    <xf numFmtId="3" fontId="1" fillId="21" borderId="8" xfId="0" applyNumberFormat="1" applyFont="1" applyFill="1" applyBorder="1" applyAlignment="1">
      <alignment horizontal="right" vertical="top" wrapText="1"/>
    </xf>
    <xf numFmtId="164" fontId="1" fillId="22" borderId="9" xfId="0" applyNumberFormat="1" applyFont="1" applyFill="1" applyBorder="1" applyAlignment="1">
      <alignment horizontal="right" vertical="top" wrapText="1"/>
    </xf>
    <xf numFmtId="165" fontId="1" fillId="23" borderId="8" xfId="0" applyNumberFormat="1" applyFont="1" applyFill="1" applyBorder="1" applyAlignment="1">
      <alignment horizontal="right" vertical="top" wrapText="1"/>
    </xf>
    <xf numFmtId="166" fontId="1" fillId="24" borderId="9" xfId="0" applyNumberFormat="1" applyFont="1" applyFill="1" applyBorder="1" applyAlignment="1">
      <alignment horizontal="right" vertical="top" wrapText="1"/>
    </xf>
    <xf numFmtId="0" fontId="1" fillId="25" borderId="10" xfId="0" applyFont="1" applyFill="1" applyBorder="1" applyAlignment="1">
      <alignment horizontal="right" vertical="top" wrapText="1"/>
    </xf>
    <xf numFmtId="164" fontId="3" fillId="26" borderId="11" xfId="0" applyNumberFormat="1" applyFont="1" applyFill="1" applyBorder="1" applyAlignment="1">
      <alignment horizontal="right" vertical="top" wrapText="1"/>
    </xf>
    <xf numFmtId="165" fontId="3" fillId="27" borderId="1" xfId="0" applyNumberFormat="1" applyFont="1" applyFill="1" applyBorder="1" applyAlignment="1">
      <alignment horizontal="right" vertical="top" wrapText="1"/>
    </xf>
    <xf numFmtId="0" fontId="3" fillId="28" borderId="1" xfId="0" applyFont="1" applyFill="1" applyBorder="1" applyAlignment="1">
      <alignment horizontal="right" vertical="top" wrapText="1"/>
    </xf>
    <xf numFmtId="0" fontId="3" fillId="29" borderId="12" xfId="0" applyFont="1" applyFill="1" applyBorder="1" applyAlignment="1">
      <alignment horizontal="right" vertical="top" wrapText="1"/>
    </xf>
    <xf numFmtId="0" fontId="3" fillId="30" borderId="13" xfId="0" applyFont="1" applyFill="1" applyBorder="1" applyAlignment="1">
      <alignment horizontal="left" vertical="top" wrapText="1"/>
    </xf>
    <xf numFmtId="0" fontId="1" fillId="31" borderId="14" xfId="0" applyFont="1" applyFill="1" applyBorder="1" applyAlignment="1">
      <alignment horizontal="left" vertical="top" wrapText="1"/>
    </xf>
    <xf numFmtId="164" fontId="3" fillId="32" borderId="1" xfId="0" applyNumberFormat="1" applyFont="1" applyFill="1" applyBorder="1" applyAlignment="1">
      <alignment horizontal="right" vertical="top" wrapText="1"/>
    </xf>
    <xf numFmtId="0" fontId="3" fillId="33" borderId="15" xfId="0" applyFont="1" applyFill="1" applyBorder="1" applyAlignment="1">
      <alignment horizontal="left" vertical="top" wrapText="1"/>
    </xf>
    <xf numFmtId="0" fontId="1" fillId="34" borderId="16" xfId="0" applyFont="1" applyFill="1" applyBorder="1" applyAlignment="1">
      <alignment horizontal="left" vertical="top" wrapText="1"/>
    </xf>
    <xf numFmtId="164" fontId="3" fillId="35" borderId="17" xfId="0" applyNumberFormat="1" applyFont="1" applyFill="1" applyBorder="1" applyAlignment="1">
      <alignment horizontal="right" vertical="top" wrapText="1"/>
    </xf>
    <xf numFmtId="166" fontId="3" fillId="36" borderId="17" xfId="0" applyNumberFormat="1" applyFont="1" applyFill="1" applyBorder="1" applyAlignment="1">
      <alignment horizontal="right" vertical="top" wrapText="1"/>
    </xf>
    <xf numFmtId="0" fontId="3" fillId="37" borderId="18" xfId="0" applyFont="1" applyFill="1" applyBorder="1" applyAlignment="1">
      <alignment horizontal="right" vertical="top" wrapText="1"/>
    </xf>
    <xf numFmtId="0" fontId="3" fillId="38" borderId="19" xfId="0" applyFont="1" applyFill="1" applyBorder="1" applyAlignment="1">
      <alignment horizontal="righ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1" fillId="41" borderId="9" xfId="0" applyFont="1" applyFill="1" applyBorder="1" applyAlignment="1">
      <alignment horizontal="right" vertical="top" wrapText="1"/>
    </xf>
    <xf numFmtId="166" fontId="1" fillId="42" borderId="10" xfId="0" applyNumberFormat="1" applyFont="1" applyFill="1" applyBorder="1" applyAlignment="1">
      <alignment horizontal="right" vertical="top" wrapText="1"/>
    </xf>
    <xf numFmtId="0" fontId="1" fillId="43" borderId="8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0" fillId="43" borderId="3" xfId="0" applyFill="1" applyBorder="1" applyAlignment="1" applyProtection="1">
      <alignment wrapText="1"/>
      <protection locked="0"/>
    </xf>
    <xf numFmtId="4" fontId="0" fillId="0" borderId="0" xfId="0" applyNumberForma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3" fontId="1" fillId="0" borderId="8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166" fontId="1" fillId="0" borderId="9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6" fontId="3" fillId="0" borderId="17" xfId="0" applyNumberFormat="1" applyFont="1" applyBorder="1" applyAlignment="1">
      <alignment horizontal="right" vertical="top" wrapText="1"/>
    </xf>
    <xf numFmtId="0" fontId="3" fillId="0" borderId="18" xfId="0" applyFont="1" applyBorder="1" applyAlignment="1">
      <alignment horizontal="right" vertical="top" wrapText="1"/>
    </xf>
    <xf numFmtId="0" fontId="3" fillId="0" borderId="19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3" fillId="5" borderId="3" xfId="0" applyFont="1" applyFill="1" applyBorder="1" applyAlignment="1">
      <alignment horizontal="left" vertical="top" wrapText="1"/>
    </xf>
    <xf numFmtId="0" fontId="7" fillId="39" borderId="3" xfId="0" applyFont="1" applyFill="1" applyBorder="1" applyAlignment="1">
      <alignment horizontal="left" vertical="top" wrapText="1"/>
    </xf>
    <xf numFmtId="0" fontId="3" fillId="43" borderId="3" xfId="0" applyFont="1" applyFill="1" applyBorder="1" applyAlignment="1">
      <alignment horizontal="left" vertical="top" wrapText="1"/>
    </xf>
    <xf numFmtId="0" fontId="1" fillId="8" borderId="3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7" fillId="4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3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3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7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4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g"/><Relationship Id="rId1" Type="http://schemas.openxmlformats.org/officeDocument/2006/relationships/image" Target="../media/image10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8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13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8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745785321" name="Picture">
          <a:extLst>
            <a:ext uri="{FF2B5EF4-FFF2-40B4-BE49-F238E27FC236}">
              <a16:creationId xmlns:a16="http://schemas.microsoft.com/office/drawing/2014/main" id="{00000000-0008-0000-0100-0000E9C773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1235118787" name="Picture">
          <a:extLst>
            <a:ext uri="{FF2B5EF4-FFF2-40B4-BE49-F238E27FC236}">
              <a16:creationId xmlns:a16="http://schemas.microsoft.com/office/drawing/2014/main" id="{00000000-0008-0000-0100-0000C36A9E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1146133152" name="Picture">
          <a:extLst>
            <a:ext uri="{FF2B5EF4-FFF2-40B4-BE49-F238E27FC236}">
              <a16:creationId xmlns:a16="http://schemas.microsoft.com/office/drawing/2014/main" id="{00000000-0008-0000-0200-0000A09A50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1645495298" name="Picture">
          <a:extLst>
            <a:ext uri="{FF2B5EF4-FFF2-40B4-BE49-F238E27FC236}">
              <a16:creationId xmlns:a16="http://schemas.microsoft.com/office/drawing/2014/main" id="{00000000-0008-0000-0200-0000024414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1149903300" name="Picture">
          <a:extLst>
            <a:ext uri="{FF2B5EF4-FFF2-40B4-BE49-F238E27FC236}">
              <a16:creationId xmlns:a16="http://schemas.microsoft.com/office/drawing/2014/main" id="{00000000-0008-0000-0300-0000C4218A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744078666" name="Picture">
          <a:extLst>
            <a:ext uri="{FF2B5EF4-FFF2-40B4-BE49-F238E27FC236}">
              <a16:creationId xmlns:a16="http://schemas.microsoft.com/office/drawing/2014/main" id="{00000000-0008-0000-0300-00004ABD592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0</xdr:colOff>
      <xdr:row>83</xdr:row>
      <xdr:rowOff>0</xdr:rowOff>
    </xdr:to>
    <xdr:pic>
      <xdr:nvPicPr>
        <xdr:cNvPr id="1255425515" name="Picture">
          <a:extLst>
            <a:ext uri="{FF2B5EF4-FFF2-40B4-BE49-F238E27FC236}">
              <a16:creationId xmlns:a16="http://schemas.microsoft.com/office/drawing/2014/main" id="{00000000-0008-0000-0400-0000EB45D4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4</xdr:col>
      <xdr:colOff>0</xdr:colOff>
      <xdr:row>83</xdr:row>
      <xdr:rowOff>0</xdr:rowOff>
    </xdr:to>
    <xdr:pic>
      <xdr:nvPicPr>
        <xdr:cNvPr id="353945131" name="Picture">
          <a:extLst>
            <a:ext uri="{FF2B5EF4-FFF2-40B4-BE49-F238E27FC236}">
              <a16:creationId xmlns:a16="http://schemas.microsoft.com/office/drawing/2014/main" id="{00000000-0008-0000-0400-00002BC6181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452636931" name="Picture">
          <a:extLst>
            <a:ext uri="{FF2B5EF4-FFF2-40B4-BE49-F238E27FC236}">
              <a16:creationId xmlns:a16="http://schemas.microsoft.com/office/drawing/2014/main" id="{00000000-0008-0000-0500-000003B1FA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4</xdr:col>
      <xdr:colOff>0</xdr:colOff>
      <xdr:row>128</xdr:row>
      <xdr:rowOff>0</xdr:rowOff>
    </xdr:to>
    <xdr:pic>
      <xdr:nvPicPr>
        <xdr:cNvPr id="527975362" name="Picture">
          <a:extLst>
            <a:ext uri="{FF2B5EF4-FFF2-40B4-BE49-F238E27FC236}">
              <a16:creationId xmlns:a16="http://schemas.microsoft.com/office/drawing/2014/main" id="{00000000-0008-0000-0500-0000C243781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1468836327" name="Picture">
          <a:extLst>
            <a:ext uri="{FF2B5EF4-FFF2-40B4-BE49-F238E27FC236}">
              <a16:creationId xmlns:a16="http://schemas.microsoft.com/office/drawing/2014/main" id="{00000000-0008-0000-0600-0000E7A98C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515465279" name="Picture">
          <a:extLst>
            <a:ext uri="{FF2B5EF4-FFF2-40B4-BE49-F238E27FC236}">
              <a16:creationId xmlns:a16="http://schemas.microsoft.com/office/drawing/2014/main" id="{00000000-0008-0000-0600-00003F60B91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1367652418" name="Picture">
          <a:extLst>
            <a:ext uri="{FF2B5EF4-FFF2-40B4-BE49-F238E27FC236}">
              <a16:creationId xmlns:a16="http://schemas.microsoft.com/office/drawing/2014/main" id="{00000000-0008-0000-0700-000042B884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213878755" name="Picture">
          <a:extLst>
            <a:ext uri="{FF2B5EF4-FFF2-40B4-BE49-F238E27FC236}">
              <a16:creationId xmlns:a16="http://schemas.microsoft.com/office/drawing/2014/main" id="{00000000-0008-0000-0700-0000E387BF0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1045353474" name="Picture">
          <a:extLst>
            <a:ext uri="{FF2B5EF4-FFF2-40B4-BE49-F238E27FC236}">
              <a16:creationId xmlns:a16="http://schemas.microsoft.com/office/drawing/2014/main" id="{00000000-0008-0000-0800-000002D44E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1797518188" name="Picture">
          <a:extLst>
            <a:ext uri="{FF2B5EF4-FFF2-40B4-BE49-F238E27FC236}">
              <a16:creationId xmlns:a16="http://schemas.microsoft.com/office/drawing/2014/main" id="{00000000-0008-0000-0800-00006CF3236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98</xdr:row>
      <xdr:rowOff>0</xdr:rowOff>
    </xdr:from>
    <xdr:to>
      <xdr:col>4</xdr:col>
      <xdr:colOff>0</xdr:colOff>
      <xdr:row>99</xdr:row>
      <xdr:rowOff>0</xdr:rowOff>
    </xdr:to>
    <xdr:pic>
      <xdr:nvPicPr>
        <xdr:cNvPr id="1401619537" name="Picture">
          <a:extLst>
            <a:ext uri="{FF2B5EF4-FFF2-40B4-BE49-F238E27FC236}">
              <a16:creationId xmlns:a16="http://schemas.microsoft.com/office/drawing/2014/main" id="{00000000-0008-0000-0900-000051048B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4609524</xdr:colOff>
      <xdr:row>98</xdr:row>
      <xdr:rowOff>1533333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4092C5-C4EB-B246-8736-D2DF42BC7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259175"/>
          <a:ext cx="4609524" cy="15333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1149901010" name="Picture">
          <a:extLst>
            <a:ext uri="{FF2B5EF4-FFF2-40B4-BE49-F238E27FC236}">
              <a16:creationId xmlns:a16="http://schemas.microsoft.com/office/drawing/2014/main" id="{00000000-0008-0000-0A00-0000D2188A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602926803" name="Picture">
          <a:extLst>
            <a:ext uri="{FF2B5EF4-FFF2-40B4-BE49-F238E27FC236}">
              <a16:creationId xmlns:a16="http://schemas.microsoft.com/office/drawing/2014/main" id="{00000000-0008-0000-0A00-0000D3EEEF2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1030552675" name="Picture">
          <a:extLst>
            <a:ext uri="{FF2B5EF4-FFF2-40B4-BE49-F238E27FC236}">
              <a16:creationId xmlns:a16="http://schemas.microsoft.com/office/drawing/2014/main" id="{00000000-0008-0000-0B00-000063FC6C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911134227" name="Picture">
          <a:extLst>
            <a:ext uri="{FF2B5EF4-FFF2-40B4-BE49-F238E27FC236}">
              <a16:creationId xmlns:a16="http://schemas.microsoft.com/office/drawing/2014/main" id="{00000000-0008-0000-0B00-000013CE4E3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0</xdr:colOff>
      <xdr:row>156</xdr:row>
      <xdr:rowOff>0</xdr:rowOff>
    </xdr:to>
    <xdr:pic>
      <xdr:nvPicPr>
        <xdr:cNvPr id="2127820663" name="Picture">
          <a:extLst>
            <a:ext uri="{FF2B5EF4-FFF2-40B4-BE49-F238E27FC236}">
              <a16:creationId xmlns:a16="http://schemas.microsoft.com/office/drawing/2014/main" id="{00000000-0008-0000-0C00-000077F7D3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pic>
      <xdr:nvPicPr>
        <xdr:cNvPr id="612799274" name="Picture">
          <a:extLst>
            <a:ext uri="{FF2B5EF4-FFF2-40B4-BE49-F238E27FC236}">
              <a16:creationId xmlns:a16="http://schemas.microsoft.com/office/drawing/2014/main" id="{00000000-0008-0000-0C00-00002A93862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1694035967" name="Picture">
          <a:extLst>
            <a:ext uri="{FF2B5EF4-FFF2-40B4-BE49-F238E27FC236}">
              <a16:creationId xmlns:a16="http://schemas.microsoft.com/office/drawing/2014/main" id="{00000000-0008-0000-0D00-0000FFEFF8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616196615" name="Picture">
          <a:extLst>
            <a:ext uri="{FF2B5EF4-FFF2-40B4-BE49-F238E27FC236}">
              <a16:creationId xmlns:a16="http://schemas.microsoft.com/office/drawing/2014/main" id="{00000000-0008-0000-0D00-0000076ABA2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318465041" name="Picture">
          <a:extLst>
            <a:ext uri="{FF2B5EF4-FFF2-40B4-BE49-F238E27FC236}">
              <a16:creationId xmlns:a16="http://schemas.microsoft.com/office/drawing/2014/main" id="{00000000-0008-0000-0E00-00001164FB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206883797" name="Picture">
          <a:extLst>
            <a:ext uri="{FF2B5EF4-FFF2-40B4-BE49-F238E27FC236}">
              <a16:creationId xmlns:a16="http://schemas.microsoft.com/office/drawing/2014/main" id="{00000000-0008-0000-0E00-0000D5CB540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2087325401" name="Picture">
          <a:extLst>
            <a:ext uri="{FF2B5EF4-FFF2-40B4-BE49-F238E27FC236}">
              <a16:creationId xmlns:a16="http://schemas.microsoft.com/office/drawing/2014/main" id="{00000000-0008-0000-0F00-0000D90E6A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pic>
      <xdr:nvPicPr>
        <xdr:cNvPr id="1156917631" name="Picture">
          <a:extLst>
            <a:ext uri="{FF2B5EF4-FFF2-40B4-BE49-F238E27FC236}">
              <a16:creationId xmlns:a16="http://schemas.microsoft.com/office/drawing/2014/main" id="{00000000-0008-0000-0F00-00007F29F5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1920778065" name="Picture">
          <a:extLst>
            <a:ext uri="{FF2B5EF4-FFF2-40B4-BE49-F238E27FC236}">
              <a16:creationId xmlns:a16="http://schemas.microsoft.com/office/drawing/2014/main" id="{00000000-0008-0000-1000-000051BF7C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4609524</xdr:colOff>
      <xdr:row>126</xdr:row>
      <xdr:rowOff>1533333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B95B9-0505-4B3E-46C5-55459EB3F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793075"/>
          <a:ext cx="4609524" cy="15333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295</xdr:row>
      <xdr:rowOff>0</xdr:rowOff>
    </xdr:from>
    <xdr:to>
      <xdr:col>2</xdr:col>
      <xdr:colOff>0</xdr:colOff>
      <xdr:row>296</xdr:row>
      <xdr:rowOff>0</xdr:rowOff>
    </xdr:to>
    <xdr:pic>
      <xdr:nvPicPr>
        <xdr:cNvPr id="565739430" name="Picture">
          <a:extLst>
            <a:ext uri="{FF2B5EF4-FFF2-40B4-BE49-F238E27FC236}">
              <a16:creationId xmlns:a16="http://schemas.microsoft.com/office/drawing/2014/main" id="{00000000-0008-0000-1100-0000A67FB8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4</xdr:col>
      <xdr:colOff>0</xdr:colOff>
      <xdr:row>296</xdr:row>
      <xdr:rowOff>0</xdr:rowOff>
    </xdr:to>
    <xdr:pic>
      <xdr:nvPicPr>
        <xdr:cNvPr id="1886058354" name="Picture">
          <a:extLst>
            <a:ext uri="{FF2B5EF4-FFF2-40B4-BE49-F238E27FC236}">
              <a16:creationId xmlns:a16="http://schemas.microsoft.com/office/drawing/2014/main" id="{00000000-0008-0000-1100-000072F76A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1661633997" name="Picture">
          <a:extLst>
            <a:ext uri="{FF2B5EF4-FFF2-40B4-BE49-F238E27FC236}">
              <a16:creationId xmlns:a16="http://schemas.microsoft.com/office/drawing/2014/main" id="{00000000-0008-0000-1200-0000CD850A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1845793243" name="Picture">
          <a:extLst>
            <a:ext uri="{FF2B5EF4-FFF2-40B4-BE49-F238E27FC236}">
              <a16:creationId xmlns:a16="http://schemas.microsoft.com/office/drawing/2014/main" id="{00000000-0008-0000-1200-0000DB9104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323665958" name="Picture">
          <a:extLst>
            <a:ext uri="{FF2B5EF4-FFF2-40B4-BE49-F238E27FC236}">
              <a16:creationId xmlns:a16="http://schemas.microsoft.com/office/drawing/2014/main" id="{00000000-0008-0000-1300-000026C04A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884765786" name="Picture">
          <a:extLst>
            <a:ext uri="{FF2B5EF4-FFF2-40B4-BE49-F238E27FC236}">
              <a16:creationId xmlns:a16="http://schemas.microsoft.com/office/drawing/2014/main" id="{00000000-0008-0000-1300-00005A74BC3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61848557" name="Picture">
          <a:extLst>
            <a:ext uri="{FF2B5EF4-FFF2-40B4-BE49-F238E27FC236}">
              <a16:creationId xmlns:a16="http://schemas.microsoft.com/office/drawing/2014/main" id="{00000000-0008-0000-1400-0000EDBBAF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4</xdr:col>
      <xdr:colOff>0</xdr:colOff>
      <xdr:row>79</xdr:row>
      <xdr:rowOff>0</xdr:rowOff>
    </xdr:to>
    <xdr:pic>
      <xdr:nvPicPr>
        <xdr:cNvPr id="1240430602" name="Picture">
          <a:extLst>
            <a:ext uri="{FF2B5EF4-FFF2-40B4-BE49-F238E27FC236}">
              <a16:creationId xmlns:a16="http://schemas.microsoft.com/office/drawing/2014/main" id="{00000000-0008-0000-1400-00000A78EF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0</xdr:colOff>
      <xdr:row>189</xdr:row>
      <xdr:rowOff>0</xdr:rowOff>
    </xdr:to>
    <xdr:pic>
      <xdr:nvPicPr>
        <xdr:cNvPr id="216128225" name="Picture">
          <a:extLst>
            <a:ext uri="{FF2B5EF4-FFF2-40B4-BE49-F238E27FC236}">
              <a16:creationId xmlns:a16="http://schemas.microsoft.com/office/drawing/2014/main" id="{00000000-0008-0000-1500-0000E1DAE1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4</xdr:col>
      <xdr:colOff>0</xdr:colOff>
      <xdr:row>189</xdr:row>
      <xdr:rowOff>0</xdr:rowOff>
    </xdr:to>
    <xdr:pic>
      <xdr:nvPicPr>
        <xdr:cNvPr id="1529377155" name="Picture">
          <a:extLst>
            <a:ext uri="{FF2B5EF4-FFF2-40B4-BE49-F238E27FC236}">
              <a16:creationId xmlns:a16="http://schemas.microsoft.com/office/drawing/2014/main" id="{00000000-0008-0000-1500-00008371285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19050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089B6E8-7E22-4F30-BA47-F562A18B80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554575"/>
          <a:ext cx="4610100" cy="1552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ABABE10-C9A4-4C57-A3EA-77EA8038E9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554575"/>
          <a:ext cx="3333750" cy="15335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353315994" name="Picture">
          <a:extLst>
            <a:ext uri="{FF2B5EF4-FFF2-40B4-BE49-F238E27FC236}">
              <a16:creationId xmlns:a16="http://schemas.microsoft.com/office/drawing/2014/main" id="{00000000-0008-0000-1700-00009A2C0F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229893073" name="Picture">
          <a:extLst>
            <a:ext uri="{FF2B5EF4-FFF2-40B4-BE49-F238E27FC236}">
              <a16:creationId xmlns:a16="http://schemas.microsoft.com/office/drawing/2014/main" id="{00000000-0008-0000-1700-0000D1E3B3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508040102" name="Picture">
          <a:extLst>
            <a:ext uri="{FF2B5EF4-FFF2-40B4-BE49-F238E27FC236}">
              <a16:creationId xmlns:a16="http://schemas.microsoft.com/office/drawing/2014/main" id="{00000000-0008-0000-1800-0000A61348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1466454811" name="Picture">
          <a:extLst>
            <a:ext uri="{FF2B5EF4-FFF2-40B4-BE49-F238E27FC236}">
              <a16:creationId xmlns:a16="http://schemas.microsoft.com/office/drawing/2014/main" id="{00000000-0008-0000-1800-00001B53685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997183120" name="Picture">
          <a:extLst>
            <a:ext uri="{FF2B5EF4-FFF2-40B4-BE49-F238E27FC236}">
              <a16:creationId xmlns:a16="http://schemas.microsoft.com/office/drawing/2014/main" id="{00000000-0008-0000-1900-000090CE6F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693112647" name="Picture">
          <a:extLst>
            <a:ext uri="{FF2B5EF4-FFF2-40B4-BE49-F238E27FC236}">
              <a16:creationId xmlns:a16="http://schemas.microsoft.com/office/drawing/2014/main" id="{00000000-0008-0000-1900-0000470F502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010901736" name="Picture">
          <a:extLst>
            <a:ext uri="{FF2B5EF4-FFF2-40B4-BE49-F238E27FC236}">
              <a16:creationId xmlns:a16="http://schemas.microsoft.com/office/drawing/2014/main" id="{00000000-0008-0000-1A00-0000E8ECDB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1648265603" name="Picture">
          <a:extLst>
            <a:ext uri="{FF2B5EF4-FFF2-40B4-BE49-F238E27FC236}">
              <a16:creationId xmlns:a16="http://schemas.microsoft.com/office/drawing/2014/main" id="{00000000-0008-0000-1A00-000083893E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660652058" name="Picture">
          <a:extLst>
            <a:ext uri="{FF2B5EF4-FFF2-40B4-BE49-F238E27FC236}">
              <a16:creationId xmlns:a16="http://schemas.microsoft.com/office/drawing/2014/main" id="{00000000-0008-0000-1B00-00001AC060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241420678" name="Picture">
          <a:extLst>
            <a:ext uri="{FF2B5EF4-FFF2-40B4-BE49-F238E27FC236}">
              <a16:creationId xmlns:a16="http://schemas.microsoft.com/office/drawing/2014/main" id="{00000000-0008-0000-1B00-000086C9630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32345487" name="Picture">
          <a:extLst>
            <a:ext uri="{FF2B5EF4-FFF2-40B4-BE49-F238E27FC236}">
              <a16:creationId xmlns:a16="http://schemas.microsoft.com/office/drawing/2014/main" id="{00000000-0008-0000-1C00-00008F8DED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423793156" name="Picture">
          <a:extLst>
            <a:ext uri="{FF2B5EF4-FFF2-40B4-BE49-F238E27FC236}">
              <a16:creationId xmlns:a16="http://schemas.microsoft.com/office/drawing/2014/main" id="{00000000-0008-0000-1C00-00000492421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805749697" name="Picture">
          <a:extLst>
            <a:ext uri="{FF2B5EF4-FFF2-40B4-BE49-F238E27FC236}">
              <a16:creationId xmlns:a16="http://schemas.microsoft.com/office/drawing/2014/main" id="{00000000-0008-0000-1D00-0000C1C306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857325714" name="Picture">
          <a:extLst>
            <a:ext uri="{FF2B5EF4-FFF2-40B4-BE49-F238E27FC236}">
              <a16:creationId xmlns:a16="http://schemas.microsoft.com/office/drawing/2014/main" id="{00000000-0008-0000-1D00-000092C019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1584771723" name="Picture">
          <a:extLst>
            <a:ext uri="{FF2B5EF4-FFF2-40B4-BE49-F238E27FC236}">
              <a16:creationId xmlns:a16="http://schemas.microsoft.com/office/drawing/2014/main" id="{00000000-0008-0000-1E00-00008BB275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1395313139" name="Picture">
          <a:extLst>
            <a:ext uri="{FF2B5EF4-FFF2-40B4-BE49-F238E27FC236}">
              <a16:creationId xmlns:a16="http://schemas.microsoft.com/office/drawing/2014/main" id="{00000000-0008-0000-1E00-0000F3C92A5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1437864092" name="Picture">
          <a:extLst>
            <a:ext uri="{FF2B5EF4-FFF2-40B4-BE49-F238E27FC236}">
              <a16:creationId xmlns:a16="http://schemas.microsoft.com/office/drawing/2014/main" id="{00000000-0008-0000-1F00-00009C10B4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4</xdr:col>
      <xdr:colOff>0</xdr:colOff>
      <xdr:row>130</xdr:row>
      <xdr:rowOff>0</xdr:rowOff>
    </xdr:to>
    <xdr:pic>
      <xdr:nvPicPr>
        <xdr:cNvPr id="676612072" name="Picture">
          <a:extLst>
            <a:ext uri="{FF2B5EF4-FFF2-40B4-BE49-F238E27FC236}">
              <a16:creationId xmlns:a16="http://schemas.microsoft.com/office/drawing/2014/main" id="{00000000-0008-0000-1F00-0000E847542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1539721603" name="Picture">
          <a:extLst>
            <a:ext uri="{FF2B5EF4-FFF2-40B4-BE49-F238E27FC236}">
              <a16:creationId xmlns:a16="http://schemas.microsoft.com/office/drawing/2014/main" id="{00000000-0008-0000-2000-00008349C6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1587967577" name="Picture">
          <a:extLst>
            <a:ext uri="{FF2B5EF4-FFF2-40B4-BE49-F238E27FC236}">
              <a16:creationId xmlns:a16="http://schemas.microsoft.com/office/drawing/2014/main" id="{00000000-0008-0000-2000-00005976A65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553833586" name="Picture">
          <a:extLst>
            <a:ext uri="{FF2B5EF4-FFF2-40B4-BE49-F238E27FC236}">
              <a16:creationId xmlns:a16="http://schemas.microsoft.com/office/drawing/2014/main" id="{00000000-0008-0000-2100-000072D402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2108525-1BB3-4FBF-AE6E-9BDFA149A4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7554575"/>
          <a:ext cx="4610100" cy="15335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1222712192" name="Picture">
          <a:extLst>
            <a:ext uri="{FF2B5EF4-FFF2-40B4-BE49-F238E27FC236}">
              <a16:creationId xmlns:a16="http://schemas.microsoft.com/office/drawing/2014/main" id="{00000000-0008-0000-2200-0000801BE1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630761595" name="Picture">
          <a:extLst>
            <a:ext uri="{FF2B5EF4-FFF2-40B4-BE49-F238E27FC236}">
              <a16:creationId xmlns:a16="http://schemas.microsoft.com/office/drawing/2014/main" id="{00000000-0008-0000-2200-00007BA8982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615838430" name="Picture">
          <a:extLst>
            <a:ext uri="{FF2B5EF4-FFF2-40B4-BE49-F238E27FC236}">
              <a16:creationId xmlns:a16="http://schemas.microsoft.com/office/drawing/2014/main" id="{00000000-0008-0000-2300-0000DEF2B4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E1FBD05-F619-4649-840A-2BFAE6E9508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17878425"/>
          <a:ext cx="4610100" cy="153352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1682559187" name="Picture">
          <a:extLst>
            <a:ext uri="{FF2B5EF4-FFF2-40B4-BE49-F238E27FC236}">
              <a16:creationId xmlns:a16="http://schemas.microsoft.com/office/drawing/2014/main" id="{00000000-0008-0000-2400-0000D3D049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82995025" name="Picture">
          <a:extLst>
            <a:ext uri="{FF2B5EF4-FFF2-40B4-BE49-F238E27FC236}">
              <a16:creationId xmlns:a16="http://schemas.microsoft.com/office/drawing/2014/main" id="{00000000-0008-0000-2400-00005167F2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0</xdr:colOff>
      <xdr:row>113</xdr:row>
      <xdr:rowOff>0</xdr:rowOff>
    </xdr:to>
    <xdr:pic>
      <xdr:nvPicPr>
        <xdr:cNvPr id="134159542" name="Picture">
          <a:extLst>
            <a:ext uri="{FF2B5EF4-FFF2-40B4-BE49-F238E27FC236}">
              <a16:creationId xmlns:a16="http://schemas.microsoft.com/office/drawing/2014/main" id="{00000000-0008-0000-2500-0000B61CFF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4</xdr:col>
      <xdr:colOff>0</xdr:colOff>
      <xdr:row>113</xdr:row>
      <xdr:rowOff>0</xdr:rowOff>
    </xdr:to>
    <xdr:pic>
      <xdr:nvPicPr>
        <xdr:cNvPr id="73284757" name="Picture">
          <a:extLst>
            <a:ext uri="{FF2B5EF4-FFF2-40B4-BE49-F238E27FC236}">
              <a16:creationId xmlns:a16="http://schemas.microsoft.com/office/drawing/2014/main" id="{00000000-0008-0000-2500-0000953C5E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775662469" name="Picture">
          <a:extLst>
            <a:ext uri="{FF2B5EF4-FFF2-40B4-BE49-F238E27FC236}">
              <a16:creationId xmlns:a16="http://schemas.microsoft.com/office/drawing/2014/main" id="{00000000-0008-0000-2600-000085AB3B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4</xdr:col>
      <xdr:colOff>0</xdr:colOff>
      <xdr:row>41</xdr:row>
      <xdr:rowOff>0</xdr:rowOff>
    </xdr:to>
    <xdr:pic>
      <xdr:nvPicPr>
        <xdr:cNvPr id="971278844" name="Picture">
          <a:extLst>
            <a:ext uri="{FF2B5EF4-FFF2-40B4-BE49-F238E27FC236}">
              <a16:creationId xmlns:a16="http://schemas.microsoft.com/office/drawing/2014/main" id="{00000000-0008-0000-2600-0000FC89E43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1174485210" name="Picture">
          <a:extLst>
            <a:ext uri="{FF2B5EF4-FFF2-40B4-BE49-F238E27FC236}">
              <a16:creationId xmlns:a16="http://schemas.microsoft.com/office/drawing/2014/main" id="{00000000-0008-0000-2700-0000DA3801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869142043" name="Picture">
          <a:extLst>
            <a:ext uri="{FF2B5EF4-FFF2-40B4-BE49-F238E27FC236}">
              <a16:creationId xmlns:a16="http://schemas.microsoft.com/office/drawing/2014/main" id="{00000000-0008-0000-2700-00001B0ECE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1079704676" name="Picture">
          <a:extLst>
            <a:ext uri="{FF2B5EF4-FFF2-40B4-BE49-F238E27FC236}">
              <a16:creationId xmlns:a16="http://schemas.microsoft.com/office/drawing/2014/main" id="{00000000-0008-0000-2800-000064FC5A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1575761658" name="Picture">
          <a:extLst>
            <a:ext uri="{FF2B5EF4-FFF2-40B4-BE49-F238E27FC236}">
              <a16:creationId xmlns:a16="http://schemas.microsoft.com/office/drawing/2014/main" id="{00000000-0008-0000-2800-0000FA36EC5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316936821" name="Picture">
          <a:extLst>
            <a:ext uri="{FF2B5EF4-FFF2-40B4-BE49-F238E27FC236}">
              <a16:creationId xmlns:a16="http://schemas.microsoft.com/office/drawing/2014/main" id="{00000000-0008-0000-2900-00007512E4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1369008356" name="Picture">
          <a:extLst>
            <a:ext uri="{FF2B5EF4-FFF2-40B4-BE49-F238E27FC236}">
              <a16:creationId xmlns:a16="http://schemas.microsoft.com/office/drawing/2014/main" id="{00000000-0008-0000-2900-0000E468995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0</xdr:colOff>
      <xdr:row>133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2E2DC17-7B8D-4F48-9731-22A2FE7FF7B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17646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4</xdr:col>
      <xdr:colOff>0</xdr:colOff>
      <xdr:row>133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BAB277B-9062-42B6-BF89-F1B0EB6CE6A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1764625"/>
          <a:ext cx="3333750" cy="153352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1209364528" name="Picture">
          <a:extLst>
            <a:ext uri="{FF2B5EF4-FFF2-40B4-BE49-F238E27FC236}">
              <a16:creationId xmlns:a16="http://schemas.microsoft.com/office/drawing/2014/main" id="{00000000-0008-0000-2B00-0000307015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1381101470" name="Picture">
          <a:extLst>
            <a:ext uri="{FF2B5EF4-FFF2-40B4-BE49-F238E27FC236}">
              <a16:creationId xmlns:a16="http://schemas.microsoft.com/office/drawing/2014/main" id="{00000000-0008-0000-2B00-00009EEF51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748881604" name="Picture">
          <a:extLst>
            <a:ext uri="{FF2B5EF4-FFF2-40B4-BE49-F238E27FC236}">
              <a16:creationId xmlns:a16="http://schemas.microsoft.com/office/drawing/2014/main" id="{00000000-0008-0000-2C00-0000C406A3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1394171007" name="Picture">
          <a:extLst>
            <a:ext uri="{FF2B5EF4-FFF2-40B4-BE49-F238E27FC236}">
              <a16:creationId xmlns:a16="http://schemas.microsoft.com/office/drawing/2014/main" id="{00000000-0008-0000-2C00-00007F5C195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812524252" name="Picture">
          <a:extLst>
            <a:ext uri="{FF2B5EF4-FFF2-40B4-BE49-F238E27FC236}">
              <a16:creationId xmlns:a16="http://schemas.microsoft.com/office/drawing/2014/main" id="{00000000-0008-0000-2D00-0000DC226E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1830688336" name="Picture">
          <a:extLst>
            <a:ext uri="{FF2B5EF4-FFF2-40B4-BE49-F238E27FC236}">
              <a16:creationId xmlns:a16="http://schemas.microsoft.com/office/drawing/2014/main" id="{00000000-0008-0000-2D00-000050161E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1497344017" name="Picture">
          <a:extLst>
            <a:ext uri="{FF2B5EF4-FFF2-40B4-BE49-F238E27FC236}">
              <a16:creationId xmlns:a16="http://schemas.microsoft.com/office/drawing/2014/main" id="{00000000-0008-0000-2E00-000011A83F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1088220653" name="Picture">
          <a:extLst>
            <a:ext uri="{FF2B5EF4-FFF2-40B4-BE49-F238E27FC236}">
              <a16:creationId xmlns:a16="http://schemas.microsoft.com/office/drawing/2014/main" id="{00000000-0008-0000-2E00-0000EDEDDC4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31805416" name="Picture">
          <a:extLst>
            <a:ext uri="{FF2B5EF4-FFF2-40B4-BE49-F238E27FC236}">
              <a16:creationId xmlns:a16="http://schemas.microsoft.com/office/drawing/2014/main" id="{00000000-0008-0000-2F00-0000E84FE5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483681554" name="Picture">
          <a:extLst>
            <a:ext uri="{FF2B5EF4-FFF2-40B4-BE49-F238E27FC236}">
              <a16:creationId xmlns:a16="http://schemas.microsoft.com/office/drawing/2014/main" id="{00000000-0008-0000-2F00-00001265D41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948910521" name="Picture">
          <a:extLst>
            <a:ext uri="{FF2B5EF4-FFF2-40B4-BE49-F238E27FC236}">
              <a16:creationId xmlns:a16="http://schemas.microsoft.com/office/drawing/2014/main" id="{00000000-0008-0000-3000-0000B9398F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521865408" name="Picture">
          <a:extLst>
            <a:ext uri="{FF2B5EF4-FFF2-40B4-BE49-F238E27FC236}">
              <a16:creationId xmlns:a16="http://schemas.microsoft.com/office/drawing/2014/main" id="{00000000-0008-0000-3000-0000C0081B1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875208388" name="Picture">
          <a:extLst>
            <a:ext uri="{FF2B5EF4-FFF2-40B4-BE49-F238E27FC236}">
              <a16:creationId xmlns:a16="http://schemas.microsoft.com/office/drawing/2014/main" id="{00000000-0008-0000-3100-0000C49E2A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191463846" name="Picture">
          <a:extLst>
            <a:ext uri="{FF2B5EF4-FFF2-40B4-BE49-F238E27FC236}">
              <a16:creationId xmlns:a16="http://schemas.microsoft.com/office/drawing/2014/main" id="{00000000-0008-0000-3100-0000A681690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1248473987" name="Picture">
          <a:extLst>
            <a:ext uri="{FF2B5EF4-FFF2-40B4-BE49-F238E27FC236}">
              <a16:creationId xmlns:a16="http://schemas.microsoft.com/office/drawing/2014/main" id="{00000000-0008-0000-3200-000083336A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233860870" name="Picture">
          <a:extLst>
            <a:ext uri="{FF2B5EF4-FFF2-40B4-BE49-F238E27FC236}">
              <a16:creationId xmlns:a16="http://schemas.microsoft.com/office/drawing/2014/main" id="{00000000-0008-0000-3200-0000066FF0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1842093250" name="Picture">
          <a:extLst>
            <a:ext uri="{FF2B5EF4-FFF2-40B4-BE49-F238E27FC236}">
              <a16:creationId xmlns:a16="http://schemas.microsoft.com/office/drawing/2014/main" id="{00000000-0008-0000-3300-0000C21CCC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720356460" name="Picture">
          <a:extLst>
            <a:ext uri="{FF2B5EF4-FFF2-40B4-BE49-F238E27FC236}">
              <a16:creationId xmlns:a16="http://schemas.microsoft.com/office/drawing/2014/main" id="{00000000-0008-0000-3300-00006CC4EF2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822221977" name="Picture">
          <a:extLst>
            <a:ext uri="{FF2B5EF4-FFF2-40B4-BE49-F238E27FC236}">
              <a16:creationId xmlns:a16="http://schemas.microsoft.com/office/drawing/2014/main" id="{00000000-0008-0000-3400-0000991C02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1065668064" name="Picture">
          <a:extLst>
            <a:ext uri="{FF2B5EF4-FFF2-40B4-BE49-F238E27FC236}">
              <a16:creationId xmlns:a16="http://schemas.microsoft.com/office/drawing/2014/main" id="{00000000-0008-0000-3400-0000E0CD84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4609524</xdr:colOff>
      <xdr:row>93</xdr:row>
      <xdr:rowOff>1533333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8DF63-2241-1E0A-3338-36F5182A5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5449550"/>
          <a:ext cx="4609524" cy="1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92D9B88-9670-4618-A476-E9EB160F0B4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449550"/>
          <a:ext cx="3333750" cy="153352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1715176002" name="Picture">
          <a:extLst>
            <a:ext uri="{FF2B5EF4-FFF2-40B4-BE49-F238E27FC236}">
              <a16:creationId xmlns:a16="http://schemas.microsoft.com/office/drawing/2014/main" id="{00000000-0008-0000-3600-000042823B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A0E2CA9-E2AD-484C-9786-6834C20E960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9620250"/>
          <a:ext cx="3333750" cy="15335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4609524</xdr:colOff>
      <xdr:row>95</xdr:row>
      <xdr:rowOff>1533333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F64FB-3F88-33D1-41E0-F9869833C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5773400"/>
          <a:ext cx="4609524" cy="1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8A7EC40-5352-4339-8473-FC6F6032CCD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773400"/>
          <a:ext cx="3333750" cy="153352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1944469529" name="Picture">
          <a:extLst>
            <a:ext uri="{FF2B5EF4-FFF2-40B4-BE49-F238E27FC236}">
              <a16:creationId xmlns:a16="http://schemas.microsoft.com/office/drawing/2014/main" id="{00000000-0008-0000-3800-00001940E6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1232467381" name="Picture">
          <a:extLst>
            <a:ext uri="{FF2B5EF4-FFF2-40B4-BE49-F238E27FC236}">
              <a16:creationId xmlns:a16="http://schemas.microsoft.com/office/drawing/2014/main" id="{00000000-0008-0000-3800-0000B5F575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1808599727" name="Picture">
          <a:extLst>
            <a:ext uri="{FF2B5EF4-FFF2-40B4-BE49-F238E27FC236}">
              <a16:creationId xmlns:a16="http://schemas.microsoft.com/office/drawing/2014/main" id="{00000000-0008-0000-3900-0000AF0ACD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1098505102" name="Picture">
          <a:extLst>
            <a:ext uri="{FF2B5EF4-FFF2-40B4-BE49-F238E27FC236}">
              <a16:creationId xmlns:a16="http://schemas.microsoft.com/office/drawing/2014/main" id="{00000000-0008-0000-3900-00008EDB79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14597424" name="Picture">
          <a:extLst>
            <a:ext uri="{FF2B5EF4-FFF2-40B4-BE49-F238E27FC236}">
              <a16:creationId xmlns:a16="http://schemas.microsoft.com/office/drawing/2014/main" id="{00000000-0008-0000-3A00-000030BDDE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1717582019" name="Picture">
          <a:extLst>
            <a:ext uri="{FF2B5EF4-FFF2-40B4-BE49-F238E27FC236}">
              <a16:creationId xmlns:a16="http://schemas.microsoft.com/office/drawing/2014/main" id="{00000000-0008-0000-3A00-0000C33860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1711005394" name="Picture">
          <a:extLst>
            <a:ext uri="{FF2B5EF4-FFF2-40B4-BE49-F238E27FC236}">
              <a16:creationId xmlns:a16="http://schemas.microsoft.com/office/drawing/2014/main" id="{00000000-0008-0000-3B00-0000D2DEFB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1792138312" name="Picture">
          <a:extLst>
            <a:ext uri="{FF2B5EF4-FFF2-40B4-BE49-F238E27FC236}">
              <a16:creationId xmlns:a16="http://schemas.microsoft.com/office/drawing/2014/main" id="{00000000-0008-0000-3B00-000048DCD16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521390879" name="Picture">
          <a:extLst>
            <a:ext uri="{FF2B5EF4-FFF2-40B4-BE49-F238E27FC236}">
              <a16:creationId xmlns:a16="http://schemas.microsoft.com/office/drawing/2014/main" id="{00000000-0008-0000-3C00-00001FCB13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2027048478" name="Picture">
          <a:extLst>
            <a:ext uri="{FF2B5EF4-FFF2-40B4-BE49-F238E27FC236}">
              <a16:creationId xmlns:a16="http://schemas.microsoft.com/office/drawing/2014/main" id="{00000000-0008-0000-3C00-00001E4ED27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1130627736" name="Picture">
          <a:extLst>
            <a:ext uri="{FF2B5EF4-FFF2-40B4-BE49-F238E27FC236}">
              <a16:creationId xmlns:a16="http://schemas.microsoft.com/office/drawing/2014/main" id="{00000000-0008-0000-3D00-0000980264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657700128" name="Picture">
          <a:extLst>
            <a:ext uri="{FF2B5EF4-FFF2-40B4-BE49-F238E27FC236}">
              <a16:creationId xmlns:a16="http://schemas.microsoft.com/office/drawing/2014/main" id="{00000000-0008-0000-3D00-000020B533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0</xdr:colOff>
      <xdr:row>201</xdr:row>
      <xdr:rowOff>0</xdr:rowOff>
    </xdr:to>
    <xdr:pic>
      <xdr:nvPicPr>
        <xdr:cNvPr id="653908458" name="Picture">
          <a:extLst>
            <a:ext uri="{FF2B5EF4-FFF2-40B4-BE49-F238E27FC236}">
              <a16:creationId xmlns:a16="http://schemas.microsoft.com/office/drawing/2014/main" id="{00000000-0008-0000-3E00-0000EAD9F92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4</xdr:col>
      <xdr:colOff>0</xdr:colOff>
      <xdr:row>201</xdr:row>
      <xdr:rowOff>0</xdr:rowOff>
    </xdr:to>
    <xdr:pic>
      <xdr:nvPicPr>
        <xdr:cNvPr id="1286717845" name="Picture">
          <a:extLst>
            <a:ext uri="{FF2B5EF4-FFF2-40B4-BE49-F238E27FC236}">
              <a16:creationId xmlns:a16="http://schemas.microsoft.com/office/drawing/2014/main" id="{00000000-0008-0000-3E00-000095C1B1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0</xdr:colOff>
      <xdr:row>169</xdr:row>
      <xdr:rowOff>0</xdr:rowOff>
    </xdr:to>
    <xdr:pic>
      <xdr:nvPicPr>
        <xdr:cNvPr id="790784601" name="Picture">
          <a:extLst>
            <a:ext uri="{FF2B5EF4-FFF2-40B4-BE49-F238E27FC236}">
              <a16:creationId xmlns:a16="http://schemas.microsoft.com/office/drawing/2014/main" id="{00000000-0008-0000-3F00-0000596A22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4</xdr:col>
      <xdr:colOff>0</xdr:colOff>
      <xdr:row>169</xdr:row>
      <xdr:rowOff>0</xdr:rowOff>
    </xdr:to>
    <xdr:pic>
      <xdr:nvPicPr>
        <xdr:cNvPr id="360857640" name="Picture">
          <a:extLst>
            <a:ext uri="{FF2B5EF4-FFF2-40B4-BE49-F238E27FC236}">
              <a16:creationId xmlns:a16="http://schemas.microsoft.com/office/drawing/2014/main" id="{00000000-0008-0000-3F00-00002840821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2103246331" name="Picture">
          <a:extLst>
            <a:ext uri="{FF2B5EF4-FFF2-40B4-BE49-F238E27FC236}">
              <a16:creationId xmlns:a16="http://schemas.microsoft.com/office/drawing/2014/main" id="{00000000-0008-0000-4000-0000FBFD5C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1067660972" name="Picture">
          <a:extLst>
            <a:ext uri="{FF2B5EF4-FFF2-40B4-BE49-F238E27FC236}">
              <a16:creationId xmlns:a16="http://schemas.microsoft.com/office/drawing/2014/main" id="{00000000-0008-0000-4000-0000AC36A3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66057123" name="Picture">
          <a:extLst>
            <a:ext uri="{FF2B5EF4-FFF2-40B4-BE49-F238E27FC236}">
              <a16:creationId xmlns:a16="http://schemas.microsoft.com/office/drawing/2014/main" id="{00000000-0008-0000-4100-0000A3F3EF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74146038" name="Picture">
          <a:extLst>
            <a:ext uri="{FF2B5EF4-FFF2-40B4-BE49-F238E27FC236}">
              <a16:creationId xmlns:a16="http://schemas.microsoft.com/office/drawing/2014/main" id="{00000000-0008-0000-4100-0000F6606B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516089509" name="Picture">
          <a:extLst>
            <a:ext uri="{FF2B5EF4-FFF2-40B4-BE49-F238E27FC236}">
              <a16:creationId xmlns:a16="http://schemas.microsoft.com/office/drawing/2014/main" id="{00000000-0008-0000-4200-0000A5E6C2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947041671" name="Picture">
          <a:extLst>
            <a:ext uri="{FF2B5EF4-FFF2-40B4-BE49-F238E27FC236}">
              <a16:creationId xmlns:a16="http://schemas.microsoft.com/office/drawing/2014/main" id="{00000000-0008-0000-4200-000087B5723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458198904" name="Picture">
          <a:extLst>
            <a:ext uri="{FF2B5EF4-FFF2-40B4-BE49-F238E27FC236}">
              <a16:creationId xmlns:a16="http://schemas.microsoft.com/office/drawing/2014/main" id="{00000000-0008-0000-4300-0000788F4F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8F29E39-D214-40C5-8F04-AC37E78ABA0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19497675"/>
          <a:ext cx="4610100" cy="153352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305247610" name="Picture">
          <a:extLst>
            <a:ext uri="{FF2B5EF4-FFF2-40B4-BE49-F238E27FC236}">
              <a16:creationId xmlns:a16="http://schemas.microsoft.com/office/drawing/2014/main" id="{00000000-0008-0000-4400-00007AB531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1061352502" name="Picture">
          <a:extLst>
            <a:ext uri="{FF2B5EF4-FFF2-40B4-BE49-F238E27FC236}">
              <a16:creationId xmlns:a16="http://schemas.microsoft.com/office/drawing/2014/main" id="{00000000-0008-0000-4400-000036F442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9"/>
  <sheetViews>
    <sheetView tabSelected="1" workbookViewId="0"/>
  </sheetViews>
  <sheetFormatPr defaultRowHeight="15"/>
  <cols>
    <col min="1" max="1" width="7" customWidth="1"/>
    <col min="2" max="2" width="16.7109375" customWidth="1"/>
    <col min="3" max="3" width="48.7109375" bestFit="1" customWidth="1"/>
    <col min="4" max="4" width="11.7109375" bestFit="1" customWidth="1"/>
  </cols>
  <sheetData>
    <row r="1" spans="1:4" ht="12.95" customHeight="1">
      <c r="A1" s="1" t="s">
        <v>0</v>
      </c>
      <c r="B1" s="1" t="s">
        <v>1</v>
      </c>
      <c r="C1" s="1" t="s">
        <v>2</v>
      </c>
    </row>
    <row r="2" spans="1:4" ht="12.95" customHeight="1">
      <c r="A2" s="2">
        <v>1</v>
      </c>
      <c r="B2" s="2" t="s">
        <v>3</v>
      </c>
      <c r="C2" s="2" t="s">
        <v>4</v>
      </c>
      <c r="D2" s="45"/>
    </row>
    <row r="3" spans="1:4" ht="12.95" customHeight="1">
      <c r="A3" s="2">
        <v>2</v>
      </c>
      <c r="B3" s="2" t="s">
        <v>5</v>
      </c>
      <c r="C3" s="2" t="s">
        <v>6</v>
      </c>
      <c r="D3" s="45"/>
    </row>
    <row r="4" spans="1:4" ht="12.95" customHeight="1">
      <c r="A4" s="2">
        <v>3</v>
      </c>
      <c r="B4" s="2" t="s">
        <v>7</v>
      </c>
      <c r="C4" s="2" t="s">
        <v>8</v>
      </c>
      <c r="D4" s="45"/>
    </row>
    <row r="5" spans="1:4" ht="12.95" customHeight="1">
      <c r="A5" s="2">
        <v>4</v>
      </c>
      <c r="B5" s="2" t="s">
        <v>9</v>
      </c>
      <c r="C5" s="2" t="s">
        <v>10</v>
      </c>
      <c r="D5" s="45"/>
    </row>
    <row r="6" spans="1:4" ht="12.95" customHeight="1">
      <c r="A6" s="2">
        <v>5</v>
      </c>
      <c r="B6" s="2" t="s">
        <v>11</v>
      </c>
      <c r="C6" s="2" t="s">
        <v>12</v>
      </c>
      <c r="D6" s="45"/>
    </row>
    <row r="7" spans="1:4" ht="12.95" customHeight="1">
      <c r="A7" s="2">
        <v>6</v>
      </c>
      <c r="B7" s="2" t="s">
        <v>13</v>
      </c>
      <c r="C7" s="2" t="s">
        <v>14</v>
      </c>
      <c r="D7" s="45"/>
    </row>
    <row r="8" spans="1:4" ht="12.95" customHeight="1">
      <c r="A8" s="2">
        <v>7</v>
      </c>
      <c r="B8" s="2" t="s">
        <v>16</v>
      </c>
      <c r="C8" s="2" t="s">
        <v>17</v>
      </c>
      <c r="D8" s="45"/>
    </row>
    <row r="9" spans="1:4" ht="12.95" customHeight="1">
      <c r="A9" s="2">
        <v>8</v>
      </c>
      <c r="B9" s="2" t="s">
        <v>18</v>
      </c>
      <c r="C9" s="2" t="s">
        <v>19</v>
      </c>
      <c r="D9" s="45"/>
    </row>
    <row r="10" spans="1:4" ht="12.95" customHeight="1">
      <c r="A10" s="2">
        <v>9</v>
      </c>
      <c r="B10" s="2" t="s">
        <v>20</v>
      </c>
      <c r="C10" s="2" t="s">
        <v>21</v>
      </c>
      <c r="D10" s="45"/>
    </row>
    <row r="11" spans="1:4" ht="12.95" customHeight="1">
      <c r="A11" s="2">
        <v>10</v>
      </c>
      <c r="B11" s="2" t="s">
        <v>22</v>
      </c>
      <c r="C11" s="2" t="s">
        <v>23</v>
      </c>
      <c r="D11" s="45"/>
    </row>
    <row r="12" spans="1:4" ht="12.95" customHeight="1">
      <c r="A12" s="2">
        <v>11</v>
      </c>
      <c r="B12" s="2" t="s">
        <v>24</v>
      </c>
      <c r="C12" s="2" t="s">
        <v>25</v>
      </c>
      <c r="D12" s="45"/>
    </row>
    <row r="13" spans="1:4" ht="12.95" customHeight="1">
      <c r="A13" s="2">
        <v>12</v>
      </c>
      <c r="B13" s="2" t="s">
        <v>26</v>
      </c>
      <c r="C13" s="2" t="s">
        <v>27</v>
      </c>
      <c r="D13" s="45"/>
    </row>
    <row r="14" spans="1:4" ht="12.95" customHeight="1">
      <c r="A14" s="2">
        <v>13</v>
      </c>
      <c r="B14" s="2" t="s">
        <v>28</v>
      </c>
      <c r="C14" s="2" t="s">
        <v>29</v>
      </c>
      <c r="D14" s="45"/>
    </row>
    <row r="15" spans="1:4" ht="12.95" customHeight="1">
      <c r="A15" s="2">
        <v>14</v>
      </c>
      <c r="B15" s="2" t="s">
        <v>30</v>
      </c>
      <c r="C15" s="2" t="s">
        <v>31</v>
      </c>
      <c r="D15" s="45"/>
    </row>
    <row r="16" spans="1:4" ht="12.95" customHeight="1">
      <c r="A16" s="2">
        <v>15</v>
      </c>
      <c r="B16" s="2" t="s">
        <v>32</v>
      </c>
      <c r="C16" s="2" t="s">
        <v>33</v>
      </c>
      <c r="D16" s="45"/>
    </row>
    <row r="17" spans="1:4" ht="12.95" customHeight="1">
      <c r="A17" s="2">
        <v>16</v>
      </c>
      <c r="B17" s="2" t="s">
        <v>34</v>
      </c>
      <c r="C17" s="2" t="s">
        <v>35</v>
      </c>
      <c r="D17" s="45"/>
    </row>
    <row r="18" spans="1:4" ht="12.95" customHeight="1">
      <c r="A18" s="2">
        <v>17</v>
      </c>
      <c r="B18" s="2" t="s">
        <v>36</v>
      </c>
      <c r="C18" s="2" t="s">
        <v>37</v>
      </c>
      <c r="D18" s="45"/>
    </row>
    <row r="19" spans="1:4" ht="12.95" customHeight="1">
      <c r="A19" s="2">
        <v>18</v>
      </c>
      <c r="B19" s="2" t="s">
        <v>38</v>
      </c>
      <c r="C19" s="2" t="s">
        <v>39</v>
      </c>
      <c r="D19" s="45"/>
    </row>
    <row r="20" spans="1:4" ht="12.95" customHeight="1">
      <c r="A20" s="2">
        <v>19</v>
      </c>
      <c r="B20" s="2" t="s">
        <v>40</v>
      </c>
      <c r="C20" s="2" t="s">
        <v>41</v>
      </c>
      <c r="D20" s="45"/>
    </row>
    <row r="21" spans="1:4" ht="12.95" customHeight="1">
      <c r="A21" s="2">
        <v>20</v>
      </c>
      <c r="B21" s="2" t="s">
        <v>42</v>
      </c>
      <c r="C21" s="2" t="s">
        <v>43</v>
      </c>
      <c r="D21" s="45"/>
    </row>
    <row r="22" spans="1:4" ht="12.95" customHeight="1">
      <c r="A22" s="2">
        <v>21</v>
      </c>
      <c r="B22" s="2" t="s">
        <v>44</v>
      </c>
      <c r="C22" s="2" t="s">
        <v>45</v>
      </c>
      <c r="D22" s="45"/>
    </row>
    <row r="23" spans="1:4" ht="12.95" customHeight="1">
      <c r="A23" s="2">
        <v>22</v>
      </c>
      <c r="B23" s="2" t="s">
        <v>46</v>
      </c>
      <c r="C23" s="2" t="s">
        <v>47</v>
      </c>
      <c r="D23" s="45"/>
    </row>
    <row r="24" spans="1:4" ht="12.95" customHeight="1">
      <c r="A24" s="2">
        <v>23</v>
      </c>
      <c r="B24" s="2" t="s">
        <v>48</v>
      </c>
      <c r="C24" s="2" t="s">
        <v>49</v>
      </c>
      <c r="D24" s="45"/>
    </row>
    <row r="25" spans="1:4" ht="12.95" customHeight="1">
      <c r="A25" s="2">
        <v>24</v>
      </c>
      <c r="B25" s="2" t="s">
        <v>50</v>
      </c>
      <c r="C25" s="2" t="s">
        <v>51</v>
      </c>
      <c r="D25" s="45"/>
    </row>
    <row r="26" spans="1:4" ht="12.95" customHeight="1">
      <c r="A26" s="2">
        <v>25</v>
      </c>
      <c r="B26" s="2" t="s">
        <v>52</v>
      </c>
      <c r="C26" s="2" t="s">
        <v>53</v>
      </c>
      <c r="D26" s="45"/>
    </row>
    <row r="27" spans="1:4" ht="12.95" customHeight="1">
      <c r="A27" s="2">
        <v>26</v>
      </c>
      <c r="B27" s="2" t="s">
        <v>54</v>
      </c>
      <c r="C27" s="2" t="s">
        <v>55</v>
      </c>
      <c r="D27" s="45"/>
    </row>
    <row r="28" spans="1:4" ht="12.95" customHeight="1">
      <c r="A28" s="2">
        <v>27</v>
      </c>
      <c r="B28" s="2" t="s">
        <v>56</v>
      </c>
      <c r="C28" s="2" t="s">
        <v>57</v>
      </c>
      <c r="D28" s="45"/>
    </row>
    <row r="29" spans="1:4" ht="12.95" customHeight="1">
      <c r="A29" s="2">
        <v>28</v>
      </c>
      <c r="B29" s="2" t="s">
        <v>58</v>
      </c>
      <c r="C29" s="2" t="s">
        <v>59</v>
      </c>
      <c r="D29" s="45"/>
    </row>
    <row r="30" spans="1:4" ht="12.95" customHeight="1">
      <c r="A30" s="2">
        <v>29</v>
      </c>
      <c r="B30" s="2" t="s">
        <v>60</v>
      </c>
      <c r="C30" s="2" t="s">
        <v>61</v>
      </c>
      <c r="D30" s="45"/>
    </row>
    <row r="31" spans="1:4" ht="12.95" customHeight="1">
      <c r="A31" s="2">
        <v>30</v>
      </c>
      <c r="B31" s="2" t="s">
        <v>62</v>
      </c>
      <c r="C31" s="2" t="s">
        <v>63</v>
      </c>
      <c r="D31" s="45"/>
    </row>
    <row r="32" spans="1:4" ht="12.95" customHeight="1">
      <c r="A32" s="2">
        <v>31</v>
      </c>
      <c r="B32" s="2" t="s">
        <v>64</v>
      </c>
      <c r="C32" s="2" t="s">
        <v>65</v>
      </c>
      <c r="D32" s="45"/>
    </row>
    <row r="33" spans="1:4" ht="12.95" customHeight="1">
      <c r="A33" s="2">
        <v>32</v>
      </c>
      <c r="B33" s="2" t="s">
        <v>66</v>
      </c>
      <c r="C33" s="2" t="s">
        <v>67</v>
      </c>
      <c r="D33" s="45"/>
    </row>
    <row r="34" spans="1:4" ht="12.95" customHeight="1">
      <c r="A34" s="2">
        <v>33</v>
      </c>
      <c r="B34" s="2" t="s">
        <v>68</v>
      </c>
      <c r="C34" s="2" t="s">
        <v>69</v>
      </c>
      <c r="D34" s="45"/>
    </row>
    <row r="35" spans="1:4" ht="12.95" customHeight="1">
      <c r="A35" s="2">
        <v>34</v>
      </c>
      <c r="B35" s="2" t="s">
        <v>70</v>
      </c>
      <c r="C35" s="2" t="s">
        <v>71</v>
      </c>
      <c r="D35" s="45"/>
    </row>
    <row r="36" spans="1:4" ht="12.95" customHeight="1">
      <c r="A36" s="2">
        <v>35</v>
      </c>
      <c r="B36" s="2" t="s">
        <v>72</v>
      </c>
      <c r="C36" s="2" t="s">
        <v>73</v>
      </c>
      <c r="D36" s="45"/>
    </row>
    <row r="37" spans="1:4" ht="12.95" customHeight="1">
      <c r="A37" s="2">
        <v>36</v>
      </c>
      <c r="B37" s="2" t="s">
        <v>74</v>
      </c>
      <c r="C37" s="2" t="s">
        <v>75</v>
      </c>
      <c r="D37" s="45"/>
    </row>
    <row r="38" spans="1:4" ht="12.95" customHeight="1">
      <c r="A38" s="2">
        <v>37</v>
      </c>
      <c r="B38" s="2" t="s">
        <v>76</v>
      </c>
      <c r="C38" s="2" t="s">
        <v>77</v>
      </c>
      <c r="D38" s="45"/>
    </row>
    <row r="39" spans="1:4" ht="12.95" customHeight="1">
      <c r="A39" s="2">
        <v>38</v>
      </c>
      <c r="B39" s="2" t="s">
        <v>78</v>
      </c>
      <c r="C39" s="2" t="s">
        <v>79</v>
      </c>
      <c r="D39" s="45"/>
    </row>
    <row r="40" spans="1:4" ht="12.95" customHeight="1">
      <c r="A40" s="2">
        <v>39</v>
      </c>
      <c r="B40" s="2" t="s">
        <v>80</v>
      </c>
      <c r="C40" s="2" t="s">
        <v>81</v>
      </c>
      <c r="D40" s="45"/>
    </row>
    <row r="41" spans="1:4" ht="12.95" customHeight="1">
      <c r="A41" s="2">
        <v>40</v>
      </c>
      <c r="B41" s="2" t="s">
        <v>82</v>
      </c>
      <c r="C41" s="2" t="s">
        <v>83</v>
      </c>
      <c r="D41" s="45"/>
    </row>
    <row r="42" spans="1:4" ht="12.95" customHeight="1">
      <c r="A42" s="2">
        <v>41</v>
      </c>
      <c r="B42" s="2" t="s">
        <v>84</v>
      </c>
      <c r="C42" s="2" t="s">
        <v>85</v>
      </c>
      <c r="D42" s="45"/>
    </row>
    <row r="43" spans="1:4" ht="12.95" customHeight="1">
      <c r="A43" s="2">
        <v>42</v>
      </c>
      <c r="B43" s="2" t="s">
        <v>86</v>
      </c>
      <c r="C43" s="2" t="s">
        <v>87</v>
      </c>
      <c r="D43" s="45"/>
    </row>
    <row r="44" spans="1:4" ht="12.95" customHeight="1">
      <c r="A44" s="2">
        <v>43</v>
      </c>
      <c r="B44" s="2" t="s">
        <v>88</v>
      </c>
      <c r="C44" s="2" t="s">
        <v>89</v>
      </c>
      <c r="D44" s="45"/>
    </row>
    <row r="45" spans="1:4" ht="12.95" customHeight="1">
      <c r="A45" s="2">
        <v>44</v>
      </c>
      <c r="B45" s="2" t="s">
        <v>90</v>
      </c>
      <c r="C45" s="2" t="s">
        <v>91</v>
      </c>
      <c r="D45" s="45"/>
    </row>
    <row r="46" spans="1:4" ht="12.95" customHeight="1">
      <c r="A46" s="2">
        <v>45</v>
      </c>
      <c r="B46" s="2" t="s">
        <v>92</v>
      </c>
      <c r="C46" s="2" t="s">
        <v>93</v>
      </c>
      <c r="D46" s="45"/>
    </row>
    <row r="47" spans="1:4" ht="12.95" customHeight="1">
      <c r="A47" s="2">
        <v>46</v>
      </c>
      <c r="B47" s="2" t="s">
        <v>94</v>
      </c>
      <c r="C47" s="2" t="s">
        <v>95</v>
      </c>
      <c r="D47" s="45"/>
    </row>
    <row r="48" spans="1:4" ht="12.95" customHeight="1">
      <c r="A48" s="2">
        <v>47</v>
      </c>
      <c r="B48" s="2" t="s">
        <v>96</v>
      </c>
      <c r="C48" s="2" t="s">
        <v>97</v>
      </c>
      <c r="D48" s="45"/>
    </row>
    <row r="49" spans="1:4" ht="12.95" customHeight="1">
      <c r="A49" s="2">
        <v>48</v>
      </c>
      <c r="B49" s="2" t="s">
        <v>98</v>
      </c>
      <c r="C49" s="2" t="s">
        <v>99</v>
      </c>
      <c r="D49" s="45"/>
    </row>
    <row r="50" spans="1:4" ht="12.95" customHeight="1">
      <c r="A50" s="2">
        <v>49</v>
      </c>
      <c r="B50" s="2" t="s">
        <v>100</v>
      </c>
      <c r="C50" s="2" t="s">
        <v>101</v>
      </c>
      <c r="D50" s="45"/>
    </row>
    <row r="51" spans="1:4" ht="12.95" customHeight="1">
      <c r="A51" s="2">
        <v>50</v>
      </c>
      <c r="B51" s="2" t="s">
        <v>102</v>
      </c>
      <c r="C51" s="2" t="s">
        <v>103</v>
      </c>
      <c r="D51" s="45"/>
    </row>
    <row r="52" spans="1:4" ht="12.95" customHeight="1">
      <c r="A52" s="2">
        <v>51</v>
      </c>
      <c r="B52" s="2" t="s">
        <v>104</v>
      </c>
      <c r="C52" s="2" t="s">
        <v>105</v>
      </c>
      <c r="D52" s="45"/>
    </row>
    <row r="53" spans="1:4" ht="12.95" customHeight="1">
      <c r="A53" s="2">
        <v>52</v>
      </c>
      <c r="B53" s="2" t="s">
        <v>106</v>
      </c>
      <c r="C53" s="2" t="s">
        <v>107</v>
      </c>
      <c r="D53" s="45"/>
    </row>
    <row r="54" spans="1:4" ht="12.95" customHeight="1">
      <c r="A54" s="2">
        <v>53</v>
      </c>
      <c r="B54" s="2" t="s">
        <v>108</v>
      </c>
      <c r="C54" s="2" t="s">
        <v>109</v>
      </c>
      <c r="D54" s="45"/>
    </row>
    <row r="55" spans="1:4" ht="12.95" customHeight="1">
      <c r="A55" s="2">
        <v>54</v>
      </c>
      <c r="B55" s="2" t="s">
        <v>110</v>
      </c>
      <c r="C55" s="2" t="s">
        <v>111</v>
      </c>
      <c r="D55" s="45"/>
    </row>
    <row r="56" spans="1:4" ht="12.95" customHeight="1">
      <c r="A56" s="2">
        <v>55</v>
      </c>
      <c r="B56" s="2" t="s">
        <v>112</v>
      </c>
      <c r="C56" s="2" t="s">
        <v>113</v>
      </c>
      <c r="D56" s="45"/>
    </row>
    <row r="57" spans="1:4" ht="12.95" customHeight="1">
      <c r="A57" s="2">
        <v>56</v>
      </c>
      <c r="B57" s="2" t="s">
        <v>114</v>
      </c>
      <c r="C57" s="2" t="s">
        <v>115</v>
      </c>
      <c r="D57" s="45"/>
    </row>
    <row r="58" spans="1:4" ht="12.95" customHeight="1">
      <c r="A58" s="2">
        <v>57</v>
      </c>
      <c r="B58" s="2" t="s">
        <v>116</v>
      </c>
      <c r="C58" s="2" t="s">
        <v>117</v>
      </c>
      <c r="D58" s="45"/>
    </row>
    <row r="59" spans="1:4" ht="12.95" customHeight="1">
      <c r="A59" s="2">
        <v>58</v>
      </c>
      <c r="B59" s="2" t="s">
        <v>118</v>
      </c>
      <c r="C59" s="2" t="s">
        <v>119</v>
      </c>
      <c r="D59" s="45"/>
    </row>
    <row r="60" spans="1:4" ht="12.95" customHeight="1">
      <c r="A60" s="2">
        <v>59</v>
      </c>
      <c r="B60" s="2" t="s">
        <v>120</v>
      </c>
      <c r="C60" s="2" t="s">
        <v>121</v>
      </c>
      <c r="D60" s="45"/>
    </row>
    <row r="61" spans="1:4" ht="12.95" customHeight="1">
      <c r="A61" s="2">
        <v>60</v>
      </c>
      <c r="B61" s="2" t="s">
        <v>122</v>
      </c>
      <c r="C61" s="2" t="s">
        <v>123</v>
      </c>
      <c r="D61" s="45"/>
    </row>
    <row r="62" spans="1:4" ht="12.95" customHeight="1">
      <c r="A62" s="2">
        <v>61</v>
      </c>
      <c r="B62" s="2" t="s">
        <v>124</v>
      </c>
      <c r="C62" s="2" t="s">
        <v>125</v>
      </c>
      <c r="D62" s="45"/>
    </row>
    <row r="63" spans="1:4" ht="12.95" customHeight="1">
      <c r="A63" s="2">
        <v>62</v>
      </c>
      <c r="B63" s="2" t="s">
        <v>126</v>
      </c>
      <c r="C63" s="2" t="s">
        <v>127</v>
      </c>
      <c r="D63" s="45"/>
    </row>
    <row r="64" spans="1:4" ht="12.95" customHeight="1">
      <c r="A64" s="2">
        <v>63</v>
      </c>
      <c r="B64" s="2" t="s">
        <v>128</v>
      </c>
      <c r="C64" s="2" t="s">
        <v>129</v>
      </c>
      <c r="D64" s="45"/>
    </row>
    <row r="65" spans="1:4" ht="12.95" customHeight="1">
      <c r="A65" s="2">
        <v>64</v>
      </c>
      <c r="B65" s="2" t="s">
        <v>130</v>
      </c>
      <c r="C65" s="2" t="s">
        <v>131</v>
      </c>
      <c r="D65" s="45"/>
    </row>
    <row r="66" spans="1:4" ht="12.95" customHeight="1">
      <c r="A66" s="2">
        <v>65</v>
      </c>
      <c r="B66" s="2" t="s">
        <v>132</v>
      </c>
      <c r="C66" s="2" t="s">
        <v>133</v>
      </c>
      <c r="D66" s="45"/>
    </row>
    <row r="67" spans="1:4" ht="12.95" customHeight="1">
      <c r="A67" s="2">
        <v>66</v>
      </c>
      <c r="B67" s="2" t="s">
        <v>134</v>
      </c>
      <c r="C67" s="2" t="s">
        <v>135</v>
      </c>
      <c r="D67" s="45"/>
    </row>
    <row r="68" spans="1:4" ht="12.95" customHeight="1">
      <c r="A68" s="2">
        <v>67</v>
      </c>
      <c r="B68" s="2" t="s">
        <v>136</v>
      </c>
      <c r="C68" s="2" t="s">
        <v>137</v>
      </c>
      <c r="D68" s="45"/>
    </row>
    <row r="69" spans="1:4" ht="12.95" customHeight="1">
      <c r="A69" s="2">
        <v>68</v>
      </c>
      <c r="B69" s="2" t="s">
        <v>138</v>
      </c>
      <c r="C69" s="2" t="s">
        <v>139</v>
      </c>
      <c r="D69" s="45"/>
    </row>
  </sheetData>
  <hyperlinks>
    <hyperlink ref="B2" location="JR_PAGE_ANCHOR_0_2" display="AXIS112" xr:uid="{00000000-0004-0000-0000-000000000000}"/>
    <hyperlink ref="B3" location="JR_PAGE_ANCHOR_0_3" display="AXIS113" xr:uid="{00000000-0004-0000-0000-000001000000}"/>
    <hyperlink ref="B4" location="JR_PAGE_ANCHOR_0_4" display="AXISASD" xr:uid="{00000000-0004-0000-0000-000002000000}"/>
    <hyperlink ref="B5" location="JR_PAGE_ANCHOR_0_5" display="AXISBCF" xr:uid="{00000000-0004-0000-0000-000003000000}"/>
    <hyperlink ref="B6" location="JR_PAGE_ANCHOR_0_6" display="AXISBDF" xr:uid="{00000000-0004-0000-0000-000004000000}"/>
    <hyperlink ref="B7" location="JR_PAGE_ANCHOR_0_7" display="AXISBETF" xr:uid="{00000000-0004-0000-0000-000005000000}"/>
    <hyperlink ref="B8" location="JR_PAGE_ANCHOR_0_8" display="AXISBTF" xr:uid="{00000000-0004-0000-0000-000006000000}"/>
    <hyperlink ref="B9" location="JR_PAGE_ANCHOR_0_9" display="AXISCETF" xr:uid="{00000000-0004-0000-0000-000007000000}"/>
    <hyperlink ref="B10" location="JR_PAGE_ANCHOR_0_10" display="AXISCGF" xr:uid="{00000000-0004-0000-0000-000008000000}"/>
    <hyperlink ref="B11" location="JR_PAGE_ANCHOR_0_11" display="AXISCIB" xr:uid="{00000000-0004-0000-0000-000009000000}"/>
    <hyperlink ref="B12" location="JR_PAGE_ANCHOR_0_12" display="AXISCIG" xr:uid="{00000000-0004-0000-0000-00000A000000}"/>
    <hyperlink ref="B13" location="JR_PAGE_ANCHOR_0_13" display="AXISCOF" xr:uid="{00000000-0004-0000-0000-00000B000000}"/>
    <hyperlink ref="B14" location="JR_PAGE_ANCHOR_0_14" display="AXISCPSE" xr:uid="{00000000-0004-0000-0000-00000C000000}"/>
    <hyperlink ref="B15" location="JR_PAGE_ANCHOR_0_15" display="AXISCSDL" xr:uid="{00000000-0004-0000-0000-00000D000000}"/>
    <hyperlink ref="B16" location="JR_PAGE_ANCHOR_0_16" display="AXISDBF" xr:uid="{00000000-0004-0000-0000-00000E000000}"/>
    <hyperlink ref="B17" location="JR_PAGE_ANCHOR_0_17" display="AXISDEF" xr:uid="{00000000-0004-0000-0000-00000F000000}"/>
    <hyperlink ref="B18" location="JR_PAGE_ANCHOR_0_18" display="AXISEAF" xr:uid="{00000000-0004-0000-0000-000010000000}"/>
    <hyperlink ref="B19" location="JR_PAGE_ANCHOR_0_19" display="AXISEFOF" xr:uid="{00000000-0004-0000-0000-000011000000}"/>
    <hyperlink ref="B20" location="JR_PAGE_ANCHOR_0_20" display="AXISEHF" xr:uid="{00000000-0004-0000-0000-000012000000}"/>
    <hyperlink ref="B21" location="JR_PAGE_ANCHOR_0_21" display="AXISEQF" xr:uid="{00000000-0004-0000-0000-000013000000}"/>
    <hyperlink ref="B22" location="JR_PAGE_ANCHOR_0_22" display="AXISESF" xr:uid="{00000000-0004-0000-0000-000014000000}"/>
    <hyperlink ref="B23" location="JR_PAGE_ANCHOR_0_23" display="AXISESG" xr:uid="{00000000-0004-0000-0000-000015000000}"/>
    <hyperlink ref="B24" location="JR_PAGE_ANCHOR_0_24" display="AXISETS" xr:uid="{00000000-0004-0000-0000-000016000000}"/>
    <hyperlink ref="B25" location="JR_PAGE_ANCHOR_0_25" display="AXISF25" xr:uid="{00000000-0004-0000-0000-000017000000}"/>
    <hyperlink ref="B26" location="JR_PAGE_ANCHOR_0_26" display="AXISFLO" xr:uid="{00000000-0004-0000-0000-000018000000}"/>
    <hyperlink ref="B27" location="JR_PAGE_ANCHOR_0_27" display="AXISGCE" xr:uid="{00000000-0004-0000-0000-000019000000}"/>
    <hyperlink ref="B28" location="JR_PAGE_ANCHOR_0_28" display="AXISGEA" xr:uid="{00000000-0004-0000-0000-00001A000000}"/>
    <hyperlink ref="B29" location="JR_PAGE_ANCHOR_0_29" display="AXISGETF" xr:uid="{00000000-0004-0000-0000-00001B000000}"/>
    <hyperlink ref="B30" location="JR_PAGE_ANCHOR_0_30" display="AXISGIF" xr:uid="{00000000-0004-0000-0000-00001C000000}"/>
    <hyperlink ref="B31" location="JR_PAGE_ANCHOR_0_31" display="AXISGLD" xr:uid="{00000000-0004-0000-0000-00001D000000}"/>
    <hyperlink ref="B32" location="JR_PAGE_ANCHOR_0_32" display="AXISGOF" xr:uid="{00000000-0004-0000-0000-00001E000000}"/>
    <hyperlink ref="B33" location="JR_PAGE_ANCHOR_0_33" display="AXISHETF" xr:uid="{00000000-0004-0000-0000-00001F000000}"/>
    <hyperlink ref="B34" location="JR_PAGE_ANCHOR_0_34" display="AXISIFD" xr:uid="{00000000-0004-0000-0000-000020000000}"/>
    <hyperlink ref="B35" location="JR_PAGE_ANCHOR_0_35" display="AXISIOF" xr:uid="{00000000-0004-0000-0000-000021000000}"/>
    <hyperlink ref="B36" location="JR_PAGE_ANCHOR_0_36" display="AXISISF" xr:uid="{00000000-0004-0000-0000-000022000000}"/>
    <hyperlink ref="B37" location="JR_PAGE_ANCHOR_0_37" display="AXISLDF" xr:uid="{00000000-0004-0000-0000-000023000000}"/>
    <hyperlink ref="B38" location="JR_PAGE_ANCHOR_0_38" display="AXISLFA" xr:uid="{00000000-0004-0000-0000-000024000000}"/>
    <hyperlink ref="B39" location="JR_PAGE_ANCHOR_0_39" display="AXISM10" xr:uid="{00000000-0004-0000-0000-000025000000}"/>
    <hyperlink ref="B40" location="JR_PAGE_ANCHOR_0_40" display="AXISMCF" xr:uid="{00000000-0004-0000-0000-000026000000}"/>
    <hyperlink ref="B41" location="JR_PAGE_ANCHOR_0_41" display="AXISMLC" xr:uid="{00000000-0004-0000-0000-000027000000}"/>
    <hyperlink ref="B42" location="JR_PAGE_ANCHOR_0_42" display="AXISMLF" xr:uid="{00000000-0004-0000-0000-000028000000}"/>
    <hyperlink ref="B43" location="JR_PAGE_ANCHOR_0_43" display="AXISMMF" xr:uid="{00000000-0004-0000-0000-000029000000}"/>
    <hyperlink ref="B44" location="JR_PAGE_ANCHOR_0_44" display="AXISN50" xr:uid="{00000000-0004-0000-0000-00002A000000}"/>
    <hyperlink ref="B45" location="JR_PAGE_ANCHOR_0_45" display="AXISNETF" xr:uid="{00000000-0004-0000-0000-00002B000000}"/>
    <hyperlink ref="B46" location="JR_PAGE_ANCHOR_0_46" display="AXISNFOF" xr:uid="{00000000-0004-0000-0000-00002C000000}"/>
    <hyperlink ref="B47" location="JR_PAGE_ANCHOR_0_47" display="AXISNIF" xr:uid="{00000000-0004-0000-0000-00002D000000}"/>
    <hyperlink ref="B48" location="JR_PAGE_ANCHOR_0_48" display="AXISNIT" xr:uid="{00000000-0004-0000-0000-00002E000000}"/>
    <hyperlink ref="B49" location="JR_PAGE_ANCHOR_0_49" display="AXISNM50" xr:uid="{00000000-0004-0000-0000-00002F000000}"/>
    <hyperlink ref="B50" location="JR_PAGE_ANCHOR_0_50" display="AXISNNF" xr:uid="{00000000-0004-0000-0000-000030000000}"/>
    <hyperlink ref="B51" location="JR_PAGE_ANCHOR_0_51" display="AXISNS50" xr:uid="{00000000-0004-0000-0000-000031000000}"/>
    <hyperlink ref="B52" location="JR_PAGE_ANCHOR_0_52" display="AXISONF" xr:uid="{00000000-0004-0000-0000-000032000000}"/>
    <hyperlink ref="B53" location="JR_PAGE_ANCHOR_0_53" display="AXISQUA" xr:uid="{00000000-0004-0000-0000-000033000000}"/>
    <hyperlink ref="B54" location="JR_PAGE_ANCHOR_0_54" display="AXISRAP" xr:uid="{00000000-0004-0000-0000-000034000000}"/>
    <hyperlink ref="B55" location="JR_PAGE_ANCHOR_0_55" display="AXISRCP" xr:uid="{00000000-0004-0000-0000-000035000000}"/>
    <hyperlink ref="B56" location="JR_PAGE_ANCHOR_0_56" display="AXISRDP" xr:uid="{00000000-0004-0000-0000-000036000000}"/>
    <hyperlink ref="B57" location="JR_PAGE_ANCHOR_0_57" display="AXISSCF" xr:uid="{00000000-0004-0000-0000-000037000000}"/>
    <hyperlink ref="B58" location="JR_PAGE_ANCHOR_0_58" display="AXISSDI" xr:uid="{00000000-0004-0000-0000-000038000000}"/>
    <hyperlink ref="B59" location="JR_PAGE_ANCHOR_0_59" display="AXISSDL" xr:uid="{00000000-0004-0000-0000-000039000000}"/>
    <hyperlink ref="B60" location="JR_PAGE_ANCHOR_0_60" display="AXISSETF" xr:uid="{00000000-0004-0000-0000-00003A000000}"/>
    <hyperlink ref="B61" location="JR_PAGE_ANCHOR_0_61" display="AXISSIL" xr:uid="{00000000-0004-0000-0000-00003B000000}"/>
    <hyperlink ref="B62" location="JR_PAGE_ANCHOR_0_62" display="AXISSSF" xr:uid="{00000000-0004-0000-0000-00003C000000}"/>
    <hyperlink ref="B63" location="JR_PAGE_ANCHOR_0_63" display="AXISSTF" xr:uid="{00000000-0004-0000-0000-00003D000000}"/>
    <hyperlink ref="B64" location="JR_PAGE_ANCHOR_0_64" display="AXISTAA" xr:uid="{00000000-0004-0000-0000-00003E000000}"/>
    <hyperlink ref="B65" location="JR_PAGE_ANCHOR_0_65" display="AXISTAF" xr:uid="{00000000-0004-0000-0000-00003F000000}"/>
    <hyperlink ref="B66" location="JR_PAGE_ANCHOR_0_66" display="AXISTETF" xr:uid="{00000000-0004-0000-0000-000040000000}"/>
    <hyperlink ref="B67" location="JR_PAGE_ANCHOR_0_67" display="AXISTSF" xr:uid="{00000000-0004-0000-0000-000041000000}"/>
    <hyperlink ref="B68" location="JR_PAGE_ANCHOR_0_68" display="AXISUSF" xr:uid="{00000000-0004-0000-0000-000042000000}"/>
    <hyperlink ref="B69" location="JR_PAGE_ANCHOR_0_69" display="AXISVAL" xr:uid="{00000000-0004-0000-0000-000043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2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3</v>
      </c>
      <c r="B1" s="4" t="s">
        <v>4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153</v>
      </c>
      <c r="B7" s="19" t="s">
        <v>154</v>
      </c>
      <c r="C7" s="15" t="s">
        <v>155</v>
      </c>
      <c r="D7" s="15" t="s">
        <v>156</v>
      </c>
      <c r="E7" s="20">
        <v>4726000</v>
      </c>
      <c r="F7" s="21">
        <v>3960.5392000000002</v>
      </c>
      <c r="G7" s="22">
        <v>0.56850000000000001</v>
      </c>
      <c r="H7" s="23">
        <v>7.4263999999999997E-2</v>
      </c>
      <c r="I7" s="24"/>
      <c r="J7" s="5"/>
    </row>
    <row r="8" spans="1:10" ht="12.95" customHeight="1">
      <c r="A8" s="18" t="s">
        <v>157</v>
      </c>
      <c r="B8" s="19" t="s">
        <v>158</v>
      </c>
      <c r="C8" s="15" t="s">
        <v>159</v>
      </c>
      <c r="D8" s="15" t="s">
        <v>156</v>
      </c>
      <c r="E8" s="20">
        <v>3532800</v>
      </c>
      <c r="F8" s="21">
        <v>2964.7611000000002</v>
      </c>
      <c r="G8" s="22">
        <v>0.42559999999999998</v>
      </c>
      <c r="H8" s="23">
        <v>7.4258000000000005E-2</v>
      </c>
      <c r="I8" s="24"/>
      <c r="J8" s="5"/>
    </row>
    <row r="9" spans="1:10" ht="12.95" customHeight="1">
      <c r="A9" s="5"/>
      <c r="B9" s="14" t="s">
        <v>160</v>
      </c>
      <c r="C9" s="15"/>
      <c r="D9" s="15"/>
      <c r="E9" s="15"/>
      <c r="F9" s="25">
        <v>6925.3002999999999</v>
      </c>
      <c r="G9" s="26">
        <v>0.99409999999999998</v>
      </c>
      <c r="H9" s="27"/>
      <c r="I9" s="28"/>
      <c r="J9" s="5"/>
    </row>
    <row r="10" spans="1:10" ht="12.95" customHeight="1">
      <c r="A10" s="5"/>
      <c r="B10" s="29" t="s">
        <v>161</v>
      </c>
      <c r="C10" s="2"/>
      <c r="D10" s="2"/>
      <c r="E10" s="2"/>
      <c r="F10" s="27" t="s">
        <v>162</v>
      </c>
      <c r="G10" s="27" t="s">
        <v>162</v>
      </c>
      <c r="H10" s="27"/>
      <c r="I10" s="28"/>
      <c r="J10" s="5"/>
    </row>
    <row r="11" spans="1:10" ht="12.95" customHeight="1">
      <c r="A11" s="5"/>
      <c r="B11" s="29" t="s">
        <v>160</v>
      </c>
      <c r="C11" s="2"/>
      <c r="D11" s="2"/>
      <c r="E11" s="2"/>
      <c r="F11" s="27" t="s">
        <v>162</v>
      </c>
      <c r="G11" s="27" t="s">
        <v>162</v>
      </c>
      <c r="H11" s="27"/>
      <c r="I11" s="28"/>
      <c r="J11" s="5"/>
    </row>
    <row r="12" spans="1:10" ht="12.95" customHeight="1">
      <c r="A12" s="5"/>
      <c r="B12" s="29" t="s">
        <v>163</v>
      </c>
      <c r="C12" s="30"/>
      <c r="D12" s="2"/>
      <c r="E12" s="30"/>
      <c r="F12" s="25">
        <v>6925.3002999999999</v>
      </c>
      <c r="G12" s="26">
        <v>0.99409999999999998</v>
      </c>
      <c r="H12" s="27"/>
      <c r="I12" s="28"/>
      <c r="J12" s="5"/>
    </row>
    <row r="13" spans="1:10" ht="12.95" customHeight="1">
      <c r="A13" s="5"/>
      <c r="B13" s="14" t="s">
        <v>164</v>
      </c>
      <c r="C13" s="15"/>
      <c r="D13" s="15"/>
      <c r="E13" s="15"/>
      <c r="F13" s="15"/>
      <c r="G13" s="15"/>
      <c r="H13" s="16"/>
      <c r="I13" s="17"/>
      <c r="J13" s="5"/>
    </row>
    <row r="14" spans="1:10" ht="12.95" customHeight="1">
      <c r="A14" s="18" t="s">
        <v>165</v>
      </c>
      <c r="B14" s="19" t="s">
        <v>166</v>
      </c>
      <c r="C14" s="15"/>
      <c r="D14" s="15"/>
      <c r="E14" s="20"/>
      <c r="F14" s="21">
        <v>10.846</v>
      </c>
      <c r="G14" s="22">
        <v>1.6000000000000001E-3</v>
      </c>
      <c r="H14" s="23">
        <v>6.7997744694487827E-2</v>
      </c>
      <c r="I14" s="24"/>
      <c r="J14" s="5"/>
    </row>
    <row r="15" spans="1:10" ht="12.95" customHeight="1">
      <c r="A15" s="5"/>
      <c r="B15" s="14" t="s">
        <v>160</v>
      </c>
      <c r="C15" s="15"/>
      <c r="D15" s="15"/>
      <c r="E15" s="15"/>
      <c r="F15" s="25">
        <v>10.846</v>
      </c>
      <c r="G15" s="26">
        <v>1.6000000000000001E-3</v>
      </c>
      <c r="H15" s="27"/>
      <c r="I15" s="28"/>
      <c r="J15" s="5"/>
    </row>
    <row r="16" spans="1:10" ht="12.95" customHeight="1">
      <c r="A16" s="5"/>
      <c r="B16" s="29" t="s">
        <v>163</v>
      </c>
      <c r="C16" s="30"/>
      <c r="D16" s="2"/>
      <c r="E16" s="30"/>
      <c r="F16" s="25">
        <v>10.846</v>
      </c>
      <c r="G16" s="26">
        <v>1.6000000000000001E-3</v>
      </c>
      <c r="H16" s="27"/>
      <c r="I16" s="28"/>
      <c r="J16" s="5"/>
    </row>
    <row r="17" spans="1:10" ht="12.95" customHeight="1">
      <c r="A17" s="5"/>
      <c r="B17" s="29" t="s">
        <v>167</v>
      </c>
      <c r="C17" s="15"/>
      <c r="D17" s="2"/>
      <c r="E17" s="15"/>
      <c r="F17" s="31">
        <v>29.953700000000001</v>
      </c>
      <c r="G17" s="26">
        <v>4.3E-3</v>
      </c>
      <c r="H17" s="27"/>
      <c r="I17" s="28"/>
      <c r="J17" s="5"/>
    </row>
    <row r="18" spans="1:10" ht="12.95" customHeight="1">
      <c r="A18" s="5"/>
      <c r="B18" s="32" t="s">
        <v>168</v>
      </c>
      <c r="C18" s="33"/>
      <c r="D18" s="33"/>
      <c r="E18" s="33"/>
      <c r="F18" s="34">
        <v>6966.1</v>
      </c>
      <c r="G18" s="35">
        <v>1</v>
      </c>
      <c r="H18" s="36"/>
      <c r="I18" s="37"/>
      <c r="J18" s="5"/>
    </row>
    <row r="19" spans="1:10" ht="12.95" customHeight="1">
      <c r="A19" s="5"/>
      <c r="B19" s="7"/>
      <c r="C19" s="5"/>
      <c r="D19" s="5"/>
      <c r="E19" s="5"/>
      <c r="F19" s="5"/>
      <c r="G19" s="5"/>
      <c r="H19" s="5"/>
      <c r="I19" s="5"/>
      <c r="J19" s="5"/>
    </row>
    <row r="20" spans="1:10" ht="12.95" customHeight="1">
      <c r="A20" s="5"/>
      <c r="B20" s="4" t="s">
        <v>169</v>
      </c>
      <c r="C20" s="5"/>
      <c r="D20" s="5"/>
      <c r="E20" s="5"/>
      <c r="F20" s="5"/>
      <c r="G20" s="5"/>
      <c r="H20" s="5"/>
      <c r="I20" s="5"/>
      <c r="J20" s="5"/>
    </row>
    <row r="21" spans="1:10" ht="12.95" customHeight="1">
      <c r="A21" s="5"/>
      <c r="B21" s="4" t="s">
        <v>170</v>
      </c>
      <c r="C21" s="5"/>
      <c r="D21" s="5"/>
      <c r="E21" s="5"/>
      <c r="F21" s="5"/>
      <c r="G21" s="5"/>
      <c r="H21" s="5"/>
      <c r="I21" s="5"/>
      <c r="J21" s="5"/>
    </row>
    <row r="22" spans="1:10" ht="26.1" customHeight="1">
      <c r="A22" s="5"/>
      <c r="B22" s="86" t="s">
        <v>171</v>
      </c>
      <c r="C22" s="86"/>
      <c r="D22" s="86"/>
      <c r="E22" s="86"/>
      <c r="F22" s="86"/>
      <c r="G22" s="86"/>
      <c r="H22" s="86"/>
      <c r="I22" s="86"/>
      <c r="J22" s="5"/>
    </row>
    <row r="23" spans="1:10" ht="12.95" customHeight="1">
      <c r="A23" s="5"/>
      <c r="B23" s="86"/>
      <c r="C23" s="86"/>
      <c r="D23" s="86"/>
      <c r="E23" s="86"/>
      <c r="F23" s="86"/>
      <c r="G23" s="86"/>
      <c r="H23" s="86"/>
      <c r="I23" s="86"/>
      <c r="J23" s="5"/>
    </row>
    <row r="24" spans="1:10" ht="12.95" customHeight="1">
      <c r="A24" s="5"/>
      <c r="B24" s="86"/>
      <c r="C24" s="86"/>
      <c r="D24" s="86"/>
      <c r="E24" s="86"/>
      <c r="F24" s="86"/>
      <c r="G24" s="86"/>
      <c r="H24" s="86"/>
      <c r="I24" s="86"/>
      <c r="J24" s="5"/>
    </row>
    <row r="25" spans="1:10" ht="12.95" customHeight="1">
      <c r="A25" s="5"/>
      <c r="B25" s="5"/>
      <c r="C25" s="87" t="s">
        <v>172</v>
      </c>
      <c r="D25" s="87"/>
      <c r="E25" s="87"/>
      <c r="F25" s="87"/>
      <c r="G25" s="5"/>
      <c r="H25" s="5"/>
      <c r="I25" s="5"/>
      <c r="J25" s="5"/>
    </row>
    <row r="26" spans="1:10" ht="12.95" customHeight="1">
      <c r="A26" s="5"/>
      <c r="B26" s="38" t="s">
        <v>173</v>
      </c>
      <c r="C26" s="87" t="s">
        <v>174</v>
      </c>
      <c r="D26" s="87"/>
      <c r="E26" s="87"/>
      <c r="F26" s="87"/>
      <c r="G26" s="5"/>
      <c r="H26" s="5"/>
      <c r="I26" s="5"/>
      <c r="J26" s="5"/>
    </row>
    <row r="27" spans="1:10" ht="120.95" customHeight="1">
      <c r="A27" s="5"/>
      <c r="B27" s="39"/>
      <c r="C27" s="85"/>
      <c r="D27" s="85"/>
      <c r="E27" s="5"/>
      <c r="F27" s="5"/>
      <c r="G27" s="5"/>
      <c r="H27" s="5"/>
      <c r="I27" s="5"/>
      <c r="J27" s="5"/>
    </row>
  </sheetData>
  <mergeCells count="6">
    <mergeCell ref="C27:D27"/>
    <mergeCell ref="B22:I22"/>
    <mergeCell ref="B23:I23"/>
    <mergeCell ref="B24:I24"/>
    <mergeCell ref="C25:F25"/>
    <mergeCell ref="C26:F26"/>
  </mergeCells>
  <hyperlinks>
    <hyperlink ref="A1" location="AxisFixedTermPlanSeries1121143Days" display="AXIS112" xr:uid="{00000000-0004-0000-0100-000000000000}"/>
    <hyperlink ref="B1" location="AxisFixedTermPlanSeries1121143Days" display="Axis Fixed Term Plan - Series 112 (1143 Days)" xr:uid="{00000000-0004-0000-01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5</v>
      </c>
      <c r="B1" s="4" t="s">
        <v>6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176</v>
      </c>
      <c r="B7" s="19" t="s">
        <v>177</v>
      </c>
      <c r="C7" s="15" t="s">
        <v>178</v>
      </c>
      <c r="D7" s="15" t="s">
        <v>179</v>
      </c>
      <c r="E7" s="20">
        <v>950</v>
      </c>
      <c r="F7" s="21">
        <v>947.93089999999995</v>
      </c>
      <c r="G7" s="22">
        <v>0.1124</v>
      </c>
      <c r="H7" s="23">
        <v>7.5200000000000003E-2</v>
      </c>
      <c r="I7" s="24"/>
      <c r="J7" s="5"/>
    </row>
    <row r="8" spans="1:10" ht="12.95" customHeight="1">
      <c r="A8" s="18" t="s">
        <v>180</v>
      </c>
      <c r="B8" s="19" t="s">
        <v>181</v>
      </c>
      <c r="C8" s="15" t="s">
        <v>182</v>
      </c>
      <c r="D8" s="15" t="s">
        <v>179</v>
      </c>
      <c r="E8" s="20">
        <v>900</v>
      </c>
      <c r="F8" s="21">
        <v>898.86959999999999</v>
      </c>
      <c r="G8" s="22">
        <v>0.1065</v>
      </c>
      <c r="H8" s="23">
        <v>7.6200000000000004E-2</v>
      </c>
      <c r="I8" s="24"/>
      <c r="J8" s="5"/>
    </row>
    <row r="9" spans="1:10" ht="12.95" customHeight="1">
      <c r="A9" s="18" t="s">
        <v>183</v>
      </c>
      <c r="B9" s="19" t="s">
        <v>184</v>
      </c>
      <c r="C9" s="15" t="s">
        <v>185</v>
      </c>
      <c r="D9" s="15" t="s">
        <v>179</v>
      </c>
      <c r="E9" s="20">
        <v>900</v>
      </c>
      <c r="F9" s="21">
        <v>897.90120000000002</v>
      </c>
      <c r="G9" s="22">
        <v>0.10639999999999999</v>
      </c>
      <c r="H9" s="23">
        <v>7.6799999999999993E-2</v>
      </c>
      <c r="I9" s="24"/>
      <c r="J9" s="5"/>
    </row>
    <row r="10" spans="1:10" ht="12.95" customHeight="1">
      <c r="A10" s="18" t="s">
        <v>186</v>
      </c>
      <c r="B10" s="19" t="s">
        <v>187</v>
      </c>
      <c r="C10" s="15" t="s">
        <v>188</v>
      </c>
      <c r="D10" s="15" t="s">
        <v>179</v>
      </c>
      <c r="E10" s="20">
        <v>900</v>
      </c>
      <c r="F10" s="21">
        <v>897.22349999999994</v>
      </c>
      <c r="G10" s="22">
        <v>0.10630000000000001</v>
      </c>
      <c r="H10" s="23">
        <v>7.6799999999999993E-2</v>
      </c>
      <c r="I10" s="24"/>
      <c r="J10" s="5"/>
    </row>
    <row r="11" spans="1:10" ht="12.95" customHeight="1">
      <c r="A11" s="18" t="s">
        <v>189</v>
      </c>
      <c r="B11" s="19" t="s">
        <v>190</v>
      </c>
      <c r="C11" s="15" t="s">
        <v>191</v>
      </c>
      <c r="D11" s="15" t="s">
        <v>179</v>
      </c>
      <c r="E11" s="20">
        <v>87</v>
      </c>
      <c r="F11" s="21">
        <v>887.09289999999999</v>
      </c>
      <c r="G11" s="22">
        <v>0.1051</v>
      </c>
      <c r="H11" s="23">
        <v>7.5268000000000002E-2</v>
      </c>
      <c r="I11" s="24"/>
      <c r="J11" s="5"/>
    </row>
    <row r="12" spans="1:10" ht="12.95" customHeight="1">
      <c r="A12" s="18" t="s">
        <v>192</v>
      </c>
      <c r="B12" s="19" t="s">
        <v>193</v>
      </c>
      <c r="C12" s="15" t="s">
        <v>194</v>
      </c>
      <c r="D12" s="15" t="s">
        <v>179</v>
      </c>
      <c r="E12" s="20">
        <v>89</v>
      </c>
      <c r="F12" s="21">
        <v>878.56529999999998</v>
      </c>
      <c r="G12" s="22">
        <v>0.1041</v>
      </c>
      <c r="H12" s="23">
        <v>7.6580999999999996E-2</v>
      </c>
      <c r="I12" s="24"/>
      <c r="J12" s="5"/>
    </row>
    <row r="13" spans="1:10" ht="12.95" customHeight="1">
      <c r="A13" s="18" t="s">
        <v>195</v>
      </c>
      <c r="B13" s="19" t="s">
        <v>196</v>
      </c>
      <c r="C13" s="15" t="s">
        <v>197</v>
      </c>
      <c r="D13" s="15" t="s">
        <v>179</v>
      </c>
      <c r="E13" s="20">
        <v>75</v>
      </c>
      <c r="F13" s="21">
        <v>755.69849999999997</v>
      </c>
      <c r="G13" s="22">
        <v>8.9599999999999999E-2</v>
      </c>
      <c r="H13" s="23">
        <v>7.7600000000000002E-2</v>
      </c>
      <c r="I13" s="24"/>
      <c r="J13" s="5"/>
    </row>
    <row r="14" spans="1:10" ht="12.95" customHeight="1">
      <c r="A14" s="18" t="s">
        <v>198</v>
      </c>
      <c r="B14" s="19" t="s">
        <v>199</v>
      </c>
      <c r="C14" s="15" t="s">
        <v>200</v>
      </c>
      <c r="D14" s="15" t="s">
        <v>179</v>
      </c>
      <c r="E14" s="20">
        <v>75</v>
      </c>
      <c r="F14" s="21">
        <v>749.38800000000003</v>
      </c>
      <c r="G14" s="22">
        <v>8.8800000000000004E-2</v>
      </c>
      <c r="H14" s="23">
        <v>7.9250000000000001E-2</v>
      </c>
      <c r="I14" s="24"/>
      <c r="J14" s="5"/>
    </row>
    <row r="15" spans="1:10" ht="12.95" customHeight="1">
      <c r="A15" s="18" t="s">
        <v>201</v>
      </c>
      <c r="B15" s="19" t="s">
        <v>202</v>
      </c>
      <c r="C15" s="15" t="s">
        <v>203</v>
      </c>
      <c r="D15" s="15" t="s">
        <v>179</v>
      </c>
      <c r="E15" s="20">
        <v>500</v>
      </c>
      <c r="F15" s="21">
        <v>499.3295</v>
      </c>
      <c r="G15" s="22">
        <v>5.9200000000000003E-2</v>
      </c>
      <c r="H15" s="23">
        <v>7.6100000000000001E-2</v>
      </c>
      <c r="I15" s="24"/>
      <c r="J15" s="5"/>
    </row>
    <row r="16" spans="1:10" ht="12.95" customHeight="1">
      <c r="A16" s="18" t="s">
        <v>204</v>
      </c>
      <c r="B16" s="19" t="s">
        <v>205</v>
      </c>
      <c r="C16" s="15" t="s">
        <v>206</v>
      </c>
      <c r="D16" s="15" t="s">
        <v>179</v>
      </c>
      <c r="E16" s="20">
        <v>500</v>
      </c>
      <c r="F16" s="21">
        <v>498.15899999999999</v>
      </c>
      <c r="G16" s="22">
        <v>5.8999999999999997E-2</v>
      </c>
      <c r="H16" s="23">
        <v>7.485E-2</v>
      </c>
      <c r="I16" s="24"/>
      <c r="J16" s="5"/>
    </row>
    <row r="17" spans="1:10" ht="12.95" customHeight="1">
      <c r="A17" s="5"/>
      <c r="B17" s="14" t="s">
        <v>160</v>
      </c>
      <c r="C17" s="15"/>
      <c r="D17" s="15"/>
      <c r="E17" s="15"/>
      <c r="F17" s="25">
        <v>7910.1584000000003</v>
      </c>
      <c r="G17" s="26">
        <v>0.93759999999999999</v>
      </c>
      <c r="H17" s="27"/>
      <c r="I17" s="28"/>
      <c r="J17" s="5"/>
    </row>
    <row r="18" spans="1:10" ht="12.95" customHeight="1">
      <c r="A18" s="5"/>
      <c r="B18" s="29" t="s">
        <v>161</v>
      </c>
      <c r="C18" s="2"/>
      <c r="D18" s="2"/>
      <c r="E18" s="2"/>
      <c r="F18" s="27" t="s">
        <v>162</v>
      </c>
      <c r="G18" s="27" t="s">
        <v>162</v>
      </c>
      <c r="H18" s="27"/>
      <c r="I18" s="28"/>
      <c r="J18" s="5"/>
    </row>
    <row r="19" spans="1:10" ht="12.95" customHeight="1">
      <c r="A19" s="5"/>
      <c r="B19" s="29" t="s">
        <v>160</v>
      </c>
      <c r="C19" s="2"/>
      <c r="D19" s="2"/>
      <c r="E19" s="2"/>
      <c r="F19" s="27" t="s">
        <v>162</v>
      </c>
      <c r="G19" s="27" t="s">
        <v>162</v>
      </c>
      <c r="H19" s="27"/>
      <c r="I19" s="28"/>
      <c r="J19" s="5"/>
    </row>
    <row r="20" spans="1:10" ht="12.95" customHeight="1">
      <c r="A20" s="5"/>
      <c r="B20" s="29" t="s">
        <v>163</v>
      </c>
      <c r="C20" s="30"/>
      <c r="D20" s="2"/>
      <c r="E20" s="30"/>
      <c r="F20" s="25">
        <v>7910.1584000000003</v>
      </c>
      <c r="G20" s="26">
        <v>0.93759999999999999</v>
      </c>
      <c r="H20" s="27"/>
      <c r="I20" s="28"/>
      <c r="J20" s="5"/>
    </row>
    <row r="21" spans="1:10" ht="12.95" customHeight="1">
      <c r="A21" s="5"/>
      <c r="B21" s="14" t="s">
        <v>164</v>
      </c>
      <c r="C21" s="15"/>
      <c r="D21" s="15"/>
      <c r="E21" s="15"/>
      <c r="F21" s="15"/>
      <c r="G21" s="15"/>
      <c r="H21" s="16"/>
      <c r="I21" s="17"/>
      <c r="J21" s="5"/>
    </row>
    <row r="22" spans="1:10" ht="12.95" customHeight="1">
      <c r="A22" s="18" t="s">
        <v>165</v>
      </c>
      <c r="B22" s="19" t="s">
        <v>166</v>
      </c>
      <c r="C22" s="15"/>
      <c r="D22" s="15"/>
      <c r="E22" s="20"/>
      <c r="F22" s="21">
        <v>194.95740000000001</v>
      </c>
      <c r="G22" s="22">
        <v>2.3099999999999999E-2</v>
      </c>
      <c r="H22" s="23">
        <v>6.7996866215231891E-2</v>
      </c>
      <c r="I22" s="24"/>
      <c r="J22" s="5"/>
    </row>
    <row r="23" spans="1:10" ht="12.95" customHeight="1">
      <c r="A23" s="5"/>
      <c r="B23" s="14" t="s">
        <v>160</v>
      </c>
      <c r="C23" s="15"/>
      <c r="D23" s="15"/>
      <c r="E23" s="15"/>
      <c r="F23" s="25">
        <v>194.95740000000001</v>
      </c>
      <c r="G23" s="26">
        <v>2.3099999999999999E-2</v>
      </c>
      <c r="H23" s="27"/>
      <c r="I23" s="28"/>
      <c r="J23" s="5"/>
    </row>
    <row r="24" spans="1:10" ht="12.95" customHeight="1">
      <c r="A24" s="5"/>
      <c r="B24" s="29" t="s">
        <v>163</v>
      </c>
      <c r="C24" s="30"/>
      <c r="D24" s="2"/>
      <c r="E24" s="30"/>
      <c r="F24" s="25">
        <v>194.95740000000001</v>
      </c>
      <c r="G24" s="26">
        <v>2.3099999999999999E-2</v>
      </c>
      <c r="H24" s="27"/>
      <c r="I24" s="28"/>
      <c r="J24" s="5"/>
    </row>
    <row r="25" spans="1:10" ht="12.95" customHeight="1">
      <c r="A25" s="5"/>
      <c r="B25" s="29" t="s">
        <v>167</v>
      </c>
      <c r="C25" s="15"/>
      <c r="D25" s="2"/>
      <c r="E25" s="15"/>
      <c r="F25" s="31">
        <v>331.49419999999998</v>
      </c>
      <c r="G25" s="26">
        <v>3.9300000000000002E-2</v>
      </c>
      <c r="H25" s="27"/>
      <c r="I25" s="28"/>
      <c r="J25" s="5"/>
    </row>
    <row r="26" spans="1:10" ht="12.95" customHeight="1">
      <c r="A26" s="5"/>
      <c r="B26" s="32" t="s">
        <v>168</v>
      </c>
      <c r="C26" s="33"/>
      <c r="D26" s="33"/>
      <c r="E26" s="33"/>
      <c r="F26" s="34">
        <v>8436.61</v>
      </c>
      <c r="G26" s="35">
        <v>1</v>
      </c>
      <c r="H26" s="36"/>
      <c r="I26" s="37"/>
      <c r="J26" s="5"/>
    </row>
    <row r="27" spans="1:10" ht="12.95" customHeight="1">
      <c r="A27" s="5"/>
      <c r="B27" s="7"/>
      <c r="C27" s="5"/>
      <c r="D27" s="5"/>
      <c r="E27" s="5"/>
      <c r="F27" s="5"/>
      <c r="G27" s="5"/>
      <c r="H27" s="5"/>
      <c r="I27" s="5"/>
      <c r="J27" s="5"/>
    </row>
    <row r="28" spans="1:10" ht="12.95" customHeight="1">
      <c r="A28" s="5"/>
      <c r="B28" s="4" t="s">
        <v>169</v>
      </c>
      <c r="C28" s="5"/>
      <c r="D28" s="5"/>
      <c r="E28" s="5"/>
      <c r="F28" s="5"/>
      <c r="G28" s="5"/>
      <c r="H28" s="5"/>
      <c r="I28" s="5"/>
      <c r="J28" s="5"/>
    </row>
    <row r="29" spans="1:10" ht="12.95" customHeight="1">
      <c r="A29" s="5"/>
      <c r="B29" s="4" t="s">
        <v>207</v>
      </c>
      <c r="C29" s="5"/>
      <c r="D29" s="5"/>
      <c r="E29" s="5"/>
      <c r="F29" s="5"/>
      <c r="G29" s="5"/>
      <c r="H29" s="5"/>
      <c r="I29" s="5"/>
      <c r="J29" s="5"/>
    </row>
    <row r="30" spans="1:10" ht="12.95" customHeight="1">
      <c r="A30" s="5"/>
      <c r="B30" s="4" t="s">
        <v>170</v>
      </c>
      <c r="C30" s="5"/>
      <c r="D30" s="5"/>
      <c r="E30" s="5"/>
      <c r="F30" s="5"/>
      <c r="G30" s="5"/>
      <c r="H30" s="5"/>
      <c r="I30" s="5"/>
      <c r="J30" s="5"/>
    </row>
    <row r="31" spans="1:10" ht="26.1" customHeight="1">
      <c r="A31" s="5"/>
      <c r="B31" s="86" t="s">
        <v>171</v>
      </c>
      <c r="C31" s="86"/>
      <c r="D31" s="86"/>
      <c r="E31" s="86"/>
      <c r="F31" s="86"/>
      <c r="G31" s="86"/>
      <c r="H31" s="86"/>
      <c r="I31" s="86"/>
      <c r="J31" s="5"/>
    </row>
    <row r="32" spans="1:10" ht="12.95" customHeight="1">
      <c r="A32" s="5"/>
      <c r="B32" s="86"/>
      <c r="C32" s="86"/>
      <c r="D32" s="86"/>
      <c r="E32" s="86"/>
      <c r="F32" s="86"/>
      <c r="G32" s="86"/>
      <c r="H32" s="86"/>
      <c r="I32" s="86"/>
      <c r="J32" s="5"/>
    </row>
    <row r="33" spans="1:10" ht="12.95" customHeight="1">
      <c r="A33" s="5"/>
      <c r="B33" s="86"/>
      <c r="C33" s="86"/>
      <c r="D33" s="86"/>
      <c r="E33" s="86"/>
      <c r="F33" s="86"/>
      <c r="G33" s="86"/>
      <c r="H33" s="86"/>
      <c r="I33" s="86"/>
      <c r="J33" s="5"/>
    </row>
    <row r="34" spans="1:10" ht="12.95" customHeight="1">
      <c r="A34" s="5"/>
      <c r="B34" s="5"/>
      <c r="C34" s="87" t="s">
        <v>172</v>
      </c>
      <c r="D34" s="87"/>
      <c r="E34" s="87"/>
      <c r="F34" s="87"/>
      <c r="G34" s="5"/>
      <c r="H34" s="5"/>
      <c r="I34" s="5"/>
      <c r="J34" s="5"/>
    </row>
    <row r="35" spans="1:10" ht="12.95" customHeight="1">
      <c r="A35" s="5"/>
      <c r="B35" s="38" t="s">
        <v>173</v>
      </c>
      <c r="C35" s="87" t="s">
        <v>174</v>
      </c>
      <c r="D35" s="87"/>
      <c r="E35" s="87"/>
      <c r="F35" s="87"/>
      <c r="G35" s="5"/>
      <c r="H35" s="5"/>
      <c r="I35" s="5"/>
      <c r="J35" s="5"/>
    </row>
    <row r="36" spans="1:10" ht="120.95" customHeight="1">
      <c r="A36" s="5"/>
      <c r="B36" s="39"/>
      <c r="C36" s="85"/>
      <c r="D36" s="85"/>
      <c r="E36" s="5"/>
      <c r="F36" s="5"/>
      <c r="G36" s="5"/>
      <c r="H36" s="5"/>
      <c r="I36" s="5"/>
      <c r="J36" s="5"/>
    </row>
  </sheetData>
  <mergeCells count="6">
    <mergeCell ref="C36:D36"/>
    <mergeCell ref="B31:I31"/>
    <mergeCell ref="B32:I32"/>
    <mergeCell ref="B33:I33"/>
    <mergeCell ref="C34:F34"/>
    <mergeCell ref="C35:F35"/>
  </mergeCells>
  <hyperlinks>
    <hyperlink ref="A1" location="AxisFixedTermPlanSeries1131228Days" display="AXIS113" xr:uid="{00000000-0004-0000-0200-000000000000}"/>
    <hyperlink ref="B1" location="AxisFixedTermPlanSeries1131228Days" display="Axis Fixed Term Plan - Series 113 (1228 Days)" xr:uid="{00000000-0004-0000-02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3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7</v>
      </c>
      <c r="B1" s="4" t="s">
        <v>8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209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210</v>
      </c>
      <c r="B7" s="19" t="s">
        <v>211</v>
      </c>
      <c r="C7" s="15" t="s">
        <v>212</v>
      </c>
      <c r="D7" s="15"/>
      <c r="E7" s="20">
        <v>695000</v>
      </c>
      <c r="F7" s="21">
        <v>1516.1424999999999</v>
      </c>
      <c r="G7" s="22">
        <v>8.8999999999999996E-2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1516.1424999999999</v>
      </c>
      <c r="G8" s="26">
        <v>8.8999999999999996E-2</v>
      </c>
      <c r="H8" s="27"/>
      <c r="I8" s="28"/>
      <c r="J8" s="5"/>
    </row>
    <row r="9" spans="1:10" ht="12.95" customHeight="1">
      <c r="A9" s="5"/>
      <c r="B9" s="14" t="s">
        <v>213</v>
      </c>
      <c r="C9" s="15"/>
      <c r="D9" s="15"/>
      <c r="E9" s="15"/>
      <c r="F9" s="5"/>
      <c r="G9" s="16"/>
      <c r="H9" s="16"/>
      <c r="I9" s="17"/>
      <c r="J9" s="5"/>
    </row>
    <row r="10" spans="1:10" ht="12.95" customHeight="1">
      <c r="A10" s="18" t="s">
        <v>214</v>
      </c>
      <c r="B10" s="19" t="s">
        <v>215</v>
      </c>
      <c r="C10" s="15" t="s">
        <v>216</v>
      </c>
      <c r="D10" s="15"/>
      <c r="E10" s="20">
        <v>10256784.460999999</v>
      </c>
      <c r="F10" s="21">
        <v>2691.6161000000002</v>
      </c>
      <c r="G10" s="22">
        <v>0.158</v>
      </c>
      <c r="H10" s="40"/>
      <c r="I10" s="24"/>
      <c r="J10" s="5"/>
    </row>
    <row r="11" spans="1:10" ht="12.95" customHeight="1">
      <c r="A11" s="18" t="s">
        <v>217</v>
      </c>
      <c r="B11" s="19" t="s">
        <v>218</v>
      </c>
      <c r="C11" s="15" t="s">
        <v>219</v>
      </c>
      <c r="D11" s="15"/>
      <c r="E11" s="20">
        <v>3968067.6579999998</v>
      </c>
      <c r="F11" s="21">
        <v>2089.1995000000002</v>
      </c>
      <c r="G11" s="22">
        <v>0.1227</v>
      </c>
      <c r="H11" s="40"/>
      <c r="I11" s="24"/>
      <c r="J11" s="5"/>
    </row>
    <row r="12" spans="1:10" ht="12.95" customHeight="1">
      <c r="A12" s="18" t="s">
        <v>220</v>
      </c>
      <c r="B12" s="19" t="s">
        <v>221</v>
      </c>
      <c r="C12" s="15" t="s">
        <v>222</v>
      </c>
      <c r="D12" s="15"/>
      <c r="E12" s="20">
        <v>8829409.0130000003</v>
      </c>
      <c r="F12" s="21">
        <v>1895.8771999999999</v>
      </c>
      <c r="G12" s="22">
        <v>0.1113</v>
      </c>
      <c r="H12" s="40"/>
      <c r="I12" s="24"/>
      <c r="J12" s="5"/>
    </row>
    <row r="13" spans="1:10" ht="12.95" customHeight="1">
      <c r="A13" s="18" t="s">
        <v>223</v>
      </c>
      <c r="B13" s="19" t="s">
        <v>224</v>
      </c>
      <c r="C13" s="15" t="s">
        <v>225</v>
      </c>
      <c r="D13" s="15"/>
      <c r="E13" s="20">
        <v>4169343.1949999998</v>
      </c>
      <c r="F13" s="21">
        <v>1760.28</v>
      </c>
      <c r="G13" s="22">
        <v>0.10340000000000001</v>
      </c>
      <c r="H13" s="40"/>
      <c r="I13" s="24"/>
      <c r="J13" s="5"/>
    </row>
    <row r="14" spans="1:10" ht="12.95" customHeight="1">
      <c r="A14" s="18" t="s">
        <v>226</v>
      </c>
      <c r="B14" s="19" t="s">
        <v>227</v>
      </c>
      <c r="C14" s="15" t="s">
        <v>228</v>
      </c>
      <c r="D14" s="15"/>
      <c r="E14" s="20">
        <v>16177758.895</v>
      </c>
      <c r="F14" s="21">
        <v>1703.1945000000001</v>
      </c>
      <c r="G14" s="22">
        <v>0.1</v>
      </c>
      <c r="H14" s="40"/>
      <c r="I14" s="24"/>
      <c r="J14" s="5"/>
    </row>
    <row r="15" spans="1:10" ht="12.95" customHeight="1">
      <c r="A15" s="18" t="s">
        <v>229</v>
      </c>
      <c r="B15" s="19" t="s">
        <v>230</v>
      </c>
      <c r="C15" s="15" t="s">
        <v>231</v>
      </c>
      <c r="D15" s="15"/>
      <c r="E15" s="20">
        <v>2756517.88</v>
      </c>
      <c r="F15" s="21">
        <v>1366.0862</v>
      </c>
      <c r="G15" s="22">
        <v>8.0199999999999994E-2</v>
      </c>
      <c r="H15" s="40"/>
      <c r="I15" s="24"/>
      <c r="J15" s="5"/>
    </row>
    <row r="16" spans="1:10" ht="12.95" customHeight="1">
      <c r="A16" s="18" t="s">
        <v>232</v>
      </c>
      <c r="B16" s="19" t="s">
        <v>233</v>
      </c>
      <c r="C16" s="15" t="s">
        <v>234</v>
      </c>
      <c r="D16" s="15"/>
      <c r="E16" s="20">
        <v>6139059.216</v>
      </c>
      <c r="F16" s="21">
        <v>1262.6142</v>
      </c>
      <c r="G16" s="22">
        <v>7.4099999999999999E-2</v>
      </c>
      <c r="H16" s="40"/>
      <c r="I16" s="24"/>
      <c r="J16" s="5"/>
    </row>
    <row r="17" spans="1:10" ht="12.95" customHeight="1">
      <c r="A17" s="18" t="s">
        <v>235</v>
      </c>
      <c r="B17" s="19" t="s">
        <v>236</v>
      </c>
      <c r="C17" s="15" t="s">
        <v>237</v>
      </c>
      <c r="D17" s="15"/>
      <c r="E17" s="20">
        <v>2230727.0180000002</v>
      </c>
      <c r="F17" s="21">
        <v>1258.9376</v>
      </c>
      <c r="G17" s="22">
        <v>7.3899999999999993E-2</v>
      </c>
      <c r="H17" s="40"/>
      <c r="I17" s="24"/>
      <c r="J17" s="5"/>
    </row>
    <row r="18" spans="1:10" ht="12.95" customHeight="1">
      <c r="A18" s="18" t="s">
        <v>238</v>
      </c>
      <c r="B18" s="19" t="s">
        <v>239</v>
      </c>
      <c r="C18" s="15" t="s">
        <v>240</v>
      </c>
      <c r="D18" s="15"/>
      <c r="E18" s="20">
        <v>7674690.6720000003</v>
      </c>
      <c r="F18" s="21">
        <v>865.62070000000006</v>
      </c>
      <c r="G18" s="22">
        <v>5.0799999999999998E-2</v>
      </c>
      <c r="H18" s="40"/>
      <c r="I18" s="24"/>
      <c r="J18" s="5"/>
    </row>
    <row r="19" spans="1:10" ht="12.95" customHeight="1">
      <c r="A19" s="18" t="s">
        <v>241</v>
      </c>
      <c r="B19" s="19" t="s">
        <v>242</v>
      </c>
      <c r="C19" s="15" t="s">
        <v>243</v>
      </c>
      <c r="D19" s="15"/>
      <c r="E19" s="20">
        <v>893071.79599999997</v>
      </c>
      <c r="F19" s="21">
        <v>259.3766</v>
      </c>
      <c r="G19" s="22">
        <v>1.52E-2</v>
      </c>
      <c r="H19" s="40"/>
      <c r="I19" s="24"/>
      <c r="J19" s="5"/>
    </row>
    <row r="20" spans="1:10" ht="12.95" customHeight="1">
      <c r="A20" s="5"/>
      <c r="B20" s="14" t="s">
        <v>160</v>
      </c>
      <c r="C20" s="15"/>
      <c r="D20" s="15"/>
      <c r="E20" s="15"/>
      <c r="F20" s="25">
        <v>15152.8025</v>
      </c>
      <c r="G20" s="26">
        <v>0.88970000000000005</v>
      </c>
      <c r="H20" s="27"/>
      <c r="I20" s="28"/>
      <c r="J20" s="5"/>
    </row>
    <row r="21" spans="1:10" ht="12.95" customHeight="1">
      <c r="A21" s="5"/>
      <c r="B21" s="29" t="s">
        <v>163</v>
      </c>
      <c r="C21" s="30"/>
      <c r="D21" s="2"/>
      <c r="E21" s="30"/>
      <c r="F21" s="25">
        <v>16668.945</v>
      </c>
      <c r="G21" s="26">
        <v>0.9788</v>
      </c>
      <c r="H21" s="27"/>
      <c r="I21" s="28"/>
      <c r="J21" s="5"/>
    </row>
    <row r="22" spans="1:10" ht="12.95" customHeight="1">
      <c r="A22" s="5"/>
      <c r="B22" s="14" t="s">
        <v>164</v>
      </c>
      <c r="C22" s="15"/>
      <c r="D22" s="15"/>
      <c r="E22" s="15"/>
      <c r="F22" s="15"/>
      <c r="G22" s="15"/>
      <c r="H22" s="16"/>
      <c r="I22" s="17"/>
      <c r="J22" s="5"/>
    </row>
    <row r="23" spans="1:10" ht="12.95" customHeight="1">
      <c r="A23" s="18" t="s">
        <v>165</v>
      </c>
      <c r="B23" s="19" t="s">
        <v>166</v>
      </c>
      <c r="C23" s="15"/>
      <c r="D23" s="15"/>
      <c r="E23" s="20"/>
      <c r="F23" s="21">
        <v>303.31700000000001</v>
      </c>
      <c r="G23" s="22">
        <v>1.78E-2</v>
      </c>
      <c r="H23" s="23">
        <v>6.7996846125269794E-2</v>
      </c>
      <c r="I23" s="24"/>
      <c r="J23" s="5"/>
    </row>
    <row r="24" spans="1:10" ht="12.95" customHeight="1">
      <c r="A24" s="5"/>
      <c r="B24" s="14" t="s">
        <v>160</v>
      </c>
      <c r="C24" s="15"/>
      <c r="D24" s="15"/>
      <c r="E24" s="15"/>
      <c r="F24" s="25">
        <v>303.31700000000001</v>
      </c>
      <c r="G24" s="26">
        <v>1.78E-2</v>
      </c>
      <c r="H24" s="27"/>
      <c r="I24" s="28"/>
      <c r="J24" s="5"/>
    </row>
    <row r="25" spans="1:10" ht="12.95" customHeight="1">
      <c r="A25" s="5"/>
      <c r="B25" s="29" t="s">
        <v>163</v>
      </c>
      <c r="C25" s="30"/>
      <c r="D25" s="2"/>
      <c r="E25" s="30"/>
      <c r="F25" s="25">
        <v>303.31700000000001</v>
      </c>
      <c r="G25" s="26">
        <v>1.78E-2</v>
      </c>
      <c r="H25" s="27"/>
      <c r="I25" s="28"/>
      <c r="J25" s="5"/>
    </row>
    <row r="26" spans="1:10" ht="12.95" customHeight="1">
      <c r="A26" s="5"/>
      <c r="B26" s="29" t="s">
        <v>167</v>
      </c>
      <c r="C26" s="15"/>
      <c r="D26" s="2"/>
      <c r="E26" s="15"/>
      <c r="F26" s="31">
        <v>58.368000000000002</v>
      </c>
      <c r="G26" s="26">
        <v>3.3999999999999998E-3</v>
      </c>
      <c r="H26" s="27"/>
      <c r="I26" s="28"/>
      <c r="J26" s="5"/>
    </row>
    <row r="27" spans="1:10" ht="12.95" customHeight="1">
      <c r="A27" s="5"/>
      <c r="B27" s="32" t="s">
        <v>168</v>
      </c>
      <c r="C27" s="33"/>
      <c r="D27" s="33"/>
      <c r="E27" s="33"/>
      <c r="F27" s="34">
        <v>17030.63</v>
      </c>
      <c r="G27" s="35">
        <v>1</v>
      </c>
      <c r="H27" s="36"/>
      <c r="I27" s="37"/>
      <c r="J27" s="5"/>
    </row>
    <row r="28" spans="1:10" ht="12.95" customHeight="1">
      <c r="A28" s="5"/>
      <c r="B28" s="7"/>
      <c r="C28" s="5"/>
      <c r="D28" s="5"/>
      <c r="E28" s="5"/>
      <c r="F28" s="5"/>
      <c r="G28" s="5"/>
      <c r="H28" s="5"/>
      <c r="I28" s="5"/>
      <c r="J28" s="5"/>
    </row>
    <row r="29" spans="1:10" ht="12.95" customHeight="1">
      <c r="A29" s="5"/>
      <c r="B29" s="4" t="s">
        <v>169</v>
      </c>
      <c r="C29" s="5"/>
      <c r="D29" s="5"/>
      <c r="E29" s="5"/>
      <c r="F29" s="5"/>
      <c r="G29" s="5"/>
      <c r="H29" s="5"/>
      <c r="I29" s="5"/>
      <c r="J29" s="5"/>
    </row>
    <row r="30" spans="1:10" ht="12.95" customHeight="1">
      <c r="A30" s="5"/>
      <c r="B30" s="4" t="s">
        <v>170</v>
      </c>
      <c r="C30" s="5"/>
      <c r="D30" s="5"/>
      <c r="E30" s="5"/>
      <c r="F30" s="5"/>
      <c r="G30" s="5"/>
      <c r="H30" s="5"/>
      <c r="I30" s="5"/>
      <c r="J30" s="5"/>
    </row>
    <row r="31" spans="1:10" ht="26.1" customHeight="1">
      <c r="A31" s="5"/>
      <c r="B31" s="86" t="s">
        <v>171</v>
      </c>
      <c r="C31" s="86"/>
      <c r="D31" s="86"/>
      <c r="E31" s="86"/>
      <c r="F31" s="86"/>
      <c r="G31" s="86"/>
      <c r="H31" s="86"/>
      <c r="I31" s="86"/>
      <c r="J31" s="5"/>
    </row>
    <row r="32" spans="1:10" ht="33" customHeight="1">
      <c r="A32" s="44"/>
      <c r="B32" s="88" t="s">
        <v>4259</v>
      </c>
      <c r="C32" s="88"/>
      <c r="D32" s="88"/>
      <c r="E32" s="88"/>
      <c r="F32" s="88"/>
      <c r="G32" s="88"/>
      <c r="H32" s="88"/>
      <c r="I32" s="44"/>
      <c r="J32" s="44"/>
    </row>
    <row r="33" spans="1:10" ht="12.95" customHeight="1">
      <c r="A33" s="5"/>
      <c r="B33" s="86"/>
      <c r="C33" s="86"/>
      <c r="D33" s="86"/>
      <c r="E33" s="86"/>
      <c r="F33" s="86"/>
      <c r="G33" s="86"/>
      <c r="H33" s="86"/>
      <c r="I33" s="86"/>
      <c r="J33" s="5"/>
    </row>
    <row r="34" spans="1:10" ht="12.95" customHeight="1">
      <c r="A34" s="5"/>
      <c r="B34" s="86"/>
      <c r="C34" s="86"/>
      <c r="D34" s="86"/>
      <c r="E34" s="86"/>
      <c r="F34" s="86"/>
      <c r="G34" s="86"/>
      <c r="H34" s="86"/>
      <c r="I34" s="86"/>
      <c r="J34" s="5"/>
    </row>
    <row r="35" spans="1:10" ht="12.95" customHeight="1">
      <c r="A35" s="5"/>
      <c r="B35" s="5"/>
      <c r="C35" s="87" t="s">
        <v>244</v>
      </c>
      <c r="D35" s="87"/>
      <c r="E35" s="87"/>
      <c r="F35" s="87"/>
      <c r="G35" s="5"/>
      <c r="H35" s="5"/>
      <c r="I35" s="5"/>
      <c r="J35" s="5"/>
    </row>
    <row r="36" spans="1:10" ht="12.95" customHeight="1">
      <c r="A36" s="5"/>
      <c r="B36" s="38" t="s">
        <v>173</v>
      </c>
      <c r="C36" s="87" t="s">
        <v>174</v>
      </c>
      <c r="D36" s="87"/>
      <c r="E36" s="87"/>
      <c r="F36" s="87"/>
      <c r="G36" s="5"/>
      <c r="H36" s="5"/>
      <c r="I36" s="5"/>
      <c r="J36" s="5"/>
    </row>
    <row r="37" spans="1:10" ht="120.95" customHeight="1">
      <c r="A37" s="5"/>
      <c r="B37" s="39"/>
      <c r="C37" s="85"/>
      <c r="D37" s="85"/>
      <c r="E37" s="5"/>
      <c r="F37" s="5"/>
      <c r="G37" s="5"/>
      <c r="H37" s="5"/>
      <c r="I37" s="5"/>
      <c r="J37" s="5"/>
    </row>
  </sheetData>
  <mergeCells count="7">
    <mergeCell ref="C37:D37"/>
    <mergeCell ref="B32:H32"/>
    <mergeCell ref="B31:I31"/>
    <mergeCell ref="B33:I33"/>
    <mergeCell ref="B34:I34"/>
    <mergeCell ref="C35:F35"/>
    <mergeCell ref="C36:F36"/>
  </mergeCells>
  <hyperlinks>
    <hyperlink ref="A1" location="AxisAllSeasonsDebtFundofFunds" display="AXISASD" xr:uid="{00000000-0004-0000-0300-000000000000}"/>
    <hyperlink ref="B1" location="AxisAllSeasonsDebtFundofFunds" display="Axis All Seasons Debt Fund of Funds" xr:uid="{00000000-0004-0000-03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8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9</v>
      </c>
      <c r="B1" s="4" t="s">
        <v>10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248</v>
      </c>
      <c r="B7" s="19" t="s">
        <v>249</v>
      </c>
      <c r="C7" s="15" t="s">
        <v>250</v>
      </c>
      <c r="D7" s="15" t="s">
        <v>251</v>
      </c>
      <c r="E7" s="20">
        <v>586854</v>
      </c>
      <c r="F7" s="21">
        <v>13761.7263</v>
      </c>
      <c r="G7" s="22">
        <v>5.4199999999999998E-2</v>
      </c>
      <c r="H7" s="40"/>
      <c r="I7" s="24"/>
      <c r="J7" s="5"/>
    </row>
    <row r="8" spans="1:10" ht="12.95" customHeight="1">
      <c r="A8" s="18" t="s">
        <v>252</v>
      </c>
      <c r="B8" s="19" t="s">
        <v>253</v>
      </c>
      <c r="C8" s="15" t="s">
        <v>254</v>
      </c>
      <c r="D8" s="15" t="s">
        <v>255</v>
      </c>
      <c r="E8" s="20">
        <v>762926</v>
      </c>
      <c r="F8" s="21">
        <v>10036.291499999999</v>
      </c>
      <c r="G8" s="22">
        <v>3.9600000000000003E-2</v>
      </c>
      <c r="H8" s="40"/>
      <c r="I8" s="24"/>
      <c r="J8" s="5"/>
    </row>
    <row r="9" spans="1:10" ht="12.95" customHeight="1">
      <c r="A9" s="18" t="s">
        <v>256</v>
      </c>
      <c r="B9" s="19" t="s">
        <v>257</v>
      </c>
      <c r="C9" s="15" t="s">
        <v>258</v>
      </c>
      <c r="D9" s="15" t="s">
        <v>259</v>
      </c>
      <c r="E9" s="20">
        <v>1662601</v>
      </c>
      <c r="F9" s="21">
        <v>9699.6142</v>
      </c>
      <c r="G9" s="22">
        <v>3.8199999999999998E-2</v>
      </c>
      <c r="H9" s="40"/>
      <c r="I9" s="24"/>
      <c r="J9" s="5"/>
    </row>
    <row r="10" spans="1:10" ht="12.95" customHeight="1">
      <c r="A10" s="18" t="s">
        <v>260</v>
      </c>
      <c r="B10" s="19" t="s">
        <v>261</v>
      </c>
      <c r="C10" s="15" t="s">
        <v>262</v>
      </c>
      <c r="D10" s="15" t="s">
        <v>263</v>
      </c>
      <c r="E10" s="20">
        <v>261639</v>
      </c>
      <c r="F10" s="21">
        <v>9232.1937999999991</v>
      </c>
      <c r="G10" s="22">
        <v>3.6400000000000002E-2</v>
      </c>
      <c r="H10" s="40"/>
      <c r="I10" s="24"/>
      <c r="J10" s="5"/>
    </row>
    <row r="11" spans="1:10" ht="12.95" customHeight="1">
      <c r="A11" s="18" t="s">
        <v>264</v>
      </c>
      <c r="B11" s="19" t="s">
        <v>265</v>
      </c>
      <c r="C11" s="15" t="s">
        <v>266</v>
      </c>
      <c r="D11" s="15" t="s">
        <v>267</v>
      </c>
      <c r="E11" s="20">
        <v>110501</v>
      </c>
      <c r="F11" s="21">
        <v>9121.6918000000005</v>
      </c>
      <c r="G11" s="22">
        <v>3.5999999999999997E-2</v>
      </c>
      <c r="H11" s="40"/>
      <c r="I11" s="24"/>
      <c r="J11" s="5"/>
    </row>
    <row r="12" spans="1:10" ht="12.95" customHeight="1">
      <c r="A12" s="18" t="s">
        <v>268</v>
      </c>
      <c r="B12" s="19" t="s">
        <v>269</v>
      </c>
      <c r="C12" s="15" t="s">
        <v>270</v>
      </c>
      <c r="D12" s="15" t="s">
        <v>271</v>
      </c>
      <c r="E12" s="20">
        <v>875000</v>
      </c>
      <c r="F12" s="21">
        <v>8329.125</v>
      </c>
      <c r="G12" s="22">
        <v>3.2800000000000003E-2</v>
      </c>
      <c r="H12" s="40"/>
      <c r="I12" s="24"/>
      <c r="J12" s="5"/>
    </row>
    <row r="13" spans="1:10" ht="12.95" customHeight="1">
      <c r="A13" s="18" t="s">
        <v>272</v>
      </c>
      <c r="B13" s="19" t="s">
        <v>273</v>
      </c>
      <c r="C13" s="15" t="s">
        <v>274</v>
      </c>
      <c r="D13" s="15" t="s">
        <v>255</v>
      </c>
      <c r="E13" s="20">
        <v>712146</v>
      </c>
      <c r="F13" s="21">
        <v>8264.0982999999997</v>
      </c>
      <c r="G13" s="22">
        <v>3.2599999999999997E-2</v>
      </c>
      <c r="H13" s="40"/>
      <c r="I13" s="24"/>
      <c r="J13" s="5"/>
    </row>
    <row r="14" spans="1:10" ht="12.95" customHeight="1">
      <c r="A14" s="18" t="s">
        <v>275</v>
      </c>
      <c r="B14" s="19" t="s">
        <v>276</v>
      </c>
      <c r="C14" s="15" t="s">
        <v>277</v>
      </c>
      <c r="D14" s="15" t="s">
        <v>271</v>
      </c>
      <c r="E14" s="20">
        <v>1350000</v>
      </c>
      <c r="F14" s="21">
        <v>8080.4250000000002</v>
      </c>
      <c r="G14" s="22">
        <v>3.1800000000000002E-2</v>
      </c>
      <c r="H14" s="40"/>
      <c r="I14" s="24"/>
      <c r="J14" s="5"/>
    </row>
    <row r="15" spans="1:10" ht="12.95" customHeight="1">
      <c r="A15" s="18" t="s">
        <v>278</v>
      </c>
      <c r="B15" s="19" t="s">
        <v>279</v>
      </c>
      <c r="C15" s="15" t="s">
        <v>280</v>
      </c>
      <c r="D15" s="15" t="s">
        <v>281</v>
      </c>
      <c r="E15" s="20">
        <v>1215000</v>
      </c>
      <c r="F15" s="21">
        <v>7656.93</v>
      </c>
      <c r="G15" s="22">
        <v>3.0200000000000001E-2</v>
      </c>
      <c r="H15" s="40"/>
      <c r="I15" s="24"/>
      <c r="J15" s="5"/>
    </row>
    <row r="16" spans="1:10" ht="12.95" customHeight="1">
      <c r="A16" s="18" t="s">
        <v>282</v>
      </c>
      <c r="B16" s="19" t="s">
        <v>283</v>
      </c>
      <c r="C16" s="15" t="s">
        <v>284</v>
      </c>
      <c r="D16" s="15" t="s">
        <v>271</v>
      </c>
      <c r="E16" s="20">
        <v>436800</v>
      </c>
      <c r="F16" s="21">
        <v>6666.8783999999996</v>
      </c>
      <c r="G16" s="22">
        <v>2.63E-2</v>
      </c>
      <c r="H16" s="40"/>
      <c r="I16" s="24"/>
      <c r="J16" s="5"/>
    </row>
    <row r="17" spans="1:10" ht="12.95" customHeight="1">
      <c r="A17" s="18" t="s">
        <v>285</v>
      </c>
      <c r="B17" s="19" t="s">
        <v>286</v>
      </c>
      <c r="C17" s="15" t="s">
        <v>287</v>
      </c>
      <c r="D17" s="15" t="s">
        <v>263</v>
      </c>
      <c r="E17" s="20">
        <v>460000</v>
      </c>
      <c r="F17" s="21">
        <v>6603.07</v>
      </c>
      <c r="G17" s="22">
        <v>2.5999999999999999E-2</v>
      </c>
      <c r="H17" s="40"/>
      <c r="I17" s="24"/>
      <c r="J17" s="5"/>
    </row>
    <row r="18" spans="1:10" ht="12.95" customHeight="1">
      <c r="A18" s="18" t="s">
        <v>288</v>
      </c>
      <c r="B18" s="19" t="s">
        <v>289</v>
      </c>
      <c r="C18" s="15" t="s">
        <v>290</v>
      </c>
      <c r="D18" s="15" t="s">
        <v>291</v>
      </c>
      <c r="E18" s="20">
        <v>2681170</v>
      </c>
      <c r="F18" s="21">
        <v>6583.6129000000001</v>
      </c>
      <c r="G18" s="22">
        <v>2.5999999999999999E-2</v>
      </c>
      <c r="H18" s="40"/>
      <c r="I18" s="24"/>
      <c r="J18" s="5"/>
    </row>
    <row r="19" spans="1:10" ht="12.95" customHeight="1">
      <c r="A19" s="18" t="s">
        <v>292</v>
      </c>
      <c r="B19" s="19" t="s">
        <v>293</v>
      </c>
      <c r="C19" s="15" t="s">
        <v>294</v>
      </c>
      <c r="D19" s="15" t="s">
        <v>295</v>
      </c>
      <c r="E19" s="20">
        <v>854379</v>
      </c>
      <c r="F19" s="21">
        <v>6375.3761000000004</v>
      </c>
      <c r="G19" s="22">
        <v>2.5100000000000001E-2</v>
      </c>
      <c r="H19" s="40"/>
      <c r="I19" s="24"/>
      <c r="J19" s="5"/>
    </row>
    <row r="20" spans="1:10" ht="12.95" customHeight="1">
      <c r="A20" s="18" t="s">
        <v>296</v>
      </c>
      <c r="B20" s="19" t="s">
        <v>297</v>
      </c>
      <c r="C20" s="15" t="s">
        <v>298</v>
      </c>
      <c r="D20" s="15" t="s">
        <v>259</v>
      </c>
      <c r="E20" s="20">
        <v>1273783</v>
      </c>
      <c r="F20" s="21">
        <v>6123.7118</v>
      </c>
      <c r="G20" s="22">
        <v>2.41E-2</v>
      </c>
      <c r="H20" s="40"/>
      <c r="I20" s="24"/>
      <c r="J20" s="5"/>
    </row>
    <row r="21" spans="1:10" ht="12.95" customHeight="1">
      <c r="A21" s="18" t="s">
        <v>299</v>
      </c>
      <c r="B21" s="19" t="s">
        <v>300</v>
      </c>
      <c r="C21" s="15" t="s">
        <v>301</v>
      </c>
      <c r="D21" s="15" t="s">
        <v>302</v>
      </c>
      <c r="E21" s="20">
        <v>739235</v>
      </c>
      <c r="F21" s="21">
        <v>5567.1787999999997</v>
      </c>
      <c r="G21" s="22">
        <v>2.1899999999999999E-2</v>
      </c>
      <c r="H21" s="40"/>
      <c r="I21" s="24"/>
      <c r="J21" s="5"/>
    </row>
    <row r="22" spans="1:10" ht="12.95" customHeight="1">
      <c r="A22" s="18" t="s">
        <v>303</v>
      </c>
      <c r="B22" s="19" t="s">
        <v>304</v>
      </c>
      <c r="C22" s="15" t="s">
        <v>305</v>
      </c>
      <c r="D22" s="15" t="s">
        <v>306</v>
      </c>
      <c r="E22" s="20">
        <v>256240</v>
      </c>
      <c r="F22" s="21">
        <v>5384.1148999999996</v>
      </c>
      <c r="G22" s="22">
        <v>2.12E-2</v>
      </c>
      <c r="H22" s="40"/>
      <c r="I22" s="24"/>
      <c r="J22" s="5"/>
    </row>
    <row r="23" spans="1:10" ht="12.95" customHeight="1">
      <c r="A23" s="18" t="s">
        <v>307</v>
      </c>
      <c r="B23" s="19" t="s">
        <v>308</v>
      </c>
      <c r="C23" s="15" t="s">
        <v>309</v>
      </c>
      <c r="D23" s="15" t="s">
        <v>310</v>
      </c>
      <c r="E23" s="20">
        <v>1207241</v>
      </c>
      <c r="F23" s="21">
        <v>5273.2286999999997</v>
      </c>
      <c r="G23" s="22">
        <v>2.0799999999999999E-2</v>
      </c>
      <c r="H23" s="40"/>
      <c r="I23" s="24"/>
      <c r="J23" s="5"/>
    </row>
    <row r="24" spans="1:10" ht="12.95" customHeight="1">
      <c r="A24" s="18" t="s">
        <v>311</v>
      </c>
      <c r="B24" s="19" t="s">
        <v>312</v>
      </c>
      <c r="C24" s="15" t="s">
        <v>313</v>
      </c>
      <c r="D24" s="15" t="s">
        <v>314</v>
      </c>
      <c r="E24" s="20">
        <v>109237</v>
      </c>
      <c r="F24" s="21">
        <v>5265.2233999999999</v>
      </c>
      <c r="G24" s="22">
        <v>2.0799999999999999E-2</v>
      </c>
      <c r="H24" s="40"/>
      <c r="I24" s="24"/>
      <c r="J24" s="5"/>
    </row>
    <row r="25" spans="1:10" ht="12.95" customHeight="1">
      <c r="A25" s="18" t="s">
        <v>315</v>
      </c>
      <c r="B25" s="19" t="s">
        <v>316</v>
      </c>
      <c r="C25" s="15" t="s">
        <v>317</v>
      </c>
      <c r="D25" s="15" t="s">
        <v>314</v>
      </c>
      <c r="E25" s="20">
        <v>233015</v>
      </c>
      <c r="F25" s="21">
        <v>5241.4394000000002</v>
      </c>
      <c r="G25" s="22">
        <v>2.07E-2</v>
      </c>
      <c r="H25" s="40"/>
      <c r="I25" s="24"/>
      <c r="J25" s="5"/>
    </row>
    <row r="26" spans="1:10" ht="12.95" customHeight="1">
      <c r="A26" s="18" t="s">
        <v>318</v>
      </c>
      <c r="B26" s="19" t="s">
        <v>319</v>
      </c>
      <c r="C26" s="15" t="s">
        <v>320</v>
      </c>
      <c r="D26" s="15" t="s">
        <v>263</v>
      </c>
      <c r="E26" s="20">
        <v>99728</v>
      </c>
      <c r="F26" s="21">
        <v>5195.6791999999996</v>
      </c>
      <c r="G26" s="22">
        <v>2.0500000000000001E-2</v>
      </c>
      <c r="H26" s="40"/>
      <c r="I26" s="24"/>
      <c r="J26" s="5"/>
    </row>
    <row r="27" spans="1:10" ht="12.95" customHeight="1">
      <c r="A27" s="18" t="s">
        <v>321</v>
      </c>
      <c r="B27" s="19" t="s">
        <v>322</v>
      </c>
      <c r="C27" s="15" t="s">
        <v>323</v>
      </c>
      <c r="D27" s="15" t="s">
        <v>324</v>
      </c>
      <c r="E27" s="20">
        <v>162531</v>
      </c>
      <c r="F27" s="21">
        <v>5137.6862000000001</v>
      </c>
      <c r="G27" s="22">
        <v>2.0299999999999999E-2</v>
      </c>
      <c r="H27" s="40"/>
      <c r="I27" s="24"/>
      <c r="J27" s="5"/>
    </row>
    <row r="28" spans="1:10" ht="12.95" customHeight="1">
      <c r="A28" s="18" t="s">
        <v>325</v>
      </c>
      <c r="B28" s="19" t="s">
        <v>326</v>
      </c>
      <c r="C28" s="15" t="s">
        <v>327</v>
      </c>
      <c r="D28" s="15" t="s">
        <v>306</v>
      </c>
      <c r="E28" s="20">
        <v>3677734</v>
      </c>
      <c r="F28" s="21">
        <v>5086.3060999999998</v>
      </c>
      <c r="G28" s="22">
        <v>0.02</v>
      </c>
      <c r="H28" s="40"/>
      <c r="I28" s="24"/>
      <c r="J28" s="5"/>
    </row>
    <row r="29" spans="1:10" ht="12.95" customHeight="1">
      <c r="A29" s="18" t="s">
        <v>328</v>
      </c>
      <c r="B29" s="19" t="s">
        <v>329</v>
      </c>
      <c r="C29" s="15" t="s">
        <v>330</v>
      </c>
      <c r="D29" s="15" t="s">
        <v>259</v>
      </c>
      <c r="E29" s="20">
        <v>152604</v>
      </c>
      <c r="F29" s="21">
        <v>5058.67</v>
      </c>
      <c r="G29" s="22">
        <v>1.9900000000000001E-2</v>
      </c>
      <c r="H29" s="40"/>
      <c r="I29" s="24"/>
      <c r="J29" s="5"/>
    </row>
    <row r="30" spans="1:10" ht="12.95" customHeight="1">
      <c r="A30" s="18" t="s">
        <v>331</v>
      </c>
      <c r="B30" s="19" t="s">
        <v>332</v>
      </c>
      <c r="C30" s="15" t="s">
        <v>333</v>
      </c>
      <c r="D30" s="15" t="s">
        <v>334</v>
      </c>
      <c r="E30" s="20">
        <v>854951</v>
      </c>
      <c r="F30" s="21">
        <v>4854.8392999999996</v>
      </c>
      <c r="G30" s="22">
        <v>1.9099999999999999E-2</v>
      </c>
      <c r="H30" s="40"/>
      <c r="I30" s="24"/>
      <c r="J30" s="5"/>
    </row>
    <row r="31" spans="1:10" ht="12.95" customHeight="1">
      <c r="A31" s="18" t="s">
        <v>335</v>
      </c>
      <c r="B31" s="19" t="s">
        <v>336</v>
      </c>
      <c r="C31" s="15" t="s">
        <v>337</v>
      </c>
      <c r="D31" s="15" t="s">
        <v>263</v>
      </c>
      <c r="E31" s="20">
        <v>395000</v>
      </c>
      <c r="F31" s="21">
        <v>4830.0600000000004</v>
      </c>
      <c r="G31" s="22">
        <v>1.9E-2</v>
      </c>
      <c r="H31" s="40"/>
      <c r="I31" s="24"/>
      <c r="J31" s="5"/>
    </row>
    <row r="32" spans="1:10" ht="12.95" customHeight="1">
      <c r="A32" s="18" t="s">
        <v>338</v>
      </c>
      <c r="B32" s="19" t="s">
        <v>339</v>
      </c>
      <c r="C32" s="15" t="s">
        <v>340</v>
      </c>
      <c r="D32" s="15" t="s">
        <v>334</v>
      </c>
      <c r="E32" s="20">
        <v>900000</v>
      </c>
      <c r="F32" s="21">
        <v>4778.1000000000004</v>
      </c>
      <c r="G32" s="22">
        <v>1.8800000000000001E-2</v>
      </c>
      <c r="H32" s="40"/>
      <c r="I32" s="24"/>
      <c r="J32" s="5"/>
    </row>
    <row r="33" spans="1:10" ht="12.95" customHeight="1">
      <c r="A33" s="18" t="s">
        <v>341</v>
      </c>
      <c r="B33" s="19" t="s">
        <v>342</v>
      </c>
      <c r="C33" s="15" t="s">
        <v>343</v>
      </c>
      <c r="D33" s="15" t="s">
        <v>344</v>
      </c>
      <c r="E33" s="20">
        <v>633714</v>
      </c>
      <c r="F33" s="21">
        <v>4444.5531000000001</v>
      </c>
      <c r="G33" s="22">
        <v>1.7500000000000002E-2</v>
      </c>
      <c r="H33" s="40"/>
      <c r="I33" s="24"/>
      <c r="J33" s="5"/>
    </row>
    <row r="34" spans="1:10" ht="12.95" customHeight="1">
      <c r="A34" s="18" t="s">
        <v>345</v>
      </c>
      <c r="B34" s="19" t="s">
        <v>346</v>
      </c>
      <c r="C34" s="15" t="s">
        <v>347</v>
      </c>
      <c r="D34" s="15" t="s">
        <v>348</v>
      </c>
      <c r="E34" s="20">
        <v>180000</v>
      </c>
      <c r="F34" s="21">
        <v>4438.08</v>
      </c>
      <c r="G34" s="22">
        <v>1.7500000000000002E-2</v>
      </c>
      <c r="H34" s="40"/>
      <c r="I34" s="24"/>
      <c r="J34" s="5"/>
    </row>
    <row r="35" spans="1:10" ht="12.95" customHeight="1">
      <c r="A35" s="18" t="s">
        <v>349</v>
      </c>
      <c r="B35" s="19" t="s">
        <v>350</v>
      </c>
      <c r="C35" s="15" t="s">
        <v>351</v>
      </c>
      <c r="D35" s="15" t="s">
        <v>352</v>
      </c>
      <c r="E35" s="20">
        <v>178878</v>
      </c>
      <c r="F35" s="21">
        <v>4114.7305999999999</v>
      </c>
      <c r="G35" s="22">
        <v>1.6199999999999999E-2</v>
      </c>
      <c r="H35" s="40"/>
      <c r="I35" s="24"/>
      <c r="J35" s="5"/>
    </row>
    <row r="36" spans="1:10" ht="12.95" customHeight="1">
      <c r="A36" s="18" t="s">
        <v>353</v>
      </c>
      <c r="B36" s="19" t="s">
        <v>354</v>
      </c>
      <c r="C36" s="15" t="s">
        <v>355</v>
      </c>
      <c r="D36" s="15" t="s">
        <v>267</v>
      </c>
      <c r="E36" s="20">
        <v>15553</v>
      </c>
      <c r="F36" s="21">
        <v>3960.5715</v>
      </c>
      <c r="G36" s="22">
        <v>1.5599999999999999E-2</v>
      </c>
      <c r="H36" s="40"/>
      <c r="I36" s="24"/>
      <c r="J36" s="5"/>
    </row>
    <row r="37" spans="1:10" ht="12.95" customHeight="1">
      <c r="A37" s="18" t="s">
        <v>356</v>
      </c>
      <c r="B37" s="19" t="s">
        <v>357</v>
      </c>
      <c r="C37" s="15" t="s">
        <v>358</v>
      </c>
      <c r="D37" s="15" t="s">
        <v>291</v>
      </c>
      <c r="E37" s="20">
        <v>1942964</v>
      </c>
      <c r="F37" s="21">
        <v>3881.0706</v>
      </c>
      <c r="G37" s="22">
        <v>1.5299999999999999E-2</v>
      </c>
      <c r="H37" s="40"/>
      <c r="I37" s="24"/>
      <c r="J37" s="5"/>
    </row>
    <row r="38" spans="1:10" ht="12.95" customHeight="1">
      <c r="A38" s="18" t="s">
        <v>359</v>
      </c>
      <c r="B38" s="19" t="s">
        <v>360</v>
      </c>
      <c r="C38" s="15" t="s">
        <v>361</v>
      </c>
      <c r="D38" s="15" t="s">
        <v>255</v>
      </c>
      <c r="E38" s="20">
        <v>1606854</v>
      </c>
      <c r="F38" s="21">
        <v>3715.0464000000002</v>
      </c>
      <c r="G38" s="22">
        <v>1.46E-2</v>
      </c>
      <c r="H38" s="40"/>
      <c r="I38" s="24"/>
      <c r="J38" s="5"/>
    </row>
    <row r="39" spans="1:10" ht="12.95" customHeight="1">
      <c r="A39" s="18" t="s">
        <v>362</v>
      </c>
      <c r="B39" s="19" t="s">
        <v>363</v>
      </c>
      <c r="C39" s="15" t="s">
        <v>364</v>
      </c>
      <c r="D39" s="15" t="s">
        <v>314</v>
      </c>
      <c r="E39" s="20">
        <v>759144</v>
      </c>
      <c r="F39" s="21">
        <v>3675.3957</v>
      </c>
      <c r="G39" s="22">
        <v>1.4500000000000001E-2</v>
      </c>
      <c r="H39" s="40"/>
      <c r="I39" s="24"/>
      <c r="J39" s="5"/>
    </row>
    <row r="40" spans="1:10" ht="12.95" customHeight="1">
      <c r="A40" s="18" t="s">
        <v>365</v>
      </c>
      <c r="B40" s="19" t="s">
        <v>366</v>
      </c>
      <c r="C40" s="15" t="s">
        <v>367</v>
      </c>
      <c r="D40" s="15" t="s">
        <v>314</v>
      </c>
      <c r="E40" s="20">
        <v>356838</v>
      </c>
      <c r="F40" s="21">
        <v>3455.7975999999999</v>
      </c>
      <c r="G40" s="22">
        <v>1.3599999999999999E-2</v>
      </c>
      <c r="H40" s="40"/>
      <c r="I40" s="24"/>
      <c r="J40" s="5"/>
    </row>
    <row r="41" spans="1:10" ht="12.95" customHeight="1">
      <c r="A41" s="18" t="s">
        <v>368</v>
      </c>
      <c r="B41" s="19" t="s">
        <v>369</v>
      </c>
      <c r="C41" s="15" t="s">
        <v>370</v>
      </c>
      <c r="D41" s="15" t="s">
        <v>251</v>
      </c>
      <c r="E41" s="20">
        <v>939059</v>
      </c>
      <c r="F41" s="21">
        <v>3254.7784999999999</v>
      </c>
      <c r="G41" s="22">
        <v>1.2800000000000001E-2</v>
      </c>
      <c r="H41" s="40"/>
      <c r="I41" s="24"/>
      <c r="J41" s="5"/>
    </row>
    <row r="42" spans="1:10" ht="12.95" customHeight="1">
      <c r="A42" s="18" t="s">
        <v>371</v>
      </c>
      <c r="B42" s="19" t="s">
        <v>372</v>
      </c>
      <c r="C42" s="15" t="s">
        <v>373</v>
      </c>
      <c r="D42" s="15" t="s">
        <v>324</v>
      </c>
      <c r="E42" s="20">
        <v>364063</v>
      </c>
      <c r="F42" s="21">
        <v>3142.9558999999999</v>
      </c>
      <c r="G42" s="22">
        <v>1.24E-2</v>
      </c>
      <c r="H42" s="40"/>
      <c r="I42" s="24"/>
      <c r="J42" s="5"/>
    </row>
    <row r="43" spans="1:10" ht="12.95" customHeight="1">
      <c r="A43" s="18" t="s">
        <v>374</v>
      </c>
      <c r="B43" s="19" t="s">
        <v>375</v>
      </c>
      <c r="C43" s="15" t="s">
        <v>376</v>
      </c>
      <c r="D43" s="15" t="s">
        <v>310</v>
      </c>
      <c r="E43" s="20">
        <v>500657</v>
      </c>
      <c r="F43" s="21">
        <v>2811.94</v>
      </c>
      <c r="G43" s="22">
        <v>1.11E-2</v>
      </c>
      <c r="H43" s="40"/>
      <c r="I43" s="24"/>
      <c r="J43" s="5"/>
    </row>
    <row r="44" spans="1:10" ht="12.95" customHeight="1">
      <c r="A44" s="18" t="s">
        <v>377</v>
      </c>
      <c r="B44" s="19" t="s">
        <v>378</v>
      </c>
      <c r="C44" s="15" t="s">
        <v>379</v>
      </c>
      <c r="D44" s="15" t="s">
        <v>380</v>
      </c>
      <c r="E44" s="20">
        <v>900000</v>
      </c>
      <c r="F44" s="21">
        <v>2656.8</v>
      </c>
      <c r="G44" s="22">
        <v>1.0500000000000001E-2</v>
      </c>
      <c r="H44" s="40"/>
      <c r="I44" s="24"/>
      <c r="J44" s="5"/>
    </row>
    <row r="45" spans="1:10" ht="12.95" customHeight="1">
      <c r="A45" s="18" t="s">
        <v>381</v>
      </c>
      <c r="B45" s="19" t="s">
        <v>382</v>
      </c>
      <c r="C45" s="15" t="s">
        <v>383</v>
      </c>
      <c r="D45" s="15" t="s">
        <v>384</v>
      </c>
      <c r="E45" s="20">
        <v>108267</v>
      </c>
      <c r="F45" s="21">
        <v>2578.0538000000001</v>
      </c>
      <c r="G45" s="22">
        <v>1.0200000000000001E-2</v>
      </c>
      <c r="H45" s="40"/>
      <c r="I45" s="24"/>
      <c r="J45" s="5"/>
    </row>
    <row r="46" spans="1:10" ht="12.95" customHeight="1">
      <c r="A46" s="18" t="s">
        <v>385</v>
      </c>
      <c r="B46" s="19" t="s">
        <v>386</v>
      </c>
      <c r="C46" s="15" t="s">
        <v>387</v>
      </c>
      <c r="D46" s="15" t="s">
        <v>255</v>
      </c>
      <c r="E46" s="20">
        <v>811392</v>
      </c>
      <c r="F46" s="21">
        <v>2445.1298000000002</v>
      </c>
      <c r="G46" s="22">
        <v>9.5999999999999992E-3</v>
      </c>
      <c r="H46" s="40"/>
      <c r="I46" s="24"/>
      <c r="J46" s="5"/>
    </row>
    <row r="47" spans="1:10" ht="12.95" customHeight="1">
      <c r="A47" s="18" t="s">
        <v>388</v>
      </c>
      <c r="B47" s="19" t="s">
        <v>389</v>
      </c>
      <c r="C47" s="15" t="s">
        <v>390</v>
      </c>
      <c r="D47" s="15" t="s">
        <v>259</v>
      </c>
      <c r="E47" s="20">
        <v>88950</v>
      </c>
      <c r="F47" s="21">
        <v>1887.5635</v>
      </c>
      <c r="G47" s="22">
        <v>7.4000000000000003E-3</v>
      </c>
      <c r="H47" s="40"/>
      <c r="I47" s="24"/>
      <c r="J47" s="5"/>
    </row>
    <row r="48" spans="1:10" ht="12.95" customHeight="1">
      <c r="A48" s="18" t="s">
        <v>391</v>
      </c>
      <c r="B48" s="19" t="s">
        <v>392</v>
      </c>
      <c r="C48" s="15" t="s">
        <v>393</v>
      </c>
      <c r="D48" s="15" t="s">
        <v>271</v>
      </c>
      <c r="E48" s="20">
        <v>1733102</v>
      </c>
      <c r="F48" s="21">
        <v>1842.2873999999999</v>
      </c>
      <c r="G48" s="22">
        <v>7.3000000000000001E-3</v>
      </c>
      <c r="H48" s="40"/>
      <c r="I48" s="24"/>
      <c r="J48" s="5"/>
    </row>
    <row r="49" spans="1:10" ht="12.95" customHeight="1">
      <c r="A49" s="18" t="s">
        <v>394</v>
      </c>
      <c r="B49" s="19" t="s">
        <v>395</v>
      </c>
      <c r="C49" s="15" t="s">
        <v>396</v>
      </c>
      <c r="D49" s="15" t="s">
        <v>255</v>
      </c>
      <c r="E49" s="20">
        <v>1337000</v>
      </c>
      <c r="F49" s="21">
        <v>1779.547</v>
      </c>
      <c r="G49" s="22">
        <v>7.0000000000000001E-3</v>
      </c>
      <c r="H49" s="40"/>
      <c r="I49" s="24"/>
      <c r="J49" s="5"/>
    </row>
    <row r="50" spans="1:10" ht="12.95" customHeight="1">
      <c r="A50" s="18" t="s">
        <v>397</v>
      </c>
      <c r="B50" s="19" t="s">
        <v>398</v>
      </c>
      <c r="C50" s="15" t="s">
        <v>399</v>
      </c>
      <c r="D50" s="15" t="s">
        <v>259</v>
      </c>
      <c r="E50" s="20">
        <v>504505</v>
      </c>
      <c r="F50" s="21">
        <v>1680.0017</v>
      </c>
      <c r="G50" s="22">
        <v>6.6E-3</v>
      </c>
      <c r="H50" s="40"/>
      <c r="I50" s="24"/>
      <c r="J50" s="5"/>
    </row>
    <row r="51" spans="1:10" ht="12.95" customHeight="1">
      <c r="A51" s="18" t="s">
        <v>400</v>
      </c>
      <c r="B51" s="19" t="s">
        <v>401</v>
      </c>
      <c r="C51" s="15" t="s">
        <v>402</v>
      </c>
      <c r="D51" s="15" t="s">
        <v>403</v>
      </c>
      <c r="E51" s="20">
        <v>125000</v>
      </c>
      <c r="F51" s="21">
        <v>1673.1875</v>
      </c>
      <c r="G51" s="22">
        <v>6.6E-3</v>
      </c>
      <c r="H51" s="40"/>
      <c r="I51" s="24"/>
      <c r="J51" s="5"/>
    </row>
    <row r="52" spans="1:10" ht="12.95" customHeight="1">
      <c r="A52" s="18" t="s">
        <v>404</v>
      </c>
      <c r="B52" s="19" t="s">
        <v>405</v>
      </c>
      <c r="C52" s="15" t="s">
        <v>406</v>
      </c>
      <c r="D52" s="15" t="s">
        <v>407</v>
      </c>
      <c r="E52" s="20">
        <v>325627</v>
      </c>
      <c r="F52" s="21">
        <v>1604.2013999999999</v>
      </c>
      <c r="G52" s="22">
        <v>6.3E-3</v>
      </c>
      <c r="H52" s="40"/>
      <c r="I52" s="24"/>
      <c r="J52" s="5"/>
    </row>
    <row r="53" spans="1:10" ht="12.95" customHeight="1">
      <c r="A53" s="5"/>
      <c r="B53" s="14" t="s">
        <v>160</v>
      </c>
      <c r="C53" s="15"/>
      <c r="D53" s="15"/>
      <c r="E53" s="15"/>
      <c r="F53" s="25">
        <v>237248.96299999999</v>
      </c>
      <c r="G53" s="26">
        <v>0.93510000000000004</v>
      </c>
      <c r="H53" s="27"/>
      <c r="I53" s="28"/>
      <c r="J53" s="5"/>
    </row>
    <row r="54" spans="1:10" ht="12.95" customHeight="1">
      <c r="A54" s="5"/>
      <c r="B54" s="29" t="s">
        <v>408</v>
      </c>
      <c r="C54" s="2"/>
      <c r="D54" s="2"/>
      <c r="E54" s="2"/>
      <c r="F54" s="27" t="s">
        <v>162</v>
      </c>
      <c r="G54" s="27" t="s">
        <v>162</v>
      </c>
      <c r="H54" s="27"/>
      <c r="I54" s="28"/>
      <c r="J54" s="5"/>
    </row>
    <row r="55" spans="1:10" ht="12.95" customHeight="1">
      <c r="A55" s="5"/>
      <c r="B55" s="29" t="s">
        <v>160</v>
      </c>
      <c r="C55" s="2"/>
      <c r="D55" s="2"/>
      <c r="E55" s="2"/>
      <c r="F55" s="27" t="s">
        <v>162</v>
      </c>
      <c r="G55" s="27" t="s">
        <v>162</v>
      </c>
      <c r="H55" s="27"/>
      <c r="I55" s="28"/>
      <c r="J55" s="5"/>
    </row>
    <row r="56" spans="1:10" ht="12.95" customHeight="1">
      <c r="A56" s="5"/>
      <c r="B56" s="29" t="s">
        <v>163</v>
      </c>
      <c r="C56" s="30"/>
      <c r="D56" s="2"/>
      <c r="E56" s="30"/>
      <c r="F56" s="25">
        <v>237248.96299999999</v>
      </c>
      <c r="G56" s="26">
        <v>0.93510000000000004</v>
      </c>
      <c r="H56" s="27"/>
      <c r="I56" s="28"/>
      <c r="J56" s="5"/>
    </row>
    <row r="57" spans="1:10" ht="12.95" customHeight="1">
      <c r="A57" s="5"/>
      <c r="B57" s="14" t="s">
        <v>409</v>
      </c>
      <c r="C57" s="15"/>
      <c r="D57" s="15"/>
      <c r="E57" s="15"/>
      <c r="F57" s="15"/>
      <c r="G57" s="15"/>
      <c r="H57" s="16"/>
      <c r="I57" s="17"/>
      <c r="J57" s="5"/>
    </row>
    <row r="58" spans="1:10" ht="12.95" customHeight="1">
      <c r="A58" s="5"/>
      <c r="B58" s="14" t="s">
        <v>410</v>
      </c>
      <c r="C58" s="15"/>
      <c r="D58" s="15"/>
      <c r="E58" s="15"/>
      <c r="F58" s="5"/>
      <c r="G58" s="16"/>
      <c r="H58" s="16"/>
      <c r="I58" s="17"/>
      <c r="J58" s="5"/>
    </row>
    <row r="59" spans="1:10" ht="12.95" customHeight="1">
      <c r="A59" s="18" t="s">
        <v>411</v>
      </c>
      <c r="B59" s="19" t="s">
        <v>412</v>
      </c>
      <c r="C59" s="15"/>
      <c r="D59" s="15"/>
      <c r="E59" s="20">
        <v>3289000</v>
      </c>
      <c r="F59" s="21">
        <v>4270.7664999999997</v>
      </c>
      <c r="G59" s="22">
        <v>1.6799999999999999E-2</v>
      </c>
      <c r="H59" s="40"/>
      <c r="I59" s="24"/>
      <c r="J59" s="5"/>
    </row>
    <row r="60" spans="1:10" ht="12.95" customHeight="1">
      <c r="A60" s="18" t="s">
        <v>413</v>
      </c>
      <c r="B60" s="19" t="s">
        <v>414</v>
      </c>
      <c r="C60" s="15"/>
      <c r="D60" s="15"/>
      <c r="E60" s="20">
        <v>700000</v>
      </c>
      <c r="F60" s="21">
        <v>3456.25</v>
      </c>
      <c r="G60" s="22">
        <v>1.3599999999999999E-2</v>
      </c>
      <c r="H60" s="40"/>
      <c r="I60" s="24"/>
      <c r="J60" s="5"/>
    </row>
    <row r="61" spans="1:10" ht="12.95" customHeight="1">
      <c r="A61" s="18" t="s">
        <v>415</v>
      </c>
      <c r="B61" s="19" t="s">
        <v>416</v>
      </c>
      <c r="C61" s="15"/>
      <c r="D61" s="15"/>
      <c r="E61" s="20">
        <v>600000</v>
      </c>
      <c r="F61" s="21">
        <v>1593.3</v>
      </c>
      <c r="G61" s="22">
        <v>6.3E-3</v>
      </c>
      <c r="H61" s="40"/>
      <c r="I61" s="24"/>
      <c r="J61" s="5"/>
    </row>
    <row r="62" spans="1:10" ht="12.95" customHeight="1">
      <c r="A62" s="5"/>
      <c r="B62" s="14" t="s">
        <v>160</v>
      </c>
      <c r="C62" s="15"/>
      <c r="D62" s="15"/>
      <c r="E62" s="15"/>
      <c r="F62" s="25">
        <v>9320.3165000000008</v>
      </c>
      <c r="G62" s="26">
        <v>3.6700000000000003E-2</v>
      </c>
      <c r="H62" s="27"/>
      <c r="I62" s="28"/>
      <c r="J62" s="5"/>
    </row>
    <row r="63" spans="1:10" ht="12.95" customHeight="1">
      <c r="A63" s="5"/>
      <c r="B63" s="29" t="s">
        <v>163</v>
      </c>
      <c r="C63" s="30"/>
      <c r="D63" s="2"/>
      <c r="E63" s="30"/>
      <c r="F63" s="25">
        <v>9320.3165000000008</v>
      </c>
      <c r="G63" s="26">
        <v>3.6700000000000003E-2</v>
      </c>
      <c r="H63" s="27"/>
      <c r="I63" s="28"/>
      <c r="J63" s="5"/>
    </row>
    <row r="64" spans="1:10" ht="12.95" customHeight="1">
      <c r="A64" s="5"/>
      <c r="B64" s="14" t="s">
        <v>417</v>
      </c>
      <c r="C64" s="15"/>
      <c r="D64" s="15"/>
      <c r="E64" s="15"/>
      <c r="F64" s="15"/>
      <c r="G64" s="15"/>
      <c r="H64" s="16"/>
      <c r="I64" s="17"/>
      <c r="J64" s="5"/>
    </row>
    <row r="65" spans="1:10" ht="12.95" customHeight="1">
      <c r="A65" s="5"/>
      <c r="B65" s="14" t="s">
        <v>418</v>
      </c>
      <c r="C65" s="15"/>
      <c r="D65" s="15"/>
      <c r="E65" s="15"/>
      <c r="F65" s="5"/>
      <c r="G65" s="16"/>
      <c r="H65" s="16"/>
      <c r="I65" s="17"/>
      <c r="J65" s="5"/>
    </row>
    <row r="66" spans="1:10" ht="12.95" customHeight="1">
      <c r="A66" s="18" t="s">
        <v>419</v>
      </c>
      <c r="B66" s="19" t="s">
        <v>420</v>
      </c>
      <c r="C66" s="15" t="s">
        <v>421</v>
      </c>
      <c r="D66" s="15" t="s">
        <v>156</v>
      </c>
      <c r="E66" s="20">
        <v>5000000</v>
      </c>
      <c r="F66" s="21">
        <v>4951.67</v>
      </c>
      <c r="G66" s="22">
        <v>1.95E-2</v>
      </c>
      <c r="H66" s="23">
        <v>6.7213999999999996E-2</v>
      </c>
      <c r="I66" s="24"/>
      <c r="J66" s="5"/>
    </row>
    <row r="67" spans="1:10" ht="12.95" customHeight="1">
      <c r="A67" s="5"/>
      <c r="B67" s="14" t="s">
        <v>160</v>
      </c>
      <c r="C67" s="15"/>
      <c r="D67" s="15"/>
      <c r="E67" s="15"/>
      <c r="F67" s="25">
        <v>4951.67</v>
      </c>
      <c r="G67" s="26">
        <v>1.95E-2</v>
      </c>
      <c r="H67" s="27"/>
      <c r="I67" s="28"/>
      <c r="J67" s="5"/>
    </row>
    <row r="68" spans="1:10" ht="12.95" customHeight="1">
      <c r="A68" s="5"/>
      <c r="B68" s="29" t="s">
        <v>163</v>
      </c>
      <c r="C68" s="30"/>
      <c r="D68" s="2"/>
      <c r="E68" s="30"/>
      <c r="F68" s="25">
        <v>4951.67</v>
      </c>
      <c r="G68" s="26">
        <v>1.95E-2</v>
      </c>
      <c r="H68" s="27"/>
      <c r="I68" s="28"/>
      <c r="J68" s="5"/>
    </row>
    <row r="69" spans="1:10" ht="12.95" customHeight="1">
      <c r="A69" s="5"/>
      <c r="B69" s="14" t="s">
        <v>164</v>
      </c>
      <c r="C69" s="15"/>
      <c r="D69" s="15"/>
      <c r="E69" s="15"/>
      <c r="F69" s="15"/>
      <c r="G69" s="15"/>
      <c r="H69" s="16"/>
      <c r="I69" s="17"/>
      <c r="J69" s="5"/>
    </row>
    <row r="70" spans="1:10" ht="12.95" customHeight="1">
      <c r="A70" s="18" t="s">
        <v>165</v>
      </c>
      <c r="B70" s="19" t="s">
        <v>166</v>
      </c>
      <c r="C70" s="15"/>
      <c r="D70" s="15"/>
      <c r="E70" s="20"/>
      <c r="F70" s="21">
        <v>11515.1196</v>
      </c>
      <c r="G70" s="22">
        <v>4.5400000000000003E-2</v>
      </c>
      <c r="H70" s="23">
        <v>6.7996829688028088E-2</v>
      </c>
      <c r="I70" s="24"/>
      <c r="J70" s="5"/>
    </row>
    <row r="71" spans="1:10" ht="12.95" customHeight="1">
      <c r="A71" s="5"/>
      <c r="B71" s="14" t="s">
        <v>160</v>
      </c>
      <c r="C71" s="15"/>
      <c r="D71" s="15"/>
      <c r="E71" s="15"/>
      <c r="F71" s="25">
        <v>11515.1196</v>
      </c>
      <c r="G71" s="26">
        <v>4.5400000000000003E-2</v>
      </c>
      <c r="H71" s="27"/>
      <c r="I71" s="28"/>
      <c r="J71" s="5"/>
    </row>
    <row r="72" spans="1:10" ht="12.95" customHeight="1">
      <c r="A72" s="5"/>
      <c r="B72" s="29" t="s">
        <v>163</v>
      </c>
      <c r="C72" s="30"/>
      <c r="D72" s="2"/>
      <c r="E72" s="30"/>
      <c r="F72" s="25">
        <v>11515.1196</v>
      </c>
      <c r="G72" s="26">
        <v>4.5400000000000003E-2</v>
      </c>
      <c r="H72" s="27"/>
      <c r="I72" s="28"/>
      <c r="J72" s="5"/>
    </row>
    <row r="73" spans="1:10" ht="12.95" customHeight="1">
      <c r="A73" s="5"/>
      <c r="B73" s="29" t="s">
        <v>167</v>
      </c>
      <c r="C73" s="15"/>
      <c r="D73" s="2"/>
      <c r="E73" s="15"/>
      <c r="F73" s="31">
        <v>-9332.9390999999996</v>
      </c>
      <c r="G73" s="26">
        <v>-3.6700000000000003E-2</v>
      </c>
      <c r="H73" s="27"/>
      <c r="I73" s="28"/>
      <c r="J73" s="5"/>
    </row>
    <row r="74" spans="1:10" ht="12.95" customHeight="1">
      <c r="A74" s="5"/>
      <c r="B74" s="32" t="s">
        <v>168</v>
      </c>
      <c r="C74" s="33"/>
      <c r="D74" s="33"/>
      <c r="E74" s="33"/>
      <c r="F74" s="34">
        <v>253703.13</v>
      </c>
      <c r="G74" s="35">
        <v>1</v>
      </c>
      <c r="H74" s="36"/>
      <c r="I74" s="37"/>
      <c r="J74" s="5"/>
    </row>
    <row r="75" spans="1:10" ht="12.95" customHeight="1">
      <c r="A75" s="5"/>
      <c r="B75" s="7"/>
      <c r="C75" s="5"/>
      <c r="D75" s="5"/>
      <c r="E75" s="5"/>
      <c r="F75" s="5"/>
      <c r="G75" s="5"/>
      <c r="H75" s="5"/>
      <c r="I75" s="5"/>
      <c r="J75" s="5"/>
    </row>
    <row r="76" spans="1:10" ht="12.95" customHeight="1">
      <c r="A76" s="5"/>
      <c r="B76" s="4" t="s">
        <v>169</v>
      </c>
      <c r="C76" s="5"/>
      <c r="D76" s="5"/>
      <c r="E76" s="5"/>
      <c r="F76" s="5"/>
      <c r="G76" s="5"/>
      <c r="H76" s="5"/>
      <c r="I76" s="5"/>
      <c r="J76" s="5"/>
    </row>
    <row r="77" spans="1:10" ht="12.95" customHeight="1">
      <c r="A77" s="5"/>
      <c r="B77" s="4" t="s">
        <v>170</v>
      </c>
      <c r="C77" s="5"/>
      <c r="D77" s="5"/>
      <c r="E77" s="5"/>
      <c r="F77" s="5"/>
      <c r="G77" s="5"/>
      <c r="H77" s="5"/>
      <c r="I77" s="5"/>
      <c r="J77" s="5"/>
    </row>
    <row r="78" spans="1:10" ht="26.1" customHeight="1">
      <c r="A78" s="5"/>
      <c r="B78" s="86" t="s">
        <v>171</v>
      </c>
      <c r="C78" s="86"/>
      <c r="D78" s="86"/>
      <c r="E78" s="86"/>
      <c r="F78" s="86"/>
      <c r="G78" s="86"/>
      <c r="H78" s="86"/>
      <c r="I78" s="86"/>
      <c r="J78" s="5"/>
    </row>
    <row r="79" spans="1:10" ht="12.95" customHeight="1">
      <c r="A79" s="5"/>
      <c r="B79" s="86"/>
      <c r="C79" s="86"/>
      <c r="D79" s="86"/>
      <c r="E79" s="86"/>
      <c r="F79" s="86"/>
      <c r="G79" s="86"/>
      <c r="H79" s="86"/>
      <c r="I79" s="86"/>
      <c r="J79" s="5"/>
    </row>
    <row r="80" spans="1:10" ht="12.95" customHeight="1">
      <c r="A80" s="5"/>
      <c r="B80" s="86"/>
      <c r="C80" s="86"/>
      <c r="D80" s="86"/>
      <c r="E80" s="86"/>
      <c r="F80" s="86"/>
      <c r="G80" s="86"/>
      <c r="H80" s="86"/>
      <c r="I80" s="86"/>
      <c r="J80" s="5"/>
    </row>
    <row r="81" spans="1:10" ht="12.95" customHeight="1">
      <c r="A81" s="5"/>
      <c r="B81" s="5"/>
      <c r="C81" s="87" t="s">
        <v>422</v>
      </c>
      <c r="D81" s="87"/>
      <c r="E81" s="87"/>
      <c r="F81" s="87"/>
      <c r="G81" s="5"/>
      <c r="H81" s="5"/>
      <c r="I81" s="5"/>
      <c r="J81" s="5"/>
    </row>
    <row r="82" spans="1:10" ht="12.95" customHeight="1">
      <c r="A82" s="5"/>
      <c r="B82" s="38" t="s">
        <v>173</v>
      </c>
      <c r="C82" s="87" t="s">
        <v>174</v>
      </c>
      <c r="D82" s="87"/>
      <c r="E82" s="87"/>
      <c r="F82" s="87"/>
      <c r="G82" s="5"/>
      <c r="H82" s="5"/>
      <c r="I82" s="5"/>
      <c r="J82" s="5"/>
    </row>
    <row r="83" spans="1:10" ht="120.95" customHeight="1">
      <c r="A83" s="5"/>
      <c r="B83" s="39"/>
      <c r="C83" s="85"/>
      <c r="D83" s="85"/>
      <c r="E83" s="5"/>
      <c r="F83" s="5"/>
      <c r="G83" s="5"/>
      <c r="H83" s="5"/>
      <c r="I83" s="5"/>
      <c r="J83" s="5"/>
    </row>
  </sheetData>
  <mergeCells count="6">
    <mergeCell ref="C83:D83"/>
    <mergeCell ref="B78:I78"/>
    <mergeCell ref="B79:I79"/>
    <mergeCell ref="B80:I80"/>
    <mergeCell ref="C81:F81"/>
    <mergeCell ref="C82:F82"/>
  </mergeCells>
  <hyperlinks>
    <hyperlink ref="A1" location="AxisBusinessCyclesFund" display="AXISBCF" xr:uid="{00000000-0004-0000-0400-000000000000}"/>
    <hyperlink ref="B1" location="AxisBusinessCyclesFund" display="Axis Business Cycles Fund" xr:uid="{00000000-0004-0000-04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12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11</v>
      </c>
      <c r="B1" s="4" t="s">
        <v>12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423</v>
      </c>
      <c r="B7" s="19" t="s">
        <v>424</v>
      </c>
      <c r="C7" s="15" t="s">
        <v>425</v>
      </c>
      <c r="D7" s="15" t="s">
        <v>179</v>
      </c>
      <c r="E7" s="20">
        <v>8990</v>
      </c>
      <c r="F7" s="21">
        <v>89122.275099999999</v>
      </c>
      <c r="G7" s="22">
        <v>6.1800000000000001E-2</v>
      </c>
      <c r="H7" s="23">
        <v>7.5075000000000003E-2</v>
      </c>
      <c r="I7" s="24"/>
      <c r="J7" s="5"/>
    </row>
    <row r="8" spans="1:10" ht="12.95" customHeight="1">
      <c r="A8" s="18" t="s">
        <v>176</v>
      </c>
      <c r="B8" s="19" t="s">
        <v>177</v>
      </c>
      <c r="C8" s="15" t="s">
        <v>178</v>
      </c>
      <c r="D8" s="15" t="s">
        <v>179</v>
      </c>
      <c r="E8" s="20">
        <v>84050</v>
      </c>
      <c r="F8" s="21">
        <v>83866.939100000003</v>
      </c>
      <c r="G8" s="22">
        <v>5.8099999999999999E-2</v>
      </c>
      <c r="H8" s="23">
        <v>7.5200000000000003E-2</v>
      </c>
      <c r="I8" s="24"/>
      <c r="J8" s="5"/>
    </row>
    <row r="9" spans="1:10" ht="12.95" customHeight="1">
      <c r="A9" s="18" t="s">
        <v>426</v>
      </c>
      <c r="B9" s="19" t="s">
        <v>427</v>
      </c>
      <c r="C9" s="15" t="s">
        <v>428</v>
      </c>
      <c r="D9" s="15" t="s">
        <v>179</v>
      </c>
      <c r="E9" s="20">
        <v>75000</v>
      </c>
      <c r="F9" s="21">
        <v>74807.925000000003</v>
      </c>
      <c r="G9" s="22">
        <v>5.1900000000000002E-2</v>
      </c>
      <c r="H9" s="23">
        <v>7.6450000000000004E-2</v>
      </c>
      <c r="I9" s="24"/>
      <c r="J9" s="5"/>
    </row>
    <row r="10" spans="1:10" ht="12.95" customHeight="1">
      <c r="A10" s="18" t="s">
        <v>198</v>
      </c>
      <c r="B10" s="19" t="s">
        <v>199</v>
      </c>
      <c r="C10" s="15" t="s">
        <v>200</v>
      </c>
      <c r="D10" s="15" t="s">
        <v>179</v>
      </c>
      <c r="E10" s="20">
        <v>6925</v>
      </c>
      <c r="F10" s="21">
        <v>69193.491999999998</v>
      </c>
      <c r="G10" s="22">
        <v>4.8000000000000001E-2</v>
      </c>
      <c r="H10" s="23">
        <v>7.9250000000000001E-2</v>
      </c>
      <c r="I10" s="24"/>
      <c r="J10" s="5"/>
    </row>
    <row r="11" spans="1:10" ht="12.95" customHeight="1">
      <c r="A11" s="18" t="s">
        <v>429</v>
      </c>
      <c r="B11" s="19" t="s">
        <v>430</v>
      </c>
      <c r="C11" s="15" t="s">
        <v>431</v>
      </c>
      <c r="D11" s="15" t="s">
        <v>432</v>
      </c>
      <c r="E11" s="20">
        <v>6950</v>
      </c>
      <c r="F11" s="21">
        <v>68676.563999999998</v>
      </c>
      <c r="G11" s="22">
        <v>4.7600000000000003E-2</v>
      </c>
      <c r="H11" s="23">
        <v>7.6799999999999993E-2</v>
      </c>
      <c r="I11" s="24"/>
      <c r="J11" s="5"/>
    </row>
    <row r="12" spans="1:10" ht="12.95" customHeight="1">
      <c r="A12" s="18" t="s">
        <v>433</v>
      </c>
      <c r="B12" s="19" t="s">
        <v>434</v>
      </c>
      <c r="C12" s="15" t="s">
        <v>435</v>
      </c>
      <c r="D12" s="15" t="s">
        <v>179</v>
      </c>
      <c r="E12" s="20">
        <v>5750</v>
      </c>
      <c r="F12" s="21">
        <v>57241.02</v>
      </c>
      <c r="G12" s="22">
        <v>3.9699999999999999E-2</v>
      </c>
      <c r="H12" s="23">
        <v>7.9200000000000007E-2</v>
      </c>
      <c r="I12" s="24"/>
      <c r="J12" s="5"/>
    </row>
    <row r="13" spans="1:10" ht="12.95" customHeight="1">
      <c r="A13" s="18" t="s">
        <v>436</v>
      </c>
      <c r="B13" s="19" t="s">
        <v>437</v>
      </c>
      <c r="C13" s="15" t="s">
        <v>438</v>
      </c>
      <c r="D13" s="15" t="s">
        <v>179</v>
      </c>
      <c r="E13" s="20">
        <v>53800</v>
      </c>
      <c r="F13" s="21">
        <v>53371.429199999999</v>
      </c>
      <c r="G13" s="22">
        <v>3.6999999999999998E-2</v>
      </c>
      <c r="H13" s="23">
        <v>7.5399999999999995E-2</v>
      </c>
      <c r="I13" s="24"/>
      <c r="J13" s="5"/>
    </row>
    <row r="14" spans="1:10" ht="12.95" customHeight="1">
      <c r="A14" s="18" t="s">
        <v>439</v>
      </c>
      <c r="B14" s="19" t="s">
        <v>440</v>
      </c>
      <c r="C14" s="15" t="s">
        <v>441</v>
      </c>
      <c r="D14" s="15" t="s">
        <v>179</v>
      </c>
      <c r="E14" s="20">
        <v>39500</v>
      </c>
      <c r="F14" s="21">
        <v>39149.200499999999</v>
      </c>
      <c r="G14" s="22">
        <v>2.7099999999999999E-2</v>
      </c>
      <c r="H14" s="23">
        <v>7.5700000000000003E-2</v>
      </c>
      <c r="I14" s="24"/>
      <c r="J14" s="5"/>
    </row>
    <row r="15" spans="1:10" ht="12.95" customHeight="1">
      <c r="A15" s="18" t="s">
        <v>442</v>
      </c>
      <c r="B15" s="19" t="s">
        <v>443</v>
      </c>
      <c r="C15" s="15" t="s">
        <v>444</v>
      </c>
      <c r="D15" s="15" t="s">
        <v>179</v>
      </c>
      <c r="E15" s="20">
        <v>37500</v>
      </c>
      <c r="F15" s="21">
        <v>37372.3125</v>
      </c>
      <c r="G15" s="22">
        <v>2.5899999999999999E-2</v>
      </c>
      <c r="H15" s="23">
        <v>7.7024999999999996E-2</v>
      </c>
      <c r="I15" s="24"/>
      <c r="J15" s="5"/>
    </row>
    <row r="16" spans="1:10" ht="12.95" customHeight="1">
      <c r="A16" s="18" t="s">
        <v>445</v>
      </c>
      <c r="B16" s="19" t="s">
        <v>446</v>
      </c>
      <c r="C16" s="15" t="s">
        <v>447</v>
      </c>
      <c r="D16" s="15" t="s">
        <v>179</v>
      </c>
      <c r="E16" s="20">
        <v>36500</v>
      </c>
      <c r="F16" s="21">
        <v>36307.827499999999</v>
      </c>
      <c r="G16" s="22">
        <v>2.52E-2</v>
      </c>
      <c r="H16" s="23">
        <v>7.6999999999999999E-2</v>
      </c>
      <c r="I16" s="24"/>
      <c r="J16" s="5"/>
    </row>
    <row r="17" spans="1:10" ht="12.95" customHeight="1">
      <c r="A17" s="18" t="s">
        <v>204</v>
      </c>
      <c r="B17" s="19" t="s">
        <v>205</v>
      </c>
      <c r="C17" s="15" t="s">
        <v>206</v>
      </c>
      <c r="D17" s="15" t="s">
        <v>179</v>
      </c>
      <c r="E17" s="20">
        <v>30000</v>
      </c>
      <c r="F17" s="21">
        <v>29889.54</v>
      </c>
      <c r="G17" s="22">
        <v>2.07E-2</v>
      </c>
      <c r="H17" s="23">
        <v>7.485E-2</v>
      </c>
      <c r="I17" s="24"/>
      <c r="J17" s="5"/>
    </row>
    <row r="18" spans="1:10" ht="12.95" customHeight="1">
      <c r="A18" s="18" t="s">
        <v>448</v>
      </c>
      <c r="B18" s="19" t="s">
        <v>449</v>
      </c>
      <c r="C18" s="15" t="s">
        <v>450</v>
      </c>
      <c r="D18" s="15" t="s">
        <v>432</v>
      </c>
      <c r="E18" s="20">
        <v>3000</v>
      </c>
      <c r="F18" s="21">
        <v>29742.48</v>
      </c>
      <c r="G18" s="22">
        <v>2.06E-2</v>
      </c>
      <c r="H18" s="23">
        <v>7.6749999999999999E-2</v>
      </c>
      <c r="I18" s="24"/>
      <c r="J18" s="5"/>
    </row>
    <row r="19" spans="1:10" ht="12.95" customHeight="1">
      <c r="A19" s="18" t="s">
        <v>451</v>
      </c>
      <c r="B19" s="19" t="s">
        <v>452</v>
      </c>
      <c r="C19" s="15" t="s">
        <v>453</v>
      </c>
      <c r="D19" s="15" t="s">
        <v>156</v>
      </c>
      <c r="E19" s="20">
        <v>30850000</v>
      </c>
      <c r="F19" s="21">
        <v>29708.272400000002</v>
      </c>
      <c r="G19" s="22">
        <v>2.06E-2</v>
      </c>
      <c r="H19" s="23">
        <v>7.3874999999999996E-2</v>
      </c>
      <c r="I19" s="24"/>
      <c r="J19" s="5"/>
    </row>
    <row r="20" spans="1:10" ht="12.95" customHeight="1">
      <c r="A20" s="18" t="s">
        <v>454</v>
      </c>
      <c r="B20" s="19" t="s">
        <v>455</v>
      </c>
      <c r="C20" s="15" t="s">
        <v>456</v>
      </c>
      <c r="D20" s="15" t="s">
        <v>179</v>
      </c>
      <c r="E20" s="20">
        <v>2950</v>
      </c>
      <c r="F20" s="21">
        <v>28286.458500000001</v>
      </c>
      <c r="G20" s="22">
        <v>1.9599999999999999E-2</v>
      </c>
      <c r="H20" s="23">
        <v>7.9200000000000007E-2</v>
      </c>
      <c r="I20" s="24"/>
      <c r="J20" s="5"/>
    </row>
    <row r="21" spans="1:10" ht="12.95" customHeight="1">
      <c r="A21" s="18" t="s">
        <v>457</v>
      </c>
      <c r="B21" s="19" t="s">
        <v>458</v>
      </c>
      <c r="C21" s="15" t="s">
        <v>459</v>
      </c>
      <c r="D21" s="15" t="s">
        <v>179</v>
      </c>
      <c r="E21" s="20">
        <v>2900</v>
      </c>
      <c r="F21" s="21">
        <v>27749.433000000001</v>
      </c>
      <c r="G21" s="22">
        <v>1.9199999999999998E-2</v>
      </c>
      <c r="H21" s="23">
        <v>6.6114500000000007E-2</v>
      </c>
      <c r="I21" s="41">
        <v>8.1783165000000005E-2</v>
      </c>
      <c r="J21" s="5"/>
    </row>
    <row r="22" spans="1:10" ht="12.95" customHeight="1">
      <c r="A22" s="18" t="s">
        <v>460</v>
      </c>
      <c r="B22" s="19" t="s">
        <v>461</v>
      </c>
      <c r="C22" s="15" t="s">
        <v>462</v>
      </c>
      <c r="D22" s="15" t="s">
        <v>179</v>
      </c>
      <c r="E22" s="20">
        <v>27500</v>
      </c>
      <c r="F22" s="21">
        <v>27312.45</v>
      </c>
      <c r="G22" s="22">
        <v>1.89E-2</v>
      </c>
      <c r="H22" s="23">
        <v>7.6381000000000004E-2</v>
      </c>
      <c r="I22" s="41"/>
      <c r="J22" s="5"/>
    </row>
    <row r="23" spans="1:10" ht="12.95" customHeight="1">
      <c r="A23" s="18" t="s">
        <v>463</v>
      </c>
      <c r="B23" s="19" t="s">
        <v>464</v>
      </c>
      <c r="C23" s="15" t="s">
        <v>465</v>
      </c>
      <c r="D23" s="15" t="s">
        <v>179</v>
      </c>
      <c r="E23" s="20">
        <v>25000</v>
      </c>
      <c r="F23" s="21">
        <v>24886.35</v>
      </c>
      <c r="G23" s="22">
        <v>1.7299999999999999E-2</v>
      </c>
      <c r="H23" s="23">
        <v>7.5700000000000003E-2</v>
      </c>
      <c r="I23" s="41"/>
      <c r="J23" s="5"/>
    </row>
    <row r="24" spans="1:10" ht="12.95" customHeight="1">
      <c r="A24" s="18" t="s">
        <v>466</v>
      </c>
      <c r="B24" s="19" t="s">
        <v>467</v>
      </c>
      <c r="C24" s="15" t="s">
        <v>468</v>
      </c>
      <c r="D24" s="15" t="s">
        <v>179</v>
      </c>
      <c r="E24" s="20">
        <v>2350</v>
      </c>
      <c r="F24" s="21">
        <v>23481.2235</v>
      </c>
      <c r="G24" s="22">
        <v>1.6299999999999999E-2</v>
      </c>
      <c r="H24" s="23">
        <v>7.5999999999999998E-2</v>
      </c>
      <c r="I24" s="41"/>
      <c r="J24" s="5"/>
    </row>
    <row r="25" spans="1:10" ht="12.95" customHeight="1">
      <c r="A25" s="18" t="s">
        <v>469</v>
      </c>
      <c r="B25" s="19" t="s">
        <v>470</v>
      </c>
      <c r="C25" s="15" t="s">
        <v>471</v>
      </c>
      <c r="D25" s="15" t="s">
        <v>179</v>
      </c>
      <c r="E25" s="20">
        <v>2350</v>
      </c>
      <c r="F25" s="21">
        <v>22715.3115</v>
      </c>
      <c r="G25" s="22">
        <v>1.5699999999999999E-2</v>
      </c>
      <c r="H25" s="23">
        <v>6.8576999999999999E-2</v>
      </c>
      <c r="I25" s="41">
        <v>8.1420937999999998E-2</v>
      </c>
      <c r="J25" s="5"/>
    </row>
    <row r="26" spans="1:10" ht="12.95" customHeight="1">
      <c r="A26" s="18" t="s">
        <v>472</v>
      </c>
      <c r="B26" s="19" t="s">
        <v>473</v>
      </c>
      <c r="C26" s="15" t="s">
        <v>474</v>
      </c>
      <c r="D26" s="15" t="s">
        <v>179</v>
      </c>
      <c r="E26" s="20">
        <v>2350</v>
      </c>
      <c r="F26" s="21">
        <v>22702.739000000001</v>
      </c>
      <c r="G26" s="22">
        <v>1.5699999999999999E-2</v>
      </c>
      <c r="H26" s="23">
        <v>6.7780999999999994E-2</v>
      </c>
      <c r="I26" s="41">
        <v>7.8356117000000003E-2</v>
      </c>
      <c r="J26" s="5"/>
    </row>
    <row r="27" spans="1:10" ht="12.95" customHeight="1">
      <c r="A27" s="18" t="s">
        <v>475</v>
      </c>
      <c r="B27" s="19" t="s">
        <v>476</v>
      </c>
      <c r="C27" s="15" t="s">
        <v>477</v>
      </c>
      <c r="D27" s="15" t="s">
        <v>179</v>
      </c>
      <c r="E27" s="20">
        <v>1950</v>
      </c>
      <c r="F27" s="21">
        <v>20971.665000000001</v>
      </c>
      <c r="G27" s="22">
        <v>1.4500000000000001E-2</v>
      </c>
      <c r="H27" s="23">
        <v>8.054E-2</v>
      </c>
      <c r="I27" s="41"/>
      <c r="J27" s="5"/>
    </row>
    <row r="28" spans="1:10" ht="12.95" customHeight="1">
      <c r="A28" s="18" t="s">
        <v>478</v>
      </c>
      <c r="B28" s="19" t="s">
        <v>479</v>
      </c>
      <c r="C28" s="15" t="s">
        <v>480</v>
      </c>
      <c r="D28" s="15" t="s">
        <v>179</v>
      </c>
      <c r="E28" s="20">
        <v>2100</v>
      </c>
      <c r="F28" s="21">
        <v>20821.857</v>
      </c>
      <c r="G28" s="22">
        <v>1.44E-2</v>
      </c>
      <c r="H28" s="23">
        <v>7.6200000000000004E-2</v>
      </c>
      <c r="I28" s="41"/>
      <c r="J28" s="5"/>
    </row>
    <row r="29" spans="1:10" ht="12.95" customHeight="1">
      <c r="A29" s="18" t="s">
        <v>481</v>
      </c>
      <c r="B29" s="19" t="s">
        <v>482</v>
      </c>
      <c r="C29" s="15" t="s">
        <v>483</v>
      </c>
      <c r="D29" s="15" t="s">
        <v>179</v>
      </c>
      <c r="E29" s="20">
        <v>2050</v>
      </c>
      <c r="F29" s="21">
        <v>20530.708999999999</v>
      </c>
      <c r="G29" s="22">
        <v>1.4200000000000001E-2</v>
      </c>
      <c r="H29" s="23">
        <v>7.8200000000000006E-2</v>
      </c>
      <c r="I29" s="41"/>
      <c r="J29" s="5"/>
    </row>
    <row r="30" spans="1:10" ht="12.95" customHeight="1">
      <c r="A30" s="18" t="s">
        <v>484</v>
      </c>
      <c r="B30" s="19" t="s">
        <v>485</v>
      </c>
      <c r="C30" s="15" t="s">
        <v>486</v>
      </c>
      <c r="D30" s="15" t="s">
        <v>156</v>
      </c>
      <c r="E30" s="20">
        <v>19500000</v>
      </c>
      <c r="F30" s="21">
        <v>18682.228500000001</v>
      </c>
      <c r="G30" s="22">
        <v>1.2999999999999999E-2</v>
      </c>
      <c r="H30" s="23">
        <v>7.3937000000000003E-2</v>
      </c>
      <c r="I30" s="41"/>
      <c r="J30" s="5"/>
    </row>
    <row r="31" spans="1:10" ht="12.95" customHeight="1">
      <c r="A31" s="18" t="s">
        <v>487</v>
      </c>
      <c r="B31" s="19" t="s">
        <v>488</v>
      </c>
      <c r="C31" s="15" t="s">
        <v>489</v>
      </c>
      <c r="D31" s="15" t="s">
        <v>179</v>
      </c>
      <c r="E31" s="20">
        <v>17500</v>
      </c>
      <c r="F31" s="21">
        <v>17372.564999999999</v>
      </c>
      <c r="G31" s="22">
        <v>1.2E-2</v>
      </c>
      <c r="H31" s="23">
        <v>7.7100000000000002E-2</v>
      </c>
      <c r="I31" s="41"/>
      <c r="J31" s="5"/>
    </row>
    <row r="32" spans="1:10" ht="12.95" customHeight="1">
      <c r="A32" s="18" t="s">
        <v>490</v>
      </c>
      <c r="B32" s="19" t="s">
        <v>491</v>
      </c>
      <c r="C32" s="15" t="s">
        <v>492</v>
      </c>
      <c r="D32" s="15" t="s">
        <v>432</v>
      </c>
      <c r="E32" s="20">
        <v>1750</v>
      </c>
      <c r="F32" s="21">
        <v>17338.125</v>
      </c>
      <c r="G32" s="22">
        <v>1.2E-2</v>
      </c>
      <c r="H32" s="23">
        <v>7.6912999999999995E-2</v>
      </c>
      <c r="I32" s="41"/>
      <c r="J32" s="5"/>
    </row>
    <row r="33" spans="1:10" ht="12.95" customHeight="1">
      <c r="A33" s="18" t="s">
        <v>493</v>
      </c>
      <c r="B33" s="19" t="s">
        <v>494</v>
      </c>
      <c r="C33" s="15" t="s">
        <v>495</v>
      </c>
      <c r="D33" s="15" t="s">
        <v>432</v>
      </c>
      <c r="E33" s="20">
        <v>1710</v>
      </c>
      <c r="F33" s="21">
        <v>16762.206600000001</v>
      </c>
      <c r="G33" s="22">
        <v>1.1599999999999999E-2</v>
      </c>
      <c r="H33" s="23">
        <v>7.4884000000000006E-2</v>
      </c>
      <c r="I33" s="41">
        <v>8.622763E-2</v>
      </c>
      <c r="J33" s="5"/>
    </row>
    <row r="34" spans="1:10" ht="12.95" customHeight="1">
      <c r="A34" s="18" t="s">
        <v>192</v>
      </c>
      <c r="B34" s="19" t="s">
        <v>193</v>
      </c>
      <c r="C34" s="15" t="s">
        <v>194</v>
      </c>
      <c r="D34" s="15" t="s">
        <v>179</v>
      </c>
      <c r="E34" s="20">
        <v>1661</v>
      </c>
      <c r="F34" s="21">
        <v>16396.594700000001</v>
      </c>
      <c r="G34" s="22">
        <v>1.14E-2</v>
      </c>
      <c r="H34" s="23">
        <v>7.6580999999999996E-2</v>
      </c>
      <c r="I34" s="41"/>
      <c r="J34" s="5"/>
    </row>
    <row r="35" spans="1:10" ht="12.95" customHeight="1">
      <c r="A35" s="18" t="s">
        <v>496</v>
      </c>
      <c r="B35" s="19" t="s">
        <v>497</v>
      </c>
      <c r="C35" s="15" t="s">
        <v>498</v>
      </c>
      <c r="D35" s="15" t="s">
        <v>179</v>
      </c>
      <c r="E35" s="20">
        <v>1560</v>
      </c>
      <c r="F35" s="21">
        <v>15500.3784</v>
      </c>
      <c r="G35" s="22">
        <v>1.0699999999999999E-2</v>
      </c>
      <c r="H35" s="23">
        <v>7.6799999999999993E-2</v>
      </c>
      <c r="I35" s="41"/>
      <c r="J35" s="5"/>
    </row>
    <row r="36" spans="1:10" ht="12.95" customHeight="1">
      <c r="A36" s="18" t="s">
        <v>499</v>
      </c>
      <c r="B36" s="19" t="s">
        <v>500</v>
      </c>
      <c r="C36" s="15" t="s">
        <v>501</v>
      </c>
      <c r="D36" s="15" t="s">
        <v>156</v>
      </c>
      <c r="E36" s="20">
        <v>14500000</v>
      </c>
      <c r="F36" s="21">
        <v>14777.370500000001</v>
      </c>
      <c r="G36" s="22">
        <v>1.0200000000000001E-2</v>
      </c>
      <c r="H36" s="23">
        <v>7.5983999999999996E-2</v>
      </c>
      <c r="I36" s="41"/>
      <c r="J36" s="5"/>
    </row>
    <row r="37" spans="1:10" ht="12.95" customHeight="1">
      <c r="A37" s="18" t="s">
        <v>502</v>
      </c>
      <c r="B37" s="19" t="s">
        <v>503</v>
      </c>
      <c r="C37" s="15" t="s">
        <v>504</v>
      </c>
      <c r="D37" s="15" t="s">
        <v>179</v>
      </c>
      <c r="E37" s="20">
        <v>1400</v>
      </c>
      <c r="F37" s="21">
        <v>13895.433999999999</v>
      </c>
      <c r="G37" s="22">
        <v>9.5999999999999992E-3</v>
      </c>
      <c r="H37" s="23">
        <v>7.6749999999999999E-2</v>
      </c>
      <c r="I37" s="41"/>
      <c r="J37" s="5"/>
    </row>
    <row r="38" spans="1:10" ht="12.95" customHeight="1">
      <c r="A38" s="18" t="s">
        <v>505</v>
      </c>
      <c r="B38" s="19" t="s">
        <v>506</v>
      </c>
      <c r="C38" s="15" t="s">
        <v>507</v>
      </c>
      <c r="D38" s="15" t="s">
        <v>179</v>
      </c>
      <c r="E38" s="20">
        <v>1350</v>
      </c>
      <c r="F38" s="21">
        <v>13404.0825</v>
      </c>
      <c r="G38" s="22">
        <v>9.2999999999999992E-3</v>
      </c>
      <c r="H38" s="23">
        <v>7.825E-2</v>
      </c>
      <c r="I38" s="41"/>
      <c r="J38" s="5"/>
    </row>
    <row r="39" spans="1:10" ht="12.95" customHeight="1">
      <c r="A39" s="18" t="s">
        <v>508</v>
      </c>
      <c r="B39" s="19" t="s">
        <v>509</v>
      </c>
      <c r="C39" s="15" t="s">
        <v>510</v>
      </c>
      <c r="D39" s="15" t="s">
        <v>179</v>
      </c>
      <c r="E39" s="20">
        <v>12500</v>
      </c>
      <c r="F39" s="21">
        <v>12412.15</v>
      </c>
      <c r="G39" s="22">
        <v>8.6E-3</v>
      </c>
      <c r="H39" s="23">
        <v>7.7100000000000002E-2</v>
      </c>
      <c r="I39" s="41"/>
      <c r="J39" s="5"/>
    </row>
    <row r="40" spans="1:10" ht="12.95" customHeight="1">
      <c r="A40" s="18" t="s">
        <v>511</v>
      </c>
      <c r="B40" s="19" t="s">
        <v>512</v>
      </c>
      <c r="C40" s="15" t="s">
        <v>513</v>
      </c>
      <c r="D40" s="15" t="s">
        <v>179</v>
      </c>
      <c r="E40" s="20">
        <v>1200</v>
      </c>
      <c r="F40" s="21">
        <v>11987.448</v>
      </c>
      <c r="G40" s="22">
        <v>8.3000000000000001E-3</v>
      </c>
      <c r="H40" s="23">
        <v>8.054E-2</v>
      </c>
      <c r="I40" s="41"/>
      <c r="J40" s="5"/>
    </row>
    <row r="41" spans="1:10" ht="12.95" customHeight="1">
      <c r="A41" s="18" t="s">
        <v>514</v>
      </c>
      <c r="B41" s="19" t="s">
        <v>515</v>
      </c>
      <c r="C41" s="15" t="s">
        <v>516</v>
      </c>
      <c r="D41" s="15" t="s">
        <v>156</v>
      </c>
      <c r="E41" s="20">
        <v>11500000</v>
      </c>
      <c r="F41" s="21">
        <v>11580.109</v>
      </c>
      <c r="G41" s="22">
        <v>8.0000000000000002E-3</v>
      </c>
      <c r="H41" s="23">
        <v>7.3759000000000005E-2</v>
      </c>
      <c r="I41" s="41"/>
      <c r="J41" s="5"/>
    </row>
    <row r="42" spans="1:10" ht="12.95" customHeight="1">
      <c r="A42" s="18" t="s">
        <v>517</v>
      </c>
      <c r="B42" s="19" t="s">
        <v>518</v>
      </c>
      <c r="C42" s="15" t="s">
        <v>519</v>
      </c>
      <c r="D42" s="15" t="s">
        <v>179</v>
      </c>
      <c r="E42" s="20">
        <v>11500</v>
      </c>
      <c r="F42" s="21">
        <v>11465.73</v>
      </c>
      <c r="G42" s="22">
        <v>7.9000000000000008E-3</v>
      </c>
      <c r="H42" s="23">
        <v>7.5399999999999995E-2</v>
      </c>
      <c r="I42" s="41"/>
      <c r="J42" s="5"/>
    </row>
    <row r="43" spans="1:10" ht="12.95" customHeight="1">
      <c r="A43" s="18" t="s">
        <v>520</v>
      </c>
      <c r="B43" s="19" t="s">
        <v>521</v>
      </c>
      <c r="C43" s="15" t="s">
        <v>522</v>
      </c>
      <c r="D43" s="15" t="s">
        <v>432</v>
      </c>
      <c r="E43" s="20">
        <v>1050</v>
      </c>
      <c r="F43" s="21">
        <v>10468.541999999999</v>
      </c>
      <c r="G43" s="22">
        <v>7.3000000000000001E-3</v>
      </c>
      <c r="H43" s="23">
        <v>7.6799999999999993E-2</v>
      </c>
      <c r="I43" s="41"/>
      <c r="J43" s="5"/>
    </row>
    <row r="44" spans="1:10" ht="12.95" customHeight="1">
      <c r="A44" s="18" t="s">
        <v>523</v>
      </c>
      <c r="B44" s="19" t="s">
        <v>524</v>
      </c>
      <c r="C44" s="15" t="s">
        <v>525</v>
      </c>
      <c r="D44" s="15" t="s">
        <v>179</v>
      </c>
      <c r="E44" s="20">
        <v>1050</v>
      </c>
      <c r="F44" s="21">
        <v>10158.414000000001</v>
      </c>
      <c r="G44" s="22">
        <v>7.0000000000000001E-3</v>
      </c>
      <c r="H44" s="23">
        <v>7.8600000000000003E-2</v>
      </c>
      <c r="I44" s="41"/>
      <c r="J44" s="5"/>
    </row>
    <row r="45" spans="1:10" ht="12.95" customHeight="1">
      <c r="A45" s="18" t="s">
        <v>526</v>
      </c>
      <c r="B45" s="19" t="s">
        <v>527</v>
      </c>
      <c r="C45" s="15" t="s">
        <v>528</v>
      </c>
      <c r="D45" s="15" t="s">
        <v>156</v>
      </c>
      <c r="E45" s="20">
        <v>10000000</v>
      </c>
      <c r="F45" s="21">
        <v>10035</v>
      </c>
      <c r="G45" s="22">
        <v>7.0000000000000001E-3</v>
      </c>
      <c r="H45" s="23">
        <v>7.5758000000000006E-2</v>
      </c>
      <c r="I45" s="41"/>
      <c r="J45" s="5"/>
    </row>
    <row r="46" spans="1:10" ht="12.95" customHeight="1">
      <c r="A46" s="18" t="s">
        <v>529</v>
      </c>
      <c r="B46" s="19" t="s">
        <v>530</v>
      </c>
      <c r="C46" s="15" t="s">
        <v>531</v>
      </c>
      <c r="D46" s="15" t="s">
        <v>432</v>
      </c>
      <c r="E46" s="20">
        <v>1000</v>
      </c>
      <c r="F46" s="21">
        <v>9952.36</v>
      </c>
      <c r="G46" s="22">
        <v>6.8999999999999999E-3</v>
      </c>
      <c r="H46" s="23">
        <v>7.7063000000000006E-2</v>
      </c>
      <c r="I46" s="41"/>
      <c r="J46" s="5"/>
    </row>
    <row r="47" spans="1:10" ht="12.95" customHeight="1">
      <c r="A47" s="18" t="s">
        <v>532</v>
      </c>
      <c r="B47" s="19" t="s">
        <v>533</v>
      </c>
      <c r="C47" s="15" t="s">
        <v>534</v>
      </c>
      <c r="D47" s="15" t="s">
        <v>179</v>
      </c>
      <c r="E47" s="20">
        <v>10000</v>
      </c>
      <c r="F47" s="21">
        <v>9945.35</v>
      </c>
      <c r="G47" s="22">
        <v>6.8999999999999999E-3</v>
      </c>
      <c r="H47" s="23">
        <v>7.6999999999999999E-2</v>
      </c>
      <c r="I47" s="41"/>
      <c r="J47" s="5"/>
    </row>
    <row r="48" spans="1:10" ht="12.95" customHeight="1">
      <c r="A48" s="18" t="s">
        <v>535</v>
      </c>
      <c r="B48" s="19" t="s">
        <v>536</v>
      </c>
      <c r="C48" s="15" t="s">
        <v>537</v>
      </c>
      <c r="D48" s="15" t="s">
        <v>179</v>
      </c>
      <c r="E48" s="20">
        <v>1000</v>
      </c>
      <c r="F48" s="21">
        <v>9917.6</v>
      </c>
      <c r="G48" s="22">
        <v>6.8999999999999999E-3</v>
      </c>
      <c r="H48" s="23">
        <v>7.9049999999999995E-2</v>
      </c>
      <c r="I48" s="41"/>
      <c r="J48" s="5"/>
    </row>
    <row r="49" spans="1:10" ht="12.95" customHeight="1">
      <c r="A49" s="18" t="s">
        <v>183</v>
      </c>
      <c r="B49" s="19" t="s">
        <v>184</v>
      </c>
      <c r="C49" s="15" t="s">
        <v>185</v>
      </c>
      <c r="D49" s="15" t="s">
        <v>179</v>
      </c>
      <c r="E49" s="20">
        <v>9600</v>
      </c>
      <c r="F49" s="21">
        <v>9577.6128000000008</v>
      </c>
      <c r="G49" s="22">
        <v>6.6E-3</v>
      </c>
      <c r="H49" s="23">
        <v>7.6799999999999993E-2</v>
      </c>
      <c r="I49" s="41"/>
      <c r="J49" s="5"/>
    </row>
    <row r="50" spans="1:10" ht="12.95" customHeight="1">
      <c r="A50" s="18" t="s">
        <v>538</v>
      </c>
      <c r="B50" s="19" t="s">
        <v>539</v>
      </c>
      <c r="C50" s="15" t="s">
        <v>540</v>
      </c>
      <c r="D50" s="15" t="s">
        <v>156</v>
      </c>
      <c r="E50" s="20">
        <v>9000000</v>
      </c>
      <c r="F50" s="21">
        <v>9238.4009999999998</v>
      </c>
      <c r="G50" s="22">
        <v>6.4000000000000003E-3</v>
      </c>
      <c r="H50" s="23">
        <v>7.5755000000000003E-2</v>
      </c>
      <c r="I50" s="41"/>
      <c r="J50" s="5"/>
    </row>
    <row r="51" spans="1:10" ht="12.95" customHeight="1">
      <c r="A51" s="18" t="s">
        <v>541</v>
      </c>
      <c r="B51" s="19" t="s">
        <v>542</v>
      </c>
      <c r="C51" s="15" t="s">
        <v>543</v>
      </c>
      <c r="D51" s="15" t="s">
        <v>179</v>
      </c>
      <c r="E51" s="20">
        <v>1000</v>
      </c>
      <c r="F51" s="21">
        <v>8347.48</v>
      </c>
      <c r="G51" s="22">
        <v>5.7999999999999996E-3</v>
      </c>
      <c r="H51" s="23">
        <v>8.0649999999999999E-2</v>
      </c>
      <c r="I51" s="41"/>
      <c r="J51" s="5"/>
    </row>
    <row r="52" spans="1:10" ht="12.95" customHeight="1">
      <c r="A52" s="18" t="s">
        <v>544</v>
      </c>
      <c r="B52" s="19" t="s">
        <v>539</v>
      </c>
      <c r="C52" s="15" t="s">
        <v>545</v>
      </c>
      <c r="D52" s="15" t="s">
        <v>156</v>
      </c>
      <c r="E52" s="20">
        <v>7500000</v>
      </c>
      <c r="F52" s="21">
        <v>7697.0249999999996</v>
      </c>
      <c r="G52" s="22">
        <v>5.3E-3</v>
      </c>
      <c r="H52" s="23">
        <v>7.5858999999999996E-2</v>
      </c>
      <c r="I52" s="41"/>
      <c r="J52" s="5"/>
    </row>
    <row r="53" spans="1:10" ht="12.95" customHeight="1">
      <c r="A53" s="18" t="s">
        <v>546</v>
      </c>
      <c r="B53" s="19" t="s">
        <v>547</v>
      </c>
      <c r="C53" s="15" t="s">
        <v>548</v>
      </c>
      <c r="D53" s="15" t="s">
        <v>179</v>
      </c>
      <c r="E53" s="20">
        <v>7500</v>
      </c>
      <c r="F53" s="21">
        <v>7499.1450000000004</v>
      </c>
      <c r="G53" s="22">
        <v>5.1999999999999998E-3</v>
      </c>
      <c r="H53" s="23">
        <v>7.6450000000000004E-2</v>
      </c>
      <c r="I53" s="41"/>
      <c r="J53" s="5"/>
    </row>
    <row r="54" spans="1:10" ht="12.95" customHeight="1">
      <c r="A54" s="18" t="s">
        <v>549</v>
      </c>
      <c r="B54" s="19" t="s">
        <v>550</v>
      </c>
      <c r="C54" s="15" t="s">
        <v>551</v>
      </c>
      <c r="D54" s="15" t="s">
        <v>179</v>
      </c>
      <c r="E54" s="20">
        <v>750</v>
      </c>
      <c r="F54" s="21">
        <v>7488.9075000000003</v>
      </c>
      <c r="G54" s="22">
        <v>5.1999999999999998E-3</v>
      </c>
      <c r="H54" s="23">
        <v>7.9000000000000001E-2</v>
      </c>
      <c r="I54" s="41"/>
      <c r="J54" s="5"/>
    </row>
    <row r="55" spans="1:10" ht="12.95" customHeight="1">
      <c r="A55" s="18" t="s">
        <v>552</v>
      </c>
      <c r="B55" s="19" t="s">
        <v>553</v>
      </c>
      <c r="C55" s="15" t="s">
        <v>554</v>
      </c>
      <c r="D55" s="15" t="s">
        <v>179</v>
      </c>
      <c r="E55" s="20">
        <v>7500</v>
      </c>
      <c r="F55" s="21">
        <v>7468.4849999999997</v>
      </c>
      <c r="G55" s="22">
        <v>5.1999999999999998E-3</v>
      </c>
      <c r="H55" s="23">
        <v>7.6649999999999996E-2</v>
      </c>
      <c r="I55" s="41"/>
      <c r="J55" s="5"/>
    </row>
    <row r="56" spans="1:10" ht="12.95" customHeight="1">
      <c r="A56" s="18" t="s">
        <v>555</v>
      </c>
      <c r="B56" s="19" t="s">
        <v>556</v>
      </c>
      <c r="C56" s="15" t="s">
        <v>557</v>
      </c>
      <c r="D56" s="15" t="s">
        <v>156</v>
      </c>
      <c r="E56" s="20">
        <v>8843000</v>
      </c>
      <c r="F56" s="21">
        <v>6893.7197999999999</v>
      </c>
      <c r="G56" s="22">
        <v>4.7999999999999996E-3</v>
      </c>
      <c r="H56" s="23">
        <v>7.4475E-2</v>
      </c>
      <c r="I56" s="41"/>
      <c r="J56" s="5"/>
    </row>
    <row r="57" spans="1:10" ht="12.95" customHeight="1">
      <c r="A57" s="18" t="s">
        <v>558</v>
      </c>
      <c r="B57" s="19" t="s">
        <v>559</v>
      </c>
      <c r="C57" s="15" t="s">
        <v>560</v>
      </c>
      <c r="D57" s="15" t="s">
        <v>432</v>
      </c>
      <c r="E57" s="20">
        <v>6500</v>
      </c>
      <c r="F57" s="21">
        <v>6479.5640000000003</v>
      </c>
      <c r="G57" s="22">
        <v>4.4999999999999997E-3</v>
      </c>
      <c r="H57" s="23">
        <v>7.9049999999999995E-2</v>
      </c>
      <c r="I57" s="41"/>
      <c r="J57" s="5"/>
    </row>
    <row r="58" spans="1:10" ht="12.95" customHeight="1">
      <c r="A58" s="18" t="s">
        <v>561</v>
      </c>
      <c r="B58" s="19" t="s">
        <v>562</v>
      </c>
      <c r="C58" s="15" t="s">
        <v>563</v>
      </c>
      <c r="D58" s="15" t="s">
        <v>156</v>
      </c>
      <c r="E58" s="20">
        <v>6239000</v>
      </c>
      <c r="F58" s="21">
        <v>5524.9964</v>
      </c>
      <c r="G58" s="22">
        <v>3.8E-3</v>
      </c>
      <c r="H58" s="23">
        <v>7.3861999999999997E-2</v>
      </c>
      <c r="I58" s="41"/>
      <c r="J58" s="5"/>
    </row>
    <row r="59" spans="1:10" ht="12.95" customHeight="1">
      <c r="A59" s="18" t="s">
        <v>153</v>
      </c>
      <c r="B59" s="19" t="s">
        <v>154</v>
      </c>
      <c r="C59" s="15" t="s">
        <v>155</v>
      </c>
      <c r="D59" s="15" t="s">
        <v>156</v>
      </c>
      <c r="E59" s="20">
        <v>6193000</v>
      </c>
      <c r="F59" s="21">
        <v>5189.9322000000002</v>
      </c>
      <c r="G59" s="22">
        <v>3.5999999999999999E-3</v>
      </c>
      <c r="H59" s="23">
        <v>7.4263999999999997E-2</v>
      </c>
      <c r="I59" s="41"/>
      <c r="J59" s="5"/>
    </row>
    <row r="60" spans="1:10" ht="12.95" customHeight="1">
      <c r="A60" s="18" t="s">
        <v>564</v>
      </c>
      <c r="B60" s="19" t="s">
        <v>565</v>
      </c>
      <c r="C60" s="15" t="s">
        <v>566</v>
      </c>
      <c r="D60" s="15" t="s">
        <v>179</v>
      </c>
      <c r="E60" s="20">
        <v>500</v>
      </c>
      <c r="F60" s="21">
        <v>5006.1850000000004</v>
      </c>
      <c r="G60" s="22">
        <v>3.5000000000000001E-3</v>
      </c>
      <c r="H60" s="23">
        <v>7.8899999999999998E-2</v>
      </c>
      <c r="I60" s="41"/>
      <c r="J60" s="5"/>
    </row>
    <row r="61" spans="1:10" ht="12.95" customHeight="1">
      <c r="A61" s="18" t="s">
        <v>567</v>
      </c>
      <c r="B61" s="19" t="s">
        <v>568</v>
      </c>
      <c r="C61" s="15" t="s">
        <v>569</v>
      </c>
      <c r="D61" s="15" t="s">
        <v>179</v>
      </c>
      <c r="E61" s="20">
        <v>500</v>
      </c>
      <c r="F61" s="21">
        <v>4994.96</v>
      </c>
      <c r="G61" s="22">
        <v>3.5000000000000001E-3</v>
      </c>
      <c r="H61" s="23">
        <v>7.9923999999999995E-2</v>
      </c>
      <c r="I61" s="41"/>
      <c r="J61" s="5"/>
    </row>
    <row r="62" spans="1:10" ht="12.95" customHeight="1">
      <c r="A62" s="18" t="s">
        <v>180</v>
      </c>
      <c r="B62" s="19" t="s">
        <v>181</v>
      </c>
      <c r="C62" s="15" t="s">
        <v>182</v>
      </c>
      <c r="D62" s="15" t="s">
        <v>179</v>
      </c>
      <c r="E62" s="20">
        <v>5000</v>
      </c>
      <c r="F62" s="21">
        <v>4993.72</v>
      </c>
      <c r="G62" s="22">
        <v>3.5000000000000001E-3</v>
      </c>
      <c r="H62" s="23">
        <v>7.6200000000000004E-2</v>
      </c>
      <c r="I62" s="41"/>
      <c r="J62" s="5"/>
    </row>
    <row r="63" spans="1:10" ht="12.95" customHeight="1">
      <c r="A63" s="18" t="s">
        <v>570</v>
      </c>
      <c r="B63" s="19" t="s">
        <v>571</v>
      </c>
      <c r="C63" s="15" t="s">
        <v>572</v>
      </c>
      <c r="D63" s="15" t="s">
        <v>179</v>
      </c>
      <c r="E63" s="20">
        <v>5000</v>
      </c>
      <c r="F63" s="21">
        <v>4988.8100000000004</v>
      </c>
      <c r="G63" s="22">
        <v>3.5000000000000001E-3</v>
      </c>
      <c r="H63" s="23">
        <v>7.9049999999999995E-2</v>
      </c>
      <c r="I63" s="41"/>
      <c r="J63" s="5"/>
    </row>
    <row r="64" spans="1:10" ht="12.95" customHeight="1">
      <c r="A64" s="18" t="s">
        <v>573</v>
      </c>
      <c r="B64" s="19" t="s">
        <v>574</v>
      </c>
      <c r="C64" s="15" t="s">
        <v>575</v>
      </c>
      <c r="D64" s="15" t="s">
        <v>156</v>
      </c>
      <c r="E64" s="20">
        <v>6056000</v>
      </c>
      <c r="F64" s="21">
        <v>4987.2613000000001</v>
      </c>
      <c r="G64" s="22">
        <v>3.5000000000000001E-3</v>
      </c>
      <c r="H64" s="23">
        <v>7.4402999999999997E-2</v>
      </c>
      <c r="I64" s="41"/>
      <c r="J64" s="5"/>
    </row>
    <row r="65" spans="1:10" ht="12.95" customHeight="1">
      <c r="A65" s="18" t="s">
        <v>576</v>
      </c>
      <c r="B65" s="19" t="s">
        <v>577</v>
      </c>
      <c r="C65" s="15" t="s">
        <v>578</v>
      </c>
      <c r="D65" s="15" t="s">
        <v>179</v>
      </c>
      <c r="E65" s="20">
        <v>5000</v>
      </c>
      <c r="F65" s="21">
        <v>4974.5249999999996</v>
      </c>
      <c r="G65" s="22">
        <v>3.3999999999999998E-3</v>
      </c>
      <c r="H65" s="23">
        <v>7.6481999999999994E-2</v>
      </c>
      <c r="I65" s="41"/>
      <c r="J65" s="5"/>
    </row>
    <row r="66" spans="1:10" ht="12.95" customHeight="1">
      <c r="A66" s="18" t="s">
        <v>579</v>
      </c>
      <c r="B66" s="19" t="s">
        <v>580</v>
      </c>
      <c r="C66" s="15" t="s">
        <v>581</v>
      </c>
      <c r="D66" s="15" t="s">
        <v>179</v>
      </c>
      <c r="E66" s="20">
        <v>500</v>
      </c>
      <c r="F66" s="21">
        <v>4971.1750000000002</v>
      </c>
      <c r="G66" s="22">
        <v>3.3999999999999998E-3</v>
      </c>
      <c r="H66" s="23">
        <v>7.6749999999999999E-2</v>
      </c>
      <c r="I66" s="41"/>
      <c r="J66" s="5"/>
    </row>
    <row r="67" spans="1:10" ht="12.95" customHeight="1">
      <c r="A67" s="18" t="s">
        <v>582</v>
      </c>
      <c r="B67" s="19" t="s">
        <v>583</v>
      </c>
      <c r="C67" s="15" t="s">
        <v>584</v>
      </c>
      <c r="D67" s="15" t="s">
        <v>432</v>
      </c>
      <c r="E67" s="20">
        <v>500</v>
      </c>
      <c r="F67" s="21">
        <v>4953.6949999999997</v>
      </c>
      <c r="G67" s="22">
        <v>3.3999999999999998E-3</v>
      </c>
      <c r="H67" s="23">
        <v>7.6799999999999993E-2</v>
      </c>
      <c r="I67" s="41"/>
      <c r="J67" s="5"/>
    </row>
    <row r="68" spans="1:10" ht="12.95" customHeight="1">
      <c r="A68" s="18" t="s">
        <v>585</v>
      </c>
      <c r="B68" s="19" t="s">
        <v>586</v>
      </c>
      <c r="C68" s="15" t="s">
        <v>587</v>
      </c>
      <c r="D68" s="15" t="s">
        <v>179</v>
      </c>
      <c r="E68" s="20">
        <v>500</v>
      </c>
      <c r="F68" s="21">
        <v>4867.71</v>
      </c>
      <c r="G68" s="22">
        <v>3.3999999999999998E-3</v>
      </c>
      <c r="H68" s="23">
        <v>7.9149999999999998E-2</v>
      </c>
      <c r="I68" s="41"/>
      <c r="J68" s="5"/>
    </row>
    <row r="69" spans="1:10" ht="12.95" customHeight="1">
      <c r="A69" s="18" t="s">
        <v>588</v>
      </c>
      <c r="B69" s="19" t="s">
        <v>589</v>
      </c>
      <c r="C69" s="15" t="s">
        <v>590</v>
      </c>
      <c r="D69" s="15" t="s">
        <v>156</v>
      </c>
      <c r="E69" s="20">
        <v>5000000</v>
      </c>
      <c r="F69" s="21">
        <v>4862.1850000000004</v>
      </c>
      <c r="G69" s="22">
        <v>3.3999999999999998E-3</v>
      </c>
      <c r="H69" s="23">
        <v>7.5464000000000003E-2</v>
      </c>
      <c r="I69" s="41"/>
      <c r="J69" s="5"/>
    </row>
    <row r="70" spans="1:10" ht="12.95" customHeight="1">
      <c r="A70" s="18" t="s">
        <v>591</v>
      </c>
      <c r="B70" s="19" t="s">
        <v>592</v>
      </c>
      <c r="C70" s="15" t="s">
        <v>593</v>
      </c>
      <c r="D70" s="15" t="s">
        <v>179</v>
      </c>
      <c r="E70" s="20">
        <v>500</v>
      </c>
      <c r="F70" s="21">
        <v>4823.91</v>
      </c>
      <c r="G70" s="22">
        <v>3.3E-3</v>
      </c>
      <c r="H70" s="23">
        <v>7.6200000000000004E-2</v>
      </c>
      <c r="I70" s="41"/>
      <c r="J70" s="5"/>
    </row>
    <row r="71" spans="1:10" ht="12.95" customHeight="1">
      <c r="A71" s="18" t="s">
        <v>594</v>
      </c>
      <c r="B71" s="19" t="s">
        <v>595</v>
      </c>
      <c r="C71" s="15" t="s">
        <v>596</v>
      </c>
      <c r="D71" s="15" t="s">
        <v>156</v>
      </c>
      <c r="E71" s="20">
        <v>5108500</v>
      </c>
      <c r="F71" s="21">
        <v>4126.7127</v>
      </c>
      <c r="G71" s="22">
        <v>2.8999999999999998E-3</v>
      </c>
      <c r="H71" s="23">
        <v>7.4593000000000007E-2</v>
      </c>
      <c r="I71" s="41"/>
      <c r="J71" s="5"/>
    </row>
    <row r="72" spans="1:10" ht="12.95" customHeight="1">
      <c r="A72" s="18" t="s">
        <v>597</v>
      </c>
      <c r="B72" s="19" t="s">
        <v>598</v>
      </c>
      <c r="C72" s="15" t="s">
        <v>599</v>
      </c>
      <c r="D72" s="15" t="s">
        <v>156</v>
      </c>
      <c r="E72" s="20">
        <v>4000000</v>
      </c>
      <c r="F72" s="21">
        <v>4057.0279999999998</v>
      </c>
      <c r="G72" s="22">
        <v>2.8E-3</v>
      </c>
      <c r="H72" s="23">
        <v>7.5400999999999996E-2</v>
      </c>
      <c r="I72" s="41"/>
      <c r="J72" s="5"/>
    </row>
    <row r="73" spans="1:10" ht="12.95" customHeight="1">
      <c r="A73" s="18" t="s">
        <v>600</v>
      </c>
      <c r="B73" s="19" t="s">
        <v>601</v>
      </c>
      <c r="C73" s="15" t="s">
        <v>602</v>
      </c>
      <c r="D73" s="15" t="s">
        <v>156</v>
      </c>
      <c r="E73" s="20">
        <v>5073500</v>
      </c>
      <c r="F73" s="21">
        <v>4026.4108000000001</v>
      </c>
      <c r="G73" s="22">
        <v>2.8E-3</v>
      </c>
      <c r="H73" s="23">
        <v>7.4707999999999997E-2</v>
      </c>
      <c r="I73" s="41"/>
      <c r="J73" s="5"/>
    </row>
    <row r="74" spans="1:10" ht="12.95" customHeight="1">
      <c r="A74" s="18" t="s">
        <v>603</v>
      </c>
      <c r="B74" s="19" t="s">
        <v>604</v>
      </c>
      <c r="C74" s="15" t="s">
        <v>605</v>
      </c>
      <c r="D74" s="15" t="s">
        <v>432</v>
      </c>
      <c r="E74" s="20">
        <v>400</v>
      </c>
      <c r="F74" s="21">
        <v>3969.2559999999999</v>
      </c>
      <c r="G74" s="22">
        <v>2.8E-3</v>
      </c>
      <c r="H74" s="23">
        <v>7.6911999999999994E-2</v>
      </c>
      <c r="I74" s="41"/>
      <c r="J74" s="5"/>
    </row>
    <row r="75" spans="1:10" ht="12.95" customHeight="1">
      <c r="A75" s="18" t="s">
        <v>606</v>
      </c>
      <c r="B75" s="19" t="s">
        <v>607</v>
      </c>
      <c r="C75" s="15" t="s">
        <v>608</v>
      </c>
      <c r="D75" s="15" t="s">
        <v>156</v>
      </c>
      <c r="E75" s="20">
        <v>3500000</v>
      </c>
      <c r="F75" s="21">
        <v>3550.6205</v>
      </c>
      <c r="G75" s="22">
        <v>2.5000000000000001E-3</v>
      </c>
      <c r="H75" s="23">
        <v>7.5500999999999999E-2</v>
      </c>
      <c r="I75" s="41"/>
      <c r="J75" s="5"/>
    </row>
    <row r="76" spans="1:10" ht="12.95" customHeight="1">
      <c r="A76" s="18" t="s">
        <v>609</v>
      </c>
      <c r="B76" s="19" t="s">
        <v>610</v>
      </c>
      <c r="C76" s="15" t="s">
        <v>611</v>
      </c>
      <c r="D76" s="15" t="s">
        <v>179</v>
      </c>
      <c r="E76" s="20">
        <v>3500</v>
      </c>
      <c r="F76" s="21">
        <v>3489.8290000000002</v>
      </c>
      <c r="G76" s="22">
        <v>2.3999999999999998E-3</v>
      </c>
      <c r="H76" s="23">
        <v>7.6580999999999996E-2</v>
      </c>
      <c r="I76" s="41"/>
      <c r="J76" s="5"/>
    </row>
    <row r="77" spans="1:10" ht="12.95" customHeight="1">
      <c r="A77" s="18" t="s">
        <v>612</v>
      </c>
      <c r="B77" s="19" t="s">
        <v>613</v>
      </c>
      <c r="C77" s="15" t="s">
        <v>614</v>
      </c>
      <c r="D77" s="15" t="s">
        <v>156</v>
      </c>
      <c r="E77" s="20">
        <v>4195200</v>
      </c>
      <c r="F77" s="21">
        <v>3393.7363999999998</v>
      </c>
      <c r="G77" s="22">
        <v>2.3999999999999998E-3</v>
      </c>
      <c r="H77" s="23">
        <v>7.4587000000000001E-2</v>
      </c>
      <c r="I77" s="41"/>
      <c r="J77" s="5"/>
    </row>
    <row r="78" spans="1:10" ht="12.95" customHeight="1">
      <c r="A78" s="18" t="s">
        <v>615</v>
      </c>
      <c r="B78" s="19" t="s">
        <v>616</v>
      </c>
      <c r="C78" s="15" t="s">
        <v>617</v>
      </c>
      <c r="D78" s="15" t="s">
        <v>156</v>
      </c>
      <c r="E78" s="20">
        <v>3536700</v>
      </c>
      <c r="F78" s="21">
        <v>2911.9738000000002</v>
      </c>
      <c r="G78" s="22">
        <v>2E-3</v>
      </c>
      <c r="H78" s="23">
        <v>7.4403999999999998E-2</v>
      </c>
      <c r="I78" s="41"/>
      <c r="J78" s="5"/>
    </row>
    <row r="79" spans="1:10" ht="12.95" customHeight="1">
      <c r="A79" s="18" t="s">
        <v>186</v>
      </c>
      <c r="B79" s="19" t="s">
        <v>187</v>
      </c>
      <c r="C79" s="15" t="s">
        <v>188</v>
      </c>
      <c r="D79" s="15" t="s">
        <v>179</v>
      </c>
      <c r="E79" s="20">
        <v>2600</v>
      </c>
      <c r="F79" s="21">
        <v>2591.9789999999998</v>
      </c>
      <c r="G79" s="22">
        <v>1.8E-3</v>
      </c>
      <c r="H79" s="23">
        <v>7.6799999999999993E-2</v>
      </c>
      <c r="I79" s="41"/>
      <c r="J79" s="5"/>
    </row>
    <row r="80" spans="1:10" ht="12.95" customHeight="1">
      <c r="A80" s="18" t="s">
        <v>618</v>
      </c>
      <c r="B80" s="19" t="s">
        <v>619</v>
      </c>
      <c r="C80" s="15" t="s">
        <v>620</v>
      </c>
      <c r="D80" s="15" t="s">
        <v>179</v>
      </c>
      <c r="E80" s="20">
        <v>2500</v>
      </c>
      <c r="F80" s="21">
        <v>2506.3225000000002</v>
      </c>
      <c r="G80" s="22">
        <v>1.6999999999999999E-3</v>
      </c>
      <c r="H80" s="23">
        <v>7.6580999999999996E-2</v>
      </c>
      <c r="I80" s="41"/>
      <c r="J80" s="5"/>
    </row>
    <row r="81" spans="1:10" ht="12.95" customHeight="1">
      <c r="A81" s="18" t="s">
        <v>621</v>
      </c>
      <c r="B81" s="19" t="s">
        <v>622</v>
      </c>
      <c r="C81" s="15" t="s">
        <v>623</v>
      </c>
      <c r="D81" s="15" t="s">
        <v>179</v>
      </c>
      <c r="E81" s="20">
        <v>2500</v>
      </c>
      <c r="F81" s="21">
        <v>2502.3249999999998</v>
      </c>
      <c r="G81" s="22">
        <v>1.6999999999999999E-3</v>
      </c>
      <c r="H81" s="23">
        <v>7.6580999999999996E-2</v>
      </c>
      <c r="I81" s="41"/>
      <c r="J81" s="5"/>
    </row>
    <row r="82" spans="1:10" ht="12.95" customHeight="1">
      <c r="A82" s="18" t="s">
        <v>624</v>
      </c>
      <c r="B82" s="19" t="s">
        <v>625</v>
      </c>
      <c r="C82" s="15" t="s">
        <v>626</v>
      </c>
      <c r="D82" s="15" t="s">
        <v>179</v>
      </c>
      <c r="E82" s="20">
        <v>2500</v>
      </c>
      <c r="F82" s="21">
        <v>2498.3449999999998</v>
      </c>
      <c r="G82" s="22">
        <v>1.6999999999999999E-3</v>
      </c>
      <c r="H82" s="23">
        <v>7.6563000000000006E-2</v>
      </c>
      <c r="I82" s="41"/>
      <c r="J82" s="5"/>
    </row>
    <row r="83" spans="1:10" ht="12.95" customHeight="1">
      <c r="A83" s="18" t="s">
        <v>627</v>
      </c>
      <c r="B83" s="19" t="s">
        <v>628</v>
      </c>
      <c r="C83" s="15" t="s">
        <v>629</v>
      </c>
      <c r="D83" s="15" t="s">
        <v>179</v>
      </c>
      <c r="E83" s="20">
        <v>250</v>
      </c>
      <c r="F83" s="21">
        <v>2497.7375000000002</v>
      </c>
      <c r="G83" s="22">
        <v>1.6999999999999999E-3</v>
      </c>
      <c r="H83" s="23">
        <v>7.9100000000000004E-2</v>
      </c>
      <c r="I83" s="41"/>
      <c r="J83" s="5"/>
    </row>
    <row r="84" spans="1:10" ht="12.95" customHeight="1">
      <c r="A84" s="18" t="s">
        <v>630</v>
      </c>
      <c r="B84" s="19" t="s">
        <v>631</v>
      </c>
      <c r="C84" s="15" t="s">
        <v>632</v>
      </c>
      <c r="D84" s="15" t="s">
        <v>179</v>
      </c>
      <c r="E84" s="20">
        <v>250</v>
      </c>
      <c r="F84" s="21">
        <v>2417.8175000000001</v>
      </c>
      <c r="G84" s="22">
        <v>1.6999999999999999E-3</v>
      </c>
      <c r="H84" s="23">
        <v>7.6749999999999999E-2</v>
      </c>
      <c r="I84" s="41"/>
      <c r="J84" s="5"/>
    </row>
    <row r="85" spans="1:10" ht="12.95" customHeight="1">
      <c r="A85" s="18" t="s">
        <v>633</v>
      </c>
      <c r="B85" s="19" t="s">
        <v>634</v>
      </c>
      <c r="C85" s="15" t="s">
        <v>635</v>
      </c>
      <c r="D85" s="15" t="s">
        <v>156</v>
      </c>
      <c r="E85" s="20">
        <v>2000000</v>
      </c>
      <c r="F85" s="21">
        <v>2044.414</v>
      </c>
      <c r="G85" s="22">
        <v>1.4E-3</v>
      </c>
      <c r="H85" s="23">
        <v>7.5769000000000003E-2</v>
      </c>
      <c r="I85" s="41"/>
      <c r="J85" s="5"/>
    </row>
    <row r="86" spans="1:10" ht="12.95" customHeight="1">
      <c r="A86" s="18" t="s">
        <v>636</v>
      </c>
      <c r="B86" s="19" t="s">
        <v>637</v>
      </c>
      <c r="C86" s="15" t="s">
        <v>638</v>
      </c>
      <c r="D86" s="15" t="s">
        <v>156</v>
      </c>
      <c r="E86" s="20">
        <v>2517900</v>
      </c>
      <c r="F86" s="21">
        <v>1998.6436000000001</v>
      </c>
      <c r="G86" s="22">
        <v>1.4E-3</v>
      </c>
      <c r="H86" s="23">
        <v>7.4708999999999998E-2</v>
      </c>
      <c r="I86" s="41"/>
      <c r="J86" s="5"/>
    </row>
    <row r="87" spans="1:10" ht="12.95" customHeight="1">
      <c r="A87" s="18" t="s">
        <v>639</v>
      </c>
      <c r="B87" s="19" t="s">
        <v>640</v>
      </c>
      <c r="C87" s="15" t="s">
        <v>641</v>
      </c>
      <c r="D87" s="15" t="s">
        <v>156</v>
      </c>
      <c r="E87" s="20">
        <v>2038500</v>
      </c>
      <c r="F87" s="21">
        <v>1804.8431</v>
      </c>
      <c r="G87" s="22">
        <v>1.2999999999999999E-3</v>
      </c>
      <c r="H87" s="23">
        <v>7.3863999999999999E-2</v>
      </c>
      <c r="I87" s="41"/>
      <c r="J87" s="5"/>
    </row>
    <row r="88" spans="1:10" ht="12.95" customHeight="1">
      <c r="A88" s="18" t="s">
        <v>195</v>
      </c>
      <c r="B88" s="19" t="s">
        <v>196</v>
      </c>
      <c r="C88" s="15" t="s">
        <v>197</v>
      </c>
      <c r="D88" s="15" t="s">
        <v>179</v>
      </c>
      <c r="E88" s="20">
        <v>175</v>
      </c>
      <c r="F88" s="21">
        <v>1763.2964999999999</v>
      </c>
      <c r="G88" s="22">
        <v>1.1999999999999999E-3</v>
      </c>
      <c r="H88" s="23">
        <v>7.7600000000000002E-2</v>
      </c>
      <c r="I88" s="41"/>
      <c r="J88" s="5"/>
    </row>
    <row r="89" spans="1:10" ht="12.95" customHeight="1">
      <c r="A89" s="18" t="s">
        <v>189</v>
      </c>
      <c r="B89" s="19" t="s">
        <v>190</v>
      </c>
      <c r="C89" s="15" t="s">
        <v>191</v>
      </c>
      <c r="D89" s="15" t="s">
        <v>179</v>
      </c>
      <c r="E89" s="20">
        <v>163</v>
      </c>
      <c r="F89" s="21">
        <v>1662.0246</v>
      </c>
      <c r="G89" s="22">
        <v>1.1999999999999999E-3</v>
      </c>
      <c r="H89" s="23">
        <v>7.5268000000000002E-2</v>
      </c>
      <c r="I89" s="41"/>
      <c r="J89" s="5"/>
    </row>
    <row r="90" spans="1:10" ht="12.95" customHeight="1">
      <c r="A90" s="18" t="s">
        <v>642</v>
      </c>
      <c r="B90" s="19" t="s">
        <v>643</v>
      </c>
      <c r="C90" s="15" t="s">
        <v>644</v>
      </c>
      <c r="D90" s="15" t="s">
        <v>179</v>
      </c>
      <c r="E90" s="20">
        <v>150</v>
      </c>
      <c r="F90" s="21">
        <v>1517.7929999999999</v>
      </c>
      <c r="G90" s="22">
        <v>1.1000000000000001E-3</v>
      </c>
      <c r="H90" s="23">
        <v>7.5475E-2</v>
      </c>
      <c r="I90" s="41"/>
      <c r="J90" s="5"/>
    </row>
    <row r="91" spans="1:10" ht="12.95" customHeight="1">
      <c r="A91" s="18" t="s">
        <v>645</v>
      </c>
      <c r="B91" s="19" t="s">
        <v>646</v>
      </c>
      <c r="C91" s="15" t="s">
        <v>647</v>
      </c>
      <c r="D91" s="15" t="s">
        <v>179</v>
      </c>
      <c r="E91" s="20">
        <v>1500</v>
      </c>
      <c r="F91" s="21">
        <v>1510.9590000000001</v>
      </c>
      <c r="G91" s="22">
        <v>1E-3</v>
      </c>
      <c r="H91" s="23">
        <v>7.9200000000000007E-2</v>
      </c>
      <c r="I91" s="41"/>
      <c r="J91" s="5"/>
    </row>
    <row r="92" spans="1:10" ht="12.95" customHeight="1">
      <c r="A92" s="18" t="s">
        <v>157</v>
      </c>
      <c r="B92" s="19" t="s">
        <v>158</v>
      </c>
      <c r="C92" s="15" t="s">
        <v>159</v>
      </c>
      <c r="D92" s="15" t="s">
        <v>156</v>
      </c>
      <c r="E92" s="20">
        <v>1450000</v>
      </c>
      <c r="F92" s="21">
        <v>1216.8544999999999</v>
      </c>
      <c r="G92" s="22">
        <v>8.0000000000000004E-4</v>
      </c>
      <c r="H92" s="23">
        <v>7.4258000000000005E-2</v>
      </c>
      <c r="I92" s="41"/>
      <c r="J92" s="5"/>
    </row>
    <row r="93" spans="1:10" ht="12.95" customHeight="1">
      <c r="A93" s="18" t="s">
        <v>648</v>
      </c>
      <c r="B93" s="19" t="s">
        <v>649</v>
      </c>
      <c r="C93" s="15" t="s">
        <v>650</v>
      </c>
      <c r="D93" s="15" t="s">
        <v>179</v>
      </c>
      <c r="E93" s="20">
        <v>100</v>
      </c>
      <c r="F93" s="21">
        <v>1000.595</v>
      </c>
      <c r="G93" s="22">
        <v>6.9999999999999999E-4</v>
      </c>
      <c r="H93" s="23">
        <v>7.1752999999999997E-2</v>
      </c>
      <c r="I93" s="41"/>
      <c r="J93" s="5"/>
    </row>
    <row r="94" spans="1:10" ht="12.95" customHeight="1">
      <c r="A94" s="18" t="s">
        <v>651</v>
      </c>
      <c r="B94" s="19" t="s">
        <v>652</v>
      </c>
      <c r="C94" s="15" t="s">
        <v>653</v>
      </c>
      <c r="D94" s="15" t="s">
        <v>179</v>
      </c>
      <c r="E94" s="20">
        <v>100</v>
      </c>
      <c r="F94" s="21">
        <v>980.10699999999997</v>
      </c>
      <c r="G94" s="22">
        <v>6.9999999999999999E-4</v>
      </c>
      <c r="H94" s="23">
        <v>7.6249999999999998E-2</v>
      </c>
      <c r="I94" s="41"/>
      <c r="J94" s="5"/>
    </row>
    <row r="95" spans="1:10" ht="12.95" customHeight="1">
      <c r="A95" s="18" t="s">
        <v>654</v>
      </c>
      <c r="B95" s="19" t="s">
        <v>655</v>
      </c>
      <c r="C95" s="15" t="s">
        <v>656</v>
      </c>
      <c r="D95" s="15" t="s">
        <v>179</v>
      </c>
      <c r="E95" s="20">
        <v>500</v>
      </c>
      <c r="F95" s="21">
        <v>525.98699999999997</v>
      </c>
      <c r="G95" s="22">
        <v>4.0000000000000002E-4</v>
      </c>
      <c r="H95" s="23">
        <v>8.0633999999999997E-2</v>
      </c>
      <c r="I95" s="41"/>
      <c r="J95" s="5"/>
    </row>
    <row r="96" spans="1:10" ht="12.95" customHeight="1">
      <c r="A96" s="18" t="s">
        <v>657</v>
      </c>
      <c r="B96" s="19" t="s">
        <v>658</v>
      </c>
      <c r="C96" s="15" t="s">
        <v>659</v>
      </c>
      <c r="D96" s="15" t="s">
        <v>179</v>
      </c>
      <c r="E96" s="20">
        <v>50</v>
      </c>
      <c r="F96" s="21">
        <v>508.26799999999997</v>
      </c>
      <c r="G96" s="22">
        <v>4.0000000000000002E-4</v>
      </c>
      <c r="H96" s="23">
        <v>7.5950000000000004E-2</v>
      </c>
      <c r="I96" s="41"/>
      <c r="J96" s="5"/>
    </row>
    <row r="97" spans="1:10" ht="12.95" customHeight="1">
      <c r="A97" s="18" t="s">
        <v>660</v>
      </c>
      <c r="B97" s="19" t="s">
        <v>661</v>
      </c>
      <c r="C97" s="15" t="s">
        <v>662</v>
      </c>
      <c r="D97" s="15" t="s">
        <v>156</v>
      </c>
      <c r="E97" s="20">
        <v>500000</v>
      </c>
      <c r="F97" s="21">
        <v>508.029</v>
      </c>
      <c r="G97" s="22">
        <v>4.0000000000000002E-4</v>
      </c>
      <c r="H97" s="23">
        <v>7.5400999999999996E-2</v>
      </c>
      <c r="I97" s="41"/>
      <c r="J97" s="5"/>
    </row>
    <row r="98" spans="1:10" ht="12.95" customHeight="1">
      <c r="A98" s="18" t="s">
        <v>663</v>
      </c>
      <c r="B98" s="19" t="s">
        <v>664</v>
      </c>
      <c r="C98" s="15" t="s">
        <v>665</v>
      </c>
      <c r="D98" s="15" t="s">
        <v>156</v>
      </c>
      <c r="E98" s="20">
        <v>500000</v>
      </c>
      <c r="F98" s="21">
        <v>506.19749999999999</v>
      </c>
      <c r="G98" s="22">
        <v>4.0000000000000002E-4</v>
      </c>
      <c r="H98" s="23">
        <v>7.6189999999999994E-2</v>
      </c>
      <c r="I98" s="41"/>
      <c r="J98" s="5"/>
    </row>
    <row r="99" spans="1:10" ht="12.95" customHeight="1">
      <c r="A99" s="18" t="s">
        <v>666</v>
      </c>
      <c r="B99" s="19" t="s">
        <v>667</v>
      </c>
      <c r="C99" s="15" t="s">
        <v>668</v>
      </c>
      <c r="D99" s="15" t="s">
        <v>156</v>
      </c>
      <c r="E99" s="20">
        <v>500000</v>
      </c>
      <c r="F99" s="21">
        <v>462.77300000000002</v>
      </c>
      <c r="G99" s="22">
        <v>2.9999999999999997E-4</v>
      </c>
      <c r="H99" s="23">
        <v>7.3551000000000005E-2</v>
      </c>
      <c r="I99" s="41"/>
      <c r="J99" s="5"/>
    </row>
    <row r="100" spans="1:10" ht="12.95" customHeight="1">
      <c r="A100" s="18" t="s">
        <v>669</v>
      </c>
      <c r="B100" s="19" t="s">
        <v>670</v>
      </c>
      <c r="C100" s="15" t="s">
        <v>671</v>
      </c>
      <c r="D100" s="15" t="s">
        <v>156</v>
      </c>
      <c r="E100" s="20">
        <v>335000</v>
      </c>
      <c r="F100" s="21">
        <v>327.43270000000001</v>
      </c>
      <c r="G100" s="22">
        <v>2.0000000000000001E-4</v>
      </c>
      <c r="H100" s="23">
        <v>7.5024999999999994E-2</v>
      </c>
      <c r="I100" s="41"/>
      <c r="J100" s="5"/>
    </row>
    <row r="101" spans="1:10" ht="12.95" customHeight="1">
      <c r="A101" s="18" t="s">
        <v>672</v>
      </c>
      <c r="B101" s="19" t="s">
        <v>673</v>
      </c>
      <c r="C101" s="15" t="s">
        <v>674</v>
      </c>
      <c r="D101" s="15" t="s">
        <v>156</v>
      </c>
      <c r="E101" s="20">
        <v>14000</v>
      </c>
      <c r="F101" s="21">
        <v>14.0352</v>
      </c>
      <c r="G101" s="40" t="s">
        <v>675</v>
      </c>
      <c r="H101" s="23">
        <v>6.8902000000000005E-2</v>
      </c>
      <c r="I101" s="41"/>
      <c r="J101" s="5"/>
    </row>
    <row r="102" spans="1:10" ht="12.95" customHeight="1">
      <c r="A102" s="18" t="s">
        <v>676</v>
      </c>
      <c r="B102" s="19" t="s">
        <v>677</v>
      </c>
      <c r="C102" s="15" t="s">
        <v>678</v>
      </c>
      <c r="D102" s="15" t="s">
        <v>156</v>
      </c>
      <c r="E102" s="20">
        <v>2000</v>
      </c>
      <c r="F102" s="21">
        <v>2.0017999999999998</v>
      </c>
      <c r="G102" s="40" t="s">
        <v>675</v>
      </c>
      <c r="H102" s="23">
        <v>7.3287000000000005E-2</v>
      </c>
      <c r="I102" s="41"/>
      <c r="J102" s="5"/>
    </row>
    <row r="103" spans="1:10" ht="12.95" customHeight="1">
      <c r="A103" s="5"/>
      <c r="B103" s="14" t="s">
        <v>160</v>
      </c>
      <c r="C103" s="15"/>
      <c r="D103" s="15"/>
      <c r="E103" s="15"/>
      <c r="F103" s="25">
        <v>1388682.915</v>
      </c>
      <c r="G103" s="26">
        <v>0.9627</v>
      </c>
      <c r="H103" s="27"/>
      <c r="I103" s="28"/>
      <c r="J103" s="5"/>
    </row>
    <row r="104" spans="1:10" ht="12.95" customHeight="1">
      <c r="A104" s="5"/>
      <c r="B104" s="29" t="s">
        <v>161</v>
      </c>
      <c r="C104" s="2"/>
      <c r="D104" s="2"/>
      <c r="E104" s="2"/>
      <c r="F104" s="27" t="s">
        <v>162</v>
      </c>
      <c r="G104" s="27" t="s">
        <v>162</v>
      </c>
      <c r="H104" s="27"/>
      <c r="I104" s="28"/>
      <c r="J104" s="5"/>
    </row>
    <row r="105" spans="1:10" ht="12.95" customHeight="1">
      <c r="A105" s="5"/>
      <c r="B105" s="29" t="s">
        <v>160</v>
      </c>
      <c r="C105" s="2"/>
      <c r="D105" s="2"/>
      <c r="E105" s="2"/>
      <c r="F105" s="27" t="s">
        <v>162</v>
      </c>
      <c r="G105" s="27" t="s">
        <v>162</v>
      </c>
      <c r="H105" s="27"/>
      <c r="I105" s="28"/>
      <c r="J105" s="5"/>
    </row>
    <row r="106" spans="1:10" ht="12.95" customHeight="1">
      <c r="A106" s="5"/>
      <c r="B106" s="29" t="s">
        <v>163</v>
      </c>
      <c r="C106" s="30"/>
      <c r="D106" s="2"/>
      <c r="E106" s="30"/>
      <c r="F106" s="25">
        <v>1388682.915</v>
      </c>
      <c r="G106" s="26">
        <v>0.9627</v>
      </c>
      <c r="H106" s="27"/>
      <c r="I106" s="28"/>
      <c r="J106" s="5"/>
    </row>
    <row r="107" spans="1:10" ht="12.95" customHeight="1">
      <c r="A107" s="5"/>
      <c r="B107" s="14" t="s">
        <v>417</v>
      </c>
      <c r="C107" s="15"/>
      <c r="D107" s="15"/>
      <c r="E107" s="15"/>
      <c r="F107" s="15"/>
      <c r="G107" s="15"/>
      <c r="H107" s="16"/>
      <c r="I107" s="17"/>
      <c r="J107" s="5"/>
    </row>
    <row r="108" spans="1:10" ht="12.95" customHeight="1">
      <c r="A108" s="5"/>
      <c r="B108" s="14" t="s">
        <v>679</v>
      </c>
      <c r="C108" s="15"/>
      <c r="D108" s="15"/>
      <c r="E108" s="15"/>
      <c r="F108" s="5"/>
      <c r="G108" s="16"/>
      <c r="H108" s="16"/>
      <c r="I108" s="17"/>
      <c r="J108" s="5"/>
    </row>
    <row r="109" spans="1:10" ht="12.95" customHeight="1">
      <c r="A109" s="18" t="s">
        <v>680</v>
      </c>
      <c r="B109" s="19" t="s">
        <v>681</v>
      </c>
      <c r="C109" s="15" t="s">
        <v>682</v>
      </c>
      <c r="D109" s="15" t="s">
        <v>683</v>
      </c>
      <c r="E109" s="20">
        <v>500</v>
      </c>
      <c r="F109" s="21">
        <v>2421.7249999999999</v>
      </c>
      <c r="G109" s="22">
        <v>1.6999999999999999E-3</v>
      </c>
      <c r="H109" s="23">
        <v>7.1499999999999994E-2</v>
      </c>
      <c r="I109" s="41"/>
      <c r="J109" s="5"/>
    </row>
    <row r="110" spans="1:10" ht="12.95" customHeight="1">
      <c r="A110" s="5"/>
      <c r="B110" s="14" t="s">
        <v>160</v>
      </c>
      <c r="C110" s="15"/>
      <c r="D110" s="15"/>
      <c r="E110" s="15"/>
      <c r="F110" s="25">
        <v>2421.7249999999999</v>
      </c>
      <c r="G110" s="26">
        <v>1.6999999999999999E-3</v>
      </c>
      <c r="H110" s="27"/>
      <c r="I110" s="28"/>
      <c r="J110" s="5"/>
    </row>
    <row r="111" spans="1:10" ht="12.95" customHeight="1">
      <c r="A111" s="5"/>
      <c r="B111" s="29" t="s">
        <v>163</v>
      </c>
      <c r="C111" s="30"/>
      <c r="D111" s="2"/>
      <c r="E111" s="30"/>
      <c r="F111" s="25">
        <v>2421.7249999999999</v>
      </c>
      <c r="G111" s="26">
        <v>1.6999999999999999E-3</v>
      </c>
      <c r="H111" s="27"/>
      <c r="I111" s="28"/>
      <c r="J111" s="5"/>
    </row>
    <row r="112" spans="1:10" ht="12.95" customHeight="1">
      <c r="A112" s="5"/>
      <c r="B112" s="14" t="s">
        <v>164</v>
      </c>
      <c r="C112" s="15"/>
      <c r="D112" s="15"/>
      <c r="E112" s="15"/>
      <c r="F112" s="15"/>
      <c r="G112" s="15"/>
      <c r="H112" s="16"/>
      <c r="I112" s="17"/>
      <c r="J112" s="5"/>
    </row>
    <row r="113" spans="1:10" ht="12.95" customHeight="1">
      <c r="A113" s="18" t="s">
        <v>165</v>
      </c>
      <c r="B113" s="19" t="s">
        <v>166</v>
      </c>
      <c r="C113" s="15"/>
      <c r="D113" s="15"/>
      <c r="E113" s="20"/>
      <c r="F113" s="21">
        <v>12018.0622</v>
      </c>
      <c r="G113" s="22">
        <v>8.3000000000000001E-3</v>
      </c>
      <c r="H113" s="23">
        <v>6.7996829688028088E-2</v>
      </c>
      <c r="I113" s="41"/>
      <c r="J113" s="5"/>
    </row>
    <row r="114" spans="1:10" ht="12.95" customHeight="1">
      <c r="A114" s="5"/>
      <c r="B114" s="14" t="s">
        <v>160</v>
      </c>
      <c r="C114" s="15"/>
      <c r="D114" s="15"/>
      <c r="E114" s="15"/>
      <c r="F114" s="25">
        <v>12018.0622</v>
      </c>
      <c r="G114" s="26">
        <v>8.3000000000000001E-3</v>
      </c>
      <c r="H114" s="27"/>
      <c r="I114" s="28"/>
      <c r="J114" s="5"/>
    </row>
    <row r="115" spans="1:10" ht="12.95" customHeight="1">
      <c r="A115" s="5"/>
      <c r="B115" s="29" t="s">
        <v>163</v>
      </c>
      <c r="C115" s="30"/>
      <c r="D115" s="2"/>
      <c r="E115" s="30"/>
      <c r="F115" s="25">
        <v>12018.0622</v>
      </c>
      <c r="G115" s="26">
        <v>8.3000000000000001E-3</v>
      </c>
      <c r="H115" s="27"/>
      <c r="I115" s="28"/>
      <c r="J115" s="5"/>
    </row>
    <row r="116" spans="1:10" ht="12.95" customHeight="1">
      <c r="A116" s="5"/>
      <c r="B116" s="29" t="s">
        <v>167</v>
      </c>
      <c r="C116" s="15"/>
      <c r="D116" s="2"/>
      <c r="E116" s="15"/>
      <c r="F116" s="31">
        <v>39418.257799999999</v>
      </c>
      <c r="G116" s="26">
        <v>2.7300000000000001E-2</v>
      </c>
      <c r="H116" s="27"/>
      <c r="I116" s="28"/>
      <c r="J116" s="5"/>
    </row>
    <row r="117" spans="1:10" ht="12.95" customHeight="1">
      <c r="A117" s="5"/>
      <c r="B117" s="32" t="s">
        <v>168</v>
      </c>
      <c r="C117" s="33"/>
      <c r="D117" s="33"/>
      <c r="E117" s="33"/>
      <c r="F117" s="34">
        <v>1442540.96</v>
      </c>
      <c r="G117" s="35">
        <v>1</v>
      </c>
      <c r="H117" s="36"/>
      <c r="I117" s="37"/>
      <c r="J117" s="5"/>
    </row>
    <row r="118" spans="1:10" ht="12.95" customHeight="1">
      <c r="A118" s="5"/>
      <c r="B118" s="7"/>
      <c r="C118" s="5"/>
      <c r="D118" s="5"/>
      <c r="E118" s="5"/>
      <c r="F118" s="5"/>
      <c r="G118" s="5"/>
      <c r="H118" s="5"/>
      <c r="I118" s="5"/>
      <c r="J118" s="5"/>
    </row>
    <row r="119" spans="1:10" ht="12.95" customHeight="1">
      <c r="A119" s="5"/>
      <c r="B119" s="4" t="s">
        <v>684</v>
      </c>
      <c r="C119" s="5"/>
      <c r="D119" s="5"/>
      <c r="E119" s="5"/>
      <c r="F119" s="5"/>
      <c r="G119" s="5"/>
      <c r="H119" s="5"/>
      <c r="I119" s="5"/>
      <c r="J119" s="5"/>
    </row>
    <row r="120" spans="1:10" ht="12.95" customHeight="1">
      <c r="A120" s="5"/>
      <c r="B120" s="4" t="s">
        <v>207</v>
      </c>
      <c r="C120" s="5"/>
      <c r="D120" s="5"/>
      <c r="E120" s="5"/>
      <c r="F120" s="5"/>
      <c r="G120" s="5"/>
      <c r="H120" s="5"/>
      <c r="I120" s="5"/>
      <c r="J120" s="5"/>
    </row>
    <row r="121" spans="1:10" ht="12.95" customHeight="1">
      <c r="A121" s="5"/>
      <c r="B121" s="4" t="s">
        <v>685</v>
      </c>
      <c r="C121" s="5"/>
      <c r="D121" s="5"/>
      <c r="E121" s="5"/>
      <c r="F121" s="5"/>
      <c r="G121" s="5"/>
      <c r="H121" s="5"/>
      <c r="I121" s="5"/>
      <c r="J121" s="5"/>
    </row>
    <row r="122" spans="1:10" ht="12.95" customHeight="1">
      <c r="A122" s="5"/>
      <c r="B122" s="4" t="s">
        <v>170</v>
      </c>
      <c r="C122" s="5"/>
      <c r="D122" s="5"/>
      <c r="E122" s="5"/>
      <c r="F122" s="5"/>
      <c r="G122" s="5"/>
      <c r="H122" s="5"/>
      <c r="I122" s="5"/>
      <c r="J122" s="5"/>
    </row>
    <row r="123" spans="1:10" ht="26.1" customHeight="1">
      <c r="A123" s="5"/>
      <c r="B123" s="86" t="s">
        <v>171</v>
      </c>
      <c r="C123" s="86"/>
      <c r="D123" s="86"/>
      <c r="E123" s="86"/>
      <c r="F123" s="86"/>
      <c r="G123" s="86"/>
      <c r="H123" s="86"/>
      <c r="I123" s="86"/>
      <c r="J123" s="5"/>
    </row>
    <row r="124" spans="1:10" ht="12.95" customHeight="1">
      <c r="A124" s="5"/>
      <c r="B124" s="86"/>
      <c r="C124" s="86"/>
      <c r="D124" s="86"/>
      <c r="E124" s="86"/>
      <c r="F124" s="86"/>
      <c r="G124" s="86"/>
      <c r="H124" s="86"/>
      <c r="I124" s="86"/>
      <c r="J124" s="5"/>
    </row>
    <row r="125" spans="1:10" ht="12.95" customHeight="1">
      <c r="A125" s="5"/>
      <c r="B125" s="86"/>
      <c r="C125" s="86"/>
      <c r="D125" s="86"/>
      <c r="E125" s="86"/>
      <c r="F125" s="86"/>
      <c r="G125" s="86"/>
      <c r="H125" s="86"/>
      <c r="I125" s="86"/>
      <c r="J125" s="5"/>
    </row>
    <row r="126" spans="1:10" ht="12.95" customHeight="1">
      <c r="A126" s="5"/>
      <c r="B126" s="5"/>
      <c r="C126" s="87" t="s">
        <v>686</v>
      </c>
      <c r="D126" s="87"/>
      <c r="E126" s="87"/>
      <c r="F126" s="87"/>
      <c r="G126" s="5"/>
      <c r="H126" s="5"/>
      <c r="I126" s="5"/>
      <c r="J126" s="5"/>
    </row>
    <row r="127" spans="1:10" ht="12.95" customHeight="1">
      <c r="A127" s="5"/>
      <c r="B127" s="38" t="s">
        <v>173</v>
      </c>
      <c r="C127" s="87" t="s">
        <v>174</v>
      </c>
      <c r="D127" s="87"/>
      <c r="E127" s="87"/>
      <c r="F127" s="87"/>
      <c r="G127" s="5"/>
      <c r="H127" s="5"/>
      <c r="I127" s="5"/>
      <c r="J127" s="5"/>
    </row>
    <row r="128" spans="1:10" ht="120.95" customHeight="1">
      <c r="A128" s="5"/>
      <c r="B128" s="39"/>
      <c r="C128" s="85"/>
      <c r="D128" s="85"/>
      <c r="E128" s="5"/>
      <c r="F128" s="5"/>
      <c r="G128" s="5"/>
      <c r="H128" s="5"/>
      <c r="I128" s="5"/>
      <c r="J128" s="5"/>
    </row>
  </sheetData>
  <mergeCells count="6">
    <mergeCell ref="C128:D128"/>
    <mergeCell ref="B123:I123"/>
    <mergeCell ref="B124:I124"/>
    <mergeCell ref="B125:I125"/>
    <mergeCell ref="C126:F126"/>
    <mergeCell ref="C127:F127"/>
  </mergeCells>
  <hyperlinks>
    <hyperlink ref="A1" location="AxisBankingPSUDebtFund" display="AXISBDF" xr:uid="{00000000-0004-0000-0500-000000000000}"/>
    <hyperlink ref="B1" location="AxisBankingPSUDebtFund" display="Axis Banking &amp; PSU Debt Fund" xr:uid="{00000000-0004-0000-05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3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13</v>
      </c>
      <c r="B1" s="4" t="s">
        <v>14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282</v>
      </c>
      <c r="B7" s="19" t="s">
        <v>283</v>
      </c>
      <c r="C7" s="15" t="s">
        <v>284</v>
      </c>
      <c r="D7" s="15" t="s">
        <v>271</v>
      </c>
      <c r="E7" s="20">
        <v>426785</v>
      </c>
      <c r="F7" s="21">
        <v>6514.0195000000003</v>
      </c>
      <c r="G7" s="22">
        <v>0.28849999999999998</v>
      </c>
      <c r="H7" s="40"/>
      <c r="I7" s="24"/>
      <c r="J7" s="5"/>
    </row>
    <row r="8" spans="1:10" ht="12.95" customHeight="1">
      <c r="A8" s="18" t="s">
        <v>268</v>
      </c>
      <c r="B8" s="19" t="s">
        <v>269</v>
      </c>
      <c r="C8" s="15" t="s">
        <v>270</v>
      </c>
      <c r="D8" s="15" t="s">
        <v>271</v>
      </c>
      <c r="E8" s="20">
        <v>549100</v>
      </c>
      <c r="F8" s="21">
        <v>5226.8828999999996</v>
      </c>
      <c r="G8" s="22">
        <v>0.23150000000000001</v>
      </c>
      <c r="H8" s="40"/>
      <c r="I8" s="24"/>
      <c r="J8" s="5"/>
    </row>
    <row r="9" spans="1:10" ht="12.95" customHeight="1">
      <c r="A9" s="18" t="s">
        <v>687</v>
      </c>
      <c r="B9" s="19" t="s">
        <v>688</v>
      </c>
      <c r="C9" s="15" t="s">
        <v>689</v>
      </c>
      <c r="D9" s="15" t="s">
        <v>271</v>
      </c>
      <c r="E9" s="20">
        <v>217434</v>
      </c>
      <c r="F9" s="21">
        <v>2254.1383000000001</v>
      </c>
      <c r="G9" s="22">
        <v>9.98E-2</v>
      </c>
      <c r="H9" s="40"/>
      <c r="I9" s="24"/>
      <c r="J9" s="5"/>
    </row>
    <row r="10" spans="1:10" ht="12.95" customHeight="1">
      <c r="A10" s="18" t="s">
        <v>275</v>
      </c>
      <c r="B10" s="19" t="s">
        <v>276</v>
      </c>
      <c r="C10" s="15" t="s">
        <v>277</v>
      </c>
      <c r="D10" s="15" t="s">
        <v>271</v>
      </c>
      <c r="E10" s="20">
        <v>370699</v>
      </c>
      <c r="F10" s="21">
        <v>2218.8189000000002</v>
      </c>
      <c r="G10" s="22">
        <v>9.8299999999999998E-2</v>
      </c>
      <c r="H10" s="40"/>
      <c r="I10" s="24"/>
      <c r="J10" s="5"/>
    </row>
    <row r="11" spans="1:10" ht="12.95" customHeight="1">
      <c r="A11" s="18" t="s">
        <v>690</v>
      </c>
      <c r="B11" s="19" t="s">
        <v>691</v>
      </c>
      <c r="C11" s="15" t="s">
        <v>692</v>
      </c>
      <c r="D11" s="15" t="s">
        <v>271</v>
      </c>
      <c r="E11" s="20">
        <v>124440</v>
      </c>
      <c r="F11" s="21">
        <v>2159.9050999999999</v>
      </c>
      <c r="G11" s="22">
        <v>9.5600000000000004E-2</v>
      </c>
      <c r="H11" s="40"/>
      <c r="I11" s="24"/>
      <c r="J11" s="5"/>
    </row>
    <row r="12" spans="1:10" ht="12.95" customHeight="1">
      <c r="A12" s="18" t="s">
        <v>693</v>
      </c>
      <c r="B12" s="19" t="s">
        <v>694</v>
      </c>
      <c r="C12" s="15" t="s">
        <v>695</v>
      </c>
      <c r="D12" s="15" t="s">
        <v>271</v>
      </c>
      <c r="E12" s="20">
        <v>98755</v>
      </c>
      <c r="F12" s="21">
        <v>1411.0608</v>
      </c>
      <c r="G12" s="22">
        <v>6.25E-2</v>
      </c>
      <c r="H12" s="40"/>
      <c r="I12" s="24"/>
      <c r="J12" s="5"/>
    </row>
    <row r="13" spans="1:10" ht="12.95" customHeight="1">
      <c r="A13" s="18" t="s">
        <v>696</v>
      </c>
      <c r="B13" s="19" t="s">
        <v>697</v>
      </c>
      <c r="C13" s="15" t="s">
        <v>698</v>
      </c>
      <c r="D13" s="15" t="s">
        <v>271</v>
      </c>
      <c r="E13" s="20">
        <v>282023</v>
      </c>
      <c r="F13" s="21">
        <v>603.38819999999998</v>
      </c>
      <c r="G13" s="22">
        <v>2.6700000000000002E-2</v>
      </c>
      <c r="H13" s="40"/>
      <c r="I13" s="24"/>
      <c r="J13" s="5"/>
    </row>
    <row r="14" spans="1:10" ht="12.95" customHeight="1">
      <c r="A14" s="18" t="s">
        <v>699</v>
      </c>
      <c r="B14" s="19" t="s">
        <v>700</v>
      </c>
      <c r="C14" s="15" t="s">
        <v>701</v>
      </c>
      <c r="D14" s="15" t="s">
        <v>271</v>
      </c>
      <c r="E14" s="20">
        <v>355948</v>
      </c>
      <c r="F14" s="21">
        <v>523.95550000000003</v>
      </c>
      <c r="G14" s="22">
        <v>2.3199999999999998E-2</v>
      </c>
      <c r="H14" s="40"/>
      <c r="I14" s="24"/>
      <c r="J14" s="5"/>
    </row>
    <row r="15" spans="1:10" ht="12.95" customHeight="1">
      <c r="A15" s="18" t="s">
        <v>702</v>
      </c>
      <c r="B15" s="19" t="s">
        <v>703</v>
      </c>
      <c r="C15" s="15" t="s">
        <v>704</v>
      </c>
      <c r="D15" s="15" t="s">
        <v>271</v>
      </c>
      <c r="E15" s="20">
        <v>72972</v>
      </c>
      <c r="F15" s="21">
        <v>520.65520000000004</v>
      </c>
      <c r="G15" s="22">
        <v>2.3099999999999999E-2</v>
      </c>
      <c r="H15" s="40"/>
      <c r="I15" s="24"/>
      <c r="J15" s="5"/>
    </row>
    <row r="16" spans="1:10" ht="12.95" customHeight="1">
      <c r="A16" s="18" t="s">
        <v>705</v>
      </c>
      <c r="B16" s="19" t="s">
        <v>706</v>
      </c>
      <c r="C16" s="15" t="s">
        <v>707</v>
      </c>
      <c r="D16" s="15" t="s">
        <v>271</v>
      </c>
      <c r="E16" s="20">
        <v>477897</v>
      </c>
      <c r="F16" s="21">
        <v>456.39159999999998</v>
      </c>
      <c r="G16" s="22">
        <v>2.0199999999999999E-2</v>
      </c>
      <c r="H16" s="40"/>
      <c r="I16" s="24"/>
      <c r="J16" s="5"/>
    </row>
    <row r="17" spans="1:10" ht="12.95" customHeight="1">
      <c r="A17" s="18" t="s">
        <v>708</v>
      </c>
      <c r="B17" s="19" t="s">
        <v>709</v>
      </c>
      <c r="C17" s="15" t="s">
        <v>710</v>
      </c>
      <c r="D17" s="15" t="s">
        <v>271</v>
      </c>
      <c r="E17" s="20">
        <v>449306</v>
      </c>
      <c r="F17" s="21">
        <v>360.34339999999997</v>
      </c>
      <c r="G17" s="22">
        <v>1.6E-2</v>
      </c>
      <c r="H17" s="40"/>
      <c r="I17" s="24"/>
      <c r="J17" s="5"/>
    </row>
    <row r="18" spans="1:10" ht="12.95" customHeight="1">
      <c r="A18" s="18" t="s">
        <v>711</v>
      </c>
      <c r="B18" s="19" t="s">
        <v>712</v>
      </c>
      <c r="C18" s="15" t="s">
        <v>713</v>
      </c>
      <c r="D18" s="15" t="s">
        <v>271</v>
      </c>
      <c r="E18" s="20">
        <v>112364</v>
      </c>
      <c r="F18" s="21">
        <v>282.70780000000002</v>
      </c>
      <c r="G18" s="22">
        <v>1.2500000000000001E-2</v>
      </c>
      <c r="H18" s="40"/>
      <c r="I18" s="24"/>
      <c r="J18" s="5"/>
    </row>
    <row r="19" spans="1:10" ht="12.95" customHeight="1">
      <c r="A19" s="5"/>
      <c r="B19" s="14" t="s">
        <v>160</v>
      </c>
      <c r="C19" s="15"/>
      <c r="D19" s="15"/>
      <c r="E19" s="15"/>
      <c r="F19" s="25">
        <v>22532.267199999998</v>
      </c>
      <c r="G19" s="26">
        <v>0.99780000000000002</v>
      </c>
      <c r="H19" s="27"/>
      <c r="I19" s="28"/>
      <c r="J19" s="5"/>
    </row>
    <row r="20" spans="1:10" ht="12.95" customHeight="1">
      <c r="A20" s="5"/>
      <c r="B20" s="29" t="s">
        <v>408</v>
      </c>
      <c r="C20" s="2"/>
      <c r="D20" s="2"/>
      <c r="E20" s="2"/>
      <c r="F20" s="27" t="s">
        <v>162</v>
      </c>
      <c r="G20" s="27" t="s">
        <v>162</v>
      </c>
      <c r="H20" s="27"/>
      <c r="I20" s="28"/>
      <c r="J20" s="5"/>
    </row>
    <row r="21" spans="1:10" ht="12.95" customHeight="1">
      <c r="A21" s="5"/>
      <c r="B21" s="29" t="s">
        <v>160</v>
      </c>
      <c r="C21" s="2"/>
      <c r="D21" s="2"/>
      <c r="E21" s="2"/>
      <c r="F21" s="27" t="s">
        <v>162</v>
      </c>
      <c r="G21" s="27" t="s">
        <v>162</v>
      </c>
      <c r="H21" s="27"/>
      <c r="I21" s="28"/>
      <c r="J21" s="5"/>
    </row>
    <row r="22" spans="1:10" ht="12.95" customHeight="1">
      <c r="A22" s="5"/>
      <c r="B22" s="29" t="s">
        <v>163</v>
      </c>
      <c r="C22" s="30"/>
      <c r="D22" s="2"/>
      <c r="E22" s="30"/>
      <c r="F22" s="25">
        <v>22532.267199999998</v>
      </c>
      <c r="G22" s="26">
        <v>0.99780000000000002</v>
      </c>
      <c r="H22" s="27"/>
      <c r="I22" s="28"/>
      <c r="J22" s="5"/>
    </row>
    <row r="23" spans="1:10" ht="12.95" customHeight="1">
      <c r="A23" s="5"/>
      <c r="B23" s="14" t="s">
        <v>164</v>
      </c>
      <c r="C23" s="15"/>
      <c r="D23" s="15"/>
      <c r="E23" s="15"/>
      <c r="F23" s="15"/>
      <c r="G23" s="15"/>
      <c r="H23" s="16"/>
      <c r="I23" s="17"/>
      <c r="J23" s="5"/>
    </row>
    <row r="24" spans="1:10" ht="12.95" customHeight="1">
      <c r="A24" s="18" t="s">
        <v>165</v>
      </c>
      <c r="B24" s="19" t="s">
        <v>166</v>
      </c>
      <c r="C24" s="15"/>
      <c r="D24" s="15"/>
      <c r="E24" s="20"/>
      <c r="F24" s="21">
        <v>50.481200000000001</v>
      </c>
      <c r="G24" s="22">
        <v>2.2000000000000001E-3</v>
      </c>
      <c r="H24" s="23">
        <v>6.7996636093848151E-2</v>
      </c>
      <c r="I24" s="24"/>
      <c r="J24" s="5"/>
    </row>
    <row r="25" spans="1:10" ht="12.95" customHeight="1">
      <c r="A25" s="5"/>
      <c r="B25" s="14" t="s">
        <v>160</v>
      </c>
      <c r="C25" s="15"/>
      <c r="D25" s="15"/>
      <c r="E25" s="15"/>
      <c r="F25" s="25">
        <v>50.481200000000001</v>
      </c>
      <c r="G25" s="26">
        <v>2.2000000000000001E-3</v>
      </c>
      <c r="H25" s="27"/>
      <c r="I25" s="28"/>
      <c r="J25" s="5"/>
    </row>
    <row r="26" spans="1:10" ht="12.95" customHeight="1">
      <c r="A26" s="5"/>
      <c r="B26" s="29" t="s">
        <v>163</v>
      </c>
      <c r="C26" s="30"/>
      <c r="D26" s="2"/>
      <c r="E26" s="30"/>
      <c r="F26" s="25">
        <v>50.481200000000001</v>
      </c>
      <c r="G26" s="26">
        <v>2.2000000000000001E-3</v>
      </c>
      <c r="H26" s="27"/>
      <c r="I26" s="28"/>
      <c r="J26" s="5"/>
    </row>
    <row r="27" spans="1:10" ht="12.95" customHeight="1">
      <c r="A27" s="5"/>
      <c r="B27" s="29" t="s">
        <v>167</v>
      </c>
      <c r="C27" s="15"/>
      <c r="D27" s="2"/>
      <c r="E27" s="15"/>
      <c r="F27" s="31">
        <v>-0.62839999999999996</v>
      </c>
      <c r="G27" s="26" t="s">
        <v>675</v>
      </c>
      <c r="H27" s="27"/>
      <c r="I27" s="28"/>
      <c r="J27" s="5"/>
    </row>
    <row r="28" spans="1:10" ht="12.95" customHeight="1">
      <c r="A28" s="5"/>
      <c r="B28" s="32" t="s">
        <v>168</v>
      </c>
      <c r="C28" s="33"/>
      <c r="D28" s="33"/>
      <c r="E28" s="33"/>
      <c r="F28" s="34">
        <v>22582.12</v>
      </c>
      <c r="G28" s="35">
        <v>1</v>
      </c>
      <c r="H28" s="36"/>
      <c r="I28" s="37"/>
      <c r="J28" s="5"/>
    </row>
    <row r="29" spans="1:10" ht="12.95" customHeight="1">
      <c r="A29" s="5"/>
      <c r="B29" s="7"/>
      <c r="C29" s="5"/>
      <c r="D29" s="5"/>
      <c r="E29" s="5"/>
      <c r="F29" s="5"/>
      <c r="G29" s="5"/>
      <c r="H29" s="5"/>
      <c r="I29" s="5"/>
      <c r="J29" s="5"/>
    </row>
    <row r="30" spans="1:10" ht="12.95" customHeight="1">
      <c r="A30" s="5"/>
      <c r="B30" s="4" t="s">
        <v>169</v>
      </c>
      <c r="C30" s="5"/>
      <c r="D30" s="5"/>
      <c r="E30" s="5"/>
      <c r="F30" s="5"/>
      <c r="G30" s="5"/>
      <c r="H30" s="5"/>
      <c r="I30" s="5"/>
      <c r="J30" s="5"/>
    </row>
    <row r="31" spans="1:10" ht="12.95" customHeight="1">
      <c r="A31" s="5"/>
      <c r="B31" s="4" t="s">
        <v>685</v>
      </c>
      <c r="C31" s="5"/>
      <c r="D31" s="5"/>
      <c r="E31" s="5"/>
      <c r="F31" s="5"/>
      <c r="G31" s="5"/>
      <c r="H31" s="5"/>
      <c r="I31" s="5"/>
      <c r="J31" s="5"/>
    </row>
    <row r="32" spans="1:10" ht="12.95" customHeight="1">
      <c r="A32" s="5"/>
      <c r="B32" s="4" t="s">
        <v>170</v>
      </c>
      <c r="C32" s="5"/>
      <c r="D32" s="5"/>
      <c r="E32" s="5"/>
      <c r="F32" s="5"/>
      <c r="G32" s="5"/>
      <c r="H32" s="5"/>
      <c r="I32" s="5"/>
      <c r="J32" s="5"/>
    </row>
    <row r="33" spans="1:10" ht="26.1" customHeight="1">
      <c r="A33" s="5"/>
      <c r="B33" s="86" t="s">
        <v>171</v>
      </c>
      <c r="C33" s="86"/>
      <c r="D33" s="86"/>
      <c r="E33" s="86"/>
      <c r="F33" s="86"/>
      <c r="G33" s="86"/>
      <c r="H33" s="86"/>
      <c r="I33" s="86"/>
      <c r="J33" s="5"/>
    </row>
    <row r="34" spans="1:10" ht="12.95" customHeight="1">
      <c r="A34" s="5"/>
      <c r="B34" s="86"/>
      <c r="C34" s="86"/>
      <c r="D34" s="86"/>
      <c r="E34" s="86"/>
      <c r="F34" s="86"/>
      <c r="G34" s="86"/>
      <c r="H34" s="86"/>
      <c r="I34" s="86"/>
      <c r="J34" s="5"/>
    </row>
    <row r="35" spans="1:10" ht="12.95" customHeight="1">
      <c r="A35" s="5"/>
      <c r="B35" s="89" t="s">
        <v>714</v>
      </c>
      <c r="C35" s="89"/>
      <c r="D35" s="89"/>
      <c r="E35" s="89"/>
      <c r="F35" s="5"/>
      <c r="G35" s="5"/>
      <c r="H35" s="5"/>
      <c r="I35" s="5"/>
      <c r="J35" s="5"/>
    </row>
    <row r="36" spans="1:10" ht="12.95" customHeight="1">
      <c r="A36" s="5"/>
      <c r="B36" s="86"/>
      <c r="C36" s="86"/>
      <c r="D36" s="86"/>
      <c r="E36" s="86"/>
      <c r="F36" s="86"/>
      <c r="G36" s="86"/>
      <c r="H36" s="86"/>
      <c r="I36" s="86"/>
      <c r="J36" s="5"/>
    </row>
    <row r="37" spans="1:10" ht="12.95" customHeight="1">
      <c r="A37" s="5"/>
      <c r="B37" s="5"/>
      <c r="C37" s="87" t="s">
        <v>715</v>
      </c>
      <c r="D37" s="87"/>
      <c r="E37" s="87"/>
      <c r="F37" s="87"/>
      <c r="G37" s="5"/>
      <c r="H37" s="5"/>
      <c r="I37" s="5"/>
      <c r="J37" s="5"/>
    </row>
    <row r="38" spans="1:10" ht="12.95" customHeight="1">
      <c r="A38" s="5"/>
      <c r="B38" s="38" t="s">
        <v>173</v>
      </c>
      <c r="C38" s="87" t="s">
        <v>174</v>
      </c>
      <c r="D38" s="87"/>
      <c r="E38" s="87"/>
      <c r="F38" s="87"/>
      <c r="G38" s="5"/>
      <c r="H38" s="5"/>
      <c r="I38" s="5"/>
      <c r="J38" s="5"/>
    </row>
    <row r="39" spans="1:10" ht="120.95" customHeight="1">
      <c r="A39" s="5"/>
      <c r="B39" s="39"/>
      <c r="C39" s="85"/>
      <c r="D39" s="85"/>
      <c r="E39" s="5"/>
      <c r="F39" s="5"/>
      <c r="G39" s="5"/>
      <c r="H39" s="5"/>
      <c r="I39" s="5"/>
      <c r="J39" s="5"/>
    </row>
  </sheetData>
  <mergeCells count="7">
    <mergeCell ref="C38:F38"/>
    <mergeCell ref="C39:D39"/>
    <mergeCell ref="B33:I33"/>
    <mergeCell ref="B34:I34"/>
    <mergeCell ref="B35:E35"/>
    <mergeCell ref="B36:I36"/>
    <mergeCell ref="C37:F37"/>
  </mergeCells>
  <hyperlinks>
    <hyperlink ref="A1" location="AxisNIFTYBankETF" display="AXISBETF" xr:uid="{00000000-0004-0000-0600-000000000000}"/>
    <hyperlink ref="B1" location="AxisNIFTYBankETF" display="Axis NIFTY Bank ETF" xr:uid="{00000000-0004-0000-06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5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16</v>
      </c>
      <c r="B1" s="4" t="s">
        <v>17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282</v>
      </c>
      <c r="B7" s="19" t="s">
        <v>283</v>
      </c>
      <c r="C7" s="15" t="s">
        <v>284</v>
      </c>
      <c r="D7" s="15" t="s">
        <v>271</v>
      </c>
      <c r="E7" s="20">
        <v>105427</v>
      </c>
      <c r="F7" s="21">
        <v>1609.3959</v>
      </c>
      <c r="G7" s="22">
        <v>0.1532</v>
      </c>
      <c r="H7" s="40"/>
      <c r="I7" s="24"/>
      <c r="J7" s="5"/>
    </row>
    <row r="8" spans="1:10" ht="12.95" customHeight="1">
      <c r="A8" s="18" t="s">
        <v>248</v>
      </c>
      <c r="B8" s="19" t="s">
        <v>249</v>
      </c>
      <c r="C8" s="15" t="s">
        <v>250</v>
      </c>
      <c r="D8" s="15" t="s">
        <v>251</v>
      </c>
      <c r="E8" s="20">
        <v>48339</v>
      </c>
      <c r="F8" s="21">
        <v>1134.2746</v>
      </c>
      <c r="G8" s="22">
        <v>0.108</v>
      </c>
      <c r="H8" s="40"/>
      <c r="I8" s="24"/>
      <c r="J8" s="5"/>
    </row>
    <row r="9" spans="1:10" ht="12.95" customHeight="1">
      <c r="A9" s="18" t="s">
        <v>268</v>
      </c>
      <c r="B9" s="19" t="s">
        <v>269</v>
      </c>
      <c r="C9" s="15" t="s">
        <v>270</v>
      </c>
      <c r="D9" s="15" t="s">
        <v>271</v>
      </c>
      <c r="E9" s="20">
        <v>98042</v>
      </c>
      <c r="F9" s="21">
        <v>933.40890000000002</v>
      </c>
      <c r="G9" s="22">
        <v>8.8900000000000007E-2</v>
      </c>
      <c r="H9" s="40"/>
      <c r="I9" s="24"/>
      <c r="J9" s="5"/>
    </row>
    <row r="10" spans="1:10" ht="12.95" customHeight="1">
      <c r="A10" s="18" t="s">
        <v>285</v>
      </c>
      <c r="B10" s="19" t="s">
        <v>286</v>
      </c>
      <c r="C10" s="15" t="s">
        <v>287</v>
      </c>
      <c r="D10" s="15" t="s">
        <v>263</v>
      </c>
      <c r="E10" s="20">
        <v>50004</v>
      </c>
      <c r="F10" s="21">
        <v>717.58240000000001</v>
      </c>
      <c r="G10" s="22">
        <v>6.83E-2</v>
      </c>
      <c r="H10" s="40"/>
      <c r="I10" s="24"/>
      <c r="J10" s="5"/>
    </row>
    <row r="11" spans="1:10" ht="12.95" customHeight="1">
      <c r="A11" s="18" t="s">
        <v>716</v>
      </c>
      <c r="B11" s="19" t="s">
        <v>717</v>
      </c>
      <c r="C11" s="15" t="s">
        <v>718</v>
      </c>
      <c r="D11" s="15" t="s">
        <v>348</v>
      </c>
      <c r="E11" s="20">
        <v>123983</v>
      </c>
      <c r="F11" s="21">
        <v>550.98050000000001</v>
      </c>
      <c r="G11" s="22">
        <v>5.2499999999999998E-2</v>
      </c>
      <c r="H11" s="40"/>
      <c r="I11" s="24"/>
      <c r="J11" s="5"/>
    </row>
    <row r="12" spans="1:10" ht="12.95" customHeight="1">
      <c r="A12" s="18" t="s">
        <v>719</v>
      </c>
      <c r="B12" s="19" t="s">
        <v>720</v>
      </c>
      <c r="C12" s="15" t="s">
        <v>721</v>
      </c>
      <c r="D12" s="15" t="s">
        <v>722</v>
      </c>
      <c r="E12" s="20">
        <v>16936</v>
      </c>
      <c r="F12" s="21">
        <v>511.79750000000001</v>
      </c>
      <c r="G12" s="22">
        <v>4.87E-2</v>
      </c>
      <c r="H12" s="40"/>
      <c r="I12" s="24"/>
      <c r="J12" s="5"/>
    </row>
    <row r="13" spans="1:10" ht="12.95" customHeight="1">
      <c r="A13" s="18" t="s">
        <v>260</v>
      </c>
      <c r="B13" s="19" t="s">
        <v>261</v>
      </c>
      <c r="C13" s="15" t="s">
        <v>262</v>
      </c>
      <c r="D13" s="15" t="s">
        <v>263</v>
      </c>
      <c r="E13" s="20">
        <v>14353</v>
      </c>
      <c r="F13" s="21">
        <v>506.76850000000002</v>
      </c>
      <c r="G13" s="22">
        <v>4.82E-2</v>
      </c>
      <c r="H13" s="40"/>
      <c r="I13" s="24"/>
      <c r="J13" s="5"/>
    </row>
    <row r="14" spans="1:10" ht="12.95" customHeight="1">
      <c r="A14" s="18" t="s">
        <v>687</v>
      </c>
      <c r="B14" s="19" t="s">
        <v>688</v>
      </c>
      <c r="C14" s="15" t="s">
        <v>689</v>
      </c>
      <c r="D14" s="15" t="s">
        <v>271</v>
      </c>
      <c r="E14" s="20">
        <v>39517</v>
      </c>
      <c r="F14" s="21">
        <v>409.6925</v>
      </c>
      <c r="G14" s="22">
        <v>3.9E-2</v>
      </c>
      <c r="H14" s="40"/>
      <c r="I14" s="24"/>
      <c r="J14" s="5"/>
    </row>
    <row r="15" spans="1:10" ht="12.95" customHeight="1">
      <c r="A15" s="18" t="s">
        <v>690</v>
      </c>
      <c r="B15" s="19" t="s">
        <v>691</v>
      </c>
      <c r="C15" s="15" t="s">
        <v>692</v>
      </c>
      <c r="D15" s="15" t="s">
        <v>271</v>
      </c>
      <c r="E15" s="20">
        <v>20047</v>
      </c>
      <c r="F15" s="21">
        <v>347.95580000000001</v>
      </c>
      <c r="G15" s="22">
        <v>3.3099999999999997E-2</v>
      </c>
      <c r="H15" s="40"/>
      <c r="I15" s="24"/>
      <c r="J15" s="5"/>
    </row>
    <row r="16" spans="1:10" ht="12.95" customHeight="1">
      <c r="A16" s="18" t="s">
        <v>723</v>
      </c>
      <c r="B16" s="19" t="s">
        <v>724</v>
      </c>
      <c r="C16" s="15" t="s">
        <v>725</v>
      </c>
      <c r="D16" s="15" t="s">
        <v>726</v>
      </c>
      <c r="E16" s="20">
        <v>35067</v>
      </c>
      <c r="F16" s="21">
        <v>324.86070000000001</v>
      </c>
      <c r="G16" s="22">
        <v>3.09E-2</v>
      </c>
      <c r="H16" s="40"/>
      <c r="I16" s="24"/>
      <c r="J16" s="5"/>
    </row>
    <row r="17" spans="1:10" ht="12.95" customHeight="1">
      <c r="A17" s="18" t="s">
        <v>275</v>
      </c>
      <c r="B17" s="19" t="s">
        <v>276</v>
      </c>
      <c r="C17" s="15" t="s">
        <v>277</v>
      </c>
      <c r="D17" s="15" t="s">
        <v>271</v>
      </c>
      <c r="E17" s="20">
        <v>53501</v>
      </c>
      <c r="F17" s="21">
        <v>320.31049999999999</v>
      </c>
      <c r="G17" s="22">
        <v>3.0499999999999999E-2</v>
      </c>
      <c r="H17" s="40"/>
      <c r="I17" s="24"/>
      <c r="J17" s="5"/>
    </row>
    <row r="18" spans="1:10" ht="12.95" customHeight="1">
      <c r="A18" s="18" t="s">
        <v>345</v>
      </c>
      <c r="B18" s="19" t="s">
        <v>346</v>
      </c>
      <c r="C18" s="15" t="s">
        <v>347</v>
      </c>
      <c r="D18" s="15" t="s">
        <v>348</v>
      </c>
      <c r="E18" s="20">
        <v>12508</v>
      </c>
      <c r="F18" s="21">
        <v>308.42849999999999</v>
      </c>
      <c r="G18" s="22">
        <v>2.9399999999999999E-2</v>
      </c>
      <c r="H18" s="40"/>
      <c r="I18" s="24"/>
      <c r="J18" s="5"/>
    </row>
    <row r="19" spans="1:10" ht="12.95" customHeight="1">
      <c r="A19" s="18" t="s">
        <v>727</v>
      </c>
      <c r="B19" s="19" t="s">
        <v>728</v>
      </c>
      <c r="C19" s="15" t="s">
        <v>729</v>
      </c>
      <c r="D19" s="15" t="s">
        <v>255</v>
      </c>
      <c r="E19" s="20">
        <v>3735</v>
      </c>
      <c r="F19" s="21">
        <v>291.68110000000001</v>
      </c>
      <c r="G19" s="22">
        <v>2.7799999999999998E-2</v>
      </c>
      <c r="H19" s="40"/>
      <c r="I19" s="24"/>
      <c r="J19" s="5"/>
    </row>
    <row r="20" spans="1:10" ht="12.95" customHeight="1">
      <c r="A20" s="18" t="s">
        <v>730</v>
      </c>
      <c r="B20" s="19" t="s">
        <v>731</v>
      </c>
      <c r="C20" s="15" t="s">
        <v>732</v>
      </c>
      <c r="D20" s="15" t="s">
        <v>281</v>
      </c>
      <c r="E20" s="20">
        <v>13415</v>
      </c>
      <c r="F20" s="21">
        <v>208.4221</v>
      </c>
      <c r="G20" s="22">
        <v>1.9800000000000002E-2</v>
      </c>
      <c r="H20" s="40"/>
      <c r="I20" s="24"/>
      <c r="J20" s="5"/>
    </row>
    <row r="21" spans="1:10" ht="12.95" customHeight="1">
      <c r="A21" s="18" t="s">
        <v>321</v>
      </c>
      <c r="B21" s="19" t="s">
        <v>322</v>
      </c>
      <c r="C21" s="15" t="s">
        <v>323</v>
      </c>
      <c r="D21" s="15" t="s">
        <v>324</v>
      </c>
      <c r="E21" s="20">
        <v>6316</v>
      </c>
      <c r="F21" s="21">
        <v>199.67089999999999</v>
      </c>
      <c r="G21" s="22">
        <v>1.9E-2</v>
      </c>
      <c r="H21" s="40"/>
      <c r="I21" s="24"/>
      <c r="J21" s="5"/>
    </row>
    <row r="22" spans="1:10" ht="12.95" customHeight="1">
      <c r="A22" s="18" t="s">
        <v>733</v>
      </c>
      <c r="B22" s="19" t="s">
        <v>734</v>
      </c>
      <c r="C22" s="15" t="s">
        <v>735</v>
      </c>
      <c r="D22" s="15" t="s">
        <v>281</v>
      </c>
      <c r="E22" s="20">
        <v>1862</v>
      </c>
      <c r="F22" s="21">
        <v>197.40369999999999</v>
      </c>
      <c r="G22" s="22">
        <v>1.8800000000000001E-2</v>
      </c>
      <c r="H22" s="40"/>
      <c r="I22" s="24"/>
      <c r="J22" s="5"/>
    </row>
    <row r="23" spans="1:10" ht="12.95" customHeight="1">
      <c r="A23" s="18" t="s">
        <v>736</v>
      </c>
      <c r="B23" s="19" t="s">
        <v>737</v>
      </c>
      <c r="C23" s="15" t="s">
        <v>738</v>
      </c>
      <c r="D23" s="15" t="s">
        <v>324</v>
      </c>
      <c r="E23" s="20">
        <v>5845</v>
      </c>
      <c r="F23" s="21">
        <v>184.0941</v>
      </c>
      <c r="G23" s="22">
        <v>1.7500000000000002E-2</v>
      </c>
      <c r="H23" s="40"/>
      <c r="I23" s="24"/>
      <c r="J23" s="5"/>
    </row>
    <row r="24" spans="1:10" ht="12.95" customHeight="1">
      <c r="A24" s="18" t="s">
        <v>739</v>
      </c>
      <c r="B24" s="19" t="s">
        <v>740</v>
      </c>
      <c r="C24" s="15" t="s">
        <v>741</v>
      </c>
      <c r="D24" s="15" t="s">
        <v>263</v>
      </c>
      <c r="E24" s="20">
        <v>14827</v>
      </c>
      <c r="F24" s="21">
        <v>183.29140000000001</v>
      </c>
      <c r="G24" s="22">
        <v>1.7399999999999999E-2</v>
      </c>
      <c r="H24" s="40"/>
      <c r="I24" s="24"/>
      <c r="J24" s="5"/>
    </row>
    <row r="25" spans="1:10" ht="12.95" customHeight="1">
      <c r="A25" s="18" t="s">
        <v>742</v>
      </c>
      <c r="B25" s="19" t="s">
        <v>743</v>
      </c>
      <c r="C25" s="15" t="s">
        <v>744</v>
      </c>
      <c r="D25" s="15" t="s">
        <v>745</v>
      </c>
      <c r="E25" s="20">
        <v>15125</v>
      </c>
      <c r="F25" s="21">
        <v>175.31389999999999</v>
      </c>
      <c r="G25" s="22">
        <v>1.67E-2</v>
      </c>
      <c r="H25" s="40"/>
      <c r="I25" s="24"/>
      <c r="J25" s="5"/>
    </row>
    <row r="26" spans="1:10" ht="12.95" customHeight="1">
      <c r="A26" s="18" t="s">
        <v>288</v>
      </c>
      <c r="B26" s="19" t="s">
        <v>289</v>
      </c>
      <c r="C26" s="15" t="s">
        <v>290</v>
      </c>
      <c r="D26" s="15" t="s">
        <v>291</v>
      </c>
      <c r="E26" s="20">
        <v>66566</v>
      </c>
      <c r="F26" s="21">
        <v>163.51939999999999</v>
      </c>
      <c r="G26" s="22">
        <v>1.5599999999999999E-2</v>
      </c>
      <c r="H26" s="40"/>
      <c r="I26" s="24"/>
      <c r="J26" s="5"/>
    </row>
    <row r="27" spans="1:10" ht="12.95" customHeight="1">
      <c r="A27" s="18" t="s">
        <v>278</v>
      </c>
      <c r="B27" s="19" t="s">
        <v>279</v>
      </c>
      <c r="C27" s="15" t="s">
        <v>280</v>
      </c>
      <c r="D27" s="15" t="s">
        <v>281</v>
      </c>
      <c r="E27" s="20">
        <v>25041</v>
      </c>
      <c r="F27" s="21">
        <v>157.8459</v>
      </c>
      <c r="G27" s="22">
        <v>1.4999999999999999E-2</v>
      </c>
      <c r="H27" s="40"/>
      <c r="I27" s="24"/>
      <c r="J27" s="5"/>
    </row>
    <row r="28" spans="1:10" ht="12.95" customHeight="1">
      <c r="A28" s="18" t="s">
        <v>746</v>
      </c>
      <c r="B28" s="19" t="s">
        <v>747</v>
      </c>
      <c r="C28" s="15" t="s">
        <v>748</v>
      </c>
      <c r="D28" s="15" t="s">
        <v>344</v>
      </c>
      <c r="E28" s="20">
        <v>113001</v>
      </c>
      <c r="F28" s="21">
        <v>145.7713</v>
      </c>
      <c r="G28" s="22">
        <v>1.3899999999999999E-2</v>
      </c>
      <c r="H28" s="40"/>
      <c r="I28" s="24"/>
      <c r="J28" s="5"/>
    </row>
    <row r="29" spans="1:10" ht="12.95" customHeight="1">
      <c r="A29" s="18" t="s">
        <v>264</v>
      </c>
      <c r="B29" s="19" t="s">
        <v>265</v>
      </c>
      <c r="C29" s="15" t="s">
        <v>266</v>
      </c>
      <c r="D29" s="15" t="s">
        <v>267</v>
      </c>
      <c r="E29" s="20">
        <v>1618</v>
      </c>
      <c r="F29" s="21">
        <v>133.60640000000001</v>
      </c>
      <c r="G29" s="22">
        <v>1.2699999999999999E-2</v>
      </c>
      <c r="H29" s="40"/>
      <c r="I29" s="24"/>
      <c r="J29" s="5"/>
    </row>
    <row r="30" spans="1:10" ht="12.95" customHeight="1">
      <c r="A30" s="18" t="s">
        <v>693</v>
      </c>
      <c r="B30" s="19" t="s">
        <v>694</v>
      </c>
      <c r="C30" s="15" t="s">
        <v>695</v>
      </c>
      <c r="D30" s="15" t="s">
        <v>271</v>
      </c>
      <c r="E30" s="20">
        <v>9167</v>
      </c>
      <c r="F30" s="21">
        <v>130.97810000000001</v>
      </c>
      <c r="G30" s="22">
        <v>1.2500000000000001E-2</v>
      </c>
      <c r="H30" s="40"/>
      <c r="I30" s="24"/>
      <c r="J30" s="5"/>
    </row>
    <row r="31" spans="1:10" ht="12.95" customHeight="1">
      <c r="A31" s="18" t="s">
        <v>356</v>
      </c>
      <c r="B31" s="19" t="s">
        <v>357</v>
      </c>
      <c r="C31" s="15" t="s">
        <v>358</v>
      </c>
      <c r="D31" s="15" t="s">
        <v>291</v>
      </c>
      <c r="E31" s="20">
        <v>63845</v>
      </c>
      <c r="F31" s="21">
        <v>127.5942</v>
      </c>
      <c r="G31" s="22">
        <v>1.21E-2</v>
      </c>
      <c r="H31" s="40"/>
      <c r="I31" s="24"/>
      <c r="J31" s="5"/>
    </row>
    <row r="32" spans="1:10" ht="12.95" customHeight="1">
      <c r="A32" s="18" t="s">
        <v>749</v>
      </c>
      <c r="B32" s="19" t="s">
        <v>750</v>
      </c>
      <c r="C32" s="15" t="s">
        <v>751</v>
      </c>
      <c r="D32" s="15" t="s">
        <v>255</v>
      </c>
      <c r="E32" s="20">
        <v>7600</v>
      </c>
      <c r="F32" s="21">
        <v>117.0742</v>
      </c>
      <c r="G32" s="22">
        <v>1.11E-2</v>
      </c>
      <c r="H32" s="40"/>
      <c r="I32" s="24"/>
      <c r="J32" s="5"/>
    </row>
    <row r="33" spans="1:10" ht="12.95" customHeight="1">
      <c r="A33" s="18" t="s">
        <v>752</v>
      </c>
      <c r="B33" s="19" t="s">
        <v>753</v>
      </c>
      <c r="C33" s="15" t="s">
        <v>754</v>
      </c>
      <c r="D33" s="15" t="s">
        <v>755</v>
      </c>
      <c r="E33" s="20">
        <v>502</v>
      </c>
      <c r="F33" s="21">
        <v>112.9161</v>
      </c>
      <c r="G33" s="22">
        <v>1.0699999999999999E-2</v>
      </c>
      <c r="H33" s="40"/>
      <c r="I33" s="24"/>
      <c r="J33" s="5"/>
    </row>
    <row r="34" spans="1:10" ht="12.95" customHeight="1">
      <c r="A34" s="18" t="s">
        <v>335</v>
      </c>
      <c r="B34" s="19" t="s">
        <v>336</v>
      </c>
      <c r="C34" s="15" t="s">
        <v>337</v>
      </c>
      <c r="D34" s="15" t="s">
        <v>263</v>
      </c>
      <c r="E34" s="20">
        <v>8740</v>
      </c>
      <c r="F34" s="21">
        <v>106.8989</v>
      </c>
      <c r="G34" s="22">
        <v>1.0200000000000001E-2</v>
      </c>
      <c r="H34" s="40"/>
      <c r="I34" s="24"/>
      <c r="J34" s="5"/>
    </row>
    <row r="35" spans="1:10" ht="12.95" customHeight="1">
      <c r="A35" s="18" t="s">
        <v>756</v>
      </c>
      <c r="B35" s="19" t="s">
        <v>757</v>
      </c>
      <c r="C35" s="15" t="s">
        <v>758</v>
      </c>
      <c r="D35" s="15" t="s">
        <v>344</v>
      </c>
      <c r="E35" s="20">
        <v>13272</v>
      </c>
      <c r="F35" s="21">
        <v>103.4221</v>
      </c>
      <c r="G35" s="22">
        <v>9.7999999999999997E-3</v>
      </c>
      <c r="H35" s="40"/>
      <c r="I35" s="24"/>
      <c r="J35" s="5"/>
    </row>
    <row r="36" spans="1:10" ht="12.95" customHeight="1">
      <c r="A36" s="18" t="s">
        <v>759</v>
      </c>
      <c r="B36" s="19" t="s">
        <v>760</v>
      </c>
      <c r="C36" s="15" t="s">
        <v>761</v>
      </c>
      <c r="D36" s="15" t="s">
        <v>263</v>
      </c>
      <c r="E36" s="20">
        <v>19747</v>
      </c>
      <c r="F36" s="21">
        <v>80.222200000000001</v>
      </c>
      <c r="G36" s="22">
        <v>7.6E-3</v>
      </c>
      <c r="H36" s="40"/>
      <c r="I36" s="24"/>
      <c r="J36" s="5"/>
    </row>
    <row r="37" spans="1:10" ht="12.95" customHeight="1">
      <c r="A37" s="5"/>
      <c r="B37" s="14" t="s">
        <v>160</v>
      </c>
      <c r="C37" s="15"/>
      <c r="D37" s="15"/>
      <c r="E37" s="15"/>
      <c r="F37" s="25">
        <v>10495.1821</v>
      </c>
      <c r="G37" s="26">
        <v>0.99909999999999999</v>
      </c>
      <c r="H37" s="27"/>
      <c r="I37" s="28"/>
      <c r="J37" s="5"/>
    </row>
    <row r="38" spans="1:10" ht="12.95" customHeight="1">
      <c r="A38" s="5"/>
      <c r="B38" s="29" t="s">
        <v>408</v>
      </c>
      <c r="C38" s="2"/>
      <c r="D38" s="2"/>
      <c r="E38" s="2"/>
      <c r="F38" s="27" t="s">
        <v>162</v>
      </c>
      <c r="G38" s="27" t="s">
        <v>162</v>
      </c>
      <c r="H38" s="27"/>
      <c r="I38" s="28"/>
      <c r="J38" s="5"/>
    </row>
    <row r="39" spans="1:10" ht="12.95" customHeight="1">
      <c r="A39" s="5"/>
      <c r="B39" s="29" t="s">
        <v>160</v>
      </c>
      <c r="C39" s="2"/>
      <c r="D39" s="2"/>
      <c r="E39" s="2"/>
      <c r="F39" s="27" t="s">
        <v>162</v>
      </c>
      <c r="G39" s="27" t="s">
        <v>162</v>
      </c>
      <c r="H39" s="27"/>
      <c r="I39" s="28"/>
      <c r="J39" s="5"/>
    </row>
    <row r="40" spans="1:10" ht="12.95" customHeight="1">
      <c r="A40" s="5"/>
      <c r="B40" s="29" t="s">
        <v>163</v>
      </c>
      <c r="C40" s="30"/>
      <c r="D40" s="2"/>
      <c r="E40" s="30"/>
      <c r="F40" s="25">
        <v>10495.1821</v>
      </c>
      <c r="G40" s="26">
        <v>0.99909999999999999</v>
      </c>
      <c r="H40" s="27"/>
      <c r="I40" s="28"/>
      <c r="J40" s="5"/>
    </row>
    <row r="41" spans="1:10" ht="12.95" customHeight="1">
      <c r="A41" s="5"/>
      <c r="B41" s="14" t="s">
        <v>164</v>
      </c>
      <c r="C41" s="15"/>
      <c r="D41" s="15"/>
      <c r="E41" s="15"/>
      <c r="F41" s="15"/>
      <c r="G41" s="15"/>
      <c r="H41" s="16"/>
      <c r="I41" s="17"/>
      <c r="J41" s="5"/>
    </row>
    <row r="42" spans="1:10" ht="12.95" customHeight="1">
      <c r="A42" s="18" t="s">
        <v>165</v>
      </c>
      <c r="B42" s="19" t="s">
        <v>166</v>
      </c>
      <c r="C42" s="15"/>
      <c r="D42" s="15"/>
      <c r="E42" s="20"/>
      <c r="F42" s="21">
        <v>24.6508</v>
      </c>
      <c r="G42" s="22">
        <v>2.3E-3</v>
      </c>
      <c r="H42" s="23">
        <v>6.7996584955762968E-2</v>
      </c>
      <c r="I42" s="24"/>
      <c r="J42" s="5"/>
    </row>
    <row r="43" spans="1:10" ht="12.95" customHeight="1">
      <c r="A43" s="5"/>
      <c r="B43" s="14" t="s">
        <v>160</v>
      </c>
      <c r="C43" s="15"/>
      <c r="D43" s="15"/>
      <c r="E43" s="15"/>
      <c r="F43" s="25">
        <v>24.6508</v>
      </c>
      <c r="G43" s="26">
        <v>2.3E-3</v>
      </c>
      <c r="H43" s="27"/>
      <c r="I43" s="28"/>
      <c r="J43" s="5"/>
    </row>
    <row r="44" spans="1:10" ht="12.95" customHeight="1">
      <c r="A44" s="5"/>
      <c r="B44" s="29" t="s">
        <v>163</v>
      </c>
      <c r="C44" s="30"/>
      <c r="D44" s="2"/>
      <c r="E44" s="30"/>
      <c r="F44" s="25">
        <v>24.6508</v>
      </c>
      <c r="G44" s="26">
        <v>2.3E-3</v>
      </c>
      <c r="H44" s="27"/>
      <c r="I44" s="28"/>
      <c r="J44" s="5"/>
    </row>
    <row r="45" spans="1:10" ht="12.95" customHeight="1">
      <c r="A45" s="5"/>
      <c r="B45" s="29" t="s">
        <v>167</v>
      </c>
      <c r="C45" s="15"/>
      <c r="D45" s="2"/>
      <c r="E45" s="15"/>
      <c r="F45" s="31">
        <v>-15.322900000000001</v>
      </c>
      <c r="G45" s="26">
        <v>-1.4E-3</v>
      </c>
      <c r="H45" s="27"/>
      <c r="I45" s="28"/>
      <c r="J45" s="5"/>
    </row>
    <row r="46" spans="1:10" ht="12.95" customHeight="1">
      <c r="A46" s="5"/>
      <c r="B46" s="32" t="s">
        <v>168</v>
      </c>
      <c r="C46" s="33"/>
      <c r="D46" s="33"/>
      <c r="E46" s="33"/>
      <c r="F46" s="34">
        <v>10504.51</v>
      </c>
      <c r="G46" s="35">
        <v>1</v>
      </c>
      <c r="H46" s="36"/>
      <c r="I46" s="37"/>
      <c r="J46" s="5"/>
    </row>
    <row r="47" spans="1:10" ht="12.95" customHeight="1">
      <c r="A47" s="5"/>
      <c r="B47" s="7"/>
      <c r="C47" s="5"/>
      <c r="D47" s="5"/>
      <c r="E47" s="5"/>
      <c r="F47" s="5"/>
      <c r="G47" s="5"/>
      <c r="H47" s="5"/>
      <c r="I47" s="5"/>
      <c r="J47" s="5"/>
    </row>
    <row r="48" spans="1:10" ht="12.95" customHeight="1">
      <c r="A48" s="5"/>
      <c r="B48" s="4" t="s">
        <v>169</v>
      </c>
      <c r="C48" s="5"/>
      <c r="D48" s="5"/>
      <c r="E48" s="5"/>
      <c r="F48" s="5"/>
      <c r="G48" s="5"/>
      <c r="H48" s="5"/>
      <c r="I48" s="5"/>
      <c r="J48" s="5"/>
    </row>
    <row r="49" spans="1:10" ht="12.95" customHeight="1">
      <c r="A49" s="5"/>
      <c r="B49" s="4" t="s">
        <v>170</v>
      </c>
      <c r="C49" s="5"/>
      <c r="D49" s="5"/>
      <c r="E49" s="5"/>
      <c r="F49" s="5"/>
      <c r="G49" s="5"/>
      <c r="H49" s="5"/>
      <c r="I49" s="5"/>
      <c r="J49" s="5"/>
    </row>
    <row r="50" spans="1:10" ht="26.1" customHeight="1">
      <c r="A50" s="5"/>
      <c r="B50" s="86" t="s">
        <v>171</v>
      </c>
      <c r="C50" s="86"/>
      <c r="D50" s="86"/>
      <c r="E50" s="86"/>
      <c r="F50" s="86"/>
      <c r="G50" s="86"/>
      <c r="H50" s="86"/>
      <c r="I50" s="86"/>
      <c r="J50" s="5"/>
    </row>
    <row r="51" spans="1:10" ht="12.95" customHeight="1">
      <c r="A51" s="5"/>
      <c r="B51" s="86"/>
      <c r="C51" s="86"/>
      <c r="D51" s="86"/>
      <c r="E51" s="86"/>
      <c r="F51" s="86"/>
      <c r="G51" s="86"/>
      <c r="H51" s="86"/>
      <c r="I51" s="86"/>
      <c r="J51" s="5"/>
    </row>
    <row r="52" spans="1:10" ht="12.95" customHeight="1">
      <c r="A52" s="5"/>
      <c r="B52" s="86"/>
      <c r="C52" s="86"/>
      <c r="D52" s="86"/>
      <c r="E52" s="86"/>
      <c r="F52" s="86"/>
      <c r="G52" s="86"/>
      <c r="H52" s="86"/>
      <c r="I52" s="86"/>
      <c r="J52" s="5"/>
    </row>
    <row r="53" spans="1:10" ht="12.95" customHeight="1">
      <c r="A53" s="5"/>
      <c r="B53" s="5"/>
      <c r="C53" s="87" t="s">
        <v>762</v>
      </c>
      <c r="D53" s="87"/>
      <c r="E53" s="87"/>
      <c r="F53" s="87"/>
      <c r="G53" s="5"/>
      <c r="H53" s="5"/>
      <c r="I53" s="5"/>
      <c r="J53" s="5"/>
    </row>
    <row r="54" spans="1:10" ht="12.95" customHeight="1">
      <c r="A54" s="5"/>
      <c r="B54" s="38" t="s">
        <v>173</v>
      </c>
      <c r="C54" s="87" t="s">
        <v>174</v>
      </c>
      <c r="D54" s="87"/>
      <c r="E54" s="87"/>
      <c r="F54" s="87"/>
      <c r="G54" s="5"/>
      <c r="H54" s="5"/>
      <c r="I54" s="5"/>
      <c r="J54" s="5"/>
    </row>
    <row r="55" spans="1:10" ht="120.95" customHeight="1">
      <c r="A55" s="5"/>
      <c r="B55" s="39"/>
      <c r="C55" s="85"/>
      <c r="D55" s="85"/>
      <c r="E55" s="5"/>
      <c r="F55" s="5"/>
      <c r="G55" s="5"/>
      <c r="H55" s="5"/>
      <c r="I55" s="5"/>
      <c r="J55" s="5"/>
    </row>
  </sheetData>
  <mergeCells count="6">
    <mergeCell ref="C55:D55"/>
    <mergeCell ref="B50:I50"/>
    <mergeCell ref="B51:I51"/>
    <mergeCell ref="B52:I52"/>
    <mergeCell ref="C53:F53"/>
    <mergeCell ref="C54:F54"/>
  </mergeCells>
  <hyperlinks>
    <hyperlink ref="A1" location="AxisSPBSESENSEXETF" display="AXISBTF" xr:uid="{00000000-0004-0000-0700-000000000000}"/>
    <hyperlink ref="B1" location="AxisSPBSESENSEXETF" display="Axis S&amp;P BSE SENSEX ETF" xr:uid="{00000000-0004-0000-07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J5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18</v>
      </c>
      <c r="B1" s="4" t="s">
        <v>19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723</v>
      </c>
      <c r="B7" s="19" t="s">
        <v>724</v>
      </c>
      <c r="C7" s="15" t="s">
        <v>725</v>
      </c>
      <c r="D7" s="15" t="s">
        <v>726</v>
      </c>
      <c r="E7" s="20">
        <v>12854</v>
      </c>
      <c r="F7" s="21">
        <v>119.0795</v>
      </c>
      <c r="G7" s="22">
        <v>0.1024</v>
      </c>
      <c r="H7" s="40"/>
      <c r="I7" s="24"/>
      <c r="J7" s="5"/>
    </row>
    <row r="8" spans="1:10" ht="12.95" customHeight="1">
      <c r="A8" s="18" t="s">
        <v>716</v>
      </c>
      <c r="B8" s="19" t="s">
        <v>717</v>
      </c>
      <c r="C8" s="15" t="s">
        <v>718</v>
      </c>
      <c r="D8" s="15" t="s">
        <v>348</v>
      </c>
      <c r="E8" s="20">
        <v>26284</v>
      </c>
      <c r="F8" s="21">
        <v>116.8061</v>
      </c>
      <c r="G8" s="22">
        <v>0.1004</v>
      </c>
      <c r="H8" s="40"/>
      <c r="I8" s="24"/>
      <c r="J8" s="5"/>
    </row>
    <row r="9" spans="1:10" ht="12.95" customHeight="1">
      <c r="A9" s="18" t="s">
        <v>345</v>
      </c>
      <c r="B9" s="19" t="s">
        <v>346</v>
      </c>
      <c r="C9" s="15" t="s">
        <v>347</v>
      </c>
      <c r="D9" s="15" t="s">
        <v>348</v>
      </c>
      <c r="E9" s="20">
        <v>4628</v>
      </c>
      <c r="F9" s="21">
        <v>114.108</v>
      </c>
      <c r="G9" s="22">
        <v>9.8100000000000007E-2</v>
      </c>
      <c r="H9" s="40"/>
      <c r="I9" s="24"/>
      <c r="J9" s="5"/>
    </row>
    <row r="10" spans="1:10" ht="12.95" customHeight="1">
      <c r="A10" s="18" t="s">
        <v>321</v>
      </c>
      <c r="B10" s="19" t="s">
        <v>322</v>
      </c>
      <c r="C10" s="15" t="s">
        <v>323</v>
      </c>
      <c r="D10" s="15" t="s">
        <v>324</v>
      </c>
      <c r="E10" s="20">
        <v>2432</v>
      </c>
      <c r="F10" s="21">
        <v>76.8767</v>
      </c>
      <c r="G10" s="22">
        <v>6.6100000000000006E-2</v>
      </c>
      <c r="H10" s="40"/>
      <c r="I10" s="24"/>
      <c r="J10" s="5"/>
    </row>
    <row r="11" spans="1:10" ht="12.95" customHeight="1">
      <c r="A11" s="18" t="s">
        <v>733</v>
      </c>
      <c r="B11" s="19" t="s">
        <v>734</v>
      </c>
      <c r="C11" s="15" t="s">
        <v>735</v>
      </c>
      <c r="D11" s="15" t="s">
        <v>281</v>
      </c>
      <c r="E11" s="20">
        <v>717</v>
      </c>
      <c r="F11" s="21">
        <v>76.078000000000003</v>
      </c>
      <c r="G11" s="22">
        <v>6.54E-2</v>
      </c>
      <c r="H11" s="40"/>
      <c r="I11" s="24"/>
      <c r="J11" s="5"/>
    </row>
    <row r="12" spans="1:10" ht="12.95" customHeight="1">
      <c r="A12" s="18" t="s">
        <v>730</v>
      </c>
      <c r="B12" s="19" t="s">
        <v>731</v>
      </c>
      <c r="C12" s="15" t="s">
        <v>732</v>
      </c>
      <c r="D12" s="15" t="s">
        <v>281</v>
      </c>
      <c r="E12" s="20">
        <v>4829</v>
      </c>
      <c r="F12" s="21">
        <v>75.054699999999997</v>
      </c>
      <c r="G12" s="22">
        <v>6.4500000000000002E-2</v>
      </c>
      <c r="H12" s="40"/>
      <c r="I12" s="24"/>
      <c r="J12" s="5"/>
    </row>
    <row r="13" spans="1:10" ht="12.95" customHeight="1">
      <c r="A13" s="18" t="s">
        <v>736</v>
      </c>
      <c r="B13" s="19" t="s">
        <v>737</v>
      </c>
      <c r="C13" s="15" t="s">
        <v>738</v>
      </c>
      <c r="D13" s="15" t="s">
        <v>324</v>
      </c>
      <c r="E13" s="20">
        <v>2251</v>
      </c>
      <c r="F13" s="21">
        <v>70.879499999999993</v>
      </c>
      <c r="G13" s="22">
        <v>6.0900000000000003E-2</v>
      </c>
      <c r="H13" s="40"/>
      <c r="I13" s="24"/>
      <c r="J13" s="5"/>
    </row>
    <row r="14" spans="1:10" ht="12.95" customHeight="1">
      <c r="A14" s="18" t="s">
        <v>752</v>
      </c>
      <c r="B14" s="19" t="s">
        <v>753</v>
      </c>
      <c r="C14" s="15" t="s">
        <v>754</v>
      </c>
      <c r="D14" s="15" t="s">
        <v>755</v>
      </c>
      <c r="E14" s="20">
        <v>192</v>
      </c>
      <c r="F14" s="21">
        <v>43.213200000000001</v>
      </c>
      <c r="G14" s="22">
        <v>3.7100000000000001E-2</v>
      </c>
      <c r="H14" s="40"/>
      <c r="I14" s="24"/>
      <c r="J14" s="5"/>
    </row>
    <row r="15" spans="1:10" ht="12.95" customHeight="1">
      <c r="A15" s="18" t="s">
        <v>763</v>
      </c>
      <c r="B15" s="19" t="s">
        <v>764</v>
      </c>
      <c r="C15" s="15" t="s">
        <v>765</v>
      </c>
      <c r="D15" s="15" t="s">
        <v>281</v>
      </c>
      <c r="E15" s="20">
        <v>610</v>
      </c>
      <c r="F15" s="21">
        <v>30.8886</v>
      </c>
      <c r="G15" s="22">
        <v>2.6599999999999999E-2</v>
      </c>
      <c r="H15" s="40"/>
      <c r="I15" s="24"/>
      <c r="J15" s="5"/>
    </row>
    <row r="16" spans="1:10" ht="12.95" customHeight="1">
      <c r="A16" s="18" t="s">
        <v>766</v>
      </c>
      <c r="B16" s="19" t="s">
        <v>767</v>
      </c>
      <c r="C16" s="15" t="s">
        <v>768</v>
      </c>
      <c r="D16" s="15" t="s">
        <v>403</v>
      </c>
      <c r="E16" s="20">
        <v>807</v>
      </c>
      <c r="F16" s="21">
        <v>29.662099999999999</v>
      </c>
      <c r="G16" s="22">
        <v>2.5499999999999998E-2</v>
      </c>
      <c r="H16" s="40"/>
      <c r="I16" s="24"/>
      <c r="J16" s="5"/>
    </row>
    <row r="17" spans="1:10" ht="12.95" customHeight="1">
      <c r="A17" s="18" t="s">
        <v>769</v>
      </c>
      <c r="B17" s="19" t="s">
        <v>770</v>
      </c>
      <c r="C17" s="15" t="s">
        <v>771</v>
      </c>
      <c r="D17" s="15" t="s">
        <v>755</v>
      </c>
      <c r="E17" s="20">
        <v>637</v>
      </c>
      <c r="F17" s="21">
        <v>28.901599999999998</v>
      </c>
      <c r="G17" s="22">
        <v>2.4799999999999999E-2</v>
      </c>
      <c r="H17" s="40"/>
      <c r="I17" s="24"/>
      <c r="J17" s="5"/>
    </row>
    <row r="18" spans="1:10" ht="12.95" customHeight="1">
      <c r="A18" s="18" t="s">
        <v>772</v>
      </c>
      <c r="B18" s="19" t="s">
        <v>773</v>
      </c>
      <c r="C18" s="15" t="s">
        <v>774</v>
      </c>
      <c r="D18" s="15" t="s">
        <v>310</v>
      </c>
      <c r="E18" s="20">
        <v>3257</v>
      </c>
      <c r="F18" s="21">
        <v>28.560600000000001</v>
      </c>
      <c r="G18" s="22">
        <v>2.4500000000000001E-2</v>
      </c>
      <c r="H18" s="40"/>
      <c r="I18" s="24"/>
      <c r="J18" s="5"/>
    </row>
    <row r="19" spans="1:10" ht="12.95" customHeight="1">
      <c r="A19" s="18" t="s">
        <v>775</v>
      </c>
      <c r="B19" s="19" t="s">
        <v>776</v>
      </c>
      <c r="C19" s="15" t="s">
        <v>777</v>
      </c>
      <c r="D19" s="15" t="s">
        <v>778</v>
      </c>
      <c r="E19" s="20">
        <v>543</v>
      </c>
      <c r="F19" s="21">
        <v>27.898</v>
      </c>
      <c r="G19" s="22">
        <v>2.4E-2</v>
      </c>
      <c r="H19" s="40"/>
      <c r="I19" s="24"/>
      <c r="J19" s="5"/>
    </row>
    <row r="20" spans="1:10" ht="12.95" customHeight="1">
      <c r="A20" s="18" t="s">
        <v>779</v>
      </c>
      <c r="B20" s="19" t="s">
        <v>780</v>
      </c>
      <c r="C20" s="15" t="s">
        <v>781</v>
      </c>
      <c r="D20" s="15" t="s">
        <v>281</v>
      </c>
      <c r="E20" s="20">
        <v>738</v>
      </c>
      <c r="F20" s="21">
        <v>25.438500000000001</v>
      </c>
      <c r="G20" s="22">
        <v>2.1899999999999999E-2</v>
      </c>
      <c r="H20" s="40"/>
      <c r="I20" s="24"/>
      <c r="J20" s="5"/>
    </row>
    <row r="21" spans="1:10" ht="12.95" customHeight="1">
      <c r="A21" s="18" t="s">
        <v>782</v>
      </c>
      <c r="B21" s="19" t="s">
        <v>783</v>
      </c>
      <c r="C21" s="15" t="s">
        <v>784</v>
      </c>
      <c r="D21" s="15" t="s">
        <v>403</v>
      </c>
      <c r="E21" s="20">
        <v>1189</v>
      </c>
      <c r="F21" s="21">
        <v>24.733000000000001</v>
      </c>
      <c r="G21" s="22">
        <v>2.1299999999999999E-2</v>
      </c>
      <c r="H21" s="40"/>
      <c r="I21" s="24"/>
      <c r="J21" s="5"/>
    </row>
    <row r="22" spans="1:10" ht="12.95" customHeight="1">
      <c r="A22" s="18" t="s">
        <v>785</v>
      </c>
      <c r="B22" s="19" t="s">
        <v>786</v>
      </c>
      <c r="C22" s="15" t="s">
        <v>787</v>
      </c>
      <c r="D22" s="15" t="s">
        <v>788</v>
      </c>
      <c r="E22" s="20">
        <v>2523</v>
      </c>
      <c r="F22" s="21">
        <v>23.86</v>
      </c>
      <c r="G22" s="22">
        <v>2.0500000000000001E-2</v>
      </c>
      <c r="H22" s="40"/>
      <c r="I22" s="24"/>
      <c r="J22" s="5"/>
    </row>
    <row r="23" spans="1:10" ht="12.95" customHeight="1">
      <c r="A23" s="18" t="s">
        <v>789</v>
      </c>
      <c r="B23" s="19" t="s">
        <v>790</v>
      </c>
      <c r="C23" s="15" t="s">
        <v>791</v>
      </c>
      <c r="D23" s="15" t="s">
        <v>778</v>
      </c>
      <c r="E23" s="20">
        <v>3983</v>
      </c>
      <c r="F23" s="21">
        <v>22.599499999999999</v>
      </c>
      <c r="G23" s="22">
        <v>1.9400000000000001E-2</v>
      </c>
      <c r="H23" s="40"/>
      <c r="I23" s="24"/>
      <c r="J23" s="5"/>
    </row>
    <row r="24" spans="1:10" ht="12.95" customHeight="1">
      <c r="A24" s="18" t="s">
        <v>792</v>
      </c>
      <c r="B24" s="19" t="s">
        <v>793</v>
      </c>
      <c r="C24" s="15" t="s">
        <v>794</v>
      </c>
      <c r="D24" s="15" t="s">
        <v>281</v>
      </c>
      <c r="E24" s="20">
        <v>701</v>
      </c>
      <c r="F24" s="21">
        <v>21.4313</v>
      </c>
      <c r="G24" s="22">
        <v>1.84E-2</v>
      </c>
      <c r="H24" s="40"/>
      <c r="I24" s="24"/>
      <c r="J24" s="5"/>
    </row>
    <row r="25" spans="1:10" ht="12.95" customHeight="1">
      <c r="A25" s="18" t="s">
        <v>795</v>
      </c>
      <c r="B25" s="19" t="s">
        <v>796</v>
      </c>
      <c r="C25" s="15" t="s">
        <v>797</v>
      </c>
      <c r="D25" s="15" t="s">
        <v>798</v>
      </c>
      <c r="E25" s="20">
        <v>2041</v>
      </c>
      <c r="F25" s="21">
        <v>20.238600000000002</v>
      </c>
      <c r="G25" s="22">
        <v>1.7399999999999999E-2</v>
      </c>
      <c r="H25" s="40"/>
      <c r="I25" s="24"/>
      <c r="J25" s="5"/>
    </row>
    <row r="26" spans="1:10" ht="12.95" customHeight="1">
      <c r="A26" s="18" t="s">
        <v>799</v>
      </c>
      <c r="B26" s="19" t="s">
        <v>800</v>
      </c>
      <c r="C26" s="15" t="s">
        <v>801</v>
      </c>
      <c r="D26" s="15" t="s">
        <v>291</v>
      </c>
      <c r="E26" s="20">
        <v>7583</v>
      </c>
      <c r="F26" s="21">
        <v>19.8902</v>
      </c>
      <c r="G26" s="22">
        <v>1.7100000000000001E-2</v>
      </c>
      <c r="H26" s="40"/>
      <c r="I26" s="24"/>
      <c r="J26" s="5"/>
    </row>
    <row r="27" spans="1:10" ht="12.95" customHeight="1">
      <c r="A27" s="18" t="s">
        <v>802</v>
      </c>
      <c r="B27" s="19" t="s">
        <v>803</v>
      </c>
      <c r="C27" s="15" t="s">
        <v>804</v>
      </c>
      <c r="D27" s="15" t="s">
        <v>324</v>
      </c>
      <c r="E27" s="20">
        <v>1352</v>
      </c>
      <c r="F27" s="21">
        <v>18.778600000000001</v>
      </c>
      <c r="G27" s="22">
        <v>1.61E-2</v>
      </c>
      <c r="H27" s="40"/>
      <c r="I27" s="24"/>
      <c r="J27" s="5"/>
    </row>
    <row r="28" spans="1:10" ht="12.95" customHeight="1">
      <c r="A28" s="18" t="s">
        <v>805</v>
      </c>
      <c r="B28" s="19" t="s">
        <v>806</v>
      </c>
      <c r="C28" s="15" t="s">
        <v>807</v>
      </c>
      <c r="D28" s="15" t="s">
        <v>808</v>
      </c>
      <c r="E28" s="20">
        <v>4475</v>
      </c>
      <c r="F28" s="21">
        <v>18.396699999999999</v>
      </c>
      <c r="G28" s="22">
        <v>1.5800000000000002E-2</v>
      </c>
      <c r="H28" s="40"/>
      <c r="I28" s="24"/>
      <c r="J28" s="5"/>
    </row>
    <row r="29" spans="1:10" ht="12.95" customHeight="1">
      <c r="A29" s="18" t="s">
        <v>338</v>
      </c>
      <c r="B29" s="19" t="s">
        <v>339</v>
      </c>
      <c r="C29" s="15" t="s">
        <v>340</v>
      </c>
      <c r="D29" s="15" t="s">
        <v>334</v>
      </c>
      <c r="E29" s="20">
        <v>3338</v>
      </c>
      <c r="F29" s="21">
        <v>17.721399999999999</v>
      </c>
      <c r="G29" s="22">
        <v>1.52E-2</v>
      </c>
      <c r="H29" s="40"/>
      <c r="I29" s="24"/>
      <c r="J29" s="5"/>
    </row>
    <row r="30" spans="1:10" ht="12.95" customHeight="1">
      <c r="A30" s="18" t="s">
        <v>809</v>
      </c>
      <c r="B30" s="19" t="s">
        <v>810</v>
      </c>
      <c r="C30" s="15" t="s">
        <v>811</v>
      </c>
      <c r="D30" s="15" t="s">
        <v>403</v>
      </c>
      <c r="E30" s="20">
        <v>418</v>
      </c>
      <c r="F30" s="21">
        <v>17.411000000000001</v>
      </c>
      <c r="G30" s="22">
        <v>1.4999999999999999E-2</v>
      </c>
      <c r="H30" s="40"/>
      <c r="I30" s="24"/>
      <c r="J30" s="5"/>
    </row>
    <row r="31" spans="1:10" ht="12.95" customHeight="1">
      <c r="A31" s="18" t="s">
        <v>812</v>
      </c>
      <c r="B31" s="19" t="s">
        <v>813</v>
      </c>
      <c r="C31" s="15" t="s">
        <v>814</v>
      </c>
      <c r="D31" s="15" t="s">
        <v>798</v>
      </c>
      <c r="E31" s="20">
        <v>3154</v>
      </c>
      <c r="F31" s="21">
        <v>17.397500000000001</v>
      </c>
      <c r="G31" s="22">
        <v>1.4999999999999999E-2</v>
      </c>
      <c r="H31" s="40"/>
      <c r="I31" s="24"/>
      <c r="J31" s="5"/>
    </row>
    <row r="32" spans="1:10" ht="12.95" customHeight="1">
      <c r="A32" s="18" t="s">
        <v>815</v>
      </c>
      <c r="B32" s="19" t="s">
        <v>816</v>
      </c>
      <c r="C32" s="15" t="s">
        <v>817</v>
      </c>
      <c r="D32" s="15" t="s">
        <v>788</v>
      </c>
      <c r="E32" s="20">
        <v>1569</v>
      </c>
      <c r="F32" s="21">
        <v>15.803800000000001</v>
      </c>
      <c r="G32" s="22">
        <v>1.3599999999999999E-2</v>
      </c>
      <c r="H32" s="40"/>
      <c r="I32" s="24"/>
      <c r="J32" s="5"/>
    </row>
    <row r="33" spans="1:10" ht="12.95" customHeight="1">
      <c r="A33" s="18" t="s">
        <v>374</v>
      </c>
      <c r="B33" s="19" t="s">
        <v>375</v>
      </c>
      <c r="C33" s="15" t="s">
        <v>376</v>
      </c>
      <c r="D33" s="15" t="s">
        <v>310</v>
      </c>
      <c r="E33" s="20">
        <v>2791</v>
      </c>
      <c r="F33" s="21">
        <v>15.675700000000001</v>
      </c>
      <c r="G33" s="22">
        <v>1.35E-2</v>
      </c>
      <c r="H33" s="40"/>
      <c r="I33" s="24"/>
      <c r="J33" s="5"/>
    </row>
    <row r="34" spans="1:10" ht="12.95" customHeight="1">
      <c r="A34" s="18" t="s">
        <v>818</v>
      </c>
      <c r="B34" s="19" t="s">
        <v>819</v>
      </c>
      <c r="C34" s="15" t="s">
        <v>820</v>
      </c>
      <c r="D34" s="15" t="s">
        <v>291</v>
      </c>
      <c r="E34" s="20">
        <v>1790</v>
      </c>
      <c r="F34" s="21">
        <v>14.503500000000001</v>
      </c>
      <c r="G34" s="22">
        <v>1.2500000000000001E-2</v>
      </c>
      <c r="H34" s="40"/>
      <c r="I34" s="24"/>
      <c r="J34" s="5"/>
    </row>
    <row r="35" spans="1:10" ht="12.95" customHeight="1">
      <c r="A35" s="18" t="s">
        <v>821</v>
      </c>
      <c r="B35" s="19" t="s">
        <v>822</v>
      </c>
      <c r="C35" s="15" t="s">
        <v>823</v>
      </c>
      <c r="D35" s="15" t="s">
        <v>798</v>
      </c>
      <c r="E35" s="20">
        <v>719</v>
      </c>
      <c r="F35" s="21">
        <v>14.4199</v>
      </c>
      <c r="G35" s="22">
        <v>1.24E-2</v>
      </c>
      <c r="H35" s="40"/>
      <c r="I35" s="24"/>
      <c r="J35" s="5"/>
    </row>
    <row r="36" spans="1:10" ht="12.95" customHeight="1">
      <c r="A36" s="18" t="s">
        <v>824</v>
      </c>
      <c r="B36" s="19" t="s">
        <v>825</v>
      </c>
      <c r="C36" s="15" t="s">
        <v>826</v>
      </c>
      <c r="D36" s="15" t="s">
        <v>302</v>
      </c>
      <c r="E36" s="20">
        <v>32</v>
      </c>
      <c r="F36" s="21">
        <v>12.4732</v>
      </c>
      <c r="G36" s="22">
        <v>1.0699999999999999E-2</v>
      </c>
      <c r="H36" s="40"/>
      <c r="I36" s="24"/>
      <c r="J36" s="5"/>
    </row>
    <row r="37" spans="1:10" ht="12.95" customHeight="1">
      <c r="A37" s="5"/>
      <c r="B37" s="14" t="s">
        <v>160</v>
      </c>
      <c r="C37" s="15"/>
      <c r="D37" s="15"/>
      <c r="E37" s="15"/>
      <c r="F37" s="25">
        <v>1158.7789</v>
      </c>
      <c r="G37" s="26">
        <v>0.996</v>
      </c>
      <c r="H37" s="27"/>
      <c r="I37" s="28"/>
      <c r="J37" s="5"/>
    </row>
    <row r="38" spans="1:10" ht="12.95" customHeight="1">
      <c r="A38" s="5"/>
      <c r="B38" s="29" t="s">
        <v>408</v>
      </c>
      <c r="C38" s="2"/>
      <c r="D38" s="2"/>
      <c r="E38" s="2"/>
      <c r="F38" s="27" t="s">
        <v>162</v>
      </c>
      <c r="G38" s="27" t="s">
        <v>162</v>
      </c>
      <c r="H38" s="27"/>
      <c r="I38" s="28"/>
      <c r="J38" s="5"/>
    </row>
    <row r="39" spans="1:10" ht="12.95" customHeight="1">
      <c r="A39" s="5"/>
      <c r="B39" s="29" t="s">
        <v>160</v>
      </c>
      <c r="C39" s="2"/>
      <c r="D39" s="2"/>
      <c r="E39" s="2"/>
      <c r="F39" s="27" t="s">
        <v>162</v>
      </c>
      <c r="G39" s="27" t="s">
        <v>162</v>
      </c>
      <c r="H39" s="27"/>
      <c r="I39" s="28"/>
      <c r="J39" s="5"/>
    </row>
    <row r="40" spans="1:10" ht="12.95" customHeight="1">
      <c r="A40" s="5"/>
      <c r="B40" s="29" t="s">
        <v>163</v>
      </c>
      <c r="C40" s="30"/>
      <c r="D40" s="2"/>
      <c r="E40" s="30"/>
      <c r="F40" s="25">
        <v>1158.7789</v>
      </c>
      <c r="G40" s="26">
        <v>0.996</v>
      </c>
      <c r="H40" s="27"/>
      <c r="I40" s="28"/>
      <c r="J40" s="5"/>
    </row>
    <row r="41" spans="1:10" ht="12.95" customHeight="1">
      <c r="A41" s="5"/>
      <c r="B41" s="14" t="s">
        <v>164</v>
      </c>
      <c r="C41" s="15"/>
      <c r="D41" s="15"/>
      <c r="E41" s="15"/>
      <c r="F41" s="15"/>
      <c r="G41" s="15"/>
      <c r="H41" s="16"/>
      <c r="I41" s="17"/>
      <c r="J41" s="5"/>
    </row>
    <row r="42" spans="1:10" ht="12.95" customHeight="1">
      <c r="A42" s="18" t="s">
        <v>165</v>
      </c>
      <c r="B42" s="19" t="s">
        <v>166</v>
      </c>
      <c r="C42" s="15"/>
      <c r="D42" s="15"/>
      <c r="E42" s="20"/>
      <c r="F42" s="21">
        <v>2.1692</v>
      </c>
      <c r="G42" s="22">
        <v>1.9E-3</v>
      </c>
      <c r="H42" s="23">
        <v>6.7996062616751535E-2</v>
      </c>
      <c r="I42" s="24"/>
      <c r="J42" s="5"/>
    </row>
    <row r="43" spans="1:10" ht="12.95" customHeight="1">
      <c r="A43" s="5"/>
      <c r="B43" s="14" t="s">
        <v>160</v>
      </c>
      <c r="C43" s="15"/>
      <c r="D43" s="15"/>
      <c r="E43" s="15"/>
      <c r="F43" s="25">
        <v>2.1692</v>
      </c>
      <c r="G43" s="26">
        <v>1.9E-3</v>
      </c>
      <c r="H43" s="27"/>
      <c r="I43" s="28"/>
      <c r="J43" s="5"/>
    </row>
    <row r="44" spans="1:10" ht="12.95" customHeight="1">
      <c r="A44" s="5"/>
      <c r="B44" s="29" t="s">
        <v>163</v>
      </c>
      <c r="C44" s="30"/>
      <c r="D44" s="2"/>
      <c r="E44" s="30"/>
      <c r="F44" s="25">
        <v>2.1692</v>
      </c>
      <c r="G44" s="26">
        <v>1.9E-3</v>
      </c>
      <c r="H44" s="27"/>
      <c r="I44" s="28"/>
      <c r="J44" s="5"/>
    </row>
    <row r="45" spans="1:10" ht="12.95" customHeight="1">
      <c r="A45" s="5"/>
      <c r="B45" s="29" t="s">
        <v>167</v>
      </c>
      <c r="C45" s="15"/>
      <c r="D45" s="2"/>
      <c r="E45" s="15"/>
      <c r="F45" s="31">
        <v>2.4319000000000002</v>
      </c>
      <c r="G45" s="26">
        <v>2.0999999999999999E-3</v>
      </c>
      <c r="H45" s="27"/>
      <c r="I45" s="28"/>
      <c r="J45" s="5"/>
    </row>
    <row r="46" spans="1:10" ht="12.95" customHeight="1">
      <c r="A46" s="5"/>
      <c r="B46" s="32" t="s">
        <v>168</v>
      </c>
      <c r="C46" s="33"/>
      <c r="D46" s="33"/>
      <c r="E46" s="33"/>
      <c r="F46" s="34">
        <v>1163.3800000000001</v>
      </c>
      <c r="G46" s="35">
        <v>1</v>
      </c>
      <c r="H46" s="36"/>
      <c r="I46" s="37"/>
      <c r="J46" s="5"/>
    </row>
    <row r="47" spans="1:10" ht="12.95" customHeight="1">
      <c r="A47" s="5"/>
      <c r="B47" s="7"/>
      <c r="C47" s="5"/>
      <c r="D47" s="5"/>
      <c r="E47" s="5"/>
      <c r="F47" s="5"/>
      <c r="G47" s="5"/>
      <c r="H47" s="5"/>
      <c r="I47" s="5"/>
      <c r="J47" s="5"/>
    </row>
    <row r="48" spans="1:10" ht="12.95" customHeight="1">
      <c r="A48" s="5"/>
      <c r="B48" s="4" t="s">
        <v>169</v>
      </c>
      <c r="C48" s="5"/>
      <c r="D48" s="5"/>
      <c r="E48" s="5"/>
      <c r="F48" s="5"/>
      <c r="G48" s="5"/>
      <c r="H48" s="5"/>
      <c r="I48" s="5"/>
      <c r="J48" s="5"/>
    </row>
    <row r="49" spans="1:10" ht="12.95" customHeight="1">
      <c r="A49" s="5"/>
      <c r="B49" s="4" t="s">
        <v>170</v>
      </c>
      <c r="C49" s="5"/>
      <c r="D49" s="5"/>
      <c r="E49" s="5"/>
      <c r="F49" s="5"/>
      <c r="G49" s="5"/>
      <c r="H49" s="5"/>
      <c r="I49" s="5"/>
      <c r="J49" s="5"/>
    </row>
    <row r="50" spans="1:10" ht="26.1" customHeight="1">
      <c r="A50" s="5"/>
      <c r="B50" s="86" t="s">
        <v>171</v>
      </c>
      <c r="C50" s="86"/>
      <c r="D50" s="86"/>
      <c r="E50" s="86"/>
      <c r="F50" s="86"/>
      <c r="G50" s="86"/>
      <c r="H50" s="86"/>
      <c r="I50" s="86"/>
      <c r="J50" s="5"/>
    </row>
    <row r="51" spans="1:10" ht="12.95" customHeight="1">
      <c r="A51" s="5"/>
      <c r="B51" s="86"/>
      <c r="C51" s="86"/>
      <c r="D51" s="86"/>
      <c r="E51" s="86"/>
      <c r="F51" s="86"/>
      <c r="G51" s="86"/>
      <c r="H51" s="86"/>
      <c r="I51" s="86"/>
      <c r="J51" s="5"/>
    </row>
    <row r="52" spans="1:10" ht="12.95" customHeight="1">
      <c r="A52" s="5"/>
      <c r="B52" s="89" t="s">
        <v>827</v>
      </c>
      <c r="C52" s="89"/>
      <c r="D52" s="89"/>
      <c r="E52" s="89"/>
      <c r="F52" s="5"/>
      <c r="G52" s="5"/>
      <c r="H52" s="5"/>
      <c r="I52" s="5"/>
      <c r="J52" s="5"/>
    </row>
    <row r="53" spans="1:10" ht="12.95" customHeight="1">
      <c r="A53" s="5"/>
      <c r="B53" s="86"/>
      <c r="C53" s="86"/>
      <c r="D53" s="86"/>
      <c r="E53" s="86"/>
      <c r="F53" s="86"/>
      <c r="G53" s="86"/>
      <c r="H53" s="86"/>
      <c r="I53" s="86"/>
      <c r="J53" s="5"/>
    </row>
    <row r="54" spans="1:10" ht="12.95" customHeight="1">
      <c r="A54" s="5"/>
      <c r="B54" s="5"/>
      <c r="C54" s="87" t="s">
        <v>828</v>
      </c>
      <c r="D54" s="87"/>
      <c r="E54" s="87"/>
      <c r="F54" s="87"/>
      <c r="G54" s="5"/>
      <c r="H54" s="5"/>
      <c r="I54" s="5"/>
      <c r="J54" s="5"/>
    </row>
    <row r="55" spans="1:10" ht="12.95" customHeight="1">
      <c r="A55" s="5"/>
      <c r="B55" s="38" t="s">
        <v>173</v>
      </c>
      <c r="C55" s="87" t="s">
        <v>174</v>
      </c>
      <c r="D55" s="87"/>
      <c r="E55" s="87"/>
      <c r="F55" s="87"/>
      <c r="G55" s="5"/>
      <c r="H55" s="5"/>
      <c r="I55" s="5"/>
      <c r="J55" s="5"/>
    </row>
    <row r="56" spans="1:10" ht="120.95" customHeight="1">
      <c r="A56" s="5"/>
      <c r="B56" s="39"/>
      <c r="C56" s="85"/>
      <c r="D56" s="85"/>
      <c r="E56" s="5"/>
      <c r="F56" s="5"/>
      <c r="G56" s="5"/>
      <c r="H56" s="5"/>
      <c r="I56" s="5"/>
      <c r="J56" s="5"/>
    </row>
  </sheetData>
  <mergeCells count="7">
    <mergeCell ref="C55:F55"/>
    <mergeCell ref="C56:D56"/>
    <mergeCell ref="B50:I50"/>
    <mergeCell ref="B51:I51"/>
    <mergeCell ref="B52:E52"/>
    <mergeCell ref="B53:I53"/>
    <mergeCell ref="C54:F54"/>
  </mergeCells>
  <hyperlinks>
    <hyperlink ref="A1" location="AxisNIFTYIndiaConsumptionETF" display="AXISCETF" xr:uid="{00000000-0004-0000-0800-000000000000}"/>
    <hyperlink ref="B1" location="AxisNIFTYIndiaConsumptionETF" display="Axis NIFTY India Consumption ETF" xr:uid="{00000000-0004-0000-08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J9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20</v>
      </c>
      <c r="B1" s="4" t="s">
        <v>21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54376</v>
      </c>
      <c r="F7" s="21">
        <v>4247.1733999999997</v>
      </c>
      <c r="G7" s="22">
        <v>5.5899999999999998E-2</v>
      </c>
      <c r="H7" s="40"/>
      <c r="I7" s="24"/>
      <c r="J7" s="5"/>
    </row>
    <row r="8" spans="1:10" ht="12.95" customHeight="1">
      <c r="A8" s="18" t="s">
        <v>282</v>
      </c>
      <c r="B8" s="19" t="s">
        <v>283</v>
      </c>
      <c r="C8" s="15" t="s">
        <v>284</v>
      </c>
      <c r="D8" s="15" t="s">
        <v>271</v>
      </c>
      <c r="E8" s="20">
        <v>256980</v>
      </c>
      <c r="F8" s="21">
        <v>3922.2856999999999</v>
      </c>
      <c r="G8" s="22">
        <v>5.16E-2</v>
      </c>
      <c r="H8" s="40"/>
      <c r="I8" s="24"/>
      <c r="J8" s="5"/>
    </row>
    <row r="9" spans="1:10" ht="12.95" customHeight="1">
      <c r="A9" s="18" t="s">
        <v>268</v>
      </c>
      <c r="B9" s="19" t="s">
        <v>269</v>
      </c>
      <c r="C9" s="15" t="s">
        <v>270</v>
      </c>
      <c r="D9" s="15" t="s">
        <v>271</v>
      </c>
      <c r="E9" s="20">
        <v>383144</v>
      </c>
      <c r="F9" s="21">
        <v>3647.1477</v>
      </c>
      <c r="G9" s="22">
        <v>4.8000000000000001E-2</v>
      </c>
      <c r="H9" s="40"/>
      <c r="I9" s="24"/>
      <c r="J9" s="5"/>
    </row>
    <row r="10" spans="1:10" ht="12.95" customHeight="1">
      <c r="A10" s="18" t="s">
        <v>248</v>
      </c>
      <c r="B10" s="19" t="s">
        <v>249</v>
      </c>
      <c r="C10" s="15" t="s">
        <v>250</v>
      </c>
      <c r="D10" s="15" t="s">
        <v>251</v>
      </c>
      <c r="E10" s="20">
        <v>138165</v>
      </c>
      <c r="F10" s="21">
        <v>3239.9693000000002</v>
      </c>
      <c r="G10" s="22">
        <v>4.2599999999999999E-2</v>
      </c>
      <c r="H10" s="40"/>
      <c r="I10" s="24"/>
      <c r="J10" s="5"/>
    </row>
    <row r="11" spans="1:10" ht="12.95" customHeight="1">
      <c r="A11" s="18" t="s">
        <v>766</v>
      </c>
      <c r="B11" s="19" t="s">
        <v>767</v>
      </c>
      <c r="C11" s="15" t="s">
        <v>768</v>
      </c>
      <c r="D11" s="15" t="s">
        <v>403</v>
      </c>
      <c r="E11" s="20">
        <v>83763</v>
      </c>
      <c r="F11" s="21">
        <v>3078.7928000000002</v>
      </c>
      <c r="G11" s="22">
        <v>4.0500000000000001E-2</v>
      </c>
      <c r="H11" s="40"/>
      <c r="I11" s="24"/>
      <c r="J11" s="5"/>
    </row>
    <row r="12" spans="1:10" ht="12.95" customHeight="1">
      <c r="A12" s="18" t="s">
        <v>260</v>
      </c>
      <c r="B12" s="19" t="s">
        <v>261</v>
      </c>
      <c r="C12" s="15" t="s">
        <v>262</v>
      </c>
      <c r="D12" s="15" t="s">
        <v>263</v>
      </c>
      <c r="E12" s="20">
        <v>80000</v>
      </c>
      <c r="F12" s="21">
        <v>2822.88</v>
      </c>
      <c r="G12" s="22">
        <v>3.7100000000000001E-2</v>
      </c>
      <c r="H12" s="40"/>
      <c r="I12" s="24"/>
      <c r="J12" s="5"/>
    </row>
    <row r="13" spans="1:10" ht="12.95" customHeight="1">
      <c r="A13" s="18" t="s">
        <v>285</v>
      </c>
      <c r="B13" s="19" t="s">
        <v>286</v>
      </c>
      <c r="C13" s="15" t="s">
        <v>287</v>
      </c>
      <c r="D13" s="15" t="s">
        <v>263</v>
      </c>
      <c r="E13" s="20">
        <v>175904</v>
      </c>
      <c r="F13" s="21">
        <v>2525.0140000000001</v>
      </c>
      <c r="G13" s="22">
        <v>3.32E-2</v>
      </c>
      <c r="H13" s="40"/>
      <c r="I13" s="24"/>
      <c r="J13" s="5"/>
    </row>
    <row r="14" spans="1:10" ht="12.95" customHeight="1">
      <c r="A14" s="18" t="s">
        <v>829</v>
      </c>
      <c r="B14" s="19" t="s">
        <v>830</v>
      </c>
      <c r="C14" s="15" t="s">
        <v>831</v>
      </c>
      <c r="D14" s="15" t="s">
        <v>832</v>
      </c>
      <c r="E14" s="20">
        <v>55692</v>
      </c>
      <c r="F14" s="21">
        <v>1923.0447999999999</v>
      </c>
      <c r="G14" s="22">
        <v>2.53E-2</v>
      </c>
      <c r="H14" s="40"/>
      <c r="I14" s="24"/>
      <c r="J14" s="5"/>
    </row>
    <row r="15" spans="1:10" ht="12.95" customHeight="1">
      <c r="A15" s="18" t="s">
        <v>690</v>
      </c>
      <c r="B15" s="19" t="s">
        <v>691</v>
      </c>
      <c r="C15" s="15" t="s">
        <v>692</v>
      </c>
      <c r="D15" s="15" t="s">
        <v>271</v>
      </c>
      <c r="E15" s="20">
        <v>109744</v>
      </c>
      <c r="F15" s="21">
        <v>1904.8266000000001</v>
      </c>
      <c r="G15" s="22">
        <v>2.5100000000000001E-2</v>
      </c>
      <c r="H15" s="40"/>
      <c r="I15" s="24"/>
      <c r="J15" s="5"/>
    </row>
    <row r="16" spans="1:10" ht="12.95" customHeight="1">
      <c r="A16" s="18" t="s">
        <v>719</v>
      </c>
      <c r="B16" s="19" t="s">
        <v>720</v>
      </c>
      <c r="C16" s="15" t="s">
        <v>721</v>
      </c>
      <c r="D16" s="15" t="s">
        <v>722</v>
      </c>
      <c r="E16" s="20">
        <v>55924</v>
      </c>
      <c r="F16" s="21">
        <v>1690.8901000000001</v>
      </c>
      <c r="G16" s="22">
        <v>2.2200000000000001E-2</v>
      </c>
      <c r="H16" s="40"/>
      <c r="I16" s="24"/>
      <c r="J16" s="5"/>
    </row>
    <row r="17" spans="1:10" ht="12.95" customHeight="1">
      <c r="A17" s="18" t="s">
        <v>833</v>
      </c>
      <c r="B17" s="19" t="s">
        <v>834</v>
      </c>
      <c r="C17" s="15" t="s">
        <v>835</v>
      </c>
      <c r="D17" s="15" t="s">
        <v>306</v>
      </c>
      <c r="E17" s="20">
        <v>59976</v>
      </c>
      <c r="F17" s="21">
        <v>1521.951</v>
      </c>
      <c r="G17" s="22">
        <v>0.02</v>
      </c>
      <c r="H17" s="40"/>
      <c r="I17" s="24"/>
      <c r="J17" s="5"/>
    </row>
    <row r="18" spans="1:10" ht="12.95" customHeight="1">
      <c r="A18" s="18" t="s">
        <v>836</v>
      </c>
      <c r="B18" s="19" t="s">
        <v>837</v>
      </c>
      <c r="C18" s="15" t="s">
        <v>838</v>
      </c>
      <c r="D18" s="15" t="s">
        <v>314</v>
      </c>
      <c r="E18" s="20">
        <v>74042</v>
      </c>
      <c r="F18" s="21">
        <v>1301.8805</v>
      </c>
      <c r="G18" s="22">
        <v>1.7100000000000001E-2</v>
      </c>
      <c r="H18" s="40"/>
      <c r="I18" s="24"/>
      <c r="J18" s="5"/>
    </row>
    <row r="19" spans="1:10" ht="12.95" customHeight="1">
      <c r="A19" s="18" t="s">
        <v>839</v>
      </c>
      <c r="B19" s="19" t="s">
        <v>840</v>
      </c>
      <c r="C19" s="15" t="s">
        <v>841</v>
      </c>
      <c r="D19" s="15" t="s">
        <v>745</v>
      </c>
      <c r="E19" s="20">
        <v>31120</v>
      </c>
      <c r="F19" s="21">
        <v>1171.7147</v>
      </c>
      <c r="G19" s="22">
        <v>1.54E-2</v>
      </c>
      <c r="H19" s="40"/>
      <c r="I19" s="24"/>
      <c r="J19" s="5"/>
    </row>
    <row r="20" spans="1:10" ht="12.95" customHeight="1">
      <c r="A20" s="18" t="s">
        <v>749</v>
      </c>
      <c r="B20" s="19" t="s">
        <v>750</v>
      </c>
      <c r="C20" s="15" t="s">
        <v>751</v>
      </c>
      <c r="D20" s="15" t="s">
        <v>255</v>
      </c>
      <c r="E20" s="20">
        <v>75000</v>
      </c>
      <c r="F20" s="21">
        <v>1155.1875</v>
      </c>
      <c r="G20" s="22">
        <v>1.52E-2</v>
      </c>
      <c r="H20" s="40"/>
      <c r="I20" s="24"/>
      <c r="J20" s="5"/>
    </row>
    <row r="21" spans="1:10" ht="12.95" customHeight="1">
      <c r="A21" s="18" t="s">
        <v>730</v>
      </c>
      <c r="B21" s="19" t="s">
        <v>731</v>
      </c>
      <c r="C21" s="15" t="s">
        <v>732</v>
      </c>
      <c r="D21" s="15" t="s">
        <v>281</v>
      </c>
      <c r="E21" s="20">
        <v>71000</v>
      </c>
      <c r="F21" s="21">
        <v>1103.5174999999999</v>
      </c>
      <c r="G21" s="22">
        <v>1.4500000000000001E-2</v>
      </c>
      <c r="H21" s="40"/>
      <c r="I21" s="24"/>
      <c r="J21" s="5"/>
    </row>
    <row r="22" spans="1:10" ht="12.95" customHeight="1">
      <c r="A22" s="18" t="s">
        <v>842</v>
      </c>
      <c r="B22" s="19" t="s">
        <v>843</v>
      </c>
      <c r="C22" s="15" t="s">
        <v>844</v>
      </c>
      <c r="D22" s="15" t="s">
        <v>259</v>
      </c>
      <c r="E22" s="20">
        <v>115834</v>
      </c>
      <c r="F22" s="21">
        <v>1091.2720999999999</v>
      </c>
      <c r="G22" s="22">
        <v>1.44E-2</v>
      </c>
      <c r="H22" s="40"/>
      <c r="I22" s="24"/>
      <c r="J22" s="5"/>
    </row>
    <row r="23" spans="1:10" ht="12.95" customHeight="1">
      <c r="A23" s="18" t="s">
        <v>845</v>
      </c>
      <c r="B23" s="19" t="s">
        <v>846</v>
      </c>
      <c r="C23" s="15" t="s">
        <v>847</v>
      </c>
      <c r="D23" s="15" t="s">
        <v>778</v>
      </c>
      <c r="E23" s="20">
        <v>309366</v>
      </c>
      <c r="F23" s="21">
        <v>1051.6896999999999</v>
      </c>
      <c r="G23" s="22">
        <v>1.38E-2</v>
      </c>
      <c r="H23" s="40"/>
      <c r="I23" s="24"/>
      <c r="J23" s="5"/>
    </row>
    <row r="24" spans="1:10" ht="12.95" customHeight="1">
      <c r="A24" s="18" t="s">
        <v>353</v>
      </c>
      <c r="B24" s="19" t="s">
        <v>354</v>
      </c>
      <c r="C24" s="15" t="s">
        <v>355</v>
      </c>
      <c r="D24" s="15" t="s">
        <v>267</v>
      </c>
      <c r="E24" s="20">
        <v>3673</v>
      </c>
      <c r="F24" s="21">
        <v>935.32950000000005</v>
      </c>
      <c r="G24" s="22">
        <v>1.23E-2</v>
      </c>
      <c r="H24" s="40"/>
      <c r="I24" s="24"/>
      <c r="J24" s="5"/>
    </row>
    <row r="25" spans="1:10" ht="12.95" customHeight="1">
      <c r="A25" s="18" t="s">
        <v>400</v>
      </c>
      <c r="B25" s="19" t="s">
        <v>401</v>
      </c>
      <c r="C25" s="15" t="s">
        <v>402</v>
      </c>
      <c r="D25" s="15" t="s">
        <v>403</v>
      </c>
      <c r="E25" s="20">
        <v>68906</v>
      </c>
      <c r="F25" s="21">
        <v>922.34130000000005</v>
      </c>
      <c r="G25" s="22">
        <v>1.21E-2</v>
      </c>
      <c r="H25" s="40"/>
      <c r="I25" s="24"/>
      <c r="J25" s="5"/>
    </row>
    <row r="26" spans="1:10" ht="12.95" customHeight="1">
      <c r="A26" s="18" t="s">
        <v>752</v>
      </c>
      <c r="B26" s="19" t="s">
        <v>753</v>
      </c>
      <c r="C26" s="15" t="s">
        <v>754</v>
      </c>
      <c r="D26" s="15" t="s">
        <v>755</v>
      </c>
      <c r="E26" s="20">
        <v>4096</v>
      </c>
      <c r="F26" s="21">
        <v>921.88260000000002</v>
      </c>
      <c r="G26" s="22">
        <v>1.21E-2</v>
      </c>
      <c r="H26" s="40"/>
      <c r="I26" s="24"/>
      <c r="J26" s="5"/>
    </row>
    <row r="27" spans="1:10" ht="12.95" customHeight="1">
      <c r="A27" s="18" t="s">
        <v>848</v>
      </c>
      <c r="B27" s="19" t="s">
        <v>849</v>
      </c>
      <c r="C27" s="15" t="s">
        <v>850</v>
      </c>
      <c r="D27" s="15" t="s">
        <v>255</v>
      </c>
      <c r="E27" s="20">
        <v>75000</v>
      </c>
      <c r="F27" s="21">
        <v>913.16250000000002</v>
      </c>
      <c r="G27" s="22">
        <v>1.2E-2</v>
      </c>
      <c r="H27" s="40"/>
      <c r="I27" s="24"/>
      <c r="J27" s="5"/>
    </row>
    <row r="28" spans="1:10" ht="12.95" customHeight="1">
      <c r="A28" s="18" t="s">
        <v>851</v>
      </c>
      <c r="B28" s="19" t="s">
        <v>852</v>
      </c>
      <c r="C28" s="15" t="s">
        <v>853</v>
      </c>
      <c r="D28" s="15" t="s">
        <v>259</v>
      </c>
      <c r="E28" s="20">
        <v>141012</v>
      </c>
      <c r="F28" s="21">
        <v>845.29639999999995</v>
      </c>
      <c r="G28" s="22">
        <v>1.11E-2</v>
      </c>
      <c r="H28" s="40"/>
      <c r="I28" s="24"/>
      <c r="J28" s="5"/>
    </row>
    <row r="29" spans="1:10" ht="12.95" customHeight="1">
      <c r="A29" s="18" t="s">
        <v>264</v>
      </c>
      <c r="B29" s="19" t="s">
        <v>265</v>
      </c>
      <c r="C29" s="15" t="s">
        <v>266</v>
      </c>
      <c r="D29" s="15" t="s">
        <v>267</v>
      </c>
      <c r="E29" s="20">
        <v>10000</v>
      </c>
      <c r="F29" s="21">
        <v>825.48500000000001</v>
      </c>
      <c r="G29" s="22">
        <v>1.09E-2</v>
      </c>
      <c r="H29" s="40"/>
      <c r="I29" s="24"/>
      <c r="J29" s="5"/>
    </row>
    <row r="30" spans="1:10" ht="12.95" customHeight="1">
      <c r="A30" s="18" t="s">
        <v>854</v>
      </c>
      <c r="B30" s="19" t="s">
        <v>855</v>
      </c>
      <c r="C30" s="15" t="s">
        <v>856</v>
      </c>
      <c r="D30" s="15" t="s">
        <v>314</v>
      </c>
      <c r="E30" s="20">
        <v>58462</v>
      </c>
      <c r="F30" s="21">
        <v>823.87570000000005</v>
      </c>
      <c r="G30" s="22">
        <v>1.0800000000000001E-2</v>
      </c>
      <c r="H30" s="40"/>
      <c r="I30" s="24"/>
      <c r="J30" s="5"/>
    </row>
    <row r="31" spans="1:10" ht="12.95" customHeight="1">
      <c r="A31" s="18" t="s">
        <v>331</v>
      </c>
      <c r="B31" s="19" t="s">
        <v>332</v>
      </c>
      <c r="C31" s="15" t="s">
        <v>333</v>
      </c>
      <c r="D31" s="15" t="s">
        <v>334</v>
      </c>
      <c r="E31" s="20">
        <v>143615</v>
      </c>
      <c r="F31" s="21">
        <v>815.51779999999997</v>
      </c>
      <c r="G31" s="22">
        <v>1.0699999999999999E-2</v>
      </c>
      <c r="H31" s="40"/>
      <c r="I31" s="24"/>
      <c r="J31" s="5"/>
    </row>
    <row r="32" spans="1:10" ht="12.95" customHeight="1">
      <c r="A32" s="18" t="s">
        <v>321</v>
      </c>
      <c r="B32" s="19" t="s">
        <v>322</v>
      </c>
      <c r="C32" s="15" t="s">
        <v>323</v>
      </c>
      <c r="D32" s="15" t="s">
        <v>324</v>
      </c>
      <c r="E32" s="20">
        <v>25000</v>
      </c>
      <c r="F32" s="21">
        <v>790.26250000000005</v>
      </c>
      <c r="G32" s="22">
        <v>1.04E-2</v>
      </c>
      <c r="H32" s="40"/>
      <c r="I32" s="24"/>
      <c r="J32" s="5"/>
    </row>
    <row r="33" spans="1:10" ht="12.95" customHeight="1">
      <c r="A33" s="18" t="s">
        <v>857</v>
      </c>
      <c r="B33" s="19" t="s">
        <v>858</v>
      </c>
      <c r="C33" s="15" t="s">
        <v>859</v>
      </c>
      <c r="D33" s="15" t="s">
        <v>259</v>
      </c>
      <c r="E33" s="20">
        <v>788691</v>
      </c>
      <c r="F33" s="21">
        <v>757.14340000000004</v>
      </c>
      <c r="G33" s="22">
        <v>0.01</v>
      </c>
      <c r="H33" s="40"/>
      <c r="I33" s="24"/>
      <c r="J33" s="5"/>
    </row>
    <row r="34" spans="1:10" ht="12.95" customHeight="1">
      <c r="A34" s="18" t="s">
        <v>775</v>
      </c>
      <c r="B34" s="19" t="s">
        <v>776</v>
      </c>
      <c r="C34" s="15" t="s">
        <v>777</v>
      </c>
      <c r="D34" s="15" t="s">
        <v>778</v>
      </c>
      <c r="E34" s="20">
        <v>13834</v>
      </c>
      <c r="F34" s="21">
        <v>710.75630000000001</v>
      </c>
      <c r="G34" s="22">
        <v>9.4000000000000004E-3</v>
      </c>
      <c r="H34" s="40"/>
      <c r="I34" s="24"/>
      <c r="J34" s="5"/>
    </row>
    <row r="35" spans="1:10" ht="12.95" customHeight="1">
      <c r="A35" s="18" t="s">
        <v>742</v>
      </c>
      <c r="B35" s="19" t="s">
        <v>743</v>
      </c>
      <c r="C35" s="15" t="s">
        <v>744</v>
      </c>
      <c r="D35" s="15" t="s">
        <v>745</v>
      </c>
      <c r="E35" s="20">
        <v>60409</v>
      </c>
      <c r="F35" s="21">
        <v>699.9289</v>
      </c>
      <c r="G35" s="22">
        <v>9.1999999999999998E-3</v>
      </c>
      <c r="H35" s="40"/>
      <c r="I35" s="24"/>
      <c r="J35" s="5"/>
    </row>
    <row r="36" spans="1:10" ht="12.95" customHeight="1">
      <c r="A36" s="18" t="s">
        <v>860</v>
      </c>
      <c r="B36" s="19" t="s">
        <v>861</v>
      </c>
      <c r="C36" s="15" t="s">
        <v>862</v>
      </c>
      <c r="D36" s="15" t="s">
        <v>259</v>
      </c>
      <c r="E36" s="20">
        <v>1033695</v>
      </c>
      <c r="F36" s="21">
        <v>666.21640000000002</v>
      </c>
      <c r="G36" s="22">
        <v>8.8000000000000005E-3</v>
      </c>
      <c r="H36" s="40"/>
      <c r="I36" s="24"/>
      <c r="J36" s="5"/>
    </row>
    <row r="37" spans="1:10" ht="12.95" customHeight="1">
      <c r="A37" s="18" t="s">
        <v>278</v>
      </c>
      <c r="B37" s="19" t="s">
        <v>279</v>
      </c>
      <c r="C37" s="15" t="s">
        <v>280</v>
      </c>
      <c r="D37" s="15" t="s">
        <v>281</v>
      </c>
      <c r="E37" s="20">
        <v>100000</v>
      </c>
      <c r="F37" s="21">
        <v>630.20000000000005</v>
      </c>
      <c r="G37" s="22">
        <v>8.3000000000000001E-3</v>
      </c>
      <c r="H37" s="40"/>
      <c r="I37" s="24"/>
      <c r="J37" s="5"/>
    </row>
    <row r="38" spans="1:10" ht="12.95" customHeight="1">
      <c r="A38" s="18" t="s">
        <v>345</v>
      </c>
      <c r="B38" s="19" t="s">
        <v>346</v>
      </c>
      <c r="C38" s="15" t="s">
        <v>347</v>
      </c>
      <c r="D38" s="15" t="s">
        <v>348</v>
      </c>
      <c r="E38" s="20">
        <v>25000</v>
      </c>
      <c r="F38" s="21">
        <v>616.4</v>
      </c>
      <c r="G38" s="22">
        <v>8.0999999999999996E-3</v>
      </c>
      <c r="H38" s="40"/>
      <c r="I38" s="24"/>
      <c r="J38" s="5"/>
    </row>
    <row r="39" spans="1:10" ht="12.95" customHeight="1">
      <c r="A39" s="18" t="s">
        <v>863</v>
      </c>
      <c r="B39" s="19" t="s">
        <v>864</v>
      </c>
      <c r="C39" s="15" t="s">
        <v>865</v>
      </c>
      <c r="D39" s="15" t="s">
        <v>745</v>
      </c>
      <c r="E39" s="20">
        <v>40580</v>
      </c>
      <c r="F39" s="21">
        <v>601.43619999999999</v>
      </c>
      <c r="G39" s="22">
        <v>7.9000000000000008E-3</v>
      </c>
      <c r="H39" s="40"/>
      <c r="I39" s="24"/>
      <c r="J39" s="5"/>
    </row>
    <row r="40" spans="1:10" ht="12.95" customHeight="1">
      <c r="A40" s="18" t="s">
        <v>866</v>
      </c>
      <c r="B40" s="19" t="s">
        <v>867</v>
      </c>
      <c r="C40" s="15" t="s">
        <v>868</v>
      </c>
      <c r="D40" s="15" t="s">
        <v>403</v>
      </c>
      <c r="E40" s="20">
        <v>568357</v>
      </c>
      <c r="F40" s="21">
        <v>576.88239999999996</v>
      </c>
      <c r="G40" s="22">
        <v>7.6E-3</v>
      </c>
      <c r="H40" s="40"/>
      <c r="I40" s="24"/>
      <c r="J40" s="5"/>
    </row>
    <row r="41" spans="1:10" ht="12.95" customHeight="1">
      <c r="A41" s="18" t="s">
        <v>733</v>
      </c>
      <c r="B41" s="19" t="s">
        <v>734</v>
      </c>
      <c r="C41" s="15" t="s">
        <v>735</v>
      </c>
      <c r="D41" s="15" t="s">
        <v>281</v>
      </c>
      <c r="E41" s="20">
        <v>5000</v>
      </c>
      <c r="F41" s="21">
        <v>530.53</v>
      </c>
      <c r="G41" s="22">
        <v>7.0000000000000001E-3</v>
      </c>
      <c r="H41" s="40"/>
      <c r="I41" s="24"/>
      <c r="J41" s="5"/>
    </row>
    <row r="42" spans="1:10" ht="12.95" customHeight="1">
      <c r="A42" s="18" t="s">
        <v>318</v>
      </c>
      <c r="B42" s="19" t="s">
        <v>319</v>
      </c>
      <c r="C42" s="15" t="s">
        <v>320</v>
      </c>
      <c r="D42" s="15" t="s">
        <v>263</v>
      </c>
      <c r="E42" s="20">
        <v>10000</v>
      </c>
      <c r="F42" s="21">
        <v>520.98500000000001</v>
      </c>
      <c r="G42" s="22">
        <v>6.8999999999999999E-3</v>
      </c>
      <c r="H42" s="40"/>
      <c r="I42" s="24"/>
      <c r="J42" s="5"/>
    </row>
    <row r="43" spans="1:10" ht="12.95" customHeight="1">
      <c r="A43" s="18" t="s">
        <v>869</v>
      </c>
      <c r="B43" s="19" t="s">
        <v>870</v>
      </c>
      <c r="C43" s="15" t="s">
        <v>871</v>
      </c>
      <c r="D43" s="15" t="s">
        <v>832</v>
      </c>
      <c r="E43" s="20">
        <v>112862</v>
      </c>
      <c r="F43" s="21">
        <v>476.72910000000002</v>
      </c>
      <c r="G43" s="22">
        <v>6.3E-3</v>
      </c>
      <c r="H43" s="40"/>
      <c r="I43" s="24"/>
      <c r="J43" s="5"/>
    </row>
    <row r="44" spans="1:10" ht="12.95" customHeight="1">
      <c r="A44" s="18" t="s">
        <v>872</v>
      </c>
      <c r="B44" s="19" t="s">
        <v>873</v>
      </c>
      <c r="C44" s="15" t="s">
        <v>874</v>
      </c>
      <c r="D44" s="15" t="s">
        <v>352</v>
      </c>
      <c r="E44" s="20">
        <v>1063</v>
      </c>
      <c r="F44" s="21">
        <v>423.6454</v>
      </c>
      <c r="G44" s="22">
        <v>5.5999999999999999E-3</v>
      </c>
      <c r="H44" s="40"/>
      <c r="I44" s="24"/>
      <c r="J44" s="5"/>
    </row>
    <row r="45" spans="1:10" ht="12.95" customHeight="1">
      <c r="A45" s="18" t="s">
        <v>875</v>
      </c>
      <c r="B45" s="19" t="s">
        <v>876</v>
      </c>
      <c r="C45" s="15" t="s">
        <v>877</v>
      </c>
      <c r="D45" s="15" t="s">
        <v>403</v>
      </c>
      <c r="E45" s="20">
        <v>267684</v>
      </c>
      <c r="F45" s="21">
        <v>410.09190000000001</v>
      </c>
      <c r="G45" s="22">
        <v>5.4000000000000003E-3</v>
      </c>
      <c r="H45" s="40"/>
      <c r="I45" s="24"/>
      <c r="J45" s="5"/>
    </row>
    <row r="46" spans="1:10" ht="12.95" customHeight="1">
      <c r="A46" s="18" t="s">
        <v>878</v>
      </c>
      <c r="B46" s="19" t="s">
        <v>879</v>
      </c>
      <c r="C46" s="15" t="s">
        <v>880</v>
      </c>
      <c r="D46" s="15" t="s">
        <v>255</v>
      </c>
      <c r="E46" s="20">
        <v>50000</v>
      </c>
      <c r="F46" s="21">
        <v>382.4</v>
      </c>
      <c r="G46" s="22">
        <v>5.0000000000000001E-3</v>
      </c>
      <c r="H46" s="40"/>
      <c r="I46" s="24"/>
      <c r="J46" s="5"/>
    </row>
    <row r="47" spans="1:10" ht="12.95" customHeight="1">
      <c r="A47" s="18" t="s">
        <v>359</v>
      </c>
      <c r="B47" s="19" t="s">
        <v>360</v>
      </c>
      <c r="C47" s="15" t="s">
        <v>361</v>
      </c>
      <c r="D47" s="15" t="s">
        <v>255</v>
      </c>
      <c r="E47" s="20">
        <v>148165</v>
      </c>
      <c r="F47" s="21">
        <v>342.5575</v>
      </c>
      <c r="G47" s="22">
        <v>4.4999999999999997E-3</v>
      </c>
      <c r="H47" s="40"/>
      <c r="I47" s="24"/>
      <c r="J47" s="5"/>
    </row>
    <row r="48" spans="1:10" ht="12.95" customHeight="1">
      <c r="A48" s="18" t="s">
        <v>881</v>
      </c>
      <c r="B48" s="19" t="s">
        <v>882</v>
      </c>
      <c r="C48" s="15" t="s">
        <v>883</v>
      </c>
      <c r="D48" s="15" t="s">
        <v>314</v>
      </c>
      <c r="E48" s="20">
        <v>25750</v>
      </c>
      <c r="F48" s="21">
        <v>313.51909999999998</v>
      </c>
      <c r="G48" s="22">
        <v>4.1000000000000003E-3</v>
      </c>
      <c r="H48" s="40"/>
      <c r="I48" s="24"/>
      <c r="J48" s="5"/>
    </row>
    <row r="49" spans="1:10" ht="12.95" customHeight="1">
      <c r="A49" s="18" t="s">
        <v>884</v>
      </c>
      <c r="B49" s="19" t="s">
        <v>885</v>
      </c>
      <c r="C49" s="15" t="s">
        <v>886</v>
      </c>
      <c r="D49" s="15" t="s">
        <v>314</v>
      </c>
      <c r="E49" s="20">
        <v>61836</v>
      </c>
      <c r="F49" s="21">
        <v>296.00889999999998</v>
      </c>
      <c r="G49" s="22">
        <v>3.8999999999999998E-3</v>
      </c>
      <c r="H49" s="40"/>
      <c r="I49" s="24"/>
      <c r="J49" s="5"/>
    </row>
    <row r="50" spans="1:10" ht="12.95" customHeight="1">
      <c r="A50" s="18" t="s">
        <v>887</v>
      </c>
      <c r="B50" s="19" t="s">
        <v>888</v>
      </c>
      <c r="C50" s="15" t="s">
        <v>889</v>
      </c>
      <c r="D50" s="15" t="s">
        <v>890</v>
      </c>
      <c r="E50" s="20">
        <v>50000</v>
      </c>
      <c r="F50" s="21">
        <v>283.10000000000002</v>
      </c>
      <c r="G50" s="22">
        <v>3.7000000000000002E-3</v>
      </c>
      <c r="H50" s="40"/>
      <c r="I50" s="24"/>
      <c r="J50" s="5"/>
    </row>
    <row r="51" spans="1:10" ht="12.95" customHeight="1">
      <c r="A51" s="18" t="s">
        <v>891</v>
      </c>
      <c r="B51" s="19" t="s">
        <v>892</v>
      </c>
      <c r="C51" s="15" t="s">
        <v>893</v>
      </c>
      <c r="D51" s="15" t="s">
        <v>255</v>
      </c>
      <c r="E51" s="20">
        <v>450</v>
      </c>
      <c r="F51" s="21">
        <v>13.8193</v>
      </c>
      <c r="G51" s="22">
        <v>2.0000000000000001E-4</v>
      </c>
      <c r="H51" s="40"/>
      <c r="I51" s="24"/>
      <c r="J51" s="5"/>
    </row>
    <row r="52" spans="1:10" ht="12.95" customHeight="1">
      <c r="A52" s="5"/>
      <c r="B52" s="14" t="s">
        <v>160</v>
      </c>
      <c r="C52" s="15"/>
      <c r="D52" s="15"/>
      <c r="E52" s="15"/>
      <c r="F52" s="25">
        <v>54444.740400000002</v>
      </c>
      <c r="G52" s="26">
        <v>0.71640000000000004</v>
      </c>
      <c r="H52" s="27"/>
      <c r="I52" s="28"/>
      <c r="J52" s="5"/>
    </row>
    <row r="53" spans="1:10" ht="12.95" customHeight="1">
      <c r="A53" s="5"/>
      <c r="B53" s="29" t="s">
        <v>408</v>
      </c>
      <c r="C53" s="2"/>
      <c r="D53" s="2"/>
      <c r="E53" s="2"/>
      <c r="F53" s="27" t="s">
        <v>162</v>
      </c>
      <c r="G53" s="27" t="s">
        <v>162</v>
      </c>
      <c r="H53" s="27"/>
      <c r="I53" s="28"/>
      <c r="J53" s="5"/>
    </row>
    <row r="54" spans="1:10" ht="12.95" customHeight="1">
      <c r="A54" s="5"/>
      <c r="B54" s="29" t="s">
        <v>160</v>
      </c>
      <c r="C54" s="2"/>
      <c r="D54" s="2"/>
      <c r="E54" s="2"/>
      <c r="F54" s="27" t="s">
        <v>162</v>
      </c>
      <c r="G54" s="27" t="s">
        <v>162</v>
      </c>
      <c r="H54" s="27"/>
      <c r="I54" s="28"/>
      <c r="J54" s="5"/>
    </row>
    <row r="55" spans="1:10" ht="12.95" customHeight="1">
      <c r="A55" s="5"/>
      <c r="B55" s="29" t="s">
        <v>163</v>
      </c>
      <c r="C55" s="30"/>
      <c r="D55" s="2"/>
      <c r="E55" s="30"/>
      <c r="F55" s="25">
        <v>54444.740400000002</v>
      </c>
      <c r="G55" s="26">
        <v>0.71640000000000004</v>
      </c>
      <c r="H55" s="27"/>
      <c r="I55" s="28"/>
      <c r="J55" s="5"/>
    </row>
    <row r="56" spans="1:10" ht="12.95" customHeight="1">
      <c r="A56" s="5"/>
      <c r="B56" s="14" t="s">
        <v>409</v>
      </c>
      <c r="C56" s="15"/>
      <c r="D56" s="15"/>
      <c r="E56" s="15"/>
      <c r="F56" s="15"/>
      <c r="G56" s="15"/>
      <c r="H56" s="16"/>
      <c r="I56" s="17"/>
      <c r="J56" s="5"/>
    </row>
    <row r="57" spans="1:10" ht="12.95" customHeight="1">
      <c r="A57" s="5"/>
      <c r="B57" s="14" t="s">
        <v>410</v>
      </c>
      <c r="C57" s="15"/>
      <c r="D57" s="15"/>
      <c r="E57" s="15"/>
      <c r="F57" s="5"/>
      <c r="G57" s="16"/>
      <c r="H57" s="16"/>
      <c r="I57" s="17"/>
      <c r="J57" s="5"/>
    </row>
    <row r="58" spans="1:10" ht="12.95" customHeight="1">
      <c r="A58" s="18" t="s">
        <v>894</v>
      </c>
      <c r="B58" s="19" t="s">
        <v>895</v>
      </c>
      <c r="C58" s="15"/>
      <c r="D58" s="15"/>
      <c r="E58" s="20">
        <v>157500</v>
      </c>
      <c r="F58" s="21">
        <v>946.10249999999996</v>
      </c>
      <c r="G58" s="22">
        <v>1.24E-2</v>
      </c>
      <c r="H58" s="40"/>
      <c r="I58" s="24"/>
      <c r="J58" s="5"/>
    </row>
    <row r="59" spans="1:10" ht="12.95" customHeight="1">
      <c r="A59" s="18" t="s">
        <v>411</v>
      </c>
      <c r="B59" s="19" t="s">
        <v>412</v>
      </c>
      <c r="C59" s="15"/>
      <c r="D59" s="15"/>
      <c r="E59" s="20">
        <v>550000</v>
      </c>
      <c r="F59" s="21">
        <v>714.17499999999995</v>
      </c>
      <c r="G59" s="22">
        <v>9.4000000000000004E-3</v>
      </c>
      <c r="H59" s="40"/>
      <c r="I59" s="24"/>
      <c r="J59" s="5"/>
    </row>
    <row r="60" spans="1:10" ht="12.95" customHeight="1">
      <c r="A60" s="5"/>
      <c r="B60" s="14" t="s">
        <v>160</v>
      </c>
      <c r="C60" s="15"/>
      <c r="D60" s="15"/>
      <c r="E60" s="15"/>
      <c r="F60" s="25">
        <v>1660.2774999999999</v>
      </c>
      <c r="G60" s="26">
        <v>2.18E-2</v>
      </c>
      <c r="H60" s="27"/>
      <c r="I60" s="28"/>
      <c r="J60" s="5"/>
    </row>
    <row r="61" spans="1:10" ht="12.95" customHeight="1">
      <c r="A61" s="5"/>
      <c r="B61" s="29" t="s">
        <v>163</v>
      </c>
      <c r="C61" s="30"/>
      <c r="D61" s="2"/>
      <c r="E61" s="30"/>
      <c r="F61" s="25">
        <v>1660.2774999999999</v>
      </c>
      <c r="G61" s="26">
        <v>2.18E-2</v>
      </c>
      <c r="H61" s="27"/>
      <c r="I61" s="28"/>
      <c r="J61" s="5"/>
    </row>
    <row r="62" spans="1:10" ht="12.95" customHeight="1">
      <c r="A62" s="5"/>
      <c r="B62" s="14" t="s">
        <v>151</v>
      </c>
      <c r="C62" s="15"/>
      <c r="D62" s="15"/>
      <c r="E62" s="15"/>
      <c r="F62" s="15"/>
      <c r="G62" s="15"/>
      <c r="H62" s="16"/>
      <c r="I62" s="17"/>
      <c r="J62" s="5"/>
    </row>
    <row r="63" spans="1:10" ht="12.95" customHeight="1">
      <c r="A63" s="5"/>
      <c r="B63" s="14" t="s">
        <v>152</v>
      </c>
      <c r="C63" s="15"/>
      <c r="D63" s="15"/>
      <c r="E63" s="15"/>
      <c r="F63" s="5"/>
      <c r="G63" s="16"/>
      <c r="H63" s="16"/>
      <c r="I63" s="17"/>
      <c r="J63" s="5"/>
    </row>
    <row r="64" spans="1:10" ht="12.95" customHeight="1">
      <c r="A64" s="18" t="s">
        <v>896</v>
      </c>
      <c r="B64" s="19" t="s">
        <v>897</v>
      </c>
      <c r="C64" s="15" t="s">
        <v>898</v>
      </c>
      <c r="D64" s="15" t="s">
        <v>156</v>
      </c>
      <c r="E64" s="20">
        <v>11000000</v>
      </c>
      <c r="F64" s="21">
        <v>11046.992</v>
      </c>
      <c r="G64" s="22">
        <v>0.1454</v>
      </c>
      <c r="H64" s="23">
        <v>7.3730000000000004E-2</v>
      </c>
      <c r="I64" s="24"/>
      <c r="J64" s="5"/>
    </row>
    <row r="65" spans="1:10" ht="12.95" customHeight="1">
      <c r="A65" s="18" t="s">
        <v>899</v>
      </c>
      <c r="B65" s="19" t="s">
        <v>900</v>
      </c>
      <c r="C65" s="15" t="s">
        <v>901</v>
      </c>
      <c r="D65" s="15" t="s">
        <v>156</v>
      </c>
      <c r="E65" s="20">
        <v>1500000</v>
      </c>
      <c r="F65" s="21">
        <v>1499.5545</v>
      </c>
      <c r="G65" s="22">
        <v>1.9699999999999999E-2</v>
      </c>
      <c r="H65" s="23">
        <v>7.3948E-2</v>
      </c>
      <c r="I65" s="24"/>
      <c r="J65" s="5"/>
    </row>
    <row r="66" spans="1:10" ht="12.95" customHeight="1">
      <c r="A66" s="18" t="s">
        <v>902</v>
      </c>
      <c r="B66" s="19" t="s">
        <v>903</v>
      </c>
      <c r="C66" s="15" t="s">
        <v>904</v>
      </c>
      <c r="D66" s="15" t="s">
        <v>156</v>
      </c>
      <c r="E66" s="20">
        <v>1500000</v>
      </c>
      <c r="F66" s="21">
        <v>1489.8644999999999</v>
      </c>
      <c r="G66" s="22">
        <v>1.9599999999999999E-2</v>
      </c>
      <c r="H66" s="23">
        <v>7.3802999999999994E-2</v>
      </c>
      <c r="I66" s="24"/>
      <c r="J66" s="5"/>
    </row>
    <row r="67" spans="1:10" ht="12.95" customHeight="1">
      <c r="A67" s="18" t="s">
        <v>905</v>
      </c>
      <c r="B67" s="19" t="s">
        <v>906</v>
      </c>
      <c r="C67" s="15" t="s">
        <v>907</v>
      </c>
      <c r="D67" s="15" t="s">
        <v>179</v>
      </c>
      <c r="E67" s="20">
        <v>125</v>
      </c>
      <c r="F67" s="21">
        <v>1251.1125</v>
      </c>
      <c r="G67" s="22">
        <v>1.6500000000000001E-2</v>
      </c>
      <c r="H67" s="23">
        <v>7.7299999999999994E-2</v>
      </c>
      <c r="I67" s="24"/>
      <c r="J67" s="5"/>
    </row>
    <row r="68" spans="1:10" ht="12.95" customHeight="1">
      <c r="A68" s="18" t="s">
        <v>908</v>
      </c>
      <c r="B68" s="19" t="s">
        <v>909</v>
      </c>
      <c r="C68" s="15" t="s">
        <v>910</v>
      </c>
      <c r="D68" s="15" t="s">
        <v>179</v>
      </c>
      <c r="E68" s="20">
        <v>1000</v>
      </c>
      <c r="F68" s="21">
        <v>1001.948</v>
      </c>
      <c r="G68" s="22">
        <v>1.32E-2</v>
      </c>
      <c r="H68" s="23">
        <v>7.5999999999999998E-2</v>
      </c>
      <c r="I68" s="24"/>
      <c r="J68" s="5"/>
    </row>
    <row r="69" spans="1:10" ht="12.95" customHeight="1">
      <c r="A69" s="18" t="s">
        <v>911</v>
      </c>
      <c r="B69" s="19" t="s">
        <v>912</v>
      </c>
      <c r="C69" s="15" t="s">
        <v>913</v>
      </c>
      <c r="D69" s="15" t="s">
        <v>156</v>
      </c>
      <c r="E69" s="20">
        <v>500000</v>
      </c>
      <c r="F69" s="21">
        <v>496.69099999999997</v>
      </c>
      <c r="G69" s="22">
        <v>6.4999999999999997E-3</v>
      </c>
      <c r="H69" s="23">
        <v>7.3640999999999998E-2</v>
      </c>
      <c r="I69" s="24"/>
      <c r="J69" s="5"/>
    </row>
    <row r="70" spans="1:10" ht="12.95" customHeight="1">
      <c r="A70" s="18" t="s">
        <v>914</v>
      </c>
      <c r="B70" s="19" t="s">
        <v>915</v>
      </c>
      <c r="C70" s="15" t="s">
        <v>916</v>
      </c>
      <c r="D70" s="15" t="s">
        <v>156</v>
      </c>
      <c r="E70" s="20">
        <v>500000</v>
      </c>
      <c r="F70" s="21">
        <v>489.35700000000003</v>
      </c>
      <c r="G70" s="22">
        <v>6.4000000000000003E-3</v>
      </c>
      <c r="H70" s="23">
        <v>7.5534000000000004E-2</v>
      </c>
      <c r="I70" s="24"/>
      <c r="J70" s="5"/>
    </row>
    <row r="71" spans="1:10" ht="12.95" customHeight="1">
      <c r="A71" s="18" t="s">
        <v>917</v>
      </c>
      <c r="B71" s="19" t="s">
        <v>918</v>
      </c>
      <c r="C71" s="15" t="s">
        <v>919</v>
      </c>
      <c r="D71" s="15" t="s">
        <v>156</v>
      </c>
      <c r="E71" s="20">
        <v>500000</v>
      </c>
      <c r="F71" s="21">
        <v>466.98149999999998</v>
      </c>
      <c r="G71" s="22">
        <v>6.1000000000000004E-3</v>
      </c>
      <c r="H71" s="23">
        <v>7.3524000000000006E-2</v>
      </c>
      <c r="I71" s="24"/>
      <c r="J71" s="5"/>
    </row>
    <row r="72" spans="1:10" ht="12.95" customHeight="1">
      <c r="A72" s="18" t="s">
        <v>920</v>
      </c>
      <c r="B72" s="19" t="s">
        <v>921</v>
      </c>
      <c r="C72" s="15" t="s">
        <v>922</v>
      </c>
      <c r="D72" s="15" t="s">
        <v>156</v>
      </c>
      <c r="E72" s="20">
        <v>500000</v>
      </c>
      <c r="F72" s="21">
        <v>459.03</v>
      </c>
      <c r="G72" s="22">
        <v>6.0000000000000001E-3</v>
      </c>
      <c r="H72" s="23">
        <v>7.4206999999999995E-2</v>
      </c>
      <c r="I72" s="24"/>
      <c r="J72" s="5"/>
    </row>
    <row r="73" spans="1:10" ht="12.95" customHeight="1">
      <c r="A73" s="18" t="s">
        <v>923</v>
      </c>
      <c r="B73" s="19" t="s">
        <v>924</v>
      </c>
      <c r="C73" s="15" t="s">
        <v>925</v>
      </c>
      <c r="D73" s="15" t="s">
        <v>156</v>
      </c>
      <c r="E73" s="20">
        <v>300000</v>
      </c>
      <c r="F73" s="21">
        <v>306.19799999999998</v>
      </c>
      <c r="G73" s="22">
        <v>4.0000000000000001E-3</v>
      </c>
      <c r="H73" s="23">
        <v>7.3994000000000004E-2</v>
      </c>
      <c r="I73" s="24"/>
      <c r="J73" s="5"/>
    </row>
    <row r="74" spans="1:10" ht="12.95" customHeight="1">
      <c r="A74" s="18" t="s">
        <v>514</v>
      </c>
      <c r="B74" s="19" t="s">
        <v>515</v>
      </c>
      <c r="C74" s="15" t="s">
        <v>516</v>
      </c>
      <c r="D74" s="15" t="s">
        <v>156</v>
      </c>
      <c r="E74" s="20">
        <v>50000</v>
      </c>
      <c r="F74" s="21">
        <v>50.348300000000002</v>
      </c>
      <c r="G74" s="22">
        <v>6.9999999999999999E-4</v>
      </c>
      <c r="H74" s="23">
        <v>7.3759000000000005E-2</v>
      </c>
      <c r="I74" s="24"/>
      <c r="J74" s="5"/>
    </row>
    <row r="75" spans="1:10" ht="12.95" customHeight="1">
      <c r="A75" s="5"/>
      <c r="B75" s="14" t="s">
        <v>160</v>
      </c>
      <c r="C75" s="15"/>
      <c r="D75" s="15"/>
      <c r="E75" s="15"/>
      <c r="F75" s="25">
        <v>18558.077300000001</v>
      </c>
      <c r="G75" s="26">
        <v>0.2442</v>
      </c>
      <c r="H75" s="27"/>
      <c r="I75" s="28"/>
      <c r="J75" s="5"/>
    </row>
    <row r="76" spans="1:10" ht="12.95" customHeight="1">
      <c r="A76" s="5"/>
      <c r="B76" s="29" t="s">
        <v>161</v>
      </c>
      <c r="C76" s="2"/>
      <c r="D76" s="2"/>
      <c r="E76" s="2"/>
      <c r="F76" s="27" t="s">
        <v>162</v>
      </c>
      <c r="G76" s="27" t="s">
        <v>162</v>
      </c>
      <c r="H76" s="27"/>
      <c r="I76" s="28"/>
      <c r="J76" s="5"/>
    </row>
    <row r="77" spans="1:10" ht="12.95" customHeight="1">
      <c r="A77" s="5"/>
      <c r="B77" s="29" t="s">
        <v>160</v>
      </c>
      <c r="C77" s="2"/>
      <c r="D77" s="2"/>
      <c r="E77" s="2"/>
      <c r="F77" s="27" t="s">
        <v>162</v>
      </c>
      <c r="G77" s="27" t="s">
        <v>162</v>
      </c>
      <c r="H77" s="27"/>
      <c r="I77" s="28"/>
      <c r="J77" s="5"/>
    </row>
    <row r="78" spans="1:10" ht="12.95" customHeight="1">
      <c r="A78" s="5"/>
      <c r="B78" s="29" t="s">
        <v>163</v>
      </c>
      <c r="C78" s="30"/>
      <c r="D78" s="2"/>
      <c r="E78" s="30"/>
      <c r="F78" s="25">
        <v>18558.077300000001</v>
      </c>
      <c r="G78" s="26">
        <v>0.2442</v>
      </c>
      <c r="H78" s="27"/>
      <c r="I78" s="28"/>
      <c r="J78" s="5"/>
    </row>
    <row r="79" spans="1:10" ht="12.95" customHeight="1">
      <c r="A79" s="5"/>
      <c r="B79" s="14" t="s">
        <v>417</v>
      </c>
      <c r="C79" s="15"/>
      <c r="D79" s="15"/>
      <c r="E79" s="15"/>
      <c r="F79" s="15"/>
      <c r="G79" s="15"/>
      <c r="H79" s="16"/>
      <c r="I79" s="17"/>
      <c r="J79" s="5"/>
    </row>
    <row r="80" spans="1:10" ht="12.95" customHeight="1">
      <c r="A80" s="5"/>
      <c r="B80" s="14" t="s">
        <v>418</v>
      </c>
      <c r="C80" s="15"/>
      <c r="D80" s="15"/>
      <c r="E80" s="15"/>
      <c r="F80" s="5"/>
      <c r="G80" s="16"/>
      <c r="H80" s="16"/>
      <c r="I80" s="17"/>
      <c r="J80" s="5"/>
    </row>
    <row r="81" spans="1:10" ht="12.95" customHeight="1">
      <c r="A81" s="18" t="s">
        <v>419</v>
      </c>
      <c r="B81" s="19" t="s">
        <v>420</v>
      </c>
      <c r="C81" s="15" t="s">
        <v>421</v>
      </c>
      <c r="D81" s="15" t="s">
        <v>156</v>
      </c>
      <c r="E81" s="20">
        <v>1000000</v>
      </c>
      <c r="F81" s="21">
        <v>990.33399999999995</v>
      </c>
      <c r="G81" s="22">
        <v>1.2999999999999999E-2</v>
      </c>
      <c r="H81" s="23">
        <v>6.7213999999999996E-2</v>
      </c>
      <c r="I81" s="24"/>
      <c r="J81" s="5"/>
    </row>
    <row r="82" spans="1:10" ht="12.95" customHeight="1">
      <c r="A82" s="5"/>
      <c r="B82" s="14" t="s">
        <v>160</v>
      </c>
      <c r="C82" s="15"/>
      <c r="D82" s="15"/>
      <c r="E82" s="15"/>
      <c r="F82" s="25">
        <v>990.33399999999995</v>
      </c>
      <c r="G82" s="26">
        <v>1.2999999999999999E-2</v>
      </c>
      <c r="H82" s="27"/>
      <c r="I82" s="28"/>
      <c r="J82" s="5"/>
    </row>
    <row r="83" spans="1:10" ht="12.95" customHeight="1">
      <c r="A83" s="5"/>
      <c r="B83" s="29" t="s">
        <v>163</v>
      </c>
      <c r="C83" s="30"/>
      <c r="D83" s="2"/>
      <c r="E83" s="30"/>
      <c r="F83" s="25">
        <v>990.33399999999995</v>
      </c>
      <c r="G83" s="26">
        <v>1.2999999999999999E-2</v>
      </c>
      <c r="H83" s="27"/>
      <c r="I83" s="28"/>
      <c r="J83" s="5"/>
    </row>
    <row r="84" spans="1:10" ht="12.95" customHeight="1">
      <c r="A84" s="5"/>
      <c r="B84" s="14" t="s">
        <v>164</v>
      </c>
      <c r="C84" s="15"/>
      <c r="D84" s="15"/>
      <c r="E84" s="15"/>
      <c r="F84" s="15"/>
      <c r="G84" s="15"/>
      <c r="H84" s="16"/>
      <c r="I84" s="17"/>
      <c r="J84" s="5"/>
    </row>
    <row r="85" spans="1:10" ht="12.95" customHeight="1">
      <c r="A85" s="18" t="s">
        <v>165</v>
      </c>
      <c r="B85" s="19" t="s">
        <v>166</v>
      </c>
      <c r="C85" s="15"/>
      <c r="D85" s="15"/>
      <c r="E85" s="20"/>
      <c r="F85" s="21">
        <v>1236.1094000000001</v>
      </c>
      <c r="G85" s="22">
        <v>1.6299999999999999E-2</v>
      </c>
      <c r="H85" s="23">
        <v>6.7996831514388276E-2</v>
      </c>
      <c r="I85" s="24"/>
      <c r="J85" s="5"/>
    </row>
    <row r="86" spans="1:10" ht="12.95" customHeight="1">
      <c r="A86" s="5"/>
      <c r="B86" s="14" t="s">
        <v>160</v>
      </c>
      <c r="C86" s="15"/>
      <c r="D86" s="15"/>
      <c r="E86" s="15"/>
      <c r="F86" s="25">
        <v>1236.1094000000001</v>
      </c>
      <c r="G86" s="26">
        <v>1.6299999999999999E-2</v>
      </c>
      <c r="H86" s="27"/>
      <c r="I86" s="28"/>
      <c r="J86" s="5"/>
    </row>
    <row r="87" spans="1:10" ht="12.95" customHeight="1">
      <c r="A87" s="5"/>
      <c r="B87" s="29" t="s">
        <v>163</v>
      </c>
      <c r="C87" s="30"/>
      <c r="D87" s="2"/>
      <c r="E87" s="30"/>
      <c r="F87" s="25">
        <v>1236.1094000000001</v>
      </c>
      <c r="G87" s="26">
        <v>1.6299999999999999E-2</v>
      </c>
      <c r="H87" s="27"/>
      <c r="I87" s="28"/>
      <c r="J87" s="5"/>
    </row>
    <row r="88" spans="1:10" ht="12.95" customHeight="1">
      <c r="A88" s="5"/>
      <c r="B88" s="29" t="s">
        <v>167</v>
      </c>
      <c r="C88" s="15"/>
      <c r="D88" s="2"/>
      <c r="E88" s="15"/>
      <c r="F88" s="31">
        <v>-888.39859999999999</v>
      </c>
      <c r="G88" s="26">
        <v>-1.17E-2</v>
      </c>
      <c r="H88" s="27"/>
      <c r="I88" s="28"/>
      <c r="J88" s="5"/>
    </row>
    <row r="89" spans="1:10" ht="12.95" customHeight="1">
      <c r="A89" s="5"/>
      <c r="B89" s="32" t="s">
        <v>168</v>
      </c>
      <c r="C89" s="33"/>
      <c r="D89" s="33"/>
      <c r="E89" s="33"/>
      <c r="F89" s="34">
        <v>76001.14</v>
      </c>
      <c r="G89" s="35">
        <v>1</v>
      </c>
      <c r="H89" s="36"/>
      <c r="I89" s="37"/>
      <c r="J89" s="5"/>
    </row>
    <row r="90" spans="1:10" ht="12.95" customHeight="1">
      <c r="A90" s="5"/>
      <c r="B90" s="7"/>
      <c r="C90" s="5"/>
      <c r="D90" s="5"/>
      <c r="E90" s="5"/>
      <c r="F90" s="5"/>
      <c r="G90" s="5"/>
      <c r="H90" s="5"/>
      <c r="I90" s="5"/>
      <c r="J90" s="5"/>
    </row>
    <row r="91" spans="1:10" ht="12.95" customHeight="1">
      <c r="A91" s="5"/>
      <c r="B91" s="4" t="s">
        <v>169</v>
      </c>
      <c r="C91" s="5"/>
      <c r="D91" s="5"/>
      <c r="E91" s="5"/>
      <c r="F91" s="5"/>
      <c r="G91" s="5"/>
      <c r="H91" s="5"/>
      <c r="I91" s="5"/>
      <c r="J91" s="5"/>
    </row>
    <row r="92" spans="1:10" ht="12.95" customHeight="1">
      <c r="A92" s="5"/>
      <c r="B92" s="4" t="s">
        <v>207</v>
      </c>
      <c r="C92" s="5"/>
      <c r="D92" s="5"/>
      <c r="E92" s="5"/>
      <c r="F92" s="5"/>
      <c r="G92" s="5"/>
      <c r="H92" s="5"/>
      <c r="I92" s="5"/>
      <c r="J92" s="5"/>
    </row>
    <row r="93" spans="1:10" ht="12.95" customHeight="1">
      <c r="A93" s="5"/>
      <c r="B93" s="4" t="s">
        <v>170</v>
      </c>
      <c r="C93" s="5"/>
      <c r="D93" s="5"/>
      <c r="E93" s="5"/>
      <c r="F93" s="5"/>
      <c r="G93" s="5"/>
      <c r="H93" s="5"/>
      <c r="I93" s="5"/>
      <c r="J93" s="5"/>
    </row>
    <row r="94" spans="1:10" ht="26.1" customHeight="1">
      <c r="A94" s="5"/>
      <c r="B94" s="86" t="s">
        <v>171</v>
      </c>
      <c r="C94" s="86"/>
      <c r="D94" s="86"/>
      <c r="E94" s="86"/>
      <c r="F94" s="86"/>
      <c r="G94" s="86"/>
      <c r="H94" s="86"/>
      <c r="I94" s="86"/>
      <c r="J94" s="5"/>
    </row>
    <row r="95" spans="1:10" ht="12.95" customHeight="1">
      <c r="A95" s="5"/>
      <c r="B95" s="86"/>
      <c r="C95" s="86"/>
      <c r="D95" s="86"/>
      <c r="E95" s="86"/>
      <c r="F95" s="86"/>
      <c r="G95" s="86"/>
      <c r="H95" s="86"/>
      <c r="I95" s="86"/>
      <c r="J95" s="5"/>
    </row>
    <row r="96" spans="1:10" ht="12.95" customHeight="1">
      <c r="A96" s="5"/>
      <c r="B96" s="86"/>
      <c r="C96" s="86"/>
      <c r="D96" s="86"/>
      <c r="E96" s="86"/>
      <c r="F96" s="86"/>
      <c r="G96" s="86"/>
      <c r="H96" s="86"/>
      <c r="I96" s="86"/>
      <c r="J96" s="5"/>
    </row>
    <row r="97" spans="1:10" ht="12.95" customHeight="1">
      <c r="A97" s="5"/>
      <c r="B97" s="5"/>
      <c r="C97" s="87" t="s">
        <v>926</v>
      </c>
      <c r="D97" s="87"/>
      <c r="E97" s="87"/>
      <c r="F97" s="87"/>
      <c r="G97" s="5"/>
      <c r="H97" s="5"/>
      <c r="I97" s="5"/>
      <c r="J97" s="5"/>
    </row>
    <row r="98" spans="1:10" ht="12.95" customHeight="1">
      <c r="A98" s="5"/>
      <c r="B98" s="38" t="s">
        <v>173</v>
      </c>
      <c r="C98" s="87" t="s">
        <v>174</v>
      </c>
      <c r="D98" s="87"/>
      <c r="E98" s="87"/>
      <c r="F98" s="87"/>
      <c r="G98" s="5"/>
      <c r="H98" s="5"/>
      <c r="I98" s="5"/>
      <c r="J98" s="5"/>
    </row>
    <row r="99" spans="1:10" ht="120.95" customHeight="1">
      <c r="A99" s="5"/>
      <c r="B99" s="5"/>
      <c r="C99" s="85"/>
      <c r="D99" s="85"/>
      <c r="E99" s="5"/>
      <c r="F99" s="5"/>
      <c r="G99" s="5"/>
      <c r="H99" s="5"/>
      <c r="I99" s="5"/>
      <c r="J99" s="5"/>
    </row>
  </sheetData>
  <mergeCells count="6">
    <mergeCell ref="C99:D99"/>
    <mergeCell ref="B94:I94"/>
    <mergeCell ref="B95:I95"/>
    <mergeCell ref="B96:I96"/>
    <mergeCell ref="C97:F97"/>
    <mergeCell ref="C98:F98"/>
  </mergeCells>
  <hyperlinks>
    <hyperlink ref="A1" location="AxisChildrensGiftFund" display="AXISCGF" xr:uid="{00000000-0004-0000-0900-000000000000}"/>
    <hyperlink ref="B1" location="AxisChildrensGiftFund" display="Axis Children's Gift Fund" xr:uid="{00000000-0004-0000-09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J3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22</v>
      </c>
      <c r="B1" s="4" t="s">
        <v>23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927</v>
      </c>
      <c r="B7" s="19" t="s">
        <v>928</v>
      </c>
      <c r="C7" s="15" t="s">
        <v>929</v>
      </c>
      <c r="D7" s="15" t="s">
        <v>156</v>
      </c>
      <c r="E7" s="20">
        <v>2800000</v>
      </c>
      <c r="F7" s="21">
        <v>2793.8344000000002</v>
      </c>
      <c r="G7" s="22">
        <v>0.42020000000000002</v>
      </c>
      <c r="H7" s="23">
        <v>7.3570999999999998E-2</v>
      </c>
      <c r="I7" s="24"/>
      <c r="J7" s="5"/>
    </row>
    <row r="8" spans="1:10" ht="12.95" customHeight="1">
      <c r="A8" s="18" t="s">
        <v>930</v>
      </c>
      <c r="B8" s="19" t="s">
        <v>931</v>
      </c>
      <c r="C8" s="15" t="s">
        <v>932</v>
      </c>
      <c r="D8" s="15" t="s">
        <v>156</v>
      </c>
      <c r="E8" s="20">
        <v>1500000</v>
      </c>
      <c r="F8" s="21">
        <v>1532.874</v>
      </c>
      <c r="G8" s="22">
        <v>0.2306</v>
      </c>
      <c r="H8" s="23">
        <v>7.6105000000000006E-2</v>
      </c>
      <c r="I8" s="24"/>
      <c r="J8" s="5"/>
    </row>
    <row r="9" spans="1:10" ht="12.95" customHeight="1">
      <c r="A9" s="18" t="s">
        <v>933</v>
      </c>
      <c r="B9" s="19" t="s">
        <v>934</v>
      </c>
      <c r="C9" s="15" t="s">
        <v>935</v>
      </c>
      <c r="D9" s="15" t="s">
        <v>156</v>
      </c>
      <c r="E9" s="20">
        <v>500000</v>
      </c>
      <c r="F9" s="21">
        <v>517.24099999999999</v>
      </c>
      <c r="G9" s="22">
        <v>7.7799999999999994E-2</v>
      </c>
      <c r="H9" s="23">
        <v>7.6496999999999996E-2</v>
      </c>
      <c r="I9" s="24"/>
      <c r="J9" s="5"/>
    </row>
    <row r="10" spans="1:10" ht="12.95" customHeight="1">
      <c r="A10" s="18" t="s">
        <v>936</v>
      </c>
      <c r="B10" s="19" t="s">
        <v>937</v>
      </c>
      <c r="C10" s="15" t="s">
        <v>938</v>
      </c>
      <c r="D10" s="15" t="s">
        <v>156</v>
      </c>
      <c r="E10" s="20">
        <v>500000</v>
      </c>
      <c r="F10" s="21">
        <v>512.8845</v>
      </c>
      <c r="G10" s="22">
        <v>7.7100000000000002E-2</v>
      </c>
      <c r="H10" s="23">
        <v>7.6147999999999993E-2</v>
      </c>
      <c r="I10" s="24"/>
      <c r="J10" s="5"/>
    </row>
    <row r="11" spans="1:10" ht="12.95" customHeight="1">
      <c r="A11" s="18" t="s">
        <v>939</v>
      </c>
      <c r="B11" s="19" t="s">
        <v>940</v>
      </c>
      <c r="C11" s="15" t="s">
        <v>941</v>
      </c>
      <c r="D11" s="15" t="s">
        <v>156</v>
      </c>
      <c r="E11" s="20">
        <v>500000</v>
      </c>
      <c r="F11" s="21">
        <v>512.87199999999996</v>
      </c>
      <c r="G11" s="22">
        <v>7.7100000000000002E-2</v>
      </c>
      <c r="H11" s="23">
        <v>7.6257000000000005E-2</v>
      </c>
      <c r="I11" s="24"/>
      <c r="J11" s="5"/>
    </row>
    <row r="12" spans="1:10" ht="12.95" customHeight="1">
      <c r="A12" s="18" t="s">
        <v>942</v>
      </c>
      <c r="B12" s="19" t="s">
        <v>943</v>
      </c>
      <c r="C12" s="15" t="s">
        <v>944</v>
      </c>
      <c r="D12" s="15" t="s">
        <v>156</v>
      </c>
      <c r="E12" s="20">
        <v>500000</v>
      </c>
      <c r="F12" s="21">
        <v>509.61599999999999</v>
      </c>
      <c r="G12" s="22">
        <v>7.6700000000000004E-2</v>
      </c>
      <c r="H12" s="23">
        <v>7.6305999999999999E-2</v>
      </c>
      <c r="I12" s="24"/>
      <c r="J12" s="5"/>
    </row>
    <row r="13" spans="1:10" ht="12.95" customHeight="1">
      <c r="A13" s="5"/>
      <c r="B13" s="14" t="s">
        <v>160</v>
      </c>
      <c r="C13" s="15"/>
      <c r="D13" s="15"/>
      <c r="E13" s="15"/>
      <c r="F13" s="25">
        <v>6379.3218999999999</v>
      </c>
      <c r="G13" s="26">
        <v>0.95950000000000002</v>
      </c>
      <c r="H13" s="27"/>
      <c r="I13" s="28"/>
      <c r="J13" s="5"/>
    </row>
    <row r="14" spans="1:10" ht="12.95" customHeight="1">
      <c r="A14" s="5"/>
      <c r="B14" s="29" t="s">
        <v>161</v>
      </c>
      <c r="C14" s="2"/>
      <c r="D14" s="2"/>
      <c r="E14" s="2"/>
      <c r="F14" s="27" t="s">
        <v>162</v>
      </c>
      <c r="G14" s="27" t="s">
        <v>162</v>
      </c>
      <c r="H14" s="27"/>
      <c r="I14" s="28"/>
      <c r="J14" s="5"/>
    </row>
    <row r="15" spans="1:10" ht="12.95" customHeight="1">
      <c r="A15" s="5"/>
      <c r="B15" s="29" t="s">
        <v>160</v>
      </c>
      <c r="C15" s="2"/>
      <c r="D15" s="2"/>
      <c r="E15" s="2"/>
      <c r="F15" s="27" t="s">
        <v>162</v>
      </c>
      <c r="G15" s="27" t="s">
        <v>162</v>
      </c>
      <c r="H15" s="27"/>
      <c r="I15" s="28"/>
      <c r="J15" s="5"/>
    </row>
    <row r="16" spans="1:10" ht="12.95" customHeight="1">
      <c r="A16" s="5"/>
      <c r="B16" s="29" t="s">
        <v>163</v>
      </c>
      <c r="C16" s="30"/>
      <c r="D16" s="2"/>
      <c r="E16" s="30"/>
      <c r="F16" s="25">
        <v>6379.3218999999999</v>
      </c>
      <c r="G16" s="26">
        <v>0.95950000000000002</v>
      </c>
      <c r="H16" s="27"/>
      <c r="I16" s="28"/>
      <c r="J16" s="5"/>
    </row>
    <row r="17" spans="1:10" ht="12.95" customHeight="1">
      <c r="A17" s="5"/>
      <c r="B17" s="14" t="s">
        <v>164</v>
      </c>
      <c r="C17" s="15"/>
      <c r="D17" s="15"/>
      <c r="E17" s="15"/>
      <c r="F17" s="15"/>
      <c r="G17" s="15"/>
      <c r="H17" s="16"/>
      <c r="I17" s="17"/>
      <c r="J17" s="5"/>
    </row>
    <row r="18" spans="1:10" ht="12.95" customHeight="1">
      <c r="A18" s="18" t="s">
        <v>165</v>
      </c>
      <c r="B18" s="19" t="s">
        <v>166</v>
      </c>
      <c r="C18" s="15"/>
      <c r="D18" s="15"/>
      <c r="E18" s="20"/>
      <c r="F18" s="21">
        <v>78.610699999999994</v>
      </c>
      <c r="G18" s="22">
        <v>1.18E-2</v>
      </c>
      <c r="H18" s="23">
        <v>6.7996827861667899E-2</v>
      </c>
      <c r="I18" s="24"/>
      <c r="J18" s="5"/>
    </row>
    <row r="19" spans="1:10" ht="12.95" customHeight="1">
      <c r="A19" s="5"/>
      <c r="B19" s="14" t="s">
        <v>160</v>
      </c>
      <c r="C19" s="15"/>
      <c r="D19" s="15"/>
      <c r="E19" s="15"/>
      <c r="F19" s="25">
        <v>78.610699999999994</v>
      </c>
      <c r="G19" s="26">
        <v>1.18E-2</v>
      </c>
      <c r="H19" s="27"/>
      <c r="I19" s="28"/>
      <c r="J19" s="5"/>
    </row>
    <row r="20" spans="1:10" ht="12.95" customHeight="1">
      <c r="A20" s="5"/>
      <c r="B20" s="29" t="s">
        <v>163</v>
      </c>
      <c r="C20" s="30"/>
      <c r="D20" s="2"/>
      <c r="E20" s="30"/>
      <c r="F20" s="25">
        <v>78.610699999999994</v>
      </c>
      <c r="G20" s="26">
        <v>1.18E-2</v>
      </c>
      <c r="H20" s="27"/>
      <c r="I20" s="28"/>
      <c r="J20" s="5"/>
    </row>
    <row r="21" spans="1:10" ht="12.95" customHeight="1">
      <c r="A21" s="5"/>
      <c r="B21" s="29" t="s">
        <v>167</v>
      </c>
      <c r="C21" s="15"/>
      <c r="D21" s="2"/>
      <c r="E21" s="15"/>
      <c r="F21" s="31">
        <v>190.51740000000001</v>
      </c>
      <c r="G21" s="26">
        <v>2.87E-2</v>
      </c>
      <c r="H21" s="27"/>
      <c r="I21" s="28"/>
      <c r="J21" s="5"/>
    </row>
    <row r="22" spans="1:10" ht="12.95" customHeight="1">
      <c r="A22" s="5"/>
      <c r="B22" s="32" t="s">
        <v>168</v>
      </c>
      <c r="C22" s="33"/>
      <c r="D22" s="33"/>
      <c r="E22" s="33"/>
      <c r="F22" s="34">
        <v>6648.45</v>
      </c>
      <c r="G22" s="35">
        <v>1</v>
      </c>
      <c r="H22" s="36"/>
      <c r="I22" s="37"/>
      <c r="J22" s="5"/>
    </row>
    <row r="23" spans="1:10" ht="12.95" customHeight="1">
      <c r="A23" s="5"/>
      <c r="B23" s="7"/>
      <c r="C23" s="5"/>
      <c r="D23" s="5"/>
      <c r="E23" s="5"/>
      <c r="F23" s="5"/>
      <c r="G23" s="5"/>
      <c r="H23" s="5"/>
      <c r="I23" s="5"/>
      <c r="J23" s="5"/>
    </row>
    <row r="24" spans="1:10" ht="12.95" customHeight="1">
      <c r="A24" s="5"/>
      <c r="B24" s="4" t="s">
        <v>169</v>
      </c>
      <c r="C24" s="5"/>
      <c r="D24" s="5"/>
      <c r="E24" s="5"/>
      <c r="F24" s="5"/>
      <c r="G24" s="5"/>
      <c r="H24" s="5"/>
      <c r="I24" s="5"/>
      <c r="J24" s="5"/>
    </row>
    <row r="25" spans="1:10" ht="12.95" customHeight="1">
      <c r="A25" s="5"/>
      <c r="B25" s="4" t="s">
        <v>170</v>
      </c>
      <c r="C25" s="5"/>
      <c r="D25" s="5"/>
      <c r="E25" s="5"/>
      <c r="F25" s="5"/>
      <c r="G25" s="5"/>
      <c r="H25" s="5"/>
      <c r="I25" s="5"/>
      <c r="J25" s="5"/>
    </row>
    <row r="26" spans="1:10" ht="26.1" customHeight="1">
      <c r="A26" s="5"/>
      <c r="B26" s="86" t="s">
        <v>171</v>
      </c>
      <c r="C26" s="86"/>
      <c r="D26" s="86"/>
      <c r="E26" s="86"/>
      <c r="F26" s="86"/>
      <c r="G26" s="86"/>
      <c r="H26" s="86"/>
      <c r="I26" s="86"/>
      <c r="J26" s="5"/>
    </row>
    <row r="27" spans="1:10" ht="12.95" customHeight="1">
      <c r="A27" s="5"/>
      <c r="B27" s="86"/>
      <c r="C27" s="86"/>
      <c r="D27" s="86"/>
      <c r="E27" s="86"/>
      <c r="F27" s="86"/>
      <c r="G27" s="86"/>
      <c r="H27" s="86"/>
      <c r="I27" s="86"/>
      <c r="J27" s="5"/>
    </row>
    <row r="28" spans="1:10" ht="12.95" customHeight="1">
      <c r="A28" s="5"/>
      <c r="B28" s="86"/>
      <c r="C28" s="86"/>
      <c r="D28" s="86"/>
      <c r="E28" s="86"/>
      <c r="F28" s="86"/>
      <c r="G28" s="86"/>
      <c r="H28" s="86"/>
      <c r="I28" s="86"/>
      <c r="J28" s="5"/>
    </row>
    <row r="29" spans="1:10" ht="12.95" customHeight="1">
      <c r="A29" s="5"/>
      <c r="B29" s="5"/>
      <c r="C29" s="87" t="s">
        <v>945</v>
      </c>
      <c r="D29" s="87"/>
      <c r="E29" s="87"/>
      <c r="F29" s="87"/>
      <c r="G29" s="5"/>
      <c r="H29" s="5"/>
      <c r="I29" s="5"/>
      <c r="J29" s="5"/>
    </row>
    <row r="30" spans="1:10" ht="12.95" customHeight="1">
      <c r="A30" s="5"/>
      <c r="B30" s="38" t="s">
        <v>173</v>
      </c>
      <c r="C30" s="87" t="s">
        <v>174</v>
      </c>
      <c r="D30" s="87"/>
      <c r="E30" s="87"/>
      <c r="F30" s="87"/>
      <c r="G30" s="5"/>
      <c r="H30" s="5"/>
      <c r="I30" s="5"/>
      <c r="J30" s="5"/>
    </row>
    <row r="31" spans="1:10" ht="120.95" customHeight="1">
      <c r="A31" s="5"/>
      <c r="B31" s="39"/>
      <c r="C31" s="85"/>
      <c r="D31" s="85"/>
      <c r="E31" s="5"/>
      <c r="F31" s="5"/>
      <c r="G31" s="5"/>
      <c r="H31" s="5"/>
      <c r="I31" s="5"/>
      <c r="J31" s="5"/>
    </row>
  </sheetData>
  <mergeCells count="6">
    <mergeCell ref="C31:D31"/>
    <mergeCell ref="B26:I26"/>
    <mergeCell ref="B27:I27"/>
    <mergeCell ref="B28:I28"/>
    <mergeCell ref="C29:F29"/>
    <mergeCell ref="C30:F30"/>
  </mergeCells>
  <hyperlinks>
    <hyperlink ref="A1" location="AxisCRISILIBX5050GiltPlusSDLJune2028IndexFund" display="AXISCIB" xr:uid="{00000000-0004-0000-0A00-000000000000}"/>
    <hyperlink ref="B1" location="AxisCRISILIBX5050GiltPlusSDLJune2028IndexFund" display="Axis CRISIL IBX50:50 Gilt Plus SDL June 2028 Index Fund" xr:uid="{00000000-0004-0000-0A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J2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24</v>
      </c>
      <c r="B1" s="4" t="s">
        <v>25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896</v>
      </c>
      <c r="B7" s="19" t="s">
        <v>897</v>
      </c>
      <c r="C7" s="15" t="s">
        <v>898</v>
      </c>
      <c r="D7" s="15" t="s">
        <v>156</v>
      </c>
      <c r="E7" s="20">
        <v>1700000</v>
      </c>
      <c r="F7" s="21">
        <v>1707.2624000000001</v>
      </c>
      <c r="G7" s="22">
        <v>0.52280000000000004</v>
      </c>
      <c r="H7" s="23">
        <v>7.3730000000000004E-2</v>
      </c>
      <c r="I7" s="24"/>
      <c r="J7" s="5"/>
    </row>
    <row r="8" spans="1:10" ht="12.95" customHeight="1">
      <c r="A8" s="18" t="s">
        <v>946</v>
      </c>
      <c r="B8" s="19" t="s">
        <v>947</v>
      </c>
      <c r="C8" s="15" t="s">
        <v>948</v>
      </c>
      <c r="D8" s="15" t="s">
        <v>156</v>
      </c>
      <c r="E8" s="20">
        <v>1000000</v>
      </c>
      <c r="F8" s="21">
        <v>996.23400000000004</v>
      </c>
      <c r="G8" s="22">
        <v>0.30509999999999998</v>
      </c>
      <c r="H8" s="23">
        <v>7.5784000000000004E-2</v>
      </c>
      <c r="I8" s="24"/>
      <c r="J8" s="5"/>
    </row>
    <row r="9" spans="1:10" ht="12.95" customHeight="1">
      <c r="A9" s="18" t="s">
        <v>949</v>
      </c>
      <c r="B9" s="19" t="s">
        <v>950</v>
      </c>
      <c r="C9" s="15" t="s">
        <v>951</v>
      </c>
      <c r="D9" s="15" t="s">
        <v>156</v>
      </c>
      <c r="E9" s="20">
        <v>450000</v>
      </c>
      <c r="F9" s="21">
        <v>446.75689999999997</v>
      </c>
      <c r="G9" s="22">
        <v>0.1368</v>
      </c>
      <c r="H9" s="23">
        <v>7.5900999999999996E-2</v>
      </c>
      <c r="I9" s="24"/>
      <c r="J9" s="5"/>
    </row>
    <row r="10" spans="1:10" ht="12.95" customHeight="1">
      <c r="A10" s="5"/>
      <c r="B10" s="14" t="s">
        <v>160</v>
      </c>
      <c r="C10" s="15"/>
      <c r="D10" s="15"/>
      <c r="E10" s="15"/>
      <c r="F10" s="25">
        <v>3150.2532999999999</v>
      </c>
      <c r="G10" s="26">
        <v>0.9647</v>
      </c>
      <c r="H10" s="27"/>
      <c r="I10" s="28"/>
      <c r="J10" s="5"/>
    </row>
    <row r="11" spans="1:10" ht="12.95" customHeight="1">
      <c r="A11" s="5"/>
      <c r="B11" s="29" t="s">
        <v>161</v>
      </c>
      <c r="C11" s="2"/>
      <c r="D11" s="2"/>
      <c r="E11" s="2"/>
      <c r="F11" s="27" t="s">
        <v>162</v>
      </c>
      <c r="G11" s="27" t="s">
        <v>162</v>
      </c>
      <c r="H11" s="27"/>
      <c r="I11" s="28"/>
      <c r="J11" s="5"/>
    </row>
    <row r="12" spans="1:10" ht="12.95" customHeight="1">
      <c r="A12" s="5"/>
      <c r="B12" s="29" t="s">
        <v>160</v>
      </c>
      <c r="C12" s="2"/>
      <c r="D12" s="2"/>
      <c r="E12" s="2"/>
      <c r="F12" s="27" t="s">
        <v>162</v>
      </c>
      <c r="G12" s="27" t="s">
        <v>162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3150.2532999999999</v>
      </c>
      <c r="G13" s="26">
        <v>0.9647</v>
      </c>
      <c r="H13" s="27"/>
      <c r="I13" s="28"/>
      <c r="J13" s="5"/>
    </row>
    <row r="14" spans="1:10" ht="12.95" customHeight="1">
      <c r="A14" s="5"/>
      <c r="B14" s="14" t="s">
        <v>164</v>
      </c>
      <c r="C14" s="15"/>
      <c r="D14" s="15"/>
      <c r="E14" s="15"/>
      <c r="F14" s="15"/>
      <c r="G14" s="15"/>
      <c r="H14" s="16"/>
      <c r="I14" s="17"/>
      <c r="J14" s="5"/>
    </row>
    <row r="15" spans="1:10" ht="12.95" customHeight="1">
      <c r="A15" s="18" t="s">
        <v>165</v>
      </c>
      <c r="B15" s="19" t="s">
        <v>166</v>
      </c>
      <c r="C15" s="15"/>
      <c r="D15" s="15"/>
      <c r="E15" s="20"/>
      <c r="F15" s="21">
        <v>40.115099999999998</v>
      </c>
      <c r="G15" s="22">
        <v>1.23E-2</v>
      </c>
      <c r="H15" s="23">
        <v>6.7996911874236676E-2</v>
      </c>
      <c r="I15" s="24"/>
      <c r="J15" s="5"/>
    </row>
    <row r="16" spans="1:10" ht="12.95" customHeight="1">
      <c r="A16" s="5"/>
      <c r="B16" s="14" t="s">
        <v>160</v>
      </c>
      <c r="C16" s="15"/>
      <c r="D16" s="15"/>
      <c r="E16" s="15"/>
      <c r="F16" s="25">
        <v>40.115099999999998</v>
      </c>
      <c r="G16" s="26">
        <v>1.23E-2</v>
      </c>
      <c r="H16" s="27"/>
      <c r="I16" s="28"/>
      <c r="J16" s="5"/>
    </row>
    <row r="17" spans="1:10" ht="12.95" customHeight="1">
      <c r="A17" s="5"/>
      <c r="B17" s="29" t="s">
        <v>163</v>
      </c>
      <c r="C17" s="30"/>
      <c r="D17" s="2"/>
      <c r="E17" s="30"/>
      <c r="F17" s="25">
        <v>40.115099999999998</v>
      </c>
      <c r="G17" s="26">
        <v>1.23E-2</v>
      </c>
      <c r="H17" s="27"/>
      <c r="I17" s="28"/>
      <c r="J17" s="5"/>
    </row>
    <row r="18" spans="1:10" ht="12.95" customHeight="1">
      <c r="A18" s="5"/>
      <c r="B18" s="29" t="s">
        <v>167</v>
      </c>
      <c r="C18" s="15"/>
      <c r="D18" s="2"/>
      <c r="E18" s="15"/>
      <c r="F18" s="31">
        <v>75.161600000000007</v>
      </c>
      <c r="G18" s="26">
        <v>2.3E-2</v>
      </c>
      <c r="H18" s="27"/>
      <c r="I18" s="28"/>
      <c r="J18" s="5"/>
    </row>
    <row r="19" spans="1:10" ht="12.95" customHeight="1">
      <c r="A19" s="5"/>
      <c r="B19" s="32" t="s">
        <v>168</v>
      </c>
      <c r="C19" s="33"/>
      <c r="D19" s="33"/>
      <c r="E19" s="33"/>
      <c r="F19" s="34">
        <v>3265.53</v>
      </c>
      <c r="G19" s="35">
        <v>1</v>
      </c>
      <c r="H19" s="36"/>
      <c r="I19" s="37"/>
      <c r="J19" s="5"/>
    </row>
    <row r="20" spans="1:10" ht="12.95" customHeight="1">
      <c r="A20" s="5"/>
      <c r="B20" s="7"/>
      <c r="C20" s="5"/>
      <c r="D20" s="5"/>
      <c r="E20" s="5"/>
      <c r="F20" s="5"/>
      <c r="G20" s="5"/>
      <c r="H20" s="5"/>
      <c r="I20" s="5"/>
      <c r="J20" s="5"/>
    </row>
    <row r="21" spans="1:10" ht="12.95" customHeight="1">
      <c r="A21" s="5"/>
      <c r="B21" s="4" t="s">
        <v>169</v>
      </c>
      <c r="C21" s="5"/>
      <c r="D21" s="5"/>
      <c r="E21" s="5"/>
      <c r="F21" s="5"/>
      <c r="G21" s="5"/>
      <c r="H21" s="5"/>
      <c r="I21" s="5"/>
      <c r="J21" s="5"/>
    </row>
    <row r="22" spans="1:10" ht="12.95" customHeight="1">
      <c r="A22" s="5"/>
      <c r="B22" s="4" t="s">
        <v>170</v>
      </c>
      <c r="C22" s="5"/>
      <c r="D22" s="5"/>
      <c r="E22" s="5"/>
      <c r="F22" s="5"/>
      <c r="G22" s="5"/>
      <c r="H22" s="5"/>
      <c r="I22" s="5"/>
      <c r="J22" s="5"/>
    </row>
    <row r="23" spans="1:10" ht="26.1" customHeight="1">
      <c r="A23" s="5"/>
      <c r="B23" s="86" t="s">
        <v>171</v>
      </c>
      <c r="C23" s="86"/>
      <c r="D23" s="86"/>
      <c r="E23" s="86"/>
      <c r="F23" s="86"/>
      <c r="G23" s="86"/>
      <c r="H23" s="86"/>
      <c r="I23" s="86"/>
      <c r="J23" s="5"/>
    </row>
    <row r="24" spans="1:10" ht="12.95" customHeight="1">
      <c r="A24" s="5"/>
      <c r="B24" s="86"/>
      <c r="C24" s="86"/>
      <c r="D24" s="86"/>
      <c r="E24" s="86"/>
      <c r="F24" s="86"/>
      <c r="G24" s="86"/>
      <c r="H24" s="86"/>
      <c r="I24" s="86"/>
      <c r="J24" s="5"/>
    </row>
    <row r="25" spans="1:10" ht="12.95" customHeight="1">
      <c r="A25" s="5"/>
      <c r="B25" s="86"/>
      <c r="C25" s="86"/>
      <c r="D25" s="86"/>
      <c r="E25" s="86"/>
      <c r="F25" s="86"/>
      <c r="G25" s="86"/>
      <c r="H25" s="86"/>
      <c r="I25" s="86"/>
      <c r="J25" s="5"/>
    </row>
    <row r="26" spans="1:10" ht="12.95" customHeight="1">
      <c r="A26" s="5"/>
      <c r="B26" s="5"/>
      <c r="C26" s="87" t="s">
        <v>952</v>
      </c>
      <c r="D26" s="87"/>
      <c r="E26" s="87"/>
      <c r="F26" s="87"/>
      <c r="G26" s="5"/>
      <c r="H26" s="5"/>
      <c r="I26" s="5"/>
      <c r="J26" s="5"/>
    </row>
    <row r="27" spans="1:10" ht="12.95" customHeight="1">
      <c r="A27" s="5"/>
      <c r="B27" s="38" t="s">
        <v>173</v>
      </c>
      <c r="C27" s="87" t="s">
        <v>174</v>
      </c>
      <c r="D27" s="87"/>
      <c r="E27" s="87"/>
      <c r="F27" s="87"/>
      <c r="G27" s="5"/>
      <c r="H27" s="5"/>
      <c r="I27" s="5"/>
      <c r="J27" s="5"/>
    </row>
    <row r="28" spans="1:10" ht="120.95" customHeight="1">
      <c r="A28" s="5"/>
      <c r="B28" s="39"/>
      <c r="C28" s="85"/>
      <c r="D28" s="85"/>
      <c r="E28" s="5"/>
      <c r="F28" s="5"/>
      <c r="G28" s="5"/>
      <c r="H28" s="5"/>
      <c r="I28" s="5"/>
      <c r="J28" s="5"/>
    </row>
  </sheetData>
  <mergeCells count="6">
    <mergeCell ref="C28:D28"/>
    <mergeCell ref="B23:I23"/>
    <mergeCell ref="B24:I24"/>
    <mergeCell ref="B25:I25"/>
    <mergeCell ref="C26:F26"/>
    <mergeCell ref="C27:F27"/>
  </mergeCells>
  <hyperlinks>
    <hyperlink ref="A1" location="AxisCRISILIBX5050GiltPlusSDLSep2027IndexFund" display="AXISCIG" xr:uid="{00000000-0004-0000-0B00-000000000000}"/>
    <hyperlink ref="B1" location="AxisCRISILIBX5050GiltPlusSDLSep2027IndexFund" display="Axis CRISIL IBX50:50 Gilt Plus SDL Sep 2027 Index Fund" xr:uid="{00000000-0004-0000-0B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J15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26</v>
      </c>
      <c r="B1" s="4" t="s">
        <v>27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409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953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956</v>
      </c>
      <c r="B7" s="19" t="s">
        <v>957</v>
      </c>
      <c r="C7" s="15"/>
      <c r="D7" s="15"/>
      <c r="E7" s="42"/>
      <c r="F7" s="21">
        <v>0</v>
      </c>
      <c r="G7" s="40" t="s">
        <v>675</v>
      </c>
      <c r="H7" s="40"/>
      <c r="I7" s="24"/>
      <c r="J7" s="5"/>
    </row>
    <row r="8" spans="1:10" ht="12.95" customHeight="1">
      <c r="A8" s="18" t="s">
        <v>954</v>
      </c>
      <c r="B8" s="19" t="s">
        <v>955</v>
      </c>
      <c r="C8" s="15"/>
      <c r="D8" s="15"/>
      <c r="E8" s="42"/>
      <c r="F8" s="21">
        <v>0</v>
      </c>
      <c r="G8" s="40" t="s">
        <v>675</v>
      </c>
      <c r="H8" s="40"/>
      <c r="I8" s="24"/>
      <c r="J8" s="5"/>
    </row>
    <row r="9" spans="1:10" ht="12.95" customHeight="1">
      <c r="A9" s="18" t="s">
        <v>958</v>
      </c>
      <c r="B9" s="19" t="s">
        <v>959</v>
      </c>
      <c r="C9" s="15"/>
      <c r="D9" s="15"/>
      <c r="E9" s="42"/>
      <c r="F9" s="21">
        <v>-3.4340000000000002</v>
      </c>
      <c r="G9" s="40" t="s">
        <v>675</v>
      </c>
      <c r="H9" s="40"/>
      <c r="I9" s="24"/>
      <c r="J9" s="5"/>
    </row>
    <row r="10" spans="1:10" ht="12.95" customHeight="1">
      <c r="A10" s="18" t="s">
        <v>960</v>
      </c>
      <c r="B10" s="19" t="s">
        <v>961</v>
      </c>
      <c r="C10" s="15"/>
      <c r="D10" s="15"/>
      <c r="E10" s="42"/>
      <c r="F10" s="21">
        <v>-10.654999999999999</v>
      </c>
      <c r="G10" s="40" t="s">
        <v>675</v>
      </c>
      <c r="H10" s="40"/>
      <c r="I10" s="24"/>
      <c r="J10" s="5"/>
    </row>
    <row r="11" spans="1:10" ht="12.95" customHeight="1">
      <c r="A11" s="18" t="s">
        <v>962</v>
      </c>
      <c r="B11" s="19" t="s">
        <v>963</v>
      </c>
      <c r="C11" s="15"/>
      <c r="D11" s="15"/>
      <c r="E11" s="42"/>
      <c r="F11" s="21">
        <v>-11.69</v>
      </c>
      <c r="G11" s="40" t="s">
        <v>675</v>
      </c>
      <c r="H11" s="40"/>
      <c r="I11" s="24"/>
      <c r="J11" s="5"/>
    </row>
    <row r="12" spans="1:10" ht="12.95" customHeight="1">
      <c r="A12" s="18" t="s">
        <v>964</v>
      </c>
      <c r="B12" s="19" t="s">
        <v>965</v>
      </c>
      <c r="C12" s="15"/>
      <c r="D12" s="15"/>
      <c r="E12" s="42"/>
      <c r="F12" s="21">
        <v>-16.62</v>
      </c>
      <c r="G12" s="40" t="s">
        <v>675</v>
      </c>
      <c r="H12" s="40"/>
      <c r="I12" s="24"/>
      <c r="J12" s="5"/>
    </row>
    <row r="13" spans="1:10" ht="12.95" customHeight="1">
      <c r="A13" s="18" t="s">
        <v>966</v>
      </c>
      <c r="B13" s="19" t="s">
        <v>967</v>
      </c>
      <c r="C13" s="15"/>
      <c r="D13" s="15"/>
      <c r="E13" s="42"/>
      <c r="F13" s="21">
        <v>-17.600000000000001</v>
      </c>
      <c r="G13" s="40" t="s">
        <v>675</v>
      </c>
      <c r="H13" s="40"/>
      <c r="I13" s="24"/>
      <c r="J13" s="5"/>
    </row>
    <row r="14" spans="1:10" ht="12.95" customHeight="1">
      <c r="A14" s="18" t="s">
        <v>968</v>
      </c>
      <c r="B14" s="19" t="s">
        <v>969</v>
      </c>
      <c r="C14" s="15"/>
      <c r="D14" s="15"/>
      <c r="E14" s="42"/>
      <c r="F14" s="21">
        <v>-19.434999999999999</v>
      </c>
      <c r="G14" s="40" t="s">
        <v>675</v>
      </c>
      <c r="H14" s="40"/>
      <c r="I14" s="24"/>
      <c r="J14" s="5"/>
    </row>
    <row r="15" spans="1:10" ht="12.95" customHeight="1">
      <c r="A15" s="18" t="s">
        <v>970</v>
      </c>
      <c r="B15" s="19" t="s">
        <v>971</v>
      </c>
      <c r="C15" s="15"/>
      <c r="D15" s="15"/>
      <c r="E15" s="42"/>
      <c r="F15" s="21">
        <v>-19.922499999999999</v>
      </c>
      <c r="G15" s="40" t="s">
        <v>675</v>
      </c>
      <c r="H15" s="40"/>
      <c r="I15" s="24"/>
      <c r="J15" s="5"/>
    </row>
    <row r="16" spans="1:10" ht="12.95" customHeight="1">
      <c r="A16" s="18" t="s">
        <v>972</v>
      </c>
      <c r="B16" s="19" t="s">
        <v>973</v>
      </c>
      <c r="C16" s="15"/>
      <c r="D16" s="15"/>
      <c r="E16" s="42"/>
      <c r="F16" s="21">
        <v>-41.31</v>
      </c>
      <c r="G16" s="22">
        <v>-1E-4</v>
      </c>
      <c r="H16" s="40"/>
      <c r="I16" s="24"/>
      <c r="J16" s="5"/>
    </row>
    <row r="17" spans="1:10" ht="12.95" customHeight="1">
      <c r="A17" s="5"/>
      <c r="B17" s="14" t="s">
        <v>160</v>
      </c>
      <c r="C17" s="15"/>
      <c r="D17" s="15"/>
      <c r="E17" s="15"/>
      <c r="F17" s="25">
        <v>-140.66650000000001</v>
      </c>
      <c r="G17" s="26">
        <v>-2.9999999999999997E-4</v>
      </c>
      <c r="H17" s="27"/>
      <c r="I17" s="28"/>
      <c r="J17" s="5"/>
    </row>
    <row r="18" spans="1:10" ht="12.95" customHeight="1">
      <c r="A18" s="5"/>
      <c r="B18" s="29" t="s">
        <v>163</v>
      </c>
      <c r="C18" s="30"/>
      <c r="D18" s="2"/>
      <c r="E18" s="30"/>
      <c r="F18" s="25">
        <v>-140.66650000000001</v>
      </c>
      <c r="G18" s="26">
        <v>-2.9999999999999997E-4</v>
      </c>
      <c r="H18" s="27"/>
      <c r="I18" s="28"/>
      <c r="J18" s="5"/>
    </row>
    <row r="19" spans="1:10" ht="12.95" customHeight="1">
      <c r="A19" s="5"/>
      <c r="B19" s="14" t="s">
        <v>151</v>
      </c>
      <c r="C19" s="15"/>
      <c r="D19" s="15"/>
      <c r="E19" s="15"/>
      <c r="F19" s="15"/>
      <c r="G19" s="15"/>
      <c r="H19" s="16"/>
      <c r="I19" s="17"/>
      <c r="J19" s="5"/>
    </row>
    <row r="20" spans="1:10" ht="12.95" customHeight="1">
      <c r="A20" s="5"/>
      <c r="B20" s="14" t="s">
        <v>152</v>
      </c>
      <c r="C20" s="15"/>
      <c r="D20" s="15"/>
      <c r="E20" s="15"/>
      <c r="F20" s="5"/>
      <c r="G20" s="16"/>
      <c r="H20" s="16"/>
      <c r="I20" s="17"/>
      <c r="J20" s="5"/>
    </row>
    <row r="21" spans="1:10" ht="12.95" customHeight="1">
      <c r="A21" s="18" t="s">
        <v>974</v>
      </c>
      <c r="B21" s="19" t="s">
        <v>975</v>
      </c>
      <c r="C21" s="15" t="s">
        <v>976</v>
      </c>
      <c r="D21" s="15" t="s">
        <v>156</v>
      </c>
      <c r="E21" s="20">
        <v>34000000</v>
      </c>
      <c r="F21" s="21">
        <v>34667.284</v>
      </c>
      <c r="G21" s="22">
        <v>7.0099999999999996E-2</v>
      </c>
      <c r="H21" s="40"/>
      <c r="I21" s="24"/>
      <c r="J21" s="5"/>
    </row>
    <row r="22" spans="1:10" ht="12.95" customHeight="1">
      <c r="A22" s="18" t="s">
        <v>977</v>
      </c>
      <c r="B22" s="19" t="s">
        <v>978</v>
      </c>
      <c r="C22" s="15" t="s">
        <v>979</v>
      </c>
      <c r="D22" s="15" t="s">
        <v>156</v>
      </c>
      <c r="E22" s="20">
        <v>19146000</v>
      </c>
      <c r="F22" s="21">
        <v>19069.645799999998</v>
      </c>
      <c r="G22" s="22">
        <v>3.85E-2</v>
      </c>
      <c r="H22" s="23">
        <v>7.3778999999999997E-2</v>
      </c>
      <c r="I22" s="24"/>
      <c r="J22" s="5"/>
    </row>
    <row r="23" spans="1:10" ht="12.95" customHeight="1">
      <c r="A23" s="18" t="s">
        <v>896</v>
      </c>
      <c r="B23" s="19" t="s">
        <v>897</v>
      </c>
      <c r="C23" s="15" t="s">
        <v>898</v>
      </c>
      <c r="D23" s="15" t="s">
        <v>156</v>
      </c>
      <c r="E23" s="20">
        <v>18500000</v>
      </c>
      <c r="F23" s="21">
        <v>18579.031999999999</v>
      </c>
      <c r="G23" s="22">
        <v>3.7499999999999999E-2</v>
      </c>
      <c r="H23" s="23">
        <v>7.3730000000000004E-2</v>
      </c>
      <c r="I23" s="24"/>
      <c r="J23" s="5"/>
    </row>
    <row r="24" spans="1:10" ht="12.95" customHeight="1">
      <c r="A24" s="18" t="s">
        <v>496</v>
      </c>
      <c r="B24" s="19" t="s">
        <v>497</v>
      </c>
      <c r="C24" s="15" t="s">
        <v>498</v>
      </c>
      <c r="D24" s="15" t="s">
        <v>179</v>
      </c>
      <c r="E24" s="20">
        <v>1500</v>
      </c>
      <c r="F24" s="21">
        <v>14904.21</v>
      </c>
      <c r="G24" s="22">
        <v>3.0099999999999998E-2</v>
      </c>
      <c r="H24" s="23">
        <v>7.6799999999999993E-2</v>
      </c>
      <c r="I24" s="24"/>
      <c r="J24" s="5"/>
    </row>
    <row r="25" spans="1:10" ht="12.95" customHeight="1">
      <c r="A25" s="18" t="s">
        <v>980</v>
      </c>
      <c r="B25" s="19" t="s">
        <v>981</v>
      </c>
      <c r="C25" s="15" t="s">
        <v>982</v>
      </c>
      <c r="D25" s="15" t="s">
        <v>432</v>
      </c>
      <c r="E25" s="20">
        <v>1300</v>
      </c>
      <c r="F25" s="21">
        <v>12887.692999999999</v>
      </c>
      <c r="G25" s="22">
        <v>2.5999999999999999E-2</v>
      </c>
      <c r="H25" s="23">
        <v>7.6813000000000006E-2</v>
      </c>
      <c r="I25" s="24"/>
      <c r="J25" s="5"/>
    </row>
    <row r="26" spans="1:10" ht="12.95" customHeight="1">
      <c r="A26" s="18" t="s">
        <v>469</v>
      </c>
      <c r="B26" s="19" t="s">
        <v>470</v>
      </c>
      <c r="C26" s="15" t="s">
        <v>471</v>
      </c>
      <c r="D26" s="15" t="s">
        <v>179</v>
      </c>
      <c r="E26" s="20">
        <v>1300</v>
      </c>
      <c r="F26" s="21">
        <v>12565.916999999999</v>
      </c>
      <c r="G26" s="22">
        <v>2.5399999999999999E-2</v>
      </c>
      <c r="H26" s="23">
        <v>6.8576999999999999E-2</v>
      </c>
      <c r="I26" s="41">
        <v>8.1420937999999998E-2</v>
      </c>
      <c r="J26" s="5"/>
    </row>
    <row r="27" spans="1:10" ht="12.95" customHeight="1">
      <c r="A27" s="18" t="s">
        <v>983</v>
      </c>
      <c r="B27" s="19" t="s">
        <v>984</v>
      </c>
      <c r="C27" s="15" t="s">
        <v>985</v>
      </c>
      <c r="D27" s="15" t="s">
        <v>179</v>
      </c>
      <c r="E27" s="20">
        <v>1250</v>
      </c>
      <c r="F27" s="21">
        <v>12514.4</v>
      </c>
      <c r="G27" s="22">
        <v>2.53E-2</v>
      </c>
      <c r="H27" s="23">
        <v>7.6899999999999996E-2</v>
      </c>
      <c r="I27" s="41"/>
      <c r="J27" s="5"/>
    </row>
    <row r="28" spans="1:10" ht="12.95" customHeight="1">
      <c r="A28" s="18" t="s">
        <v>180</v>
      </c>
      <c r="B28" s="19" t="s">
        <v>181</v>
      </c>
      <c r="C28" s="15" t="s">
        <v>182</v>
      </c>
      <c r="D28" s="15" t="s">
        <v>179</v>
      </c>
      <c r="E28" s="20">
        <v>12500</v>
      </c>
      <c r="F28" s="21">
        <v>12484.3</v>
      </c>
      <c r="G28" s="22">
        <v>2.52E-2</v>
      </c>
      <c r="H28" s="23">
        <v>7.6200000000000004E-2</v>
      </c>
      <c r="I28" s="41"/>
      <c r="J28" s="5"/>
    </row>
    <row r="29" spans="1:10" ht="12.95" customHeight="1">
      <c r="A29" s="18" t="s">
        <v>183</v>
      </c>
      <c r="B29" s="19" t="s">
        <v>184</v>
      </c>
      <c r="C29" s="15" t="s">
        <v>185</v>
      </c>
      <c r="D29" s="15" t="s">
        <v>179</v>
      </c>
      <c r="E29" s="20">
        <v>12500</v>
      </c>
      <c r="F29" s="21">
        <v>12470.85</v>
      </c>
      <c r="G29" s="22">
        <v>2.52E-2</v>
      </c>
      <c r="H29" s="23">
        <v>7.6799999999999993E-2</v>
      </c>
      <c r="I29" s="41"/>
      <c r="J29" s="5"/>
    </row>
    <row r="30" spans="1:10" ht="12.95" customHeight="1">
      <c r="A30" s="18" t="s">
        <v>186</v>
      </c>
      <c r="B30" s="19" t="s">
        <v>187</v>
      </c>
      <c r="C30" s="15" t="s">
        <v>188</v>
      </c>
      <c r="D30" s="15" t="s">
        <v>179</v>
      </c>
      <c r="E30" s="20">
        <v>12000</v>
      </c>
      <c r="F30" s="21">
        <v>11962.98</v>
      </c>
      <c r="G30" s="22">
        <v>2.4199999999999999E-2</v>
      </c>
      <c r="H30" s="23">
        <v>7.6799999999999993E-2</v>
      </c>
      <c r="I30" s="41"/>
      <c r="J30" s="5"/>
    </row>
    <row r="31" spans="1:10" ht="12.95" customHeight="1">
      <c r="A31" s="18" t="s">
        <v>986</v>
      </c>
      <c r="B31" s="19" t="s">
        <v>987</v>
      </c>
      <c r="C31" s="15" t="s">
        <v>988</v>
      </c>
      <c r="D31" s="15" t="s">
        <v>156</v>
      </c>
      <c r="E31" s="20">
        <v>11500000</v>
      </c>
      <c r="F31" s="21">
        <v>11485.245500000001</v>
      </c>
      <c r="G31" s="22">
        <v>2.3199999999999998E-2</v>
      </c>
      <c r="H31" s="23"/>
      <c r="I31" s="41"/>
      <c r="J31" s="5"/>
    </row>
    <row r="32" spans="1:10" ht="12.95" customHeight="1">
      <c r="A32" s="18" t="s">
        <v>989</v>
      </c>
      <c r="B32" s="19" t="s">
        <v>990</v>
      </c>
      <c r="C32" s="15" t="s">
        <v>991</v>
      </c>
      <c r="D32" s="15" t="s">
        <v>179</v>
      </c>
      <c r="E32" s="20">
        <v>10000</v>
      </c>
      <c r="F32" s="21">
        <v>9960.75</v>
      </c>
      <c r="G32" s="22">
        <v>2.01E-2</v>
      </c>
      <c r="H32" s="23">
        <v>7.8E-2</v>
      </c>
      <c r="I32" s="41"/>
      <c r="J32" s="5"/>
    </row>
    <row r="33" spans="1:10" ht="12.95" customHeight="1">
      <c r="A33" s="18" t="s">
        <v>992</v>
      </c>
      <c r="B33" s="19" t="s">
        <v>993</v>
      </c>
      <c r="C33" s="15" t="s">
        <v>994</v>
      </c>
      <c r="D33" s="15" t="s">
        <v>179</v>
      </c>
      <c r="E33" s="20">
        <v>8500</v>
      </c>
      <c r="F33" s="21">
        <v>8587.6605</v>
      </c>
      <c r="G33" s="22">
        <v>1.7399999999999999E-2</v>
      </c>
      <c r="H33" s="23">
        <v>7.8E-2</v>
      </c>
      <c r="I33" s="41"/>
      <c r="J33" s="5"/>
    </row>
    <row r="34" spans="1:10" ht="12.95" customHeight="1">
      <c r="A34" s="18" t="s">
        <v>995</v>
      </c>
      <c r="B34" s="19" t="s">
        <v>996</v>
      </c>
      <c r="C34" s="15" t="s">
        <v>997</v>
      </c>
      <c r="D34" s="15" t="s">
        <v>179</v>
      </c>
      <c r="E34" s="20">
        <v>8500</v>
      </c>
      <c r="F34" s="21">
        <v>8474.2450000000008</v>
      </c>
      <c r="G34" s="22">
        <v>1.7100000000000001E-2</v>
      </c>
      <c r="H34" s="23">
        <v>7.6858999999999997E-2</v>
      </c>
      <c r="I34" s="41"/>
      <c r="J34" s="5"/>
    </row>
    <row r="35" spans="1:10" ht="12.95" customHeight="1">
      <c r="A35" s="18" t="s">
        <v>911</v>
      </c>
      <c r="B35" s="19" t="s">
        <v>912</v>
      </c>
      <c r="C35" s="15" t="s">
        <v>913</v>
      </c>
      <c r="D35" s="15" t="s">
        <v>156</v>
      </c>
      <c r="E35" s="20">
        <v>8500000</v>
      </c>
      <c r="F35" s="21">
        <v>8443.7469999999994</v>
      </c>
      <c r="G35" s="22">
        <v>1.7100000000000001E-2</v>
      </c>
      <c r="H35" s="23">
        <v>7.3640999999999998E-2</v>
      </c>
      <c r="I35" s="41"/>
      <c r="J35" s="5"/>
    </row>
    <row r="36" spans="1:10" ht="12.95" customHeight="1">
      <c r="A36" s="18" t="s">
        <v>998</v>
      </c>
      <c r="B36" s="19" t="s">
        <v>999</v>
      </c>
      <c r="C36" s="15" t="s">
        <v>1000</v>
      </c>
      <c r="D36" s="15" t="s">
        <v>179</v>
      </c>
      <c r="E36" s="20">
        <v>750</v>
      </c>
      <c r="F36" s="21">
        <v>7507.0424999999996</v>
      </c>
      <c r="G36" s="22">
        <v>1.52E-2</v>
      </c>
      <c r="H36" s="23">
        <v>7.9350000000000004E-2</v>
      </c>
      <c r="I36" s="41"/>
      <c r="J36" s="5"/>
    </row>
    <row r="37" spans="1:10" ht="12.95" customHeight="1">
      <c r="A37" s="18" t="s">
        <v>1001</v>
      </c>
      <c r="B37" s="19" t="s">
        <v>1002</v>
      </c>
      <c r="C37" s="15" t="s">
        <v>1003</v>
      </c>
      <c r="D37" s="15" t="s">
        <v>179</v>
      </c>
      <c r="E37" s="20">
        <v>750</v>
      </c>
      <c r="F37" s="21">
        <v>7494.21</v>
      </c>
      <c r="G37" s="22">
        <v>1.5100000000000001E-2</v>
      </c>
      <c r="H37" s="23">
        <v>7.8639000000000001E-2</v>
      </c>
      <c r="I37" s="41"/>
      <c r="J37" s="5"/>
    </row>
    <row r="38" spans="1:10" ht="12.95" customHeight="1">
      <c r="A38" s="18" t="s">
        <v>1004</v>
      </c>
      <c r="B38" s="19" t="s">
        <v>1005</v>
      </c>
      <c r="C38" s="15" t="s">
        <v>1006</v>
      </c>
      <c r="D38" s="15" t="s">
        <v>179</v>
      </c>
      <c r="E38" s="20">
        <v>750</v>
      </c>
      <c r="F38" s="21">
        <v>7491.2624999999998</v>
      </c>
      <c r="G38" s="22">
        <v>1.5100000000000001E-2</v>
      </c>
      <c r="H38" s="23">
        <v>7.6399999999999996E-2</v>
      </c>
      <c r="I38" s="41"/>
      <c r="J38" s="5"/>
    </row>
    <row r="39" spans="1:10" ht="12.95" customHeight="1">
      <c r="A39" s="18" t="s">
        <v>460</v>
      </c>
      <c r="B39" s="19" t="s">
        <v>461</v>
      </c>
      <c r="C39" s="15" t="s">
        <v>462</v>
      </c>
      <c r="D39" s="15" t="s">
        <v>179</v>
      </c>
      <c r="E39" s="20">
        <v>7500</v>
      </c>
      <c r="F39" s="21">
        <v>7448.85</v>
      </c>
      <c r="G39" s="22">
        <v>1.5100000000000001E-2</v>
      </c>
      <c r="H39" s="23">
        <v>7.6381000000000004E-2</v>
      </c>
      <c r="I39" s="41"/>
      <c r="J39" s="5"/>
    </row>
    <row r="40" spans="1:10" ht="12.95" customHeight="1">
      <c r="A40" s="18" t="s">
        <v>436</v>
      </c>
      <c r="B40" s="19" t="s">
        <v>437</v>
      </c>
      <c r="C40" s="15" t="s">
        <v>438</v>
      </c>
      <c r="D40" s="15" t="s">
        <v>179</v>
      </c>
      <c r="E40" s="20">
        <v>6500</v>
      </c>
      <c r="F40" s="21">
        <v>6448.2209999999995</v>
      </c>
      <c r="G40" s="22">
        <v>1.2999999999999999E-2</v>
      </c>
      <c r="H40" s="23">
        <v>7.5399999999999995E-2</v>
      </c>
      <c r="I40" s="41"/>
      <c r="J40" s="5"/>
    </row>
    <row r="41" spans="1:10" ht="12.95" customHeight="1">
      <c r="A41" s="18" t="s">
        <v>591</v>
      </c>
      <c r="B41" s="19" t="s">
        <v>592</v>
      </c>
      <c r="C41" s="15" t="s">
        <v>593</v>
      </c>
      <c r="D41" s="15" t="s">
        <v>179</v>
      </c>
      <c r="E41" s="20">
        <v>600</v>
      </c>
      <c r="F41" s="21">
        <v>5788.692</v>
      </c>
      <c r="G41" s="22">
        <v>1.17E-2</v>
      </c>
      <c r="H41" s="23">
        <v>7.6200000000000004E-2</v>
      </c>
      <c r="I41" s="41"/>
      <c r="J41" s="5"/>
    </row>
    <row r="42" spans="1:10" ht="12.95" customHeight="1">
      <c r="A42" s="18" t="s">
        <v>1007</v>
      </c>
      <c r="B42" s="19" t="s">
        <v>1008</v>
      </c>
      <c r="C42" s="15" t="s">
        <v>1009</v>
      </c>
      <c r="D42" s="15" t="s">
        <v>179</v>
      </c>
      <c r="E42" s="20">
        <v>550</v>
      </c>
      <c r="F42" s="21">
        <v>5320.942</v>
      </c>
      <c r="G42" s="22">
        <v>1.0800000000000001E-2</v>
      </c>
      <c r="H42" s="23">
        <v>8.1788E-2</v>
      </c>
      <c r="I42" s="41"/>
      <c r="J42" s="5"/>
    </row>
    <row r="43" spans="1:10" ht="12.95" customHeight="1">
      <c r="A43" s="18" t="s">
        <v>645</v>
      </c>
      <c r="B43" s="19" t="s">
        <v>646</v>
      </c>
      <c r="C43" s="15" t="s">
        <v>647</v>
      </c>
      <c r="D43" s="15" t="s">
        <v>179</v>
      </c>
      <c r="E43" s="20">
        <v>5000</v>
      </c>
      <c r="F43" s="21">
        <v>5036.53</v>
      </c>
      <c r="G43" s="22">
        <v>1.0200000000000001E-2</v>
      </c>
      <c r="H43" s="23">
        <v>7.9200000000000007E-2</v>
      </c>
      <c r="I43" s="41"/>
      <c r="J43" s="5"/>
    </row>
    <row r="44" spans="1:10" ht="12.95" customHeight="1">
      <c r="A44" s="18" t="s">
        <v>1010</v>
      </c>
      <c r="B44" s="19" t="s">
        <v>1011</v>
      </c>
      <c r="C44" s="15" t="s">
        <v>1012</v>
      </c>
      <c r="D44" s="15" t="s">
        <v>432</v>
      </c>
      <c r="E44" s="20">
        <v>5000</v>
      </c>
      <c r="F44" s="21">
        <v>5022.6099999999997</v>
      </c>
      <c r="G44" s="22">
        <v>1.0200000000000001E-2</v>
      </c>
      <c r="H44" s="23">
        <v>7.9557000000000003E-2</v>
      </c>
      <c r="I44" s="41"/>
      <c r="J44" s="5"/>
    </row>
    <row r="45" spans="1:10" ht="12.95" customHeight="1">
      <c r="A45" s="18" t="s">
        <v>1013</v>
      </c>
      <c r="B45" s="19" t="s">
        <v>1014</v>
      </c>
      <c r="C45" s="15" t="s">
        <v>1015</v>
      </c>
      <c r="D45" s="15" t="s">
        <v>179</v>
      </c>
      <c r="E45" s="20">
        <v>500</v>
      </c>
      <c r="F45" s="21">
        <v>4998.3999999999996</v>
      </c>
      <c r="G45" s="22">
        <v>1.01E-2</v>
      </c>
      <c r="H45" s="23">
        <v>7.8889000000000001E-2</v>
      </c>
      <c r="I45" s="41"/>
      <c r="J45" s="5"/>
    </row>
    <row r="46" spans="1:10" ht="12.95" customHeight="1">
      <c r="A46" s="18" t="s">
        <v>1016</v>
      </c>
      <c r="B46" s="19" t="s">
        <v>1017</v>
      </c>
      <c r="C46" s="15" t="s">
        <v>1018</v>
      </c>
      <c r="D46" s="15" t="s">
        <v>179</v>
      </c>
      <c r="E46" s="20">
        <v>500</v>
      </c>
      <c r="F46" s="21">
        <v>4997.125</v>
      </c>
      <c r="G46" s="22">
        <v>1.01E-2</v>
      </c>
      <c r="H46" s="23">
        <v>7.8062000000000006E-2</v>
      </c>
      <c r="I46" s="41"/>
      <c r="J46" s="5"/>
    </row>
    <row r="47" spans="1:10" ht="12.95" customHeight="1">
      <c r="A47" s="18" t="s">
        <v>1019</v>
      </c>
      <c r="B47" s="19" t="s">
        <v>1020</v>
      </c>
      <c r="C47" s="15" t="s">
        <v>1021</v>
      </c>
      <c r="D47" s="15" t="s">
        <v>179</v>
      </c>
      <c r="E47" s="20">
        <v>5000</v>
      </c>
      <c r="F47" s="21">
        <v>4989.9799999999996</v>
      </c>
      <c r="G47" s="22">
        <v>1.01E-2</v>
      </c>
      <c r="H47" s="23">
        <v>7.9149999999999998E-2</v>
      </c>
      <c r="I47" s="41"/>
      <c r="J47" s="5"/>
    </row>
    <row r="48" spans="1:10" ht="12.95" customHeight="1">
      <c r="A48" s="18" t="s">
        <v>570</v>
      </c>
      <c r="B48" s="19" t="s">
        <v>571</v>
      </c>
      <c r="C48" s="15" t="s">
        <v>572</v>
      </c>
      <c r="D48" s="15" t="s">
        <v>179</v>
      </c>
      <c r="E48" s="20">
        <v>5000</v>
      </c>
      <c r="F48" s="21">
        <v>4988.8100000000004</v>
      </c>
      <c r="G48" s="22">
        <v>1.01E-2</v>
      </c>
      <c r="H48" s="23">
        <v>7.9049999999999995E-2</v>
      </c>
      <c r="I48" s="41"/>
      <c r="J48" s="5"/>
    </row>
    <row r="49" spans="1:10" ht="12.95" customHeight="1">
      <c r="A49" s="18" t="s">
        <v>517</v>
      </c>
      <c r="B49" s="19" t="s">
        <v>518</v>
      </c>
      <c r="C49" s="15" t="s">
        <v>519</v>
      </c>
      <c r="D49" s="15" t="s">
        <v>179</v>
      </c>
      <c r="E49" s="20">
        <v>5000</v>
      </c>
      <c r="F49" s="21">
        <v>4985.1000000000004</v>
      </c>
      <c r="G49" s="22">
        <v>1.01E-2</v>
      </c>
      <c r="H49" s="23">
        <v>7.5399999999999995E-2</v>
      </c>
      <c r="I49" s="41"/>
      <c r="J49" s="5"/>
    </row>
    <row r="50" spans="1:10" ht="12.95" customHeight="1">
      <c r="A50" s="18" t="s">
        <v>204</v>
      </c>
      <c r="B50" s="19" t="s">
        <v>205</v>
      </c>
      <c r="C50" s="15" t="s">
        <v>206</v>
      </c>
      <c r="D50" s="15" t="s">
        <v>179</v>
      </c>
      <c r="E50" s="20">
        <v>5000</v>
      </c>
      <c r="F50" s="21">
        <v>4981.59</v>
      </c>
      <c r="G50" s="22">
        <v>1.01E-2</v>
      </c>
      <c r="H50" s="23">
        <v>7.485E-2</v>
      </c>
      <c r="I50" s="41"/>
      <c r="J50" s="5"/>
    </row>
    <row r="51" spans="1:10" ht="12.95" customHeight="1">
      <c r="A51" s="18" t="s">
        <v>1022</v>
      </c>
      <c r="B51" s="19" t="s">
        <v>1023</v>
      </c>
      <c r="C51" s="15" t="s">
        <v>1024</v>
      </c>
      <c r="D51" s="15" t="s">
        <v>156</v>
      </c>
      <c r="E51" s="20">
        <v>5000000</v>
      </c>
      <c r="F51" s="21">
        <v>4935.375</v>
      </c>
      <c r="G51" s="22">
        <v>0.01</v>
      </c>
      <c r="H51" s="23">
        <v>7.4629000000000001E-2</v>
      </c>
      <c r="I51" s="41"/>
      <c r="J51" s="5"/>
    </row>
    <row r="52" spans="1:10" ht="12.95" customHeight="1">
      <c r="A52" s="18" t="s">
        <v>1025</v>
      </c>
      <c r="B52" s="19" t="s">
        <v>1026</v>
      </c>
      <c r="C52" s="15" t="s">
        <v>1027</v>
      </c>
      <c r="D52" s="15" t="s">
        <v>179</v>
      </c>
      <c r="E52" s="20">
        <v>5000</v>
      </c>
      <c r="F52" s="21">
        <v>4922.1149999999998</v>
      </c>
      <c r="G52" s="22">
        <v>9.9000000000000008E-3</v>
      </c>
      <c r="H52" s="23">
        <v>7.4700000000000003E-2</v>
      </c>
      <c r="I52" s="41"/>
      <c r="J52" s="5"/>
    </row>
    <row r="53" spans="1:10" ht="12.95" customHeight="1">
      <c r="A53" s="18" t="s">
        <v>523</v>
      </c>
      <c r="B53" s="19" t="s">
        <v>524</v>
      </c>
      <c r="C53" s="15" t="s">
        <v>525</v>
      </c>
      <c r="D53" s="15" t="s">
        <v>179</v>
      </c>
      <c r="E53" s="20">
        <v>500</v>
      </c>
      <c r="F53" s="21">
        <v>4837.34</v>
      </c>
      <c r="G53" s="22">
        <v>9.7999999999999997E-3</v>
      </c>
      <c r="H53" s="23">
        <v>7.8600000000000003E-2</v>
      </c>
      <c r="I53" s="41"/>
      <c r="J53" s="5"/>
    </row>
    <row r="54" spans="1:10" ht="12.95" customHeight="1">
      <c r="A54" s="18" t="s">
        <v>1028</v>
      </c>
      <c r="B54" s="19" t="s">
        <v>1029</v>
      </c>
      <c r="C54" s="15" t="s">
        <v>1030</v>
      </c>
      <c r="D54" s="15" t="s">
        <v>179</v>
      </c>
      <c r="E54" s="20">
        <v>5000</v>
      </c>
      <c r="F54" s="21">
        <v>4773.3450000000003</v>
      </c>
      <c r="G54" s="22">
        <v>9.5999999999999992E-3</v>
      </c>
      <c r="H54" s="23">
        <v>7.4700000000000003E-2</v>
      </c>
      <c r="I54" s="41"/>
      <c r="J54" s="5"/>
    </row>
    <row r="55" spans="1:10" ht="12.95" customHeight="1">
      <c r="A55" s="18" t="s">
        <v>1031</v>
      </c>
      <c r="B55" s="19" t="s">
        <v>1032</v>
      </c>
      <c r="C55" s="15" t="s">
        <v>1033</v>
      </c>
      <c r="D55" s="15" t="s">
        <v>1034</v>
      </c>
      <c r="E55" s="20">
        <v>500</v>
      </c>
      <c r="F55" s="21">
        <v>4486.32</v>
      </c>
      <c r="G55" s="22">
        <v>9.1000000000000004E-3</v>
      </c>
      <c r="H55" s="23">
        <v>7.9370999999999997E-2</v>
      </c>
      <c r="I55" s="41"/>
      <c r="J55" s="5"/>
    </row>
    <row r="56" spans="1:10" ht="12.95" customHeight="1">
      <c r="A56" s="18" t="s">
        <v>429</v>
      </c>
      <c r="B56" s="19" t="s">
        <v>430</v>
      </c>
      <c r="C56" s="15" t="s">
        <v>431</v>
      </c>
      <c r="D56" s="15" t="s">
        <v>432</v>
      </c>
      <c r="E56" s="20">
        <v>450</v>
      </c>
      <c r="F56" s="21">
        <v>4446.6840000000002</v>
      </c>
      <c r="G56" s="22">
        <v>8.9999999999999993E-3</v>
      </c>
      <c r="H56" s="23">
        <v>7.6799999999999993E-2</v>
      </c>
      <c r="I56" s="41"/>
      <c r="J56" s="5"/>
    </row>
    <row r="57" spans="1:10" ht="12.95" customHeight="1">
      <c r="A57" s="18" t="s">
        <v>1035</v>
      </c>
      <c r="B57" s="19" t="s">
        <v>1036</v>
      </c>
      <c r="C57" s="15" t="s">
        <v>1037</v>
      </c>
      <c r="D57" s="15" t="s">
        <v>179</v>
      </c>
      <c r="E57" s="20">
        <v>400</v>
      </c>
      <c r="F57" s="21">
        <v>4277.42</v>
      </c>
      <c r="G57" s="22">
        <v>8.6E-3</v>
      </c>
      <c r="H57" s="23">
        <v>7.9350000000000004E-2</v>
      </c>
      <c r="I57" s="41"/>
      <c r="J57" s="5"/>
    </row>
    <row r="58" spans="1:10" ht="12.95" customHeight="1">
      <c r="A58" s="18" t="s">
        <v>612</v>
      </c>
      <c r="B58" s="19" t="s">
        <v>613</v>
      </c>
      <c r="C58" s="15" t="s">
        <v>614</v>
      </c>
      <c r="D58" s="15" t="s">
        <v>156</v>
      </c>
      <c r="E58" s="20">
        <v>5127200</v>
      </c>
      <c r="F58" s="21">
        <v>4147.6842999999999</v>
      </c>
      <c r="G58" s="22">
        <v>8.3999999999999995E-3</v>
      </c>
      <c r="H58" s="23">
        <v>7.4587000000000001E-2</v>
      </c>
      <c r="I58" s="41"/>
      <c r="J58" s="5"/>
    </row>
    <row r="59" spans="1:10" ht="12.95" customHeight="1">
      <c r="A59" s="18" t="s">
        <v>1038</v>
      </c>
      <c r="B59" s="19" t="s">
        <v>1039</v>
      </c>
      <c r="C59" s="15" t="s">
        <v>1040</v>
      </c>
      <c r="D59" s="15" t="s">
        <v>179</v>
      </c>
      <c r="E59" s="20">
        <v>4000</v>
      </c>
      <c r="F59" s="21">
        <v>4020.556</v>
      </c>
      <c r="G59" s="22">
        <v>8.0999999999999996E-3</v>
      </c>
      <c r="H59" s="23">
        <v>7.5695999999999999E-2</v>
      </c>
      <c r="I59" s="41"/>
      <c r="J59" s="5"/>
    </row>
    <row r="60" spans="1:10" ht="12.95" customHeight="1">
      <c r="A60" s="18" t="s">
        <v>1041</v>
      </c>
      <c r="B60" s="19" t="s">
        <v>1042</v>
      </c>
      <c r="C60" s="15" t="s">
        <v>1043</v>
      </c>
      <c r="D60" s="15" t="s">
        <v>432</v>
      </c>
      <c r="E60" s="20">
        <v>4000</v>
      </c>
      <c r="F60" s="21">
        <v>4001.8679999999999</v>
      </c>
      <c r="G60" s="22">
        <v>8.0999999999999996E-3</v>
      </c>
      <c r="H60" s="23">
        <v>7.9100000000000004E-2</v>
      </c>
      <c r="I60" s="41"/>
      <c r="J60" s="5"/>
    </row>
    <row r="61" spans="1:10" ht="12.95" customHeight="1">
      <c r="A61" s="18" t="s">
        <v>1044</v>
      </c>
      <c r="B61" s="19" t="s">
        <v>1045</v>
      </c>
      <c r="C61" s="15" t="s">
        <v>1046</v>
      </c>
      <c r="D61" s="15" t="s">
        <v>156</v>
      </c>
      <c r="E61" s="20">
        <v>3832000</v>
      </c>
      <c r="F61" s="21">
        <v>3889.6408999999999</v>
      </c>
      <c r="G61" s="22">
        <v>7.9000000000000008E-3</v>
      </c>
      <c r="H61" s="23">
        <v>7.6799000000000006E-2</v>
      </c>
      <c r="I61" s="41"/>
      <c r="J61" s="5"/>
    </row>
    <row r="62" spans="1:10" ht="12.95" customHeight="1">
      <c r="A62" s="18" t="s">
        <v>1047</v>
      </c>
      <c r="B62" s="19" t="s">
        <v>1048</v>
      </c>
      <c r="C62" s="15" t="s">
        <v>1049</v>
      </c>
      <c r="D62" s="15" t="s">
        <v>432</v>
      </c>
      <c r="E62" s="20">
        <v>3500</v>
      </c>
      <c r="F62" s="21">
        <v>3523.1174999999998</v>
      </c>
      <c r="G62" s="22">
        <v>7.1000000000000004E-3</v>
      </c>
      <c r="H62" s="23">
        <v>7.5018000000000001E-2</v>
      </c>
      <c r="I62" s="41"/>
      <c r="J62" s="5"/>
    </row>
    <row r="63" spans="1:10" ht="12.95" customHeight="1">
      <c r="A63" s="18" t="s">
        <v>1050</v>
      </c>
      <c r="B63" s="19" t="s">
        <v>1051</v>
      </c>
      <c r="C63" s="15" t="s">
        <v>1052</v>
      </c>
      <c r="D63" s="15" t="s">
        <v>179</v>
      </c>
      <c r="E63" s="20">
        <v>3500</v>
      </c>
      <c r="F63" s="21">
        <v>3498.0855000000001</v>
      </c>
      <c r="G63" s="22">
        <v>7.1000000000000004E-3</v>
      </c>
      <c r="H63" s="23">
        <v>7.8600000000000003E-2</v>
      </c>
      <c r="I63" s="41"/>
      <c r="J63" s="5"/>
    </row>
    <row r="64" spans="1:10" ht="12.95" customHeight="1">
      <c r="A64" s="18" t="s">
        <v>1053</v>
      </c>
      <c r="B64" s="19" t="s">
        <v>1054</v>
      </c>
      <c r="C64" s="15" t="s">
        <v>1055</v>
      </c>
      <c r="D64" s="15" t="s">
        <v>179</v>
      </c>
      <c r="E64" s="20">
        <v>3500</v>
      </c>
      <c r="F64" s="21">
        <v>3497.5219999999999</v>
      </c>
      <c r="G64" s="22">
        <v>7.1000000000000004E-3</v>
      </c>
      <c r="H64" s="23">
        <v>7.8E-2</v>
      </c>
      <c r="I64" s="41"/>
      <c r="J64" s="5"/>
    </row>
    <row r="65" spans="1:10" ht="12.95" customHeight="1">
      <c r="A65" s="18" t="s">
        <v>454</v>
      </c>
      <c r="B65" s="19" t="s">
        <v>455</v>
      </c>
      <c r="C65" s="15" t="s">
        <v>456</v>
      </c>
      <c r="D65" s="15" t="s">
        <v>179</v>
      </c>
      <c r="E65" s="20">
        <v>330</v>
      </c>
      <c r="F65" s="21">
        <v>3164.2478999999998</v>
      </c>
      <c r="G65" s="22">
        <v>6.4000000000000003E-3</v>
      </c>
      <c r="H65" s="23">
        <v>7.9200000000000007E-2</v>
      </c>
      <c r="I65" s="41"/>
      <c r="J65" s="5"/>
    </row>
    <row r="66" spans="1:10" ht="12.95" customHeight="1">
      <c r="A66" s="18" t="s">
        <v>1056</v>
      </c>
      <c r="B66" s="19" t="s">
        <v>1057</v>
      </c>
      <c r="C66" s="15" t="s">
        <v>1058</v>
      </c>
      <c r="D66" s="15" t="s">
        <v>156</v>
      </c>
      <c r="E66" s="20">
        <v>3464000</v>
      </c>
      <c r="F66" s="21">
        <v>3014.5599000000002</v>
      </c>
      <c r="G66" s="22">
        <v>6.1000000000000004E-3</v>
      </c>
      <c r="H66" s="23">
        <v>7.3978000000000002E-2</v>
      </c>
      <c r="I66" s="41"/>
      <c r="J66" s="5"/>
    </row>
    <row r="67" spans="1:10" ht="12.95" customHeight="1">
      <c r="A67" s="18" t="s">
        <v>1059</v>
      </c>
      <c r="B67" s="19" t="s">
        <v>1060</v>
      </c>
      <c r="C67" s="15" t="s">
        <v>1061</v>
      </c>
      <c r="D67" s="15" t="s">
        <v>432</v>
      </c>
      <c r="E67" s="20">
        <v>300</v>
      </c>
      <c r="F67" s="21">
        <v>3002.3789999999999</v>
      </c>
      <c r="G67" s="22">
        <v>6.1000000000000004E-3</v>
      </c>
      <c r="H67" s="23">
        <v>7.7062000000000005E-2</v>
      </c>
      <c r="I67" s="41"/>
      <c r="J67" s="5"/>
    </row>
    <row r="68" spans="1:10" ht="12.95" customHeight="1">
      <c r="A68" s="18" t="s">
        <v>1062</v>
      </c>
      <c r="B68" s="19" t="s">
        <v>1063</v>
      </c>
      <c r="C68" s="15" t="s">
        <v>1064</v>
      </c>
      <c r="D68" s="15" t="s">
        <v>179</v>
      </c>
      <c r="E68" s="20">
        <v>3000</v>
      </c>
      <c r="F68" s="21">
        <v>3000.9870000000001</v>
      </c>
      <c r="G68" s="22">
        <v>6.1000000000000004E-3</v>
      </c>
      <c r="H68" s="23">
        <v>7.5200000000000003E-2</v>
      </c>
      <c r="I68" s="41"/>
      <c r="J68" s="5"/>
    </row>
    <row r="69" spans="1:10" ht="12.95" customHeight="1">
      <c r="A69" s="18" t="s">
        <v>520</v>
      </c>
      <c r="B69" s="19" t="s">
        <v>521</v>
      </c>
      <c r="C69" s="15" t="s">
        <v>522</v>
      </c>
      <c r="D69" s="15" t="s">
        <v>432</v>
      </c>
      <c r="E69" s="20">
        <v>300</v>
      </c>
      <c r="F69" s="21">
        <v>2991.0120000000002</v>
      </c>
      <c r="G69" s="22">
        <v>6.0000000000000001E-3</v>
      </c>
      <c r="H69" s="23">
        <v>7.6799999999999993E-2</v>
      </c>
      <c r="I69" s="41"/>
      <c r="J69" s="5"/>
    </row>
    <row r="70" spans="1:10" ht="12.95" customHeight="1">
      <c r="A70" s="18" t="s">
        <v>576</v>
      </c>
      <c r="B70" s="19" t="s">
        <v>577</v>
      </c>
      <c r="C70" s="15" t="s">
        <v>578</v>
      </c>
      <c r="D70" s="15" t="s">
        <v>179</v>
      </c>
      <c r="E70" s="20">
        <v>3000</v>
      </c>
      <c r="F70" s="21">
        <v>2984.7150000000001</v>
      </c>
      <c r="G70" s="22">
        <v>6.0000000000000001E-3</v>
      </c>
      <c r="H70" s="23">
        <v>7.6481999999999994E-2</v>
      </c>
      <c r="I70" s="41"/>
      <c r="J70" s="5"/>
    </row>
    <row r="71" spans="1:10" ht="12.95" customHeight="1">
      <c r="A71" s="18" t="s">
        <v>153</v>
      </c>
      <c r="B71" s="19" t="s">
        <v>154</v>
      </c>
      <c r="C71" s="15" t="s">
        <v>155</v>
      </c>
      <c r="D71" s="15" t="s">
        <v>156</v>
      </c>
      <c r="E71" s="20">
        <v>3500000</v>
      </c>
      <c r="F71" s="21">
        <v>2933.1120000000001</v>
      </c>
      <c r="G71" s="22">
        <v>5.8999999999999999E-3</v>
      </c>
      <c r="H71" s="23">
        <v>7.4263999999999997E-2</v>
      </c>
      <c r="I71" s="41"/>
      <c r="J71" s="5"/>
    </row>
    <row r="72" spans="1:10" ht="12.95" customHeight="1">
      <c r="A72" s="18" t="s">
        <v>529</v>
      </c>
      <c r="B72" s="19" t="s">
        <v>530</v>
      </c>
      <c r="C72" s="15" t="s">
        <v>531</v>
      </c>
      <c r="D72" s="15" t="s">
        <v>432</v>
      </c>
      <c r="E72" s="20">
        <v>291</v>
      </c>
      <c r="F72" s="21">
        <v>2896.1368000000002</v>
      </c>
      <c r="G72" s="22">
        <v>5.8999999999999999E-3</v>
      </c>
      <c r="H72" s="23">
        <v>7.7063000000000006E-2</v>
      </c>
      <c r="I72" s="41"/>
      <c r="J72" s="5"/>
    </row>
    <row r="73" spans="1:10" ht="12.95" customHeight="1">
      <c r="A73" s="18" t="s">
        <v>493</v>
      </c>
      <c r="B73" s="19" t="s">
        <v>494</v>
      </c>
      <c r="C73" s="15" t="s">
        <v>495</v>
      </c>
      <c r="D73" s="15" t="s">
        <v>432</v>
      </c>
      <c r="E73" s="20">
        <v>290</v>
      </c>
      <c r="F73" s="21">
        <v>2842.7134000000001</v>
      </c>
      <c r="G73" s="22">
        <v>5.7000000000000002E-3</v>
      </c>
      <c r="H73" s="23">
        <v>7.4884000000000006E-2</v>
      </c>
      <c r="I73" s="41">
        <v>8.622763E-2</v>
      </c>
      <c r="J73" s="5"/>
    </row>
    <row r="74" spans="1:10" ht="12.95" customHeight="1">
      <c r="A74" s="18" t="s">
        <v>1065</v>
      </c>
      <c r="B74" s="19" t="s">
        <v>1066</v>
      </c>
      <c r="C74" s="15" t="s">
        <v>1067</v>
      </c>
      <c r="D74" s="15" t="s">
        <v>156</v>
      </c>
      <c r="E74" s="20">
        <v>2972800</v>
      </c>
      <c r="F74" s="21">
        <v>2682.7498000000001</v>
      </c>
      <c r="G74" s="22">
        <v>5.4000000000000003E-3</v>
      </c>
      <c r="H74" s="23">
        <v>7.3515999999999998E-2</v>
      </c>
      <c r="I74" s="41"/>
      <c r="J74" s="5"/>
    </row>
    <row r="75" spans="1:10" ht="12.95" customHeight="1">
      <c r="A75" s="18" t="s">
        <v>1068</v>
      </c>
      <c r="B75" s="19" t="s">
        <v>1069</v>
      </c>
      <c r="C75" s="15" t="s">
        <v>1070</v>
      </c>
      <c r="D75" s="15" t="s">
        <v>179</v>
      </c>
      <c r="E75" s="20">
        <v>250</v>
      </c>
      <c r="F75" s="21">
        <v>2523.59</v>
      </c>
      <c r="G75" s="22">
        <v>5.1000000000000004E-3</v>
      </c>
      <c r="H75" s="23">
        <v>7.7249999999999999E-2</v>
      </c>
      <c r="I75" s="41"/>
      <c r="J75" s="5"/>
    </row>
    <row r="76" spans="1:10" ht="12.95" customHeight="1">
      <c r="A76" s="18" t="s">
        <v>1071</v>
      </c>
      <c r="B76" s="19" t="s">
        <v>1072</v>
      </c>
      <c r="C76" s="15" t="s">
        <v>1073</v>
      </c>
      <c r="D76" s="15" t="s">
        <v>179</v>
      </c>
      <c r="E76" s="20">
        <v>2500</v>
      </c>
      <c r="F76" s="21">
        <v>2512.9699999999998</v>
      </c>
      <c r="G76" s="22">
        <v>5.1000000000000004E-3</v>
      </c>
      <c r="H76" s="23">
        <v>7.8750000000000001E-2</v>
      </c>
      <c r="I76" s="41"/>
      <c r="J76" s="5"/>
    </row>
    <row r="77" spans="1:10" ht="12.95" customHeight="1">
      <c r="A77" s="18" t="s">
        <v>1074</v>
      </c>
      <c r="B77" s="19" t="s">
        <v>1075</v>
      </c>
      <c r="C77" s="15" t="s">
        <v>1076</v>
      </c>
      <c r="D77" s="15" t="s">
        <v>179</v>
      </c>
      <c r="E77" s="20">
        <v>2500</v>
      </c>
      <c r="F77" s="21">
        <v>2505.7275</v>
      </c>
      <c r="G77" s="22">
        <v>5.1000000000000004E-3</v>
      </c>
      <c r="H77" s="23">
        <v>7.6850000000000002E-2</v>
      </c>
      <c r="I77" s="41"/>
      <c r="J77" s="5"/>
    </row>
    <row r="78" spans="1:10" ht="12.95" customHeight="1">
      <c r="A78" s="18" t="s">
        <v>1077</v>
      </c>
      <c r="B78" s="19" t="s">
        <v>1078</v>
      </c>
      <c r="C78" s="15" t="s">
        <v>1079</v>
      </c>
      <c r="D78" s="15" t="s">
        <v>1034</v>
      </c>
      <c r="E78" s="20">
        <v>250</v>
      </c>
      <c r="F78" s="21">
        <v>2500.125</v>
      </c>
      <c r="G78" s="22">
        <v>5.1000000000000004E-3</v>
      </c>
      <c r="H78" s="23">
        <v>8.4625500000000006E-2</v>
      </c>
      <c r="I78" s="41"/>
      <c r="J78" s="5"/>
    </row>
    <row r="79" spans="1:10" ht="12.95" customHeight="1">
      <c r="A79" s="18" t="s">
        <v>546</v>
      </c>
      <c r="B79" s="19" t="s">
        <v>547</v>
      </c>
      <c r="C79" s="15" t="s">
        <v>548</v>
      </c>
      <c r="D79" s="15" t="s">
        <v>179</v>
      </c>
      <c r="E79" s="20">
        <v>2500</v>
      </c>
      <c r="F79" s="21">
        <v>2499.7150000000001</v>
      </c>
      <c r="G79" s="22">
        <v>5.1000000000000004E-3</v>
      </c>
      <c r="H79" s="23">
        <v>7.6450000000000004E-2</v>
      </c>
      <c r="I79" s="41"/>
      <c r="J79" s="5"/>
    </row>
    <row r="80" spans="1:10" ht="12.95" customHeight="1">
      <c r="A80" s="18" t="s">
        <v>1080</v>
      </c>
      <c r="B80" s="19" t="s">
        <v>1081</v>
      </c>
      <c r="C80" s="15" t="s">
        <v>1082</v>
      </c>
      <c r="D80" s="15" t="s">
        <v>179</v>
      </c>
      <c r="E80" s="20">
        <v>2500</v>
      </c>
      <c r="F80" s="21">
        <v>2499.0925000000002</v>
      </c>
      <c r="G80" s="22">
        <v>5.1000000000000004E-3</v>
      </c>
      <c r="H80" s="23">
        <v>7.9000000000000001E-2</v>
      </c>
      <c r="I80" s="41"/>
      <c r="J80" s="5"/>
    </row>
    <row r="81" spans="1:10" ht="12.95" customHeight="1">
      <c r="A81" s="18" t="s">
        <v>1083</v>
      </c>
      <c r="B81" s="19" t="s">
        <v>1084</v>
      </c>
      <c r="C81" s="15" t="s">
        <v>1085</v>
      </c>
      <c r="D81" s="15" t="s">
        <v>179</v>
      </c>
      <c r="E81" s="20">
        <v>250</v>
      </c>
      <c r="F81" s="21">
        <v>2498.59</v>
      </c>
      <c r="G81" s="22">
        <v>5.0000000000000001E-3</v>
      </c>
      <c r="H81" s="23">
        <v>7.8350000000000003E-2</v>
      </c>
      <c r="I81" s="41"/>
      <c r="J81" s="5"/>
    </row>
    <row r="82" spans="1:10" ht="12.95" customHeight="1">
      <c r="A82" s="18" t="s">
        <v>1086</v>
      </c>
      <c r="B82" s="19" t="s">
        <v>1087</v>
      </c>
      <c r="C82" s="15" t="s">
        <v>1088</v>
      </c>
      <c r="D82" s="15" t="s">
        <v>179</v>
      </c>
      <c r="E82" s="20">
        <v>250</v>
      </c>
      <c r="F82" s="21">
        <v>2498.44</v>
      </c>
      <c r="G82" s="22">
        <v>5.0000000000000001E-3</v>
      </c>
      <c r="H82" s="23">
        <v>7.8750000000000001E-2</v>
      </c>
      <c r="I82" s="41"/>
      <c r="J82" s="5"/>
    </row>
    <row r="83" spans="1:10" ht="12.95" customHeight="1">
      <c r="A83" s="18" t="s">
        <v>176</v>
      </c>
      <c r="B83" s="19" t="s">
        <v>177</v>
      </c>
      <c r="C83" s="15" t="s">
        <v>178</v>
      </c>
      <c r="D83" s="15" t="s">
        <v>179</v>
      </c>
      <c r="E83" s="20">
        <v>2500</v>
      </c>
      <c r="F83" s="21">
        <v>2494.5549999999998</v>
      </c>
      <c r="G83" s="22">
        <v>5.0000000000000001E-3</v>
      </c>
      <c r="H83" s="23">
        <v>7.5200000000000003E-2</v>
      </c>
      <c r="I83" s="41"/>
      <c r="J83" s="5"/>
    </row>
    <row r="84" spans="1:10" ht="12.95" customHeight="1">
      <c r="A84" s="18" t="s">
        <v>1089</v>
      </c>
      <c r="B84" s="19" t="s">
        <v>1090</v>
      </c>
      <c r="C84" s="15" t="s">
        <v>1091</v>
      </c>
      <c r="D84" s="15" t="s">
        <v>432</v>
      </c>
      <c r="E84" s="20">
        <v>250</v>
      </c>
      <c r="F84" s="21">
        <v>2491.35</v>
      </c>
      <c r="G84" s="22">
        <v>5.0000000000000001E-3</v>
      </c>
      <c r="H84" s="23">
        <v>7.9750000000000001E-2</v>
      </c>
      <c r="I84" s="41"/>
      <c r="J84" s="5"/>
    </row>
    <row r="85" spans="1:10" ht="12.95" customHeight="1">
      <c r="A85" s="18" t="s">
        <v>1092</v>
      </c>
      <c r="B85" s="19" t="s">
        <v>1093</v>
      </c>
      <c r="C85" s="15" t="s">
        <v>1094</v>
      </c>
      <c r="D85" s="15" t="s">
        <v>179</v>
      </c>
      <c r="E85" s="20">
        <v>250</v>
      </c>
      <c r="F85" s="21">
        <v>2489.6325000000002</v>
      </c>
      <c r="G85" s="22">
        <v>5.0000000000000001E-3</v>
      </c>
      <c r="H85" s="23">
        <v>7.5499999999999998E-2</v>
      </c>
      <c r="I85" s="41"/>
      <c r="J85" s="5"/>
    </row>
    <row r="86" spans="1:10" ht="12.95" customHeight="1">
      <c r="A86" s="18" t="s">
        <v>433</v>
      </c>
      <c r="B86" s="19" t="s">
        <v>434</v>
      </c>
      <c r="C86" s="15" t="s">
        <v>435</v>
      </c>
      <c r="D86" s="15" t="s">
        <v>179</v>
      </c>
      <c r="E86" s="20">
        <v>250</v>
      </c>
      <c r="F86" s="21">
        <v>2488.7399999999998</v>
      </c>
      <c r="G86" s="22">
        <v>5.0000000000000001E-3</v>
      </c>
      <c r="H86" s="23">
        <v>7.9200000000000007E-2</v>
      </c>
      <c r="I86" s="41"/>
      <c r="J86" s="5"/>
    </row>
    <row r="87" spans="1:10" ht="12.95" customHeight="1">
      <c r="A87" s="18" t="s">
        <v>1095</v>
      </c>
      <c r="B87" s="19" t="s">
        <v>1096</v>
      </c>
      <c r="C87" s="15" t="s">
        <v>1097</v>
      </c>
      <c r="D87" s="15" t="s">
        <v>179</v>
      </c>
      <c r="E87" s="20">
        <v>250</v>
      </c>
      <c r="F87" s="21">
        <v>2485.8175000000001</v>
      </c>
      <c r="G87" s="22">
        <v>5.0000000000000001E-3</v>
      </c>
      <c r="H87" s="23">
        <v>7.6850000000000002E-2</v>
      </c>
      <c r="I87" s="41"/>
      <c r="J87" s="5"/>
    </row>
    <row r="88" spans="1:10" ht="12.95" customHeight="1">
      <c r="A88" s="18" t="s">
        <v>1098</v>
      </c>
      <c r="B88" s="19" t="s">
        <v>1099</v>
      </c>
      <c r="C88" s="15" t="s">
        <v>1100</v>
      </c>
      <c r="D88" s="15" t="s">
        <v>179</v>
      </c>
      <c r="E88" s="20">
        <v>250</v>
      </c>
      <c r="F88" s="21">
        <v>2481.8874999999998</v>
      </c>
      <c r="G88" s="22">
        <v>5.0000000000000001E-3</v>
      </c>
      <c r="H88" s="23">
        <v>7.8799999999999995E-2</v>
      </c>
      <c r="I88" s="41"/>
      <c r="J88" s="5"/>
    </row>
    <row r="89" spans="1:10" ht="12.95" customHeight="1">
      <c r="A89" s="18" t="s">
        <v>1101</v>
      </c>
      <c r="B89" s="19" t="s">
        <v>1102</v>
      </c>
      <c r="C89" s="15" t="s">
        <v>1103</v>
      </c>
      <c r="D89" s="15" t="s">
        <v>432</v>
      </c>
      <c r="E89" s="20">
        <v>250</v>
      </c>
      <c r="F89" s="21">
        <v>2481.3674999999998</v>
      </c>
      <c r="G89" s="22">
        <v>5.0000000000000001E-3</v>
      </c>
      <c r="H89" s="23">
        <v>7.6998999999999998E-2</v>
      </c>
      <c r="I89" s="41"/>
      <c r="J89" s="5"/>
    </row>
    <row r="90" spans="1:10" ht="12.95" customHeight="1">
      <c r="A90" s="18" t="s">
        <v>582</v>
      </c>
      <c r="B90" s="19" t="s">
        <v>583</v>
      </c>
      <c r="C90" s="15" t="s">
        <v>584</v>
      </c>
      <c r="D90" s="15" t="s">
        <v>432</v>
      </c>
      <c r="E90" s="20">
        <v>250</v>
      </c>
      <c r="F90" s="21">
        <v>2476.8474999999999</v>
      </c>
      <c r="G90" s="22">
        <v>5.0000000000000001E-3</v>
      </c>
      <c r="H90" s="23">
        <v>7.6799999999999993E-2</v>
      </c>
      <c r="I90" s="41"/>
      <c r="J90" s="5"/>
    </row>
    <row r="91" spans="1:10" ht="12.95" customHeight="1">
      <c r="A91" s="18" t="s">
        <v>1104</v>
      </c>
      <c r="B91" s="19" t="s">
        <v>1105</v>
      </c>
      <c r="C91" s="15" t="s">
        <v>1106</v>
      </c>
      <c r="D91" s="15" t="s">
        <v>179</v>
      </c>
      <c r="E91" s="20">
        <v>2500</v>
      </c>
      <c r="F91" s="21">
        <v>2475.5875000000001</v>
      </c>
      <c r="G91" s="22">
        <v>5.0000000000000001E-3</v>
      </c>
      <c r="H91" s="23">
        <v>7.6950000000000005E-2</v>
      </c>
      <c r="I91" s="41"/>
      <c r="J91" s="5"/>
    </row>
    <row r="92" spans="1:10" ht="12.95" customHeight="1">
      <c r="A92" s="18" t="s">
        <v>1107</v>
      </c>
      <c r="B92" s="19" t="s">
        <v>1108</v>
      </c>
      <c r="C92" s="15" t="s">
        <v>1109</v>
      </c>
      <c r="D92" s="15" t="s">
        <v>179</v>
      </c>
      <c r="E92" s="20">
        <v>250</v>
      </c>
      <c r="F92" s="21">
        <v>2463.165</v>
      </c>
      <c r="G92" s="22">
        <v>5.0000000000000001E-3</v>
      </c>
      <c r="H92" s="23">
        <v>7.4675000000000005E-2</v>
      </c>
      <c r="I92" s="41"/>
      <c r="J92" s="5"/>
    </row>
    <row r="93" spans="1:10" ht="12.95" customHeight="1">
      <c r="A93" s="18" t="s">
        <v>1110</v>
      </c>
      <c r="B93" s="19" t="s">
        <v>1111</v>
      </c>
      <c r="C93" s="15" t="s">
        <v>1112</v>
      </c>
      <c r="D93" s="15" t="s">
        <v>179</v>
      </c>
      <c r="E93" s="20">
        <v>250</v>
      </c>
      <c r="F93" s="21">
        <v>2444.4949999999999</v>
      </c>
      <c r="G93" s="22">
        <v>4.8999999999999998E-3</v>
      </c>
      <c r="H93" s="23">
        <v>8.1847000000000003E-2</v>
      </c>
      <c r="I93" s="41"/>
      <c r="J93" s="5"/>
    </row>
    <row r="94" spans="1:10" ht="12.95" customHeight="1">
      <c r="A94" s="18" t="s">
        <v>1113</v>
      </c>
      <c r="B94" s="19" t="s">
        <v>1114</v>
      </c>
      <c r="C94" s="15" t="s">
        <v>1115</v>
      </c>
      <c r="D94" s="15" t="s">
        <v>179</v>
      </c>
      <c r="E94" s="20">
        <v>250</v>
      </c>
      <c r="F94" s="21">
        <v>2426.1275000000001</v>
      </c>
      <c r="G94" s="22">
        <v>4.8999999999999998E-3</v>
      </c>
      <c r="H94" s="23">
        <v>7.6071E-2</v>
      </c>
      <c r="I94" s="41"/>
      <c r="J94" s="5"/>
    </row>
    <row r="95" spans="1:10" ht="12.95" customHeight="1">
      <c r="A95" s="18" t="s">
        <v>594</v>
      </c>
      <c r="B95" s="19" t="s">
        <v>595</v>
      </c>
      <c r="C95" s="15" t="s">
        <v>596</v>
      </c>
      <c r="D95" s="15" t="s">
        <v>156</v>
      </c>
      <c r="E95" s="20">
        <v>3000000</v>
      </c>
      <c r="F95" s="21">
        <v>2423.4389999999999</v>
      </c>
      <c r="G95" s="22">
        <v>4.8999999999999998E-3</v>
      </c>
      <c r="H95" s="23">
        <v>7.4593000000000007E-2</v>
      </c>
      <c r="I95" s="41"/>
      <c r="J95" s="5"/>
    </row>
    <row r="96" spans="1:10" ht="12.95" customHeight="1">
      <c r="A96" s="18" t="s">
        <v>1116</v>
      </c>
      <c r="B96" s="19" t="s">
        <v>1117</v>
      </c>
      <c r="C96" s="15" t="s">
        <v>1118</v>
      </c>
      <c r="D96" s="15" t="s">
        <v>179</v>
      </c>
      <c r="E96" s="20">
        <v>250</v>
      </c>
      <c r="F96" s="21">
        <v>2404.2350000000001</v>
      </c>
      <c r="G96" s="22">
        <v>4.8999999999999998E-3</v>
      </c>
      <c r="H96" s="23">
        <v>7.5800000000000006E-2</v>
      </c>
      <c r="I96" s="41"/>
      <c r="J96" s="5"/>
    </row>
    <row r="97" spans="1:10" ht="12.95" customHeight="1">
      <c r="A97" s="18" t="s">
        <v>1119</v>
      </c>
      <c r="B97" s="19" t="s">
        <v>1120</v>
      </c>
      <c r="C97" s="15" t="s">
        <v>1121</v>
      </c>
      <c r="D97" s="15" t="s">
        <v>179</v>
      </c>
      <c r="E97" s="20">
        <v>250</v>
      </c>
      <c r="F97" s="21">
        <v>2396.7600000000002</v>
      </c>
      <c r="G97" s="22">
        <v>4.7999999999999996E-3</v>
      </c>
      <c r="H97" s="23">
        <v>7.5499999999999998E-2</v>
      </c>
      <c r="I97" s="41"/>
      <c r="J97" s="5"/>
    </row>
    <row r="98" spans="1:10" ht="12.95" customHeight="1">
      <c r="A98" s="18" t="s">
        <v>484</v>
      </c>
      <c r="B98" s="19" t="s">
        <v>485</v>
      </c>
      <c r="C98" s="15" t="s">
        <v>486</v>
      </c>
      <c r="D98" s="15" t="s">
        <v>156</v>
      </c>
      <c r="E98" s="20">
        <v>2500000</v>
      </c>
      <c r="F98" s="21">
        <v>2395.1574999999998</v>
      </c>
      <c r="G98" s="22">
        <v>4.7999999999999996E-3</v>
      </c>
      <c r="H98" s="23">
        <v>7.3937000000000003E-2</v>
      </c>
      <c r="I98" s="41"/>
      <c r="J98" s="5"/>
    </row>
    <row r="99" spans="1:10" ht="12.95" customHeight="1">
      <c r="A99" s="18" t="s">
        <v>157</v>
      </c>
      <c r="B99" s="19" t="s">
        <v>158</v>
      </c>
      <c r="C99" s="15" t="s">
        <v>159</v>
      </c>
      <c r="D99" s="15" t="s">
        <v>156</v>
      </c>
      <c r="E99" s="20">
        <v>2502400</v>
      </c>
      <c r="F99" s="21">
        <v>2100.0391</v>
      </c>
      <c r="G99" s="22">
        <v>4.1999999999999997E-3</v>
      </c>
      <c r="H99" s="23">
        <v>7.4258000000000005E-2</v>
      </c>
      <c r="I99" s="41"/>
      <c r="J99" s="5"/>
    </row>
    <row r="100" spans="1:10" ht="12.95" customHeight="1">
      <c r="A100" s="18" t="s">
        <v>558</v>
      </c>
      <c r="B100" s="19" t="s">
        <v>559</v>
      </c>
      <c r="C100" s="15" t="s">
        <v>560</v>
      </c>
      <c r="D100" s="15" t="s">
        <v>432</v>
      </c>
      <c r="E100" s="20">
        <v>2000</v>
      </c>
      <c r="F100" s="21">
        <v>1993.712</v>
      </c>
      <c r="G100" s="22">
        <v>4.0000000000000001E-3</v>
      </c>
      <c r="H100" s="23">
        <v>7.9049999999999995E-2</v>
      </c>
      <c r="I100" s="41"/>
      <c r="J100" s="5"/>
    </row>
    <row r="101" spans="1:10" ht="12.95" customHeight="1">
      <c r="A101" s="18" t="s">
        <v>1122</v>
      </c>
      <c r="B101" s="19" t="s">
        <v>1123</v>
      </c>
      <c r="C101" s="15" t="s">
        <v>1124</v>
      </c>
      <c r="D101" s="15" t="s">
        <v>156</v>
      </c>
      <c r="E101" s="20">
        <v>2502400</v>
      </c>
      <c r="F101" s="21">
        <v>1953.5061000000001</v>
      </c>
      <c r="G101" s="22">
        <v>3.8999999999999998E-3</v>
      </c>
      <c r="H101" s="23">
        <v>7.4477000000000002E-2</v>
      </c>
      <c r="I101" s="41"/>
      <c r="J101" s="5"/>
    </row>
    <row r="102" spans="1:10" ht="12.95" customHeight="1">
      <c r="A102" s="18" t="s">
        <v>1125</v>
      </c>
      <c r="B102" s="19" t="s">
        <v>1126</v>
      </c>
      <c r="C102" s="15" t="s">
        <v>1127</v>
      </c>
      <c r="D102" s="15" t="s">
        <v>156</v>
      </c>
      <c r="E102" s="20">
        <v>2502400</v>
      </c>
      <c r="F102" s="21">
        <v>1886.0563999999999</v>
      </c>
      <c r="G102" s="22">
        <v>3.8E-3</v>
      </c>
      <c r="H102" s="23">
        <v>7.4264999999999998E-2</v>
      </c>
      <c r="I102" s="41"/>
      <c r="J102" s="5"/>
    </row>
    <row r="103" spans="1:10" ht="12.95" customHeight="1">
      <c r="A103" s="18" t="s">
        <v>555</v>
      </c>
      <c r="B103" s="19" t="s">
        <v>556</v>
      </c>
      <c r="C103" s="15" t="s">
        <v>557</v>
      </c>
      <c r="D103" s="15" t="s">
        <v>156</v>
      </c>
      <c r="E103" s="20">
        <v>2072000</v>
      </c>
      <c r="F103" s="21">
        <v>1615.2648999999999</v>
      </c>
      <c r="G103" s="22">
        <v>3.3E-3</v>
      </c>
      <c r="H103" s="23">
        <v>7.4475E-2</v>
      </c>
      <c r="I103" s="41"/>
      <c r="J103" s="5"/>
    </row>
    <row r="104" spans="1:10" ht="12.95" customHeight="1">
      <c r="A104" s="18" t="s">
        <v>1128</v>
      </c>
      <c r="B104" s="19" t="s">
        <v>1129</v>
      </c>
      <c r="C104" s="15" t="s">
        <v>1130</v>
      </c>
      <c r="D104" s="15" t="s">
        <v>156</v>
      </c>
      <c r="E104" s="20">
        <v>1500000</v>
      </c>
      <c r="F104" s="21">
        <v>1515.8264999999999</v>
      </c>
      <c r="G104" s="22">
        <v>3.0999999999999999E-3</v>
      </c>
      <c r="H104" s="23">
        <v>7.5908000000000003E-2</v>
      </c>
      <c r="I104" s="41"/>
      <c r="J104" s="5"/>
    </row>
    <row r="105" spans="1:10" ht="12.95" customHeight="1">
      <c r="A105" s="18" t="s">
        <v>1131</v>
      </c>
      <c r="B105" s="19" t="s">
        <v>1132</v>
      </c>
      <c r="C105" s="15" t="s">
        <v>1133</v>
      </c>
      <c r="D105" s="15" t="s">
        <v>179</v>
      </c>
      <c r="E105" s="20">
        <v>150</v>
      </c>
      <c r="F105" s="21">
        <v>1502.5619999999999</v>
      </c>
      <c r="G105" s="22">
        <v>3.0000000000000001E-3</v>
      </c>
      <c r="H105" s="23">
        <v>8.2434999999999994E-2</v>
      </c>
      <c r="I105" s="41"/>
      <c r="J105" s="5"/>
    </row>
    <row r="106" spans="1:10" ht="12.95" customHeight="1">
      <c r="A106" s="18" t="s">
        <v>466</v>
      </c>
      <c r="B106" s="19" t="s">
        <v>467</v>
      </c>
      <c r="C106" s="15" t="s">
        <v>468</v>
      </c>
      <c r="D106" s="15" t="s">
        <v>179</v>
      </c>
      <c r="E106" s="20">
        <v>150</v>
      </c>
      <c r="F106" s="21">
        <v>1498.8015</v>
      </c>
      <c r="G106" s="22">
        <v>3.0000000000000001E-3</v>
      </c>
      <c r="H106" s="23">
        <v>7.5999999999999998E-2</v>
      </c>
      <c r="I106" s="41"/>
      <c r="J106" s="5"/>
    </row>
    <row r="107" spans="1:10" ht="12.95" customHeight="1">
      <c r="A107" s="18" t="s">
        <v>1134</v>
      </c>
      <c r="B107" s="19" t="s">
        <v>1135</v>
      </c>
      <c r="C107" s="15" t="s">
        <v>1136</v>
      </c>
      <c r="D107" s="15" t="s">
        <v>179</v>
      </c>
      <c r="E107" s="20">
        <v>150</v>
      </c>
      <c r="F107" s="21">
        <v>1493.6130000000001</v>
      </c>
      <c r="G107" s="22">
        <v>3.0000000000000001E-3</v>
      </c>
      <c r="H107" s="23">
        <v>7.5800000000000006E-2</v>
      </c>
      <c r="I107" s="41"/>
      <c r="J107" s="5"/>
    </row>
    <row r="108" spans="1:10" ht="12.95" customHeight="1">
      <c r="A108" s="18" t="s">
        <v>1137</v>
      </c>
      <c r="B108" s="19" t="s">
        <v>1138</v>
      </c>
      <c r="C108" s="15" t="s">
        <v>1139</v>
      </c>
      <c r="D108" s="15" t="s">
        <v>156</v>
      </c>
      <c r="E108" s="20">
        <v>1690000</v>
      </c>
      <c r="F108" s="21">
        <v>1373.7012999999999</v>
      </c>
      <c r="G108" s="22">
        <v>2.8E-3</v>
      </c>
      <c r="H108" s="23">
        <v>7.4290999999999996E-2</v>
      </c>
      <c r="I108" s="41"/>
      <c r="J108" s="5"/>
    </row>
    <row r="109" spans="1:10" ht="12.95" customHeight="1">
      <c r="A109" s="18" t="s">
        <v>1140</v>
      </c>
      <c r="B109" s="19" t="s">
        <v>1141</v>
      </c>
      <c r="C109" s="15" t="s">
        <v>1142</v>
      </c>
      <c r="D109" s="15" t="s">
        <v>156</v>
      </c>
      <c r="E109" s="20">
        <v>1550000</v>
      </c>
      <c r="F109" s="21">
        <v>1346.9779000000001</v>
      </c>
      <c r="G109" s="22">
        <v>2.7000000000000001E-3</v>
      </c>
      <c r="H109" s="23">
        <v>7.3996000000000006E-2</v>
      </c>
      <c r="I109" s="41"/>
      <c r="J109" s="5"/>
    </row>
    <row r="110" spans="1:10" ht="12.95" customHeight="1">
      <c r="A110" s="18" t="s">
        <v>541</v>
      </c>
      <c r="B110" s="19" t="s">
        <v>542</v>
      </c>
      <c r="C110" s="15" t="s">
        <v>543</v>
      </c>
      <c r="D110" s="15" t="s">
        <v>179</v>
      </c>
      <c r="E110" s="20">
        <v>159</v>
      </c>
      <c r="F110" s="21">
        <v>1327.2492999999999</v>
      </c>
      <c r="G110" s="22">
        <v>2.7000000000000001E-3</v>
      </c>
      <c r="H110" s="23">
        <v>8.0649999999999999E-2</v>
      </c>
      <c r="I110" s="41"/>
      <c r="J110" s="5"/>
    </row>
    <row r="111" spans="1:10" ht="12.95" customHeight="1">
      <c r="A111" s="18" t="s">
        <v>1143</v>
      </c>
      <c r="B111" s="19" t="s">
        <v>1144</v>
      </c>
      <c r="C111" s="15" t="s">
        <v>1145</v>
      </c>
      <c r="D111" s="15" t="s">
        <v>156</v>
      </c>
      <c r="E111" s="20">
        <v>1690000</v>
      </c>
      <c r="F111" s="21">
        <v>1324.5578</v>
      </c>
      <c r="G111" s="22">
        <v>2.7000000000000001E-3</v>
      </c>
      <c r="H111" s="23">
        <v>7.4482000000000007E-2</v>
      </c>
      <c r="I111" s="41"/>
      <c r="J111" s="5"/>
    </row>
    <row r="112" spans="1:10" ht="12.95" customHeight="1">
      <c r="A112" s="18" t="s">
        <v>475</v>
      </c>
      <c r="B112" s="19" t="s">
        <v>476</v>
      </c>
      <c r="C112" s="15" t="s">
        <v>477</v>
      </c>
      <c r="D112" s="15" t="s">
        <v>179</v>
      </c>
      <c r="E112" s="20">
        <v>100</v>
      </c>
      <c r="F112" s="21">
        <v>1075.47</v>
      </c>
      <c r="G112" s="22">
        <v>2.2000000000000001E-3</v>
      </c>
      <c r="H112" s="23">
        <v>8.054E-2</v>
      </c>
      <c r="I112" s="41"/>
      <c r="J112" s="5"/>
    </row>
    <row r="113" spans="1:10" ht="12.95" customHeight="1">
      <c r="A113" s="18" t="s">
        <v>1146</v>
      </c>
      <c r="B113" s="19" t="s">
        <v>1147</v>
      </c>
      <c r="C113" s="15" t="s">
        <v>1148</v>
      </c>
      <c r="D113" s="15" t="s">
        <v>156</v>
      </c>
      <c r="E113" s="20">
        <v>1000000</v>
      </c>
      <c r="F113" s="21">
        <v>1004.626</v>
      </c>
      <c r="G113" s="22">
        <v>2E-3</v>
      </c>
      <c r="H113" s="23">
        <v>7.3006000000000001E-2</v>
      </c>
      <c r="I113" s="41"/>
      <c r="J113" s="5"/>
    </row>
    <row r="114" spans="1:10" ht="12.95" customHeight="1">
      <c r="A114" s="18" t="s">
        <v>1149</v>
      </c>
      <c r="B114" s="19" t="s">
        <v>1150</v>
      </c>
      <c r="C114" s="15" t="s">
        <v>1151</v>
      </c>
      <c r="D114" s="15" t="s">
        <v>179</v>
      </c>
      <c r="E114" s="20">
        <v>100</v>
      </c>
      <c r="F114" s="21">
        <v>995.21600000000001</v>
      </c>
      <c r="G114" s="22">
        <v>2E-3</v>
      </c>
      <c r="H114" s="23">
        <v>7.7700000000000005E-2</v>
      </c>
      <c r="I114" s="41"/>
      <c r="J114" s="5"/>
    </row>
    <row r="115" spans="1:10" ht="12.95" customHeight="1">
      <c r="A115" s="18" t="s">
        <v>1152</v>
      </c>
      <c r="B115" s="19" t="s">
        <v>1153</v>
      </c>
      <c r="C115" s="15" t="s">
        <v>1154</v>
      </c>
      <c r="D115" s="15" t="s">
        <v>179</v>
      </c>
      <c r="E115" s="20">
        <v>94</v>
      </c>
      <c r="F115" s="21">
        <v>946.31299999999999</v>
      </c>
      <c r="G115" s="22">
        <v>1.9E-3</v>
      </c>
      <c r="H115" s="23">
        <v>7.7249999999999999E-2</v>
      </c>
      <c r="I115" s="41"/>
      <c r="J115" s="5"/>
    </row>
    <row r="116" spans="1:10" ht="12.95" customHeight="1">
      <c r="A116" s="18" t="s">
        <v>1155</v>
      </c>
      <c r="B116" s="19" t="s">
        <v>1156</v>
      </c>
      <c r="C116" s="15" t="s">
        <v>1157</v>
      </c>
      <c r="D116" s="15" t="s">
        <v>156</v>
      </c>
      <c r="E116" s="20">
        <v>1048500</v>
      </c>
      <c r="F116" s="21">
        <v>747.51340000000005</v>
      </c>
      <c r="G116" s="22">
        <v>1.5E-3</v>
      </c>
      <c r="H116" s="23">
        <v>7.4557999999999999E-2</v>
      </c>
      <c r="I116" s="41"/>
      <c r="J116" s="5"/>
    </row>
    <row r="117" spans="1:10" ht="12.95" customHeight="1">
      <c r="A117" s="18" t="s">
        <v>1158</v>
      </c>
      <c r="B117" s="19" t="s">
        <v>1159</v>
      </c>
      <c r="C117" s="15" t="s">
        <v>1160</v>
      </c>
      <c r="D117" s="15" t="s">
        <v>156</v>
      </c>
      <c r="E117" s="20">
        <v>1048500</v>
      </c>
      <c r="F117" s="21">
        <v>720.64980000000003</v>
      </c>
      <c r="G117" s="22">
        <v>1.5E-3</v>
      </c>
      <c r="H117" s="23">
        <v>7.4691999999999995E-2</v>
      </c>
      <c r="I117" s="41"/>
      <c r="J117" s="5"/>
    </row>
    <row r="118" spans="1:10" ht="12.95" customHeight="1">
      <c r="A118" s="18" t="s">
        <v>1161</v>
      </c>
      <c r="B118" s="19" t="s">
        <v>1162</v>
      </c>
      <c r="C118" s="15" t="s">
        <v>1163</v>
      </c>
      <c r="D118" s="15" t="s">
        <v>179</v>
      </c>
      <c r="E118" s="20">
        <v>50</v>
      </c>
      <c r="F118" s="21">
        <v>513.16499999999996</v>
      </c>
      <c r="G118" s="22">
        <v>1E-3</v>
      </c>
      <c r="H118" s="23">
        <v>7.7950000000000005E-2</v>
      </c>
      <c r="I118" s="41"/>
      <c r="J118" s="5"/>
    </row>
    <row r="119" spans="1:10" ht="12.95" customHeight="1">
      <c r="A119" s="18" t="s">
        <v>936</v>
      </c>
      <c r="B119" s="19" t="s">
        <v>937</v>
      </c>
      <c r="C119" s="15" t="s">
        <v>938</v>
      </c>
      <c r="D119" s="15" t="s">
        <v>156</v>
      </c>
      <c r="E119" s="20">
        <v>500000</v>
      </c>
      <c r="F119" s="21">
        <v>512.8845</v>
      </c>
      <c r="G119" s="22">
        <v>1E-3</v>
      </c>
      <c r="H119" s="23">
        <v>7.6147999999999993E-2</v>
      </c>
      <c r="I119" s="41"/>
      <c r="J119" s="5"/>
    </row>
    <row r="120" spans="1:10" ht="12.95" customHeight="1">
      <c r="A120" s="18" t="s">
        <v>514</v>
      </c>
      <c r="B120" s="19" t="s">
        <v>515</v>
      </c>
      <c r="C120" s="15" t="s">
        <v>516</v>
      </c>
      <c r="D120" s="15" t="s">
        <v>156</v>
      </c>
      <c r="E120" s="20">
        <v>500000</v>
      </c>
      <c r="F120" s="21">
        <v>503.483</v>
      </c>
      <c r="G120" s="22">
        <v>1E-3</v>
      </c>
      <c r="H120" s="23">
        <v>7.3759000000000005E-2</v>
      </c>
      <c r="I120" s="41"/>
      <c r="J120" s="5"/>
    </row>
    <row r="121" spans="1:10" ht="12.95" customHeight="1">
      <c r="A121" s="18" t="s">
        <v>1164</v>
      </c>
      <c r="B121" s="19" t="s">
        <v>1165</v>
      </c>
      <c r="C121" s="15" t="s">
        <v>1166</v>
      </c>
      <c r="D121" s="15" t="s">
        <v>179</v>
      </c>
      <c r="E121" s="20">
        <v>5</v>
      </c>
      <c r="F121" s="21">
        <v>499.74799999999999</v>
      </c>
      <c r="G121" s="22">
        <v>1E-3</v>
      </c>
      <c r="H121" s="23">
        <v>7.8613000000000002E-2</v>
      </c>
      <c r="I121" s="41"/>
      <c r="J121" s="5"/>
    </row>
    <row r="122" spans="1:10" ht="12.95" customHeight="1">
      <c r="A122" s="18" t="s">
        <v>1167</v>
      </c>
      <c r="B122" s="19" t="s">
        <v>1168</v>
      </c>
      <c r="C122" s="15" t="s">
        <v>1169</v>
      </c>
      <c r="D122" s="15" t="s">
        <v>179</v>
      </c>
      <c r="E122" s="20">
        <v>50</v>
      </c>
      <c r="F122" s="21">
        <v>497.85599999999999</v>
      </c>
      <c r="G122" s="22">
        <v>1E-3</v>
      </c>
      <c r="H122" s="23">
        <v>7.6220999999999997E-2</v>
      </c>
      <c r="I122" s="41"/>
      <c r="J122" s="5"/>
    </row>
    <row r="123" spans="1:10" ht="12.95" customHeight="1">
      <c r="A123" s="18" t="s">
        <v>630</v>
      </c>
      <c r="B123" s="19" t="s">
        <v>631</v>
      </c>
      <c r="C123" s="15" t="s">
        <v>632</v>
      </c>
      <c r="D123" s="15" t="s">
        <v>179</v>
      </c>
      <c r="E123" s="20">
        <v>50</v>
      </c>
      <c r="F123" s="21">
        <v>483.56349999999998</v>
      </c>
      <c r="G123" s="22">
        <v>1E-3</v>
      </c>
      <c r="H123" s="23">
        <v>7.6749999999999999E-2</v>
      </c>
      <c r="I123" s="41"/>
      <c r="J123" s="5"/>
    </row>
    <row r="124" spans="1:10" ht="12.95" customHeight="1">
      <c r="A124" s="18" t="s">
        <v>1170</v>
      </c>
      <c r="B124" s="19" t="s">
        <v>1171</v>
      </c>
      <c r="C124" s="15" t="s">
        <v>1172</v>
      </c>
      <c r="D124" s="15" t="s">
        <v>179</v>
      </c>
      <c r="E124" s="20">
        <v>20</v>
      </c>
      <c r="F124" s="21">
        <v>202.9794</v>
      </c>
      <c r="G124" s="22">
        <v>4.0000000000000002E-4</v>
      </c>
      <c r="H124" s="23">
        <v>7.6350000000000001E-2</v>
      </c>
      <c r="I124" s="41"/>
      <c r="J124" s="5"/>
    </row>
    <row r="125" spans="1:10" ht="12.95" customHeight="1">
      <c r="A125" s="18" t="s">
        <v>899</v>
      </c>
      <c r="B125" s="19" t="s">
        <v>900</v>
      </c>
      <c r="C125" s="15" t="s">
        <v>901</v>
      </c>
      <c r="D125" s="15" t="s">
        <v>156</v>
      </c>
      <c r="E125" s="20">
        <v>151100</v>
      </c>
      <c r="F125" s="21">
        <v>151.05510000000001</v>
      </c>
      <c r="G125" s="22">
        <v>2.9999999999999997E-4</v>
      </c>
      <c r="H125" s="23">
        <v>7.3948E-2</v>
      </c>
      <c r="I125" s="41"/>
      <c r="J125" s="5"/>
    </row>
    <row r="126" spans="1:10" ht="12.95" customHeight="1">
      <c r="A126" s="18" t="s">
        <v>1173</v>
      </c>
      <c r="B126" s="19" t="s">
        <v>1174</v>
      </c>
      <c r="C126" s="15" t="s">
        <v>1175</v>
      </c>
      <c r="D126" s="15" t="s">
        <v>156</v>
      </c>
      <c r="E126" s="20">
        <v>141500</v>
      </c>
      <c r="F126" s="21">
        <v>139.93389999999999</v>
      </c>
      <c r="G126" s="22">
        <v>2.9999999999999997E-4</v>
      </c>
      <c r="H126" s="23">
        <v>7.5822000000000001E-2</v>
      </c>
      <c r="I126" s="41"/>
      <c r="J126" s="5"/>
    </row>
    <row r="127" spans="1:10" ht="12.95" customHeight="1">
      <c r="A127" s="5"/>
      <c r="B127" s="14" t="s">
        <v>160</v>
      </c>
      <c r="C127" s="15"/>
      <c r="D127" s="15"/>
      <c r="E127" s="15"/>
      <c r="F127" s="25">
        <v>474610.74910000002</v>
      </c>
      <c r="G127" s="26">
        <v>0.95920000000000005</v>
      </c>
      <c r="H127" s="27"/>
      <c r="I127" s="28"/>
      <c r="J127" s="5"/>
    </row>
    <row r="128" spans="1:10" ht="12.95" customHeight="1">
      <c r="A128" s="5"/>
      <c r="B128" s="29" t="s">
        <v>161</v>
      </c>
      <c r="C128" s="2"/>
      <c r="D128" s="2"/>
      <c r="E128" s="2"/>
      <c r="F128" s="27" t="s">
        <v>162</v>
      </c>
      <c r="G128" s="27" t="s">
        <v>162</v>
      </c>
      <c r="H128" s="27"/>
      <c r="I128" s="28"/>
      <c r="J128" s="5"/>
    </row>
    <row r="129" spans="1:10" ht="12.95" customHeight="1">
      <c r="A129" s="5"/>
      <c r="B129" s="29" t="s">
        <v>160</v>
      </c>
      <c r="C129" s="2"/>
      <c r="D129" s="2"/>
      <c r="E129" s="2"/>
      <c r="F129" s="27" t="s">
        <v>162</v>
      </c>
      <c r="G129" s="27" t="s">
        <v>162</v>
      </c>
      <c r="H129" s="27"/>
      <c r="I129" s="28"/>
      <c r="J129" s="5"/>
    </row>
    <row r="130" spans="1:10" ht="12.95" customHeight="1">
      <c r="A130" s="5"/>
      <c r="B130" s="14" t="s">
        <v>1176</v>
      </c>
      <c r="C130" s="15"/>
      <c r="D130" s="15"/>
      <c r="E130" s="15"/>
      <c r="F130" s="5"/>
      <c r="G130" s="16"/>
      <c r="H130" s="16"/>
      <c r="I130" s="17"/>
      <c r="J130" s="5"/>
    </row>
    <row r="131" spans="1:10" ht="12.95" customHeight="1">
      <c r="A131" s="18" t="s">
        <v>1177</v>
      </c>
      <c r="B131" s="19" t="s">
        <v>1178</v>
      </c>
      <c r="C131" s="15" t="s">
        <v>1179</v>
      </c>
      <c r="D131" s="15" t="s">
        <v>1180</v>
      </c>
      <c r="E131" s="20">
        <v>14</v>
      </c>
      <c r="F131" s="21">
        <v>1373.4647</v>
      </c>
      <c r="G131" s="22">
        <v>2.8E-3</v>
      </c>
      <c r="H131" s="23">
        <v>7.6649999999999996E-2</v>
      </c>
      <c r="I131" s="41"/>
      <c r="J131" s="5"/>
    </row>
    <row r="132" spans="1:10" ht="12.95" customHeight="1">
      <c r="A132" s="18" t="s">
        <v>1181</v>
      </c>
      <c r="B132" s="19" t="s">
        <v>1182</v>
      </c>
      <c r="C132" s="15" t="s">
        <v>1183</v>
      </c>
      <c r="D132" s="15" t="s">
        <v>1180</v>
      </c>
      <c r="E132" s="20">
        <v>8</v>
      </c>
      <c r="F132" s="21">
        <v>727.33</v>
      </c>
      <c r="G132" s="22">
        <v>1.5E-3</v>
      </c>
      <c r="H132" s="23">
        <v>7.9027E-2</v>
      </c>
      <c r="I132" s="41"/>
      <c r="J132" s="5"/>
    </row>
    <row r="133" spans="1:10" ht="12.95" customHeight="1">
      <c r="A133" s="5"/>
      <c r="B133" s="14" t="s">
        <v>160</v>
      </c>
      <c r="C133" s="15"/>
      <c r="D133" s="15"/>
      <c r="E133" s="15"/>
      <c r="F133" s="25">
        <v>2100.7946999999999</v>
      </c>
      <c r="G133" s="26">
        <v>4.1999999999999997E-3</v>
      </c>
      <c r="H133" s="27"/>
      <c r="I133" s="28"/>
      <c r="J133" s="5"/>
    </row>
    <row r="134" spans="1:10" ht="12.95" customHeight="1">
      <c r="A134" s="5"/>
      <c r="B134" s="29" t="s">
        <v>163</v>
      </c>
      <c r="C134" s="30"/>
      <c r="D134" s="2"/>
      <c r="E134" s="30"/>
      <c r="F134" s="25">
        <v>476711.54389999999</v>
      </c>
      <c r="G134" s="26">
        <v>0.96340000000000003</v>
      </c>
      <c r="H134" s="27"/>
      <c r="I134" s="28"/>
      <c r="J134" s="5"/>
    </row>
    <row r="135" spans="1:10" ht="12.95" customHeight="1">
      <c r="A135" s="5"/>
      <c r="B135" s="14" t="s">
        <v>417</v>
      </c>
      <c r="C135" s="15"/>
      <c r="D135" s="15"/>
      <c r="E135" s="15"/>
      <c r="F135" s="15"/>
      <c r="G135" s="15"/>
      <c r="H135" s="16"/>
      <c r="I135" s="17"/>
      <c r="J135" s="5"/>
    </row>
    <row r="136" spans="1:10" ht="12.95" customHeight="1">
      <c r="A136" s="5"/>
      <c r="B136" s="14" t="s">
        <v>679</v>
      </c>
      <c r="C136" s="15"/>
      <c r="D136" s="15"/>
      <c r="E136" s="15"/>
      <c r="F136" s="5"/>
      <c r="G136" s="16"/>
      <c r="H136" s="16"/>
      <c r="I136" s="17"/>
      <c r="J136" s="5"/>
    </row>
    <row r="137" spans="1:10" ht="12.95" customHeight="1">
      <c r="A137" s="18" t="s">
        <v>1184</v>
      </c>
      <c r="B137" s="19" t="s">
        <v>1185</v>
      </c>
      <c r="C137" s="15" t="s">
        <v>1186</v>
      </c>
      <c r="D137" s="15" t="s">
        <v>1187</v>
      </c>
      <c r="E137" s="20">
        <v>500</v>
      </c>
      <c r="F137" s="21">
        <v>2490.9250000000002</v>
      </c>
      <c r="G137" s="22">
        <v>5.0000000000000001E-3</v>
      </c>
      <c r="H137" s="23">
        <v>6.9996000000000003E-2</v>
      </c>
      <c r="I137" s="41"/>
      <c r="J137" s="5"/>
    </row>
    <row r="138" spans="1:10" ht="12.95" customHeight="1">
      <c r="A138" s="5"/>
      <c r="B138" s="14" t="s">
        <v>160</v>
      </c>
      <c r="C138" s="15"/>
      <c r="D138" s="15"/>
      <c r="E138" s="15"/>
      <c r="F138" s="25">
        <v>2490.9250000000002</v>
      </c>
      <c r="G138" s="26">
        <v>5.0000000000000001E-3</v>
      </c>
      <c r="H138" s="27"/>
      <c r="I138" s="28"/>
      <c r="J138" s="5"/>
    </row>
    <row r="139" spans="1:10" ht="12.95" customHeight="1">
      <c r="A139" s="5"/>
      <c r="B139" s="29" t="s">
        <v>163</v>
      </c>
      <c r="C139" s="30"/>
      <c r="D139" s="2"/>
      <c r="E139" s="30"/>
      <c r="F139" s="25">
        <v>2490.9250000000002</v>
      </c>
      <c r="G139" s="26">
        <v>5.0000000000000001E-3</v>
      </c>
      <c r="H139" s="27"/>
      <c r="I139" s="28"/>
      <c r="J139" s="5"/>
    </row>
    <row r="140" spans="1:10" ht="12.95" customHeight="1">
      <c r="A140" s="5"/>
      <c r="B140" s="14" t="s">
        <v>164</v>
      </c>
      <c r="C140" s="15"/>
      <c r="D140" s="15"/>
      <c r="E140" s="15"/>
      <c r="F140" s="15"/>
      <c r="G140" s="15"/>
      <c r="H140" s="16"/>
      <c r="I140" s="17"/>
      <c r="J140" s="5"/>
    </row>
    <row r="141" spans="1:10" ht="12.95" customHeight="1">
      <c r="A141" s="18" t="s">
        <v>165</v>
      </c>
      <c r="B141" s="19" t="s">
        <v>166</v>
      </c>
      <c r="C141" s="15"/>
      <c r="D141" s="15"/>
      <c r="E141" s="20"/>
      <c r="F141" s="21">
        <v>3361.4476</v>
      </c>
      <c r="G141" s="22">
        <v>6.7999999999999996E-3</v>
      </c>
      <c r="H141" s="23">
        <v>6.7996831514388276E-2</v>
      </c>
      <c r="I141" s="41"/>
      <c r="J141" s="5"/>
    </row>
    <row r="142" spans="1:10" ht="12.95" customHeight="1">
      <c r="A142" s="5"/>
      <c r="B142" s="14" t="s">
        <v>160</v>
      </c>
      <c r="C142" s="15"/>
      <c r="D142" s="15"/>
      <c r="E142" s="15"/>
      <c r="F142" s="25">
        <v>3361.4476</v>
      </c>
      <c r="G142" s="26">
        <v>6.7999999999999996E-3</v>
      </c>
      <c r="H142" s="27"/>
      <c r="I142" s="28"/>
      <c r="J142" s="5"/>
    </row>
    <row r="143" spans="1:10" ht="12.95" customHeight="1">
      <c r="A143" s="5"/>
      <c r="B143" s="29" t="s">
        <v>163</v>
      </c>
      <c r="C143" s="30"/>
      <c r="D143" s="2"/>
      <c r="E143" s="30"/>
      <c r="F143" s="25">
        <v>3361.4476</v>
      </c>
      <c r="G143" s="26">
        <v>6.7999999999999996E-3</v>
      </c>
      <c r="H143" s="27"/>
      <c r="I143" s="28"/>
      <c r="J143" s="5"/>
    </row>
    <row r="144" spans="1:10" ht="12.95" customHeight="1">
      <c r="A144" s="5"/>
      <c r="B144" s="29" t="s">
        <v>167</v>
      </c>
      <c r="C144" s="15"/>
      <c r="D144" s="2"/>
      <c r="E144" s="15"/>
      <c r="F144" s="31">
        <v>12390.06</v>
      </c>
      <c r="G144" s="26">
        <v>2.5100000000000001E-2</v>
      </c>
      <c r="H144" s="27"/>
      <c r="I144" s="28"/>
      <c r="J144" s="5"/>
    </row>
    <row r="145" spans="1:10" ht="12.95" customHeight="1">
      <c r="A145" s="5"/>
      <c r="B145" s="32" t="s">
        <v>168</v>
      </c>
      <c r="C145" s="33"/>
      <c r="D145" s="33"/>
      <c r="E145" s="33"/>
      <c r="F145" s="34">
        <v>494813.31</v>
      </c>
      <c r="G145" s="35">
        <v>1</v>
      </c>
      <c r="H145" s="36"/>
      <c r="I145" s="37"/>
      <c r="J145" s="5"/>
    </row>
    <row r="146" spans="1:10" ht="12.95" customHeight="1">
      <c r="A146" s="5"/>
      <c r="B146" s="7"/>
      <c r="C146" s="5"/>
      <c r="D146" s="5"/>
      <c r="E146" s="5"/>
      <c r="F146" s="5"/>
      <c r="G146" s="5"/>
      <c r="H146" s="5"/>
      <c r="I146" s="5"/>
      <c r="J146" s="5"/>
    </row>
    <row r="147" spans="1:10" ht="12.95" customHeight="1">
      <c r="A147" s="5"/>
      <c r="B147" s="4" t="s">
        <v>1188</v>
      </c>
      <c r="C147" s="5"/>
      <c r="D147" s="5"/>
      <c r="E147" s="5"/>
      <c r="F147" s="5"/>
      <c r="G147" s="5"/>
      <c r="H147" s="5"/>
      <c r="I147" s="5"/>
      <c r="J147" s="5"/>
    </row>
    <row r="148" spans="1:10" ht="12.95" customHeight="1">
      <c r="A148" s="5"/>
      <c r="B148" s="4" t="s">
        <v>207</v>
      </c>
      <c r="C148" s="5"/>
      <c r="D148" s="5"/>
      <c r="E148" s="5"/>
      <c r="F148" s="5"/>
      <c r="G148" s="5"/>
      <c r="H148" s="5"/>
      <c r="I148" s="5"/>
      <c r="J148" s="5"/>
    </row>
    <row r="149" spans="1:10" ht="12.95" customHeight="1">
      <c r="A149" s="5"/>
      <c r="B149" s="4" t="s">
        <v>685</v>
      </c>
      <c r="C149" s="5"/>
      <c r="D149" s="5"/>
      <c r="E149" s="5"/>
      <c r="F149" s="5"/>
      <c r="G149" s="5"/>
      <c r="H149" s="5"/>
      <c r="I149" s="5"/>
      <c r="J149" s="5"/>
    </row>
    <row r="150" spans="1:10" ht="12.95" customHeight="1">
      <c r="A150" s="5"/>
      <c r="B150" s="4" t="s">
        <v>170</v>
      </c>
      <c r="C150" s="5"/>
      <c r="D150" s="5"/>
      <c r="E150" s="5"/>
      <c r="F150" s="5"/>
      <c r="G150" s="5"/>
      <c r="H150" s="5"/>
      <c r="I150" s="5"/>
      <c r="J150" s="5"/>
    </row>
    <row r="151" spans="1:10" ht="26.1" customHeight="1">
      <c r="A151" s="5"/>
      <c r="B151" s="86" t="s">
        <v>171</v>
      </c>
      <c r="C151" s="86"/>
      <c r="D151" s="86"/>
      <c r="E151" s="86"/>
      <c r="F151" s="86"/>
      <c r="G151" s="86"/>
      <c r="H151" s="86"/>
      <c r="I151" s="86"/>
      <c r="J151" s="5"/>
    </row>
    <row r="152" spans="1:10" ht="12.95" customHeight="1">
      <c r="A152" s="5"/>
      <c r="B152" s="86"/>
      <c r="C152" s="86"/>
      <c r="D152" s="86"/>
      <c r="E152" s="86"/>
      <c r="F152" s="86"/>
      <c r="G152" s="86"/>
      <c r="H152" s="86"/>
      <c r="I152" s="86"/>
      <c r="J152" s="5"/>
    </row>
    <row r="153" spans="1:10" ht="12.95" customHeight="1">
      <c r="A153" s="5"/>
      <c r="B153" s="86"/>
      <c r="C153" s="86"/>
      <c r="D153" s="86"/>
      <c r="E153" s="86"/>
      <c r="F153" s="86"/>
      <c r="G153" s="86"/>
      <c r="H153" s="86"/>
      <c r="I153" s="86"/>
      <c r="J153" s="5"/>
    </row>
    <row r="154" spans="1:10" ht="12.95" customHeight="1">
      <c r="A154" s="5"/>
      <c r="B154" s="5"/>
      <c r="C154" s="87" t="s">
        <v>1189</v>
      </c>
      <c r="D154" s="87"/>
      <c r="E154" s="87"/>
      <c r="F154" s="87"/>
      <c r="G154" s="5"/>
      <c r="H154" s="5"/>
      <c r="I154" s="5"/>
      <c r="J154" s="5"/>
    </row>
    <row r="155" spans="1:10" ht="12.95" customHeight="1">
      <c r="A155" s="5"/>
      <c r="B155" s="38" t="s">
        <v>173</v>
      </c>
      <c r="C155" s="87" t="s">
        <v>174</v>
      </c>
      <c r="D155" s="87"/>
      <c r="E155" s="87"/>
      <c r="F155" s="87"/>
      <c r="G155" s="5"/>
      <c r="H155" s="5"/>
      <c r="I155" s="5"/>
      <c r="J155" s="5"/>
    </row>
    <row r="156" spans="1:10" ht="120.95" customHeight="1">
      <c r="A156" s="5"/>
      <c r="B156" s="39"/>
      <c r="C156" s="85"/>
      <c r="D156" s="85"/>
      <c r="E156" s="5"/>
      <c r="F156" s="5"/>
      <c r="G156" s="5"/>
      <c r="H156" s="5"/>
      <c r="I156" s="5"/>
      <c r="J156" s="5"/>
    </row>
  </sheetData>
  <mergeCells count="6">
    <mergeCell ref="C156:D156"/>
    <mergeCell ref="B151:I151"/>
    <mergeCell ref="B152:I152"/>
    <mergeCell ref="B153:I153"/>
    <mergeCell ref="C154:F154"/>
    <mergeCell ref="C155:F155"/>
  </mergeCells>
  <conditionalFormatting sqref="A7:A16">
    <cfRule type="duplicateValues" dxfId="3" priority="2"/>
  </conditionalFormatting>
  <hyperlinks>
    <hyperlink ref="A1" location="AxisCorporateDebtFund" display="AXISCOF" xr:uid="{00000000-0004-0000-0C00-000000000000}"/>
    <hyperlink ref="B1" location="AxisCorporateDebtFund" display="Axis Corporate Debt Fund" xr:uid="{00000000-0004-0000-0C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J4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28</v>
      </c>
      <c r="B1" s="4" t="s">
        <v>29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1190</v>
      </c>
      <c r="B7" s="19" t="s">
        <v>1191</v>
      </c>
      <c r="C7" s="15" t="s">
        <v>1192</v>
      </c>
      <c r="D7" s="15" t="s">
        <v>432</v>
      </c>
      <c r="E7" s="20">
        <v>850</v>
      </c>
      <c r="F7" s="21">
        <v>8236.0750000000007</v>
      </c>
      <c r="G7" s="22">
        <v>0.13819999999999999</v>
      </c>
      <c r="H7" s="23">
        <v>7.6649999999999996E-2</v>
      </c>
      <c r="I7" s="24"/>
      <c r="J7" s="5"/>
    </row>
    <row r="8" spans="1:10" ht="12.95" customHeight="1">
      <c r="A8" s="18" t="s">
        <v>1193</v>
      </c>
      <c r="B8" s="19" t="s">
        <v>1194</v>
      </c>
      <c r="C8" s="15" t="s">
        <v>1195</v>
      </c>
      <c r="D8" s="15" t="s">
        <v>179</v>
      </c>
      <c r="E8" s="20">
        <v>820</v>
      </c>
      <c r="F8" s="21">
        <v>8076.1963999999998</v>
      </c>
      <c r="G8" s="22">
        <v>0.13550000000000001</v>
      </c>
      <c r="H8" s="23">
        <v>7.4999999999999997E-2</v>
      </c>
      <c r="I8" s="24"/>
      <c r="J8" s="5"/>
    </row>
    <row r="9" spans="1:10" ht="12.95" customHeight="1">
      <c r="A9" s="18" t="s">
        <v>1196</v>
      </c>
      <c r="B9" s="19" t="s">
        <v>1197</v>
      </c>
      <c r="C9" s="15" t="s">
        <v>1198</v>
      </c>
      <c r="D9" s="15" t="s">
        <v>179</v>
      </c>
      <c r="E9" s="20">
        <v>620</v>
      </c>
      <c r="F9" s="21">
        <v>6257.7281999999996</v>
      </c>
      <c r="G9" s="22">
        <v>0.105</v>
      </c>
      <c r="H9" s="23">
        <v>7.6350000000000001E-2</v>
      </c>
      <c r="I9" s="24"/>
      <c r="J9" s="5"/>
    </row>
    <row r="10" spans="1:10" ht="12.95" customHeight="1">
      <c r="A10" s="18" t="s">
        <v>1199</v>
      </c>
      <c r="B10" s="19" t="s">
        <v>1200</v>
      </c>
      <c r="C10" s="15" t="s">
        <v>1201</v>
      </c>
      <c r="D10" s="15" t="s">
        <v>156</v>
      </c>
      <c r="E10" s="20">
        <v>5000000</v>
      </c>
      <c r="F10" s="21">
        <v>5046.1000000000004</v>
      </c>
      <c r="G10" s="22">
        <v>8.4699999999999998E-2</v>
      </c>
      <c r="H10" s="23">
        <v>7.5187000000000004E-2</v>
      </c>
      <c r="I10" s="24"/>
      <c r="J10" s="5"/>
    </row>
    <row r="11" spans="1:10" ht="12.95" customHeight="1">
      <c r="A11" s="18" t="s">
        <v>1202</v>
      </c>
      <c r="B11" s="19" t="s">
        <v>1203</v>
      </c>
      <c r="C11" s="15" t="s">
        <v>1204</v>
      </c>
      <c r="D11" s="15" t="s">
        <v>179</v>
      </c>
      <c r="E11" s="20">
        <v>400</v>
      </c>
      <c r="F11" s="21">
        <v>3979.0039999999999</v>
      </c>
      <c r="G11" s="22">
        <v>6.6799999999999998E-2</v>
      </c>
      <c r="H11" s="23">
        <v>7.4800000000000005E-2</v>
      </c>
      <c r="I11" s="24"/>
      <c r="J11" s="5"/>
    </row>
    <row r="12" spans="1:10" ht="12.95" customHeight="1">
      <c r="A12" s="18" t="s">
        <v>1205</v>
      </c>
      <c r="B12" s="19" t="s">
        <v>1206</v>
      </c>
      <c r="C12" s="15" t="s">
        <v>1207</v>
      </c>
      <c r="D12" s="15" t="s">
        <v>179</v>
      </c>
      <c r="E12" s="20">
        <v>350</v>
      </c>
      <c r="F12" s="21">
        <v>3471.4155000000001</v>
      </c>
      <c r="G12" s="22">
        <v>5.8200000000000002E-2</v>
      </c>
      <c r="H12" s="23">
        <v>7.5149999999999995E-2</v>
      </c>
      <c r="I12" s="24"/>
      <c r="J12" s="5"/>
    </row>
    <row r="13" spans="1:10" ht="12.95" customHeight="1">
      <c r="A13" s="18" t="s">
        <v>1208</v>
      </c>
      <c r="B13" s="19" t="s">
        <v>1209</v>
      </c>
      <c r="C13" s="15" t="s">
        <v>1210</v>
      </c>
      <c r="D13" s="15" t="s">
        <v>179</v>
      </c>
      <c r="E13" s="20">
        <v>290</v>
      </c>
      <c r="F13" s="21">
        <v>2929.3074000000001</v>
      </c>
      <c r="G13" s="22">
        <v>4.9099999999999998E-2</v>
      </c>
      <c r="H13" s="23">
        <v>7.6350000000000001E-2</v>
      </c>
      <c r="I13" s="24"/>
      <c r="J13" s="5"/>
    </row>
    <row r="14" spans="1:10" ht="12.95" customHeight="1">
      <c r="A14" s="18" t="s">
        <v>1211</v>
      </c>
      <c r="B14" s="19" t="s">
        <v>1212</v>
      </c>
      <c r="C14" s="15" t="s">
        <v>1213</v>
      </c>
      <c r="D14" s="15" t="s">
        <v>179</v>
      </c>
      <c r="E14" s="20">
        <v>250</v>
      </c>
      <c r="F14" s="21">
        <v>2481.4875000000002</v>
      </c>
      <c r="G14" s="22">
        <v>4.1599999999999998E-2</v>
      </c>
      <c r="H14" s="23">
        <v>7.6350000000000001E-2</v>
      </c>
      <c r="I14" s="24"/>
      <c r="J14" s="5"/>
    </row>
    <row r="15" spans="1:10" ht="12.95" customHeight="1">
      <c r="A15" s="18" t="s">
        <v>1214</v>
      </c>
      <c r="B15" s="19" t="s">
        <v>1215</v>
      </c>
      <c r="C15" s="15" t="s">
        <v>1216</v>
      </c>
      <c r="D15" s="15" t="s">
        <v>156</v>
      </c>
      <c r="E15" s="20">
        <v>2500000</v>
      </c>
      <c r="F15" s="21">
        <v>2477.34</v>
      </c>
      <c r="G15" s="22">
        <v>4.1599999999999998E-2</v>
      </c>
      <c r="H15" s="23">
        <v>7.4875999999999998E-2</v>
      </c>
      <c r="I15" s="24"/>
      <c r="J15" s="5"/>
    </row>
    <row r="16" spans="1:10" ht="12.95" customHeight="1">
      <c r="A16" s="18" t="s">
        <v>1217</v>
      </c>
      <c r="B16" s="19" t="s">
        <v>1218</v>
      </c>
      <c r="C16" s="15" t="s">
        <v>1219</v>
      </c>
      <c r="D16" s="15" t="s">
        <v>179</v>
      </c>
      <c r="E16" s="20">
        <v>250</v>
      </c>
      <c r="F16" s="21">
        <v>2472.6350000000002</v>
      </c>
      <c r="G16" s="22">
        <v>4.1500000000000002E-2</v>
      </c>
      <c r="H16" s="23">
        <v>7.5861999999999999E-2</v>
      </c>
      <c r="I16" s="24"/>
      <c r="J16" s="5"/>
    </row>
    <row r="17" spans="1:10" ht="12.95" customHeight="1">
      <c r="A17" s="18" t="s">
        <v>1220</v>
      </c>
      <c r="B17" s="19" t="s">
        <v>1221</v>
      </c>
      <c r="C17" s="15" t="s">
        <v>1222</v>
      </c>
      <c r="D17" s="15" t="s">
        <v>156</v>
      </c>
      <c r="E17" s="20">
        <v>2500000</v>
      </c>
      <c r="F17" s="21">
        <v>2455.5</v>
      </c>
      <c r="G17" s="22">
        <v>4.1200000000000001E-2</v>
      </c>
      <c r="H17" s="23">
        <v>7.4823000000000001E-2</v>
      </c>
      <c r="I17" s="24"/>
      <c r="J17" s="5"/>
    </row>
    <row r="18" spans="1:10" ht="12.95" customHeight="1">
      <c r="A18" s="18" t="s">
        <v>1223</v>
      </c>
      <c r="B18" s="19" t="s">
        <v>1224</v>
      </c>
      <c r="C18" s="15" t="s">
        <v>1225</v>
      </c>
      <c r="D18" s="15" t="s">
        <v>156</v>
      </c>
      <c r="E18" s="20">
        <v>2000000</v>
      </c>
      <c r="F18" s="21">
        <v>2017.2719999999999</v>
      </c>
      <c r="G18" s="22">
        <v>3.3799999999999997E-2</v>
      </c>
      <c r="H18" s="23">
        <v>7.5167999999999999E-2</v>
      </c>
      <c r="I18" s="24"/>
      <c r="J18" s="5"/>
    </row>
    <row r="19" spans="1:10" ht="12.95" customHeight="1">
      <c r="A19" s="18" t="s">
        <v>1226</v>
      </c>
      <c r="B19" s="19" t="s">
        <v>1227</v>
      </c>
      <c r="C19" s="15" t="s">
        <v>1228</v>
      </c>
      <c r="D19" s="15" t="s">
        <v>179</v>
      </c>
      <c r="E19" s="20">
        <v>115</v>
      </c>
      <c r="F19" s="21">
        <v>1158.3122000000001</v>
      </c>
      <c r="G19" s="22">
        <v>1.9400000000000001E-2</v>
      </c>
      <c r="H19" s="23">
        <v>7.5950000000000004E-2</v>
      </c>
      <c r="I19" s="24"/>
      <c r="J19" s="5"/>
    </row>
    <row r="20" spans="1:10" ht="12.95" customHeight="1">
      <c r="A20" s="18" t="s">
        <v>1229</v>
      </c>
      <c r="B20" s="19" t="s">
        <v>1230</v>
      </c>
      <c r="C20" s="15" t="s">
        <v>1231</v>
      </c>
      <c r="D20" s="15" t="s">
        <v>156</v>
      </c>
      <c r="E20" s="20">
        <v>1000000</v>
      </c>
      <c r="F20" s="21">
        <v>1009.35</v>
      </c>
      <c r="G20" s="22">
        <v>1.6899999999999998E-2</v>
      </c>
      <c r="H20" s="23">
        <v>7.5269000000000003E-2</v>
      </c>
      <c r="I20" s="24"/>
      <c r="J20" s="5"/>
    </row>
    <row r="21" spans="1:10" ht="12.95" customHeight="1">
      <c r="A21" s="18" t="s">
        <v>1232</v>
      </c>
      <c r="B21" s="19" t="s">
        <v>1233</v>
      </c>
      <c r="C21" s="15" t="s">
        <v>1234</v>
      </c>
      <c r="D21" s="15" t="s">
        <v>179</v>
      </c>
      <c r="E21" s="20">
        <v>100</v>
      </c>
      <c r="F21" s="21">
        <v>1008.204</v>
      </c>
      <c r="G21" s="22">
        <v>1.6899999999999998E-2</v>
      </c>
      <c r="H21" s="23">
        <v>7.5950000000000004E-2</v>
      </c>
      <c r="I21" s="24"/>
      <c r="J21" s="5"/>
    </row>
    <row r="22" spans="1:10" ht="12.95" customHeight="1">
      <c r="A22" s="18" t="s">
        <v>1235</v>
      </c>
      <c r="B22" s="19" t="s">
        <v>1236</v>
      </c>
      <c r="C22" s="15" t="s">
        <v>1237</v>
      </c>
      <c r="D22" s="15" t="s">
        <v>179</v>
      </c>
      <c r="E22" s="20">
        <v>90</v>
      </c>
      <c r="F22" s="21">
        <v>915.90300000000002</v>
      </c>
      <c r="G22" s="22">
        <v>1.54E-2</v>
      </c>
      <c r="H22" s="23">
        <v>7.5950000000000004E-2</v>
      </c>
      <c r="I22" s="24"/>
      <c r="J22" s="5"/>
    </row>
    <row r="23" spans="1:10" ht="12.95" customHeight="1">
      <c r="A23" s="18" t="s">
        <v>1238</v>
      </c>
      <c r="B23" s="19" t="s">
        <v>1239</v>
      </c>
      <c r="C23" s="15" t="s">
        <v>1240</v>
      </c>
      <c r="D23" s="15" t="s">
        <v>179</v>
      </c>
      <c r="E23" s="20">
        <v>50</v>
      </c>
      <c r="F23" s="21">
        <v>506.8175</v>
      </c>
      <c r="G23" s="22">
        <v>8.5000000000000006E-3</v>
      </c>
      <c r="H23" s="23">
        <v>7.5950000000000004E-2</v>
      </c>
      <c r="I23" s="24"/>
      <c r="J23" s="5"/>
    </row>
    <row r="24" spans="1:10" ht="12.95" customHeight="1">
      <c r="A24" s="18" t="s">
        <v>1241</v>
      </c>
      <c r="B24" s="19" t="s">
        <v>1242</v>
      </c>
      <c r="C24" s="15" t="s">
        <v>1243</v>
      </c>
      <c r="D24" s="15" t="s">
        <v>156</v>
      </c>
      <c r="E24" s="20">
        <v>500000</v>
      </c>
      <c r="F24" s="21">
        <v>504.89600000000002</v>
      </c>
      <c r="G24" s="22">
        <v>8.5000000000000006E-3</v>
      </c>
      <c r="H24" s="23">
        <v>7.5209999999999999E-2</v>
      </c>
      <c r="I24" s="24"/>
      <c r="J24" s="5"/>
    </row>
    <row r="25" spans="1:10" ht="12.95" customHeight="1">
      <c r="A25" s="18" t="s">
        <v>1244</v>
      </c>
      <c r="B25" s="19" t="s">
        <v>1245</v>
      </c>
      <c r="C25" s="15" t="s">
        <v>1246</v>
      </c>
      <c r="D25" s="15" t="s">
        <v>156</v>
      </c>
      <c r="E25" s="20">
        <v>500000</v>
      </c>
      <c r="F25" s="21">
        <v>504.14350000000002</v>
      </c>
      <c r="G25" s="22">
        <v>8.5000000000000006E-3</v>
      </c>
      <c r="H25" s="23">
        <v>7.5559000000000001E-2</v>
      </c>
      <c r="I25" s="24"/>
      <c r="J25" s="5"/>
    </row>
    <row r="26" spans="1:10" ht="12.95" customHeight="1">
      <c r="A26" s="18" t="s">
        <v>1247</v>
      </c>
      <c r="B26" s="19" t="s">
        <v>1248</v>
      </c>
      <c r="C26" s="15" t="s">
        <v>1249</v>
      </c>
      <c r="D26" s="15" t="s">
        <v>179</v>
      </c>
      <c r="E26" s="20">
        <v>50</v>
      </c>
      <c r="F26" s="21">
        <v>503.77050000000003</v>
      </c>
      <c r="G26" s="22">
        <v>8.5000000000000006E-3</v>
      </c>
      <c r="H26" s="23">
        <v>7.5950000000000004E-2</v>
      </c>
      <c r="I26" s="24"/>
      <c r="J26" s="5"/>
    </row>
    <row r="27" spans="1:10" ht="12.95" customHeight="1">
      <c r="A27" s="18" t="s">
        <v>1250</v>
      </c>
      <c r="B27" s="19" t="s">
        <v>1251</v>
      </c>
      <c r="C27" s="15" t="s">
        <v>1252</v>
      </c>
      <c r="D27" s="15" t="s">
        <v>179</v>
      </c>
      <c r="E27" s="20">
        <v>50</v>
      </c>
      <c r="F27" s="21">
        <v>503.70249999999999</v>
      </c>
      <c r="G27" s="22">
        <v>8.5000000000000006E-3</v>
      </c>
      <c r="H27" s="23">
        <v>7.5312000000000004E-2</v>
      </c>
      <c r="I27" s="24"/>
      <c r="J27" s="5"/>
    </row>
    <row r="28" spans="1:10" ht="12.95" customHeight="1">
      <c r="A28" s="18" t="s">
        <v>1253</v>
      </c>
      <c r="B28" s="19" t="s">
        <v>1254</v>
      </c>
      <c r="C28" s="15" t="s">
        <v>1255</v>
      </c>
      <c r="D28" s="15" t="s">
        <v>156</v>
      </c>
      <c r="E28" s="20">
        <v>350000</v>
      </c>
      <c r="F28" s="21">
        <v>353.26900000000001</v>
      </c>
      <c r="G28" s="22">
        <v>5.8999999999999999E-3</v>
      </c>
      <c r="H28" s="23">
        <v>7.5173000000000004E-2</v>
      </c>
      <c r="I28" s="24"/>
      <c r="J28" s="5"/>
    </row>
    <row r="29" spans="1:10" ht="12.95" customHeight="1">
      <c r="A29" s="18" t="s">
        <v>1113</v>
      </c>
      <c r="B29" s="19" t="s">
        <v>1114</v>
      </c>
      <c r="C29" s="15" t="s">
        <v>1115</v>
      </c>
      <c r="D29" s="15" t="s">
        <v>179</v>
      </c>
      <c r="E29" s="20">
        <v>10</v>
      </c>
      <c r="F29" s="21">
        <v>97.045100000000005</v>
      </c>
      <c r="G29" s="22">
        <v>1.6000000000000001E-3</v>
      </c>
      <c r="H29" s="23">
        <v>7.6071E-2</v>
      </c>
      <c r="I29" s="24"/>
      <c r="J29" s="5"/>
    </row>
    <row r="30" spans="1:10" ht="12.95" customHeight="1">
      <c r="A30" s="5"/>
      <c r="B30" s="14" t="s">
        <v>160</v>
      </c>
      <c r="C30" s="15"/>
      <c r="D30" s="15"/>
      <c r="E30" s="15"/>
      <c r="F30" s="25">
        <v>56965.474300000002</v>
      </c>
      <c r="G30" s="26">
        <v>0.95569999999999999</v>
      </c>
      <c r="H30" s="27"/>
      <c r="I30" s="28"/>
      <c r="J30" s="5"/>
    </row>
    <row r="31" spans="1:10" ht="12.95" customHeight="1">
      <c r="A31" s="5"/>
      <c r="B31" s="29" t="s">
        <v>161</v>
      </c>
      <c r="C31" s="2"/>
      <c r="D31" s="2"/>
      <c r="E31" s="2"/>
      <c r="F31" s="27" t="s">
        <v>162</v>
      </c>
      <c r="G31" s="27" t="s">
        <v>162</v>
      </c>
      <c r="H31" s="27"/>
      <c r="I31" s="28"/>
      <c r="J31" s="5"/>
    </row>
    <row r="32" spans="1:10" ht="12.95" customHeight="1">
      <c r="A32" s="5"/>
      <c r="B32" s="29" t="s">
        <v>160</v>
      </c>
      <c r="C32" s="2"/>
      <c r="D32" s="2"/>
      <c r="E32" s="2"/>
      <c r="F32" s="27" t="s">
        <v>162</v>
      </c>
      <c r="G32" s="27" t="s">
        <v>162</v>
      </c>
      <c r="H32" s="27"/>
      <c r="I32" s="28"/>
      <c r="J32" s="5"/>
    </row>
    <row r="33" spans="1:10" ht="12.95" customHeight="1">
      <c r="A33" s="5"/>
      <c r="B33" s="29" t="s">
        <v>163</v>
      </c>
      <c r="C33" s="30"/>
      <c r="D33" s="2"/>
      <c r="E33" s="30"/>
      <c r="F33" s="25">
        <v>56965.474300000002</v>
      </c>
      <c r="G33" s="26">
        <v>0.95569999999999999</v>
      </c>
      <c r="H33" s="27"/>
      <c r="I33" s="28"/>
      <c r="J33" s="5"/>
    </row>
    <row r="34" spans="1:10" ht="12.95" customHeight="1">
      <c r="A34" s="5"/>
      <c r="B34" s="14" t="s">
        <v>164</v>
      </c>
      <c r="C34" s="15"/>
      <c r="D34" s="15"/>
      <c r="E34" s="15"/>
      <c r="F34" s="15"/>
      <c r="G34" s="15"/>
      <c r="H34" s="16"/>
      <c r="I34" s="17"/>
      <c r="J34" s="5"/>
    </row>
    <row r="35" spans="1:10" ht="12.95" customHeight="1">
      <c r="A35" s="18" t="s">
        <v>165</v>
      </c>
      <c r="B35" s="19" t="s">
        <v>166</v>
      </c>
      <c r="C35" s="15"/>
      <c r="D35" s="15"/>
      <c r="E35" s="20"/>
      <c r="F35" s="21">
        <v>496.3451</v>
      </c>
      <c r="G35" s="22">
        <v>8.3000000000000001E-3</v>
      </c>
      <c r="H35" s="23">
        <v>6.7996826035307711E-2</v>
      </c>
      <c r="I35" s="24"/>
      <c r="J35" s="5"/>
    </row>
    <row r="36" spans="1:10" ht="12.95" customHeight="1">
      <c r="A36" s="5"/>
      <c r="B36" s="14" t="s">
        <v>160</v>
      </c>
      <c r="C36" s="15"/>
      <c r="D36" s="15"/>
      <c r="E36" s="15"/>
      <c r="F36" s="25">
        <v>496.3451</v>
      </c>
      <c r="G36" s="26">
        <v>8.3000000000000001E-3</v>
      </c>
      <c r="H36" s="27"/>
      <c r="I36" s="28"/>
      <c r="J36" s="5"/>
    </row>
    <row r="37" spans="1:10" ht="12.95" customHeight="1">
      <c r="A37" s="5"/>
      <c r="B37" s="29" t="s">
        <v>163</v>
      </c>
      <c r="C37" s="30"/>
      <c r="D37" s="2"/>
      <c r="E37" s="30"/>
      <c r="F37" s="25">
        <v>496.3451</v>
      </c>
      <c r="G37" s="26">
        <v>8.3000000000000001E-3</v>
      </c>
      <c r="H37" s="27"/>
      <c r="I37" s="28"/>
      <c r="J37" s="5"/>
    </row>
    <row r="38" spans="1:10" ht="12.95" customHeight="1">
      <c r="A38" s="5"/>
      <c r="B38" s="29" t="s">
        <v>167</v>
      </c>
      <c r="C38" s="15"/>
      <c r="D38" s="2"/>
      <c r="E38" s="15"/>
      <c r="F38" s="31">
        <v>2144.0405999999998</v>
      </c>
      <c r="G38" s="26">
        <v>3.5999999999999997E-2</v>
      </c>
      <c r="H38" s="27"/>
      <c r="I38" s="28"/>
      <c r="J38" s="5"/>
    </row>
    <row r="39" spans="1:10" ht="12.95" customHeight="1">
      <c r="A39" s="5"/>
      <c r="B39" s="32" t="s">
        <v>168</v>
      </c>
      <c r="C39" s="33"/>
      <c r="D39" s="33"/>
      <c r="E39" s="33"/>
      <c r="F39" s="34">
        <v>59605.86</v>
      </c>
      <c r="G39" s="35">
        <v>1</v>
      </c>
      <c r="H39" s="36"/>
      <c r="I39" s="37"/>
      <c r="J39" s="5"/>
    </row>
    <row r="40" spans="1:10" ht="12.95" customHeight="1">
      <c r="A40" s="5"/>
      <c r="B40" s="7"/>
      <c r="C40" s="5"/>
      <c r="D40" s="5"/>
      <c r="E40" s="5"/>
      <c r="F40" s="5"/>
      <c r="G40" s="5"/>
      <c r="H40" s="5"/>
      <c r="I40" s="5"/>
      <c r="J40" s="5"/>
    </row>
    <row r="41" spans="1:10" ht="12.95" customHeight="1">
      <c r="A41" s="5"/>
      <c r="B41" s="4" t="s">
        <v>169</v>
      </c>
      <c r="C41" s="5"/>
      <c r="D41" s="5"/>
      <c r="E41" s="5"/>
      <c r="F41" s="5"/>
      <c r="G41" s="5"/>
      <c r="H41" s="5"/>
      <c r="I41" s="5"/>
      <c r="J41" s="5"/>
    </row>
    <row r="42" spans="1:10" ht="12.95" customHeight="1">
      <c r="A42" s="5"/>
      <c r="B42" s="4" t="s">
        <v>207</v>
      </c>
      <c r="C42" s="5"/>
      <c r="D42" s="5"/>
      <c r="E42" s="5"/>
      <c r="F42" s="5"/>
      <c r="G42" s="5"/>
      <c r="H42" s="5"/>
      <c r="I42" s="5"/>
      <c r="J42" s="5"/>
    </row>
    <row r="43" spans="1:10" ht="12.95" customHeight="1">
      <c r="A43" s="5"/>
      <c r="B43" s="4" t="s">
        <v>170</v>
      </c>
      <c r="C43" s="5"/>
      <c r="D43" s="5"/>
      <c r="E43" s="5"/>
      <c r="F43" s="5"/>
      <c r="G43" s="5"/>
      <c r="H43" s="5"/>
      <c r="I43" s="5"/>
      <c r="J43" s="5"/>
    </row>
    <row r="44" spans="1:10" ht="26.1" customHeight="1">
      <c r="A44" s="5"/>
      <c r="B44" s="86" t="s">
        <v>171</v>
      </c>
      <c r="C44" s="86"/>
      <c r="D44" s="86"/>
      <c r="E44" s="86"/>
      <c r="F44" s="86"/>
      <c r="G44" s="86"/>
      <c r="H44" s="86"/>
      <c r="I44" s="86"/>
      <c r="J44" s="5"/>
    </row>
    <row r="45" spans="1:10" ht="12.95" customHeight="1">
      <c r="A45" s="5"/>
      <c r="B45" s="86"/>
      <c r="C45" s="86"/>
      <c r="D45" s="86"/>
      <c r="E45" s="86"/>
      <c r="F45" s="86"/>
      <c r="G45" s="86"/>
      <c r="H45" s="86"/>
      <c r="I45" s="86"/>
      <c r="J45" s="5"/>
    </row>
    <row r="46" spans="1:10" ht="12.95" customHeight="1">
      <c r="A46" s="5"/>
      <c r="B46" s="86"/>
      <c r="C46" s="86"/>
      <c r="D46" s="86"/>
      <c r="E46" s="86"/>
      <c r="F46" s="86"/>
      <c r="G46" s="86"/>
      <c r="H46" s="86"/>
      <c r="I46" s="86"/>
      <c r="J46" s="5"/>
    </row>
    <row r="47" spans="1:10" ht="12.95" customHeight="1">
      <c r="A47" s="5"/>
      <c r="B47" s="5"/>
      <c r="C47" s="87" t="s">
        <v>1256</v>
      </c>
      <c r="D47" s="87"/>
      <c r="E47" s="87"/>
      <c r="F47" s="87"/>
      <c r="G47" s="5"/>
      <c r="H47" s="5"/>
      <c r="I47" s="5"/>
      <c r="J47" s="5"/>
    </row>
    <row r="48" spans="1:10" ht="12.95" customHeight="1">
      <c r="A48" s="5"/>
      <c r="B48" s="38" t="s">
        <v>173</v>
      </c>
      <c r="C48" s="87" t="s">
        <v>174</v>
      </c>
      <c r="D48" s="87"/>
      <c r="E48" s="87"/>
      <c r="F48" s="87"/>
      <c r="G48" s="5"/>
      <c r="H48" s="5"/>
      <c r="I48" s="5"/>
      <c r="J48" s="5"/>
    </row>
    <row r="49" spans="1:10" ht="120.95" customHeight="1">
      <c r="A49" s="5"/>
      <c r="B49" s="39"/>
      <c r="C49" s="85"/>
      <c r="D49" s="85"/>
      <c r="E49" s="5"/>
      <c r="F49" s="5"/>
      <c r="G49" s="5"/>
      <c r="H49" s="5"/>
      <c r="I49" s="5"/>
      <c r="J49" s="5"/>
    </row>
  </sheetData>
  <mergeCells count="6">
    <mergeCell ref="C49:D49"/>
    <mergeCell ref="B44:I44"/>
    <mergeCell ref="B45:I45"/>
    <mergeCell ref="B46:I46"/>
    <mergeCell ref="C47:F47"/>
    <mergeCell ref="C48:F48"/>
  </mergeCells>
  <hyperlinks>
    <hyperlink ref="A1" location="AxisCRISILIBX7030CPSEPlusSDLApr2025IndexFund" display="AXISCPSE" xr:uid="{00000000-0004-0000-0D00-000000000000}"/>
    <hyperlink ref="B1" location="AxisCRISILIBX7030CPSEPlusSDLApr2025IndexFund" display="Axis CRISIL IBX 70:30 CPSE Plus SDL Apr 2025 Index Fund" xr:uid="{00000000-0004-0000-0D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J5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30</v>
      </c>
      <c r="B1" s="4" t="s">
        <v>31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1257</v>
      </c>
      <c r="B7" s="19" t="s">
        <v>1258</v>
      </c>
      <c r="C7" s="15" t="s">
        <v>1259</v>
      </c>
      <c r="D7" s="15" t="s">
        <v>156</v>
      </c>
      <c r="E7" s="20">
        <v>33500000</v>
      </c>
      <c r="F7" s="21">
        <v>33555.040500000003</v>
      </c>
      <c r="G7" s="22">
        <v>0.1671</v>
      </c>
      <c r="H7" s="23">
        <v>7.5921000000000002E-2</v>
      </c>
      <c r="I7" s="24"/>
      <c r="J7" s="5"/>
    </row>
    <row r="8" spans="1:10" ht="12.95" customHeight="1">
      <c r="A8" s="18" t="s">
        <v>1260</v>
      </c>
      <c r="B8" s="19" t="s">
        <v>1261</v>
      </c>
      <c r="C8" s="15" t="s">
        <v>1262</v>
      </c>
      <c r="D8" s="15" t="s">
        <v>156</v>
      </c>
      <c r="E8" s="20">
        <v>20000000</v>
      </c>
      <c r="F8" s="21">
        <v>20033.5</v>
      </c>
      <c r="G8" s="22">
        <v>9.9699999999999997E-2</v>
      </c>
      <c r="H8" s="23">
        <v>7.6013999999999998E-2</v>
      </c>
      <c r="I8" s="24"/>
      <c r="J8" s="5"/>
    </row>
    <row r="9" spans="1:10" ht="12.95" customHeight="1">
      <c r="A9" s="18" t="s">
        <v>1263</v>
      </c>
      <c r="B9" s="19" t="s">
        <v>1261</v>
      </c>
      <c r="C9" s="15" t="s">
        <v>1264</v>
      </c>
      <c r="D9" s="15" t="s">
        <v>156</v>
      </c>
      <c r="E9" s="20">
        <v>15500000</v>
      </c>
      <c r="F9" s="21">
        <v>15528.8145</v>
      </c>
      <c r="G9" s="22">
        <v>7.7299999999999994E-2</v>
      </c>
      <c r="H9" s="23">
        <v>7.5953000000000007E-2</v>
      </c>
      <c r="I9" s="24"/>
      <c r="J9" s="5"/>
    </row>
    <row r="10" spans="1:10" ht="12.95" customHeight="1">
      <c r="A10" s="18" t="s">
        <v>1265</v>
      </c>
      <c r="B10" s="19" t="s">
        <v>1266</v>
      </c>
      <c r="C10" s="15" t="s">
        <v>1267</v>
      </c>
      <c r="D10" s="15" t="s">
        <v>156</v>
      </c>
      <c r="E10" s="20">
        <v>15000000</v>
      </c>
      <c r="F10" s="21">
        <v>14609.445</v>
      </c>
      <c r="G10" s="22">
        <v>7.2700000000000001E-2</v>
      </c>
      <c r="H10" s="23">
        <v>7.5774999999999995E-2</v>
      </c>
      <c r="I10" s="24"/>
      <c r="J10" s="5"/>
    </row>
    <row r="11" spans="1:10" ht="12.95" customHeight="1">
      <c r="A11" s="18" t="s">
        <v>1268</v>
      </c>
      <c r="B11" s="19" t="s">
        <v>1269</v>
      </c>
      <c r="C11" s="15" t="s">
        <v>1270</v>
      </c>
      <c r="D11" s="15" t="s">
        <v>156</v>
      </c>
      <c r="E11" s="20">
        <v>12000000</v>
      </c>
      <c r="F11" s="21">
        <v>12046.812</v>
      </c>
      <c r="G11" s="22">
        <v>0.06</v>
      </c>
      <c r="H11" s="23">
        <v>7.5914999999999996E-2</v>
      </c>
      <c r="I11" s="24"/>
      <c r="J11" s="5"/>
    </row>
    <row r="12" spans="1:10" ht="12.95" customHeight="1">
      <c r="A12" s="18" t="s">
        <v>1271</v>
      </c>
      <c r="B12" s="19" t="s">
        <v>1272</v>
      </c>
      <c r="C12" s="15" t="s">
        <v>1273</v>
      </c>
      <c r="D12" s="15" t="s">
        <v>156</v>
      </c>
      <c r="E12" s="20">
        <v>11300000</v>
      </c>
      <c r="F12" s="21">
        <v>11322.713</v>
      </c>
      <c r="G12" s="22">
        <v>5.6399999999999999E-2</v>
      </c>
      <c r="H12" s="23">
        <v>7.6007000000000005E-2</v>
      </c>
      <c r="I12" s="24"/>
      <c r="J12" s="5"/>
    </row>
    <row r="13" spans="1:10" ht="12.95" customHeight="1">
      <c r="A13" s="18" t="s">
        <v>1274</v>
      </c>
      <c r="B13" s="19" t="s">
        <v>1275</v>
      </c>
      <c r="C13" s="15" t="s">
        <v>1276</v>
      </c>
      <c r="D13" s="15" t="s">
        <v>156</v>
      </c>
      <c r="E13" s="20">
        <v>9000000</v>
      </c>
      <c r="F13" s="21">
        <v>9066.1229999999996</v>
      </c>
      <c r="G13" s="22">
        <v>4.5100000000000001E-2</v>
      </c>
      <c r="H13" s="23">
        <v>7.5982999999999995E-2</v>
      </c>
      <c r="I13" s="24"/>
      <c r="J13" s="5"/>
    </row>
    <row r="14" spans="1:10" ht="12.95" customHeight="1">
      <c r="A14" s="18" t="s">
        <v>1277</v>
      </c>
      <c r="B14" s="19" t="s">
        <v>1278</v>
      </c>
      <c r="C14" s="15" t="s">
        <v>1279</v>
      </c>
      <c r="D14" s="15" t="s">
        <v>156</v>
      </c>
      <c r="E14" s="20">
        <v>7000000</v>
      </c>
      <c r="F14" s="21">
        <v>6815.9</v>
      </c>
      <c r="G14" s="22">
        <v>3.39E-2</v>
      </c>
      <c r="H14" s="23">
        <v>7.5741000000000003E-2</v>
      </c>
      <c r="I14" s="24"/>
      <c r="J14" s="5"/>
    </row>
    <row r="15" spans="1:10" ht="12.95" customHeight="1">
      <c r="A15" s="18" t="s">
        <v>1280</v>
      </c>
      <c r="B15" s="19" t="s">
        <v>1261</v>
      </c>
      <c r="C15" s="15" t="s">
        <v>1281</v>
      </c>
      <c r="D15" s="15" t="s">
        <v>156</v>
      </c>
      <c r="E15" s="20">
        <v>6300000</v>
      </c>
      <c r="F15" s="21">
        <v>6311.1761999999999</v>
      </c>
      <c r="G15" s="22">
        <v>3.1399999999999997E-2</v>
      </c>
      <c r="H15" s="23">
        <v>7.5981000000000007E-2</v>
      </c>
      <c r="I15" s="24"/>
      <c r="J15" s="5"/>
    </row>
    <row r="16" spans="1:10" ht="12.95" customHeight="1">
      <c r="A16" s="18" t="s">
        <v>1282</v>
      </c>
      <c r="B16" s="19" t="s">
        <v>1283</v>
      </c>
      <c r="C16" s="15" t="s">
        <v>1284</v>
      </c>
      <c r="D16" s="15" t="s">
        <v>156</v>
      </c>
      <c r="E16" s="20">
        <v>6000000</v>
      </c>
      <c r="F16" s="21">
        <v>6025.9260000000004</v>
      </c>
      <c r="G16" s="22">
        <v>0.03</v>
      </c>
      <c r="H16" s="23">
        <v>7.6077000000000006E-2</v>
      </c>
      <c r="I16" s="24"/>
      <c r="J16" s="5"/>
    </row>
    <row r="17" spans="1:10" ht="12.95" customHeight="1">
      <c r="A17" s="18" t="s">
        <v>1285</v>
      </c>
      <c r="B17" s="19" t="s">
        <v>1286</v>
      </c>
      <c r="C17" s="15" t="s">
        <v>1287</v>
      </c>
      <c r="D17" s="15" t="s">
        <v>156</v>
      </c>
      <c r="E17" s="20">
        <v>5800000</v>
      </c>
      <c r="F17" s="21">
        <v>5873.9384</v>
      </c>
      <c r="G17" s="22">
        <v>2.92E-2</v>
      </c>
      <c r="H17" s="23">
        <v>7.6328999999999994E-2</v>
      </c>
      <c r="I17" s="24"/>
      <c r="J17" s="5"/>
    </row>
    <row r="18" spans="1:10" ht="12.95" customHeight="1">
      <c r="A18" s="18" t="s">
        <v>1288</v>
      </c>
      <c r="B18" s="19" t="s">
        <v>1289</v>
      </c>
      <c r="C18" s="15" t="s">
        <v>1290</v>
      </c>
      <c r="D18" s="15" t="s">
        <v>156</v>
      </c>
      <c r="E18" s="20">
        <v>5700000</v>
      </c>
      <c r="F18" s="21">
        <v>5723.6720999999998</v>
      </c>
      <c r="G18" s="22">
        <v>2.8500000000000001E-2</v>
      </c>
      <c r="H18" s="23">
        <v>7.5914999999999996E-2</v>
      </c>
      <c r="I18" s="24"/>
      <c r="J18" s="5"/>
    </row>
    <row r="19" spans="1:10" ht="12.95" customHeight="1">
      <c r="A19" s="18" t="s">
        <v>1291</v>
      </c>
      <c r="B19" s="19" t="s">
        <v>1292</v>
      </c>
      <c r="C19" s="15" t="s">
        <v>1293</v>
      </c>
      <c r="D19" s="15" t="s">
        <v>156</v>
      </c>
      <c r="E19" s="20">
        <v>5500000</v>
      </c>
      <c r="F19" s="21">
        <v>5566.8580000000002</v>
      </c>
      <c r="G19" s="22">
        <v>2.7699999999999999E-2</v>
      </c>
      <c r="H19" s="23">
        <v>7.5914999999999996E-2</v>
      </c>
      <c r="I19" s="24"/>
      <c r="J19" s="5"/>
    </row>
    <row r="20" spans="1:10" ht="12.95" customHeight="1">
      <c r="A20" s="18" t="s">
        <v>1294</v>
      </c>
      <c r="B20" s="19" t="s">
        <v>1258</v>
      </c>
      <c r="C20" s="15" t="s">
        <v>1295</v>
      </c>
      <c r="D20" s="15" t="s">
        <v>156</v>
      </c>
      <c r="E20" s="20">
        <v>5000000</v>
      </c>
      <c r="F20" s="21">
        <v>5007.6099999999997</v>
      </c>
      <c r="G20" s="22">
        <v>2.4899999999999999E-2</v>
      </c>
      <c r="H20" s="23">
        <v>7.5961000000000001E-2</v>
      </c>
      <c r="I20" s="24"/>
      <c r="J20" s="5"/>
    </row>
    <row r="21" spans="1:10" ht="12.95" customHeight="1">
      <c r="A21" s="18" t="s">
        <v>1296</v>
      </c>
      <c r="B21" s="19" t="s">
        <v>1297</v>
      </c>
      <c r="C21" s="15" t="s">
        <v>1298</v>
      </c>
      <c r="D21" s="15" t="s">
        <v>156</v>
      </c>
      <c r="E21" s="20">
        <v>5000000</v>
      </c>
      <c r="F21" s="21">
        <v>4889.0600000000004</v>
      </c>
      <c r="G21" s="22">
        <v>2.4299999999999999E-2</v>
      </c>
      <c r="H21" s="23">
        <v>7.5937000000000004E-2</v>
      </c>
      <c r="I21" s="24"/>
      <c r="J21" s="5"/>
    </row>
    <row r="22" spans="1:10" ht="12.95" customHeight="1">
      <c r="A22" s="18" t="s">
        <v>1299</v>
      </c>
      <c r="B22" s="19" t="s">
        <v>1300</v>
      </c>
      <c r="C22" s="15" t="s">
        <v>1301</v>
      </c>
      <c r="D22" s="15" t="s">
        <v>156</v>
      </c>
      <c r="E22" s="20">
        <v>4500000</v>
      </c>
      <c r="F22" s="21">
        <v>4537.26</v>
      </c>
      <c r="G22" s="22">
        <v>2.2599999999999999E-2</v>
      </c>
      <c r="H22" s="23">
        <v>7.6381000000000004E-2</v>
      </c>
      <c r="I22" s="24"/>
      <c r="J22" s="5"/>
    </row>
    <row r="23" spans="1:10" ht="12.95" customHeight="1">
      <c r="A23" s="18" t="s">
        <v>1302</v>
      </c>
      <c r="B23" s="19" t="s">
        <v>1303</v>
      </c>
      <c r="C23" s="15" t="s">
        <v>1304</v>
      </c>
      <c r="D23" s="15" t="s">
        <v>156</v>
      </c>
      <c r="E23" s="20">
        <v>4000000</v>
      </c>
      <c r="F23" s="21">
        <v>4017.6640000000002</v>
      </c>
      <c r="G23" s="22">
        <v>0.02</v>
      </c>
      <c r="H23" s="23">
        <v>7.5939999999999994E-2</v>
      </c>
      <c r="I23" s="24"/>
      <c r="J23" s="5"/>
    </row>
    <row r="24" spans="1:10" ht="12.95" customHeight="1">
      <c r="A24" s="18" t="s">
        <v>1305</v>
      </c>
      <c r="B24" s="19" t="s">
        <v>1306</v>
      </c>
      <c r="C24" s="15" t="s">
        <v>1307</v>
      </c>
      <c r="D24" s="15" t="s">
        <v>156</v>
      </c>
      <c r="E24" s="20">
        <v>3500000</v>
      </c>
      <c r="F24" s="21">
        <v>3517.4580000000001</v>
      </c>
      <c r="G24" s="22">
        <v>1.7500000000000002E-2</v>
      </c>
      <c r="H24" s="23">
        <v>7.5939999999999994E-2</v>
      </c>
      <c r="I24" s="24"/>
      <c r="J24" s="5"/>
    </row>
    <row r="25" spans="1:10" ht="12.95" customHeight="1">
      <c r="A25" s="18" t="s">
        <v>1308</v>
      </c>
      <c r="B25" s="19" t="s">
        <v>1309</v>
      </c>
      <c r="C25" s="15" t="s">
        <v>1310</v>
      </c>
      <c r="D25" s="15" t="s">
        <v>156</v>
      </c>
      <c r="E25" s="20">
        <v>3000000</v>
      </c>
      <c r="F25" s="21">
        <v>3012.0210000000002</v>
      </c>
      <c r="G25" s="22">
        <v>1.4999999999999999E-2</v>
      </c>
      <c r="H25" s="23">
        <v>7.5981000000000007E-2</v>
      </c>
      <c r="I25" s="24"/>
      <c r="J25" s="5"/>
    </row>
    <row r="26" spans="1:10" ht="12.95" customHeight="1">
      <c r="A26" s="18" t="s">
        <v>1311</v>
      </c>
      <c r="B26" s="19" t="s">
        <v>1312</v>
      </c>
      <c r="C26" s="15" t="s">
        <v>1313</v>
      </c>
      <c r="D26" s="15" t="s">
        <v>156</v>
      </c>
      <c r="E26" s="20">
        <v>3000000</v>
      </c>
      <c r="F26" s="21">
        <v>2976.6329999999998</v>
      </c>
      <c r="G26" s="22">
        <v>1.4800000000000001E-2</v>
      </c>
      <c r="H26" s="23">
        <v>7.5930999999999998E-2</v>
      </c>
      <c r="I26" s="24"/>
      <c r="J26" s="5"/>
    </row>
    <row r="27" spans="1:10" ht="12.95" customHeight="1">
      <c r="A27" s="18" t="s">
        <v>1314</v>
      </c>
      <c r="B27" s="19" t="s">
        <v>1315</v>
      </c>
      <c r="C27" s="15" t="s">
        <v>1316</v>
      </c>
      <c r="D27" s="15" t="s">
        <v>156</v>
      </c>
      <c r="E27" s="20">
        <v>2500000</v>
      </c>
      <c r="F27" s="21">
        <v>2529.3150000000001</v>
      </c>
      <c r="G27" s="22">
        <v>1.26E-2</v>
      </c>
      <c r="H27" s="23">
        <v>7.6269000000000003E-2</v>
      </c>
      <c r="I27" s="24"/>
      <c r="J27" s="5"/>
    </row>
    <row r="28" spans="1:10" ht="12.95" customHeight="1">
      <c r="A28" s="18" t="s">
        <v>1317</v>
      </c>
      <c r="B28" s="19" t="s">
        <v>1300</v>
      </c>
      <c r="C28" s="15" t="s">
        <v>1318</v>
      </c>
      <c r="D28" s="15" t="s">
        <v>156</v>
      </c>
      <c r="E28" s="20">
        <v>2500000</v>
      </c>
      <c r="F28" s="21">
        <v>2521.0725000000002</v>
      </c>
      <c r="G28" s="22">
        <v>1.26E-2</v>
      </c>
      <c r="H28" s="23">
        <v>7.6328999999999994E-2</v>
      </c>
      <c r="I28" s="24"/>
      <c r="J28" s="5"/>
    </row>
    <row r="29" spans="1:10" ht="12.95" customHeight="1">
      <c r="A29" s="18" t="s">
        <v>1319</v>
      </c>
      <c r="B29" s="19" t="s">
        <v>1320</v>
      </c>
      <c r="C29" s="15" t="s">
        <v>1321</v>
      </c>
      <c r="D29" s="15" t="s">
        <v>156</v>
      </c>
      <c r="E29" s="20">
        <v>2000000</v>
      </c>
      <c r="F29" s="21">
        <v>2016.722</v>
      </c>
      <c r="G29" s="22">
        <v>0.01</v>
      </c>
      <c r="H29" s="23">
        <v>7.5939999999999994E-2</v>
      </c>
      <c r="I29" s="24"/>
      <c r="J29" s="5"/>
    </row>
    <row r="30" spans="1:10" ht="12.95" customHeight="1">
      <c r="A30" s="18" t="s">
        <v>1322</v>
      </c>
      <c r="B30" s="19" t="s">
        <v>1269</v>
      </c>
      <c r="C30" s="15" t="s">
        <v>1323</v>
      </c>
      <c r="D30" s="15" t="s">
        <v>156</v>
      </c>
      <c r="E30" s="20">
        <v>2000000</v>
      </c>
      <c r="F30" s="21">
        <v>2007.4159999999999</v>
      </c>
      <c r="G30" s="22">
        <v>0.01</v>
      </c>
      <c r="H30" s="23">
        <v>7.5982999999999995E-2</v>
      </c>
      <c r="I30" s="24"/>
      <c r="J30" s="5"/>
    </row>
    <row r="31" spans="1:10" ht="12.95" customHeight="1">
      <c r="A31" s="18" t="s">
        <v>1324</v>
      </c>
      <c r="B31" s="19" t="s">
        <v>1325</v>
      </c>
      <c r="C31" s="15" t="s">
        <v>1326</v>
      </c>
      <c r="D31" s="15" t="s">
        <v>156</v>
      </c>
      <c r="E31" s="20">
        <v>1500000</v>
      </c>
      <c r="F31" s="21">
        <v>1517.9760000000001</v>
      </c>
      <c r="G31" s="22">
        <v>7.6E-3</v>
      </c>
      <c r="H31" s="23">
        <v>7.6077000000000006E-2</v>
      </c>
      <c r="I31" s="24"/>
      <c r="J31" s="5"/>
    </row>
    <row r="32" spans="1:10" ht="12.95" customHeight="1">
      <c r="A32" s="18" t="s">
        <v>1327</v>
      </c>
      <c r="B32" s="19" t="s">
        <v>1328</v>
      </c>
      <c r="C32" s="15" t="s">
        <v>1329</v>
      </c>
      <c r="D32" s="15" t="s">
        <v>156</v>
      </c>
      <c r="E32" s="20">
        <v>1500000</v>
      </c>
      <c r="F32" s="21">
        <v>1506.6824999999999</v>
      </c>
      <c r="G32" s="22">
        <v>7.4999999999999997E-3</v>
      </c>
      <c r="H32" s="23">
        <v>7.6328999999999994E-2</v>
      </c>
      <c r="I32" s="24"/>
      <c r="J32" s="5"/>
    </row>
    <row r="33" spans="1:10" ht="12.95" customHeight="1">
      <c r="A33" s="18" t="s">
        <v>1330</v>
      </c>
      <c r="B33" s="19" t="s">
        <v>1331</v>
      </c>
      <c r="C33" s="15" t="s">
        <v>1332</v>
      </c>
      <c r="D33" s="15" t="s">
        <v>156</v>
      </c>
      <c r="E33" s="20">
        <v>1000000</v>
      </c>
      <c r="F33" s="21">
        <v>1011.479</v>
      </c>
      <c r="G33" s="22">
        <v>5.0000000000000001E-3</v>
      </c>
      <c r="H33" s="23">
        <v>7.6044E-2</v>
      </c>
      <c r="I33" s="24"/>
      <c r="J33" s="5"/>
    </row>
    <row r="34" spans="1:10" ht="12.95" customHeight="1">
      <c r="A34" s="18" t="s">
        <v>1333</v>
      </c>
      <c r="B34" s="19" t="s">
        <v>1334</v>
      </c>
      <c r="C34" s="15" t="s">
        <v>1335</v>
      </c>
      <c r="D34" s="15" t="s">
        <v>156</v>
      </c>
      <c r="E34" s="20">
        <v>1000000</v>
      </c>
      <c r="F34" s="21">
        <v>1008.729</v>
      </c>
      <c r="G34" s="22">
        <v>5.0000000000000001E-3</v>
      </c>
      <c r="H34" s="23">
        <v>7.5914999999999996E-2</v>
      </c>
      <c r="I34" s="24"/>
      <c r="J34" s="5"/>
    </row>
    <row r="35" spans="1:10" ht="12.95" customHeight="1">
      <c r="A35" s="18" t="s">
        <v>1336</v>
      </c>
      <c r="B35" s="19" t="s">
        <v>1337</v>
      </c>
      <c r="C35" s="15" t="s">
        <v>1338</v>
      </c>
      <c r="D35" s="15" t="s">
        <v>156</v>
      </c>
      <c r="E35" s="20">
        <v>1000000</v>
      </c>
      <c r="F35" s="21">
        <v>1004.5839999999999</v>
      </c>
      <c r="G35" s="22">
        <v>5.0000000000000001E-3</v>
      </c>
      <c r="H35" s="23">
        <v>7.5981000000000007E-2</v>
      </c>
      <c r="I35" s="24"/>
      <c r="J35" s="5"/>
    </row>
    <row r="36" spans="1:10" ht="12.95" customHeight="1">
      <c r="A36" s="18" t="s">
        <v>1339</v>
      </c>
      <c r="B36" s="19" t="s">
        <v>1340</v>
      </c>
      <c r="C36" s="15" t="s">
        <v>1341</v>
      </c>
      <c r="D36" s="15" t="s">
        <v>156</v>
      </c>
      <c r="E36" s="20">
        <v>500000</v>
      </c>
      <c r="F36" s="21">
        <v>504.41849999999999</v>
      </c>
      <c r="G36" s="22">
        <v>2.5000000000000001E-3</v>
      </c>
      <c r="H36" s="23">
        <v>7.5981000000000007E-2</v>
      </c>
      <c r="I36" s="24"/>
      <c r="J36" s="5"/>
    </row>
    <row r="37" spans="1:10" ht="12.95" customHeight="1">
      <c r="A37" s="18" t="s">
        <v>1342</v>
      </c>
      <c r="B37" s="19" t="s">
        <v>1343</v>
      </c>
      <c r="C37" s="15" t="s">
        <v>1344</v>
      </c>
      <c r="D37" s="15" t="s">
        <v>156</v>
      </c>
      <c r="E37" s="20">
        <v>50000</v>
      </c>
      <c r="F37" s="21">
        <v>50.485799999999998</v>
      </c>
      <c r="G37" s="22">
        <v>2.9999999999999997E-4</v>
      </c>
      <c r="H37" s="23">
        <v>7.6088000000000003E-2</v>
      </c>
      <c r="I37" s="24"/>
      <c r="J37" s="5"/>
    </row>
    <row r="38" spans="1:10" ht="12.95" customHeight="1">
      <c r="A38" s="5"/>
      <c r="B38" s="14" t="s">
        <v>160</v>
      </c>
      <c r="C38" s="15"/>
      <c r="D38" s="15"/>
      <c r="E38" s="15"/>
      <c r="F38" s="25">
        <v>196116.505</v>
      </c>
      <c r="G38" s="26">
        <v>0.97640000000000005</v>
      </c>
      <c r="H38" s="27"/>
      <c r="I38" s="28"/>
      <c r="J38" s="5"/>
    </row>
    <row r="39" spans="1:10" ht="12.95" customHeight="1">
      <c r="A39" s="5"/>
      <c r="B39" s="29" t="s">
        <v>161</v>
      </c>
      <c r="C39" s="2"/>
      <c r="D39" s="2"/>
      <c r="E39" s="2"/>
      <c r="F39" s="27" t="s">
        <v>162</v>
      </c>
      <c r="G39" s="27" t="s">
        <v>162</v>
      </c>
      <c r="H39" s="27"/>
      <c r="I39" s="28"/>
      <c r="J39" s="5"/>
    </row>
    <row r="40" spans="1:10" ht="12.95" customHeight="1">
      <c r="A40" s="5"/>
      <c r="B40" s="29" t="s">
        <v>160</v>
      </c>
      <c r="C40" s="2"/>
      <c r="D40" s="2"/>
      <c r="E40" s="2"/>
      <c r="F40" s="27" t="s">
        <v>162</v>
      </c>
      <c r="G40" s="27" t="s">
        <v>162</v>
      </c>
      <c r="H40" s="27"/>
      <c r="I40" s="28"/>
      <c r="J40" s="5"/>
    </row>
    <row r="41" spans="1:10" ht="12.95" customHeight="1">
      <c r="A41" s="5"/>
      <c r="B41" s="29" t="s">
        <v>163</v>
      </c>
      <c r="C41" s="30"/>
      <c r="D41" s="2"/>
      <c r="E41" s="30"/>
      <c r="F41" s="25">
        <v>196116.505</v>
      </c>
      <c r="G41" s="26">
        <v>0.97640000000000005</v>
      </c>
      <c r="H41" s="27"/>
      <c r="I41" s="28"/>
      <c r="J41" s="5"/>
    </row>
    <row r="42" spans="1:10" ht="12.95" customHeight="1">
      <c r="A42" s="5"/>
      <c r="B42" s="14" t="s">
        <v>164</v>
      </c>
      <c r="C42" s="15"/>
      <c r="D42" s="15"/>
      <c r="E42" s="15"/>
      <c r="F42" s="15"/>
      <c r="G42" s="15"/>
      <c r="H42" s="16"/>
      <c r="I42" s="17"/>
      <c r="J42" s="5"/>
    </row>
    <row r="43" spans="1:10" ht="12.95" customHeight="1">
      <c r="A43" s="18" t="s">
        <v>165</v>
      </c>
      <c r="B43" s="19" t="s">
        <v>166</v>
      </c>
      <c r="C43" s="15"/>
      <c r="D43" s="15"/>
      <c r="E43" s="20"/>
      <c r="F43" s="21">
        <v>584.95209999999997</v>
      </c>
      <c r="G43" s="22">
        <v>2.8999999999999998E-3</v>
      </c>
      <c r="H43" s="23">
        <v>6.7996805945345615E-2</v>
      </c>
      <c r="I43" s="24"/>
      <c r="J43" s="5"/>
    </row>
    <row r="44" spans="1:10" ht="12.95" customHeight="1">
      <c r="A44" s="5"/>
      <c r="B44" s="14" t="s">
        <v>160</v>
      </c>
      <c r="C44" s="15"/>
      <c r="D44" s="15"/>
      <c r="E44" s="15"/>
      <c r="F44" s="25">
        <v>584.95209999999997</v>
      </c>
      <c r="G44" s="26">
        <v>2.8999999999999998E-3</v>
      </c>
      <c r="H44" s="27"/>
      <c r="I44" s="28"/>
      <c r="J44" s="5"/>
    </row>
    <row r="45" spans="1:10" ht="12.95" customHeight="1">
      <c r="A45" s="5"/>
      <c r="B45" s="29" t="s">
        <v>163</v>
      </c>
      <c r="C45" s="30"/>
      <c r="D45" s="2"/>
      <c r="E45" s="30"/>
      <c r="F45" s="25">
        <v>584.95209999999997</v>
      </c>
      <c r="G45" s="26">
        <v>2.8999999999999998E-3</v>
      </c>
      <c r="H45" s="27"/>
      <c r="I45" s="28"/>
      <c r="J45" s="5"/>
    </row>
    <row r="46" spans="1:10" ht="12.95" customHeight="1">
      <c r="A46" s="5"/>
      <c r="B46" s="29" t="s">
        <v>167</v>
      </c>
      <c r="C46" s="15"/>
      <c r="D46" s="2"/>
      <c r="E46" s="15"/>
      <c r="F46" s="31">
        <v>4153.8128999999999</v>
      </c>
      <c r="G46" s="26">
        <v>2.07E-2</v>
      </c>
      <c r="H46" s="27"/>
      <c r="I46" s="28"/>
      <c r="J46" s="5"/>
    </row>
    <row r="47" spans="1:10" ht="12.95" customHeight="1">
      <c r="A47" s="5"/>
      <c r="B47" s="32" t="s">
        <v>168</v>
      </c>
      <c r="C47" s="33"/>
      <c r="D47" s="33"/>
      <c r="E47" s="33"/>
      <c r="F47" s="34">
        <v>200855.27</v>
      </c>
      <c r="G47" s="35">
        <v>1</v>
      </c>
      <c r="H47" s="36"/>
      <c r="I47" s="37"/>
      <c r="J47" s="5"/>
    </row>
    <row r="48" spans="1:10" ht="12.95" customHeight="1">
      <c r="A48" s="5"/>
      <c r="B48" s="7"/>
      <c r="C48" s="5"/>
      <c r="D48" s="5"/>
      <c r="E48" s="5"/>
      <c r="F48" s="5"/>
      <c r="G48" s="5"/>
      <c r="H48" s="5"/>
      <c r="I48" s="5"/>
      <c r="J48" s="5"/>
    </row>
    <row r="49" spans="1:10" ht="12.95" customHeight="1">
      <c r="A49" s="5"/>
      <c r="B49" s="4" t="s">
        <v>169</v>
      </c>
      <c r="C49" s="5"/>
      <c r="D49" s="5"/>
      <c r="E49" s="5"/>
      <c r="F49" s="5"/>
      <c r="G49" s="5"/>
      <c r="H49" s="5"/>
      <c r="I49" s="5"/>
      <c r="J49" s="5"/>
    </row>
    <row r="50" spans="1:10" ht="12.95" customHeight="1">
      <c r="A50" s="5"/>
      <c r="B50" s="4" t="s">
        <v>170</v>
      </c>
      <c r="C50" s="5"/>
      <c r="D50" s="5"/>
      <c r="E50" s="5"/>
      <c r="F50" s="5"/>
      <c r="G50" s="5"/>
      <c r="H50" s="5"/>
      <c r="I50" s="5"/>
      <c r="J50" s="5"/>
    </row>
    <row r="51" spans="1:10" ht="26.1" customHeight="1">
      <c r="A51" s="5"/>
      <c r="B51" s="86" t="s">
        <v>171</v>
      </c>
      <c r="C51" s="86"/>
      <c r="D51" s="86"/>
      <c r="E51" s="86"/>
      <c r="F51" s="86"/>
      <c r="G51" s="86"/>
      <c r="H51" s="86"/>
      <c r="I51" s="86"/>
      <c r="J51" s="5"/>
    </row>
    <row r="52" spans="1:10" ht="12.95" customHeight="1">
      <c r="A52" s="5"/>
      <c r="B52" s="86"/>
      <c r="C52" s="86"/>
      <c r="D52" s="86"/>
      <c r="E52" s="86"/>
      <c r="F52" s="86"/>
      <c r="G52" s="86"/>
      <c r="H52" s="86"/>
      <c r="I52" s="86"/>
      <c r="J52" s="5"/>
    </row>
    <row r="53" spans="1:10" ht="12.95" customHeight="1">
      <c r="A53" s="5"/>
      <c r="B53" s="86"/>
      <c r="C53" s="86"/>
      <c r="D53" s="86"/>
      <c r="E53" s="86"/>
      <c r="F53" s="86"/>
      <c r="G53" s="86"/>
      <c r="H53" s="86"/>
      <c r="I53" s="86"/>
      <c r="J53" s="5"/>
    </row>
    <row r="54" spans="1:10" ht="12.95" customHeight="1">
      <c r="A54" s="5"/>
      <c r="B54" s="5"/>
      <c r="C54" s="87" t="s">
        <v>1345</v>
      </c>
      <c r="D54" s="87"/>
      <c r="E54" s="87"/>
      <c r="F54" s="87"/>
      <c r="G54" s="5"/>
      <c r="H54" s="5"/>
      <c r="I54" s="5"/>
      <c r="J54" s="5"/>
    </row>
    <row r="55" spans="1:10" ht="12.95" customHeight="1">
      <c r="A55" s="5"/>
      <c r="B55" s="38" t="s">
        <v>173</v>
      </c>
      <c r="C55" s="87" t="s">
        <v>174</v>
      </c>
      <c r="D55" s="87"/>
      <c r="E55" s="87"/>
      <c r="F55" s="87"/>
      <c r="G55" s="5"/>
      <c r="H55" s="5"/>
      <c r="I55" s="5"/>
      <c r="J55" s="5"/>
    </row>
    <row r="56" spans="1:10" ht="120.95" customHeight="1">
      <c r="A56" s="5"/>
      <c r="B56" s="39"/>
      <c r="C56" s="85"/>
      <c r="D56" s="85"/>
      <c r="E56" s="5"/>
      <c r="F56" s="5"/>
      <c r="G56" s="5"/>
      <c r="H56" s="5"/>
      <c r="I56" s="5"/>
      <c r="J56" s="5"/>
    </row>
  </sheetData>
  <mergeCells count="6">
    <mergeCell ref="C56:D56"/>
    <mergeCell ref="B51:I51"/>
    <mergeCell ref="B52:I52"/>
    <mergeCell ref="B53:I53"/>
    <mergeCell ref="C54:F54"/>
    <mergeCell ref="C55:F55"/>
  </mergeCells>
  <hyperlinks>
    <hyperlink ref="A1" location="AxisCRISILIBXSDLMay2027IndexFund" display="AXISCSDL" xr:uid="{00000000-0004-0000-0E00-000000000000}"/>
    <hyperlink ref="B1" location="AxisCRISILIBXSDLMay2027IndexFund" display="Axis CRISIL IBX SDL May 2027 Index Fund" xr:uid="{00000000-0004-0000-0E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J10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32</v>
      </c>
      <c r="B1" s="4" t="s">
        <v>33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1346</v>
      </c>
      <c r="B7" s="19" t="s">
        <v>1347</v>
      </c>
      <c r="C7" s="15" t="s">
        <v>1348</v>
      </c>
      <c r="D7" s="15" t="s">
        <v>156</v>
      </c>
      <c r="E7" s="20">
        <v>13000000</v>
      </c>
      <c r="F7" s="21">
        <v>13338.884</v>
      </c>
      <c r="G7" s="22">
        <v>7.5899999999999995E-2</v>
      </c>
      <c r="H7" s="23">
        <v>7.6044E-2</v>
      </c>
      <c r="I7" s="24"/>
      <c r="J7" s="5"/>
    </row>
    <row r="8" spans="1:10" ht="12.95" customHeight="1">
      <c r="A8" s="18" t="s">
        <v>1349</v>
      </c>
      <c r="B8" s="19" t="s">
        <v>1350</v>
      </c>
      <c r="C8" s="15" t="s">
        <v>1351</v>
      </c>
      <c r="D8" s="15" t="s">
        <v>179</v>
      </c>
      <c r="E8" s="20">
        <v>820</v>
      </c>
      <c r="F8" s="21">
        <v>7853.7878000000001</v>
      </c>
      <c r="G8" s="22">
        <v>4.4699999999999997E-2</v>
      </c>
      <c r="H8" s="23">
        <v>7.3429999999999995E-2</v>
      </c>
      <c r="I8" s="41">
        <v>7.6074842000000004E-2</v>
      </c>
      <c r="J8" s="5"/>
    </row>
    <row r="9" spans="1:10" ht="12.95" customHeight="1">
      <c r="A9" s="18" t="s">
        <v>899</v>
      </c>
      <c r="B9" s="19" t="s">
        <v>900</v>
      </c>
      <c r="C9" s="15" t="s">
        <v>901</v>
      </c>
      <c r="D9" s="15" t="s">
        <v>156</v>
      </c>
      <c r="E9" s="20">
        <v>7000000</v>
      </c>
      <c r="F9" s="21">
        <v>6997.9210000000003</v>
      </c>
      <c r="G9" s="22">
        <v>3.9800000000000002E-2</v>
      </c>
      <c r="H9" s="23">
        <v>7.3948E-2</v>
      </c>
      <c r="I9" s="41"/>
      <c r="J9" s="5"/>
    </row>
    <row r="10" spans="1:10" ht="12.95" customHeight="1">
      <c r="A10" s="18" t="s">
        <v>1352</v>
      </c>
      <c r="B10" s="19" t="s">
        <v>1353</v>
      </c>
      <c r="C10" s="15" t="s">
        <v>1354</v>
      </c>
      <c r="D10" s="15" t="s">
        <v>179</v>
      </c>
      <c r="E10" s="20">
        <v>630</v>
      </c>
      <c r="F10" s="21">
        <v>6489.7686000000003</v>
      </c>
      <c r="G10" s="22">
        <v>3.6900000000000002E-2</v>
      </c>
      <c r="H10" s="23">
        <v>7.8350000000000003E-2</v>
      </c>
      <c r="I10" s="41"/>
      <c r="J10" s="5"/>
    </row>
    <row r="11" spans="1:10" ht="12.95" customHeight="1">
      <c r="A11" s="18" t="s">
        <v>1355</v>
      </c>
      <c r="B11" s="19" t="s">
        <v>1356</v>
      </c>
      <c r="C11" s="15" t="s">
        <v>1357</v>
      </c>
      <c r="D11" s="15" t="s">
        <v>156</v>
      </c>
      <c r="E11" s="20">
        <v>6000000</v>
      </c>
      <c r="F11" s="21">
        <v>5810.7420000000002</v>
      </c>
      <c r="G11" s="22">
        <v>3.3099999999999997E-2</v>
      </c>
      <c r="H11" s="23">
        <v>7.5940999999999995E-2</v>
      </c>
      <c r="I11" s="41"/>
      <c r="J11" s="5"/>
    </row>
    <row r="12" spans="1:10" ht="12.95" customHeight="1">
      <c r="A12" s="18" t="s">
        <v>1358</v>
      </c>
      <c r="B12" s="19" t="s">
        <v>1359</v>
      </c>
      <c r="C12" s="15" t="s">
        <v>1360</v>
      </c>
      <c r="D12" s="15" t="s">
        <v>179</v>
      </c>
      <c r="E12" s="20">
        <v>550</v>
      </c>
      <c r="F12" s="21">
        <v>5538.3459999999995</v>
      </c>
      <c r="G12" s="22">
        <v>3.15E-2</v>
      </c>
      <c r="H12" s="23">
        <v>7.5475E-2</v>
      </c>
      <c r="I12" s="41"/>
      <c r="J12" s="5"/>
    </row>
    <row r="13" spans="1:10" ht="12.95" customHeight="1">
      <c r="A13" s="18" t="s">
        <v>1361</v>
      </c>
      <c r="B13" s="19" t="s">
        <v>1362</v>
      </c>
      <c r="C13" s="15" t="s">
        <v>1363</v>
      </c>
      <c r="D13" s="15" t="s">
        <v>1364</v>
      </c>
      <c r="E13" s="20">
        <v>540</v>
      </c>
      <c r="F13" s="21">
        <v>5401.4741999999997</v>
      </c>
      <c r="G13" s="22">
        <v>3.0700000000000002E-2</v>
      </c>
      <c r="H13" s="23">
        <v>7.6249999999999998E-2</v>
      </c>
      <c r="I13" s="41"/>
      <c r="J13" s="5"/>
    </row>
    <row r="14" spans="1:10" ht="12.95" customHeight="1">
      <c r="A14" s="18" t="s">
        <v>1365</v>
      </c>
      <c r="B14" s="19" t="s">
        <v>1366</v>
      </c>
      <c r="C14" s="15" t="s">
        <v>1367</v>
      </c>
      <c r="D14" s="15" t="s">
        <v>179</v>
      </c>
      <c r="E14" s="20">
        <v>500</v>
      </c>
      <c r="F14" s="21">
        <v>5162.9799999999996</v>
      </c>
      <c r="G14" s="22">
        <v>2.9399999999999999E-2</v>
      </c>
      <c r="H14" s="23">
        <v>7.5597999999999999E-2</v>
      </c>
      <c r="I14" s="41"/>
      <c r="J14" s="5"/>
    </row>
    <row r="15" spans="1:10" ht="12.95" customHeight="1">
      <c r="A15" s="18" t="s">
        <v>1368</v>
      </c>
      <c r="B15" s="19" t="s">
        <v>1369</v>
      </c>
      <c r="C15" s="15" t="s">
        <v>1370</v>
      </c>
      <c r="D15" s="15" t="s">
        <v>156</v>
      </c>
      <c r="E15" s="20">
        <v>4500000</v>
      </c>
      <c r="F15" s="21">
        <v>4611.8384999999998</v>
      </c>
      <c r="G15" s="22">
        <v>2.6200000000000001E-2</v>
      </c>
      <c r="H15" s="23">
        <v>7.6536000000000007E-2</v>
      </c>
      <c r="I15" s="41"/>
      <c r="J15" s="5"/>
    </row>
    <row r="16" spans="1:10" ht="12.95" customHeight="1">
      <c r="A16" s="18" t="s">
        <v>1371</v>
      </c>
      <c r="B16" s="19" t="s">
        <v>1372</v>
      </c>
      <c r="C16" s="15" t="s">
        <v>1373</v>
      </c>
      <c r="D16" s="15" t="s">
        <v>432</v>
      </c>
      <c r="E16" s="20">
        <v>2250</v>
      </c>
      <c r="F16" s="21">
        <v>4490.4555</v>
      </c>
      <c r="G16" s="22">
        <v>2.5499999999999998E-2</v>
      </c>
      <c r="H16" s="23">
        <v>7.5512999999999997E-2</v>
      </c>
      <c r="I16" s="41"/>
      <c r="J16" s="5"/>
    </row>
    <row r="17" spans="1:10" ht="12.95" customHeight="1">
      <c r="A17" s="18" t="s">
        <v>902</v>
      </c>
      <c r="B17" s="19" t="s">
        <v>903</v>
      </c>
      <c r="C17" s="15" t="s">
        <v>904</v>
      </c>
      <c r="D17" s="15" t="s">
        <v>156</v>
      </c>
      <c r="E17" s="20">
        <v>4300000</v>
      </c>
      <c r="F17" s="21">
        <v>4270.9449000000004</v>
      </c>
      <c r="G17" s="22">
        <v>2.4299999999999999E-2</v>
      </c>
      <c r="H17" s="23">
        <v>7.3802999999999994E-2</v>
      </c>
      <c r="I17" s="41"/>
      <c r="J17" s="5"/>
    </row>
    <row r="18" spans="1:10" ht="12.95" customHeight="1">
      <c r="A18" s="18" t="s">
        <v>1374</v>
      </c>
      <c r="B18" s="19" t="s">
        <v>1375</v>
      </c>
      <c r="C18" s="15" t="s">
        <v>1376</v>
      </c>
      <c r="D18" s="15" t="s">
        <v>179</v>
      </c>
      <c r="E18" s="20">
        <v>400</v>
      </c>
      <c r="F18" s="21">
        <v>3952.152</v>
      </c>
      <c r="G18" s="22">
        <v>2.2499999999999999E-2</v>
      </c>
      <c r="H18" s="23">
        <v>7.5749999999999998E-2</v>
      </c>
      <c r="I18" s="41"/>
      <c r="J18" s="5"/>
    </row>
    <row r="19" spans="1:10" ht="12.95" customHeight="1">
      <c r="A19" s="18" t="s">
        <v>1377</v>
      </c>
      <c r="B19" s="19" t="s">
        <v>1378</v>
      </c>
      <c r="C19" s="15" t="s">
        <v>1379</v>
      </c>
      <c r="D19" s="15" t="s">
        <v>179</v>
      </c>
      <c r="E19" s="20">
        <v>400</v>
      </c>
      <c r="F19" s="21">
        <v>3819.6</v>
      </c>
      <c r="G19" s="22">
        <v>2.1700000000000001E-2</v>
      </c>
      <c r="H19" s="23">
        <v>7.8113000000000002E-2</v>
      </c>
      <c r="I19" s="41"/>
      <c r="J19" s="5"/>
    </row>
    <row r="20" spans="1:10" ht="12.95" customHeight="1">
      <c r="A20" s="18" t="s">
        <v>1380</v>
      </c>
      <c r="B20" s="19" t="s">
        <v>1381</v>
      </c>
      <c r="C20" s="15" t="s">
        <v>1382</v>
      </c>
      <c r="D20" s="15" t="s">
        <v>179</v>
      </c>
      <c r="E20" s="20">
        <v>350</v>
      </c>
      <c r="F20" s="21">
        <v>3621.1909999999998</v>
      </c>
      <c r="G20" s="22">
        <v>2.06E-2</v>
      </c>
      <c r="H20" s="23">
        <v>7.5597999999999999E-2</v>
      </c>
      <c r="I20" s="41"/>
      <c r="J20" s="5"/>
    </row>
    <row r="21" spans="1:10" ht="12.95" customHeight="1">
      <c r="A21" s="18" t="s">
        <v>1383</v>
      </c>
      <c r="B21" s="19" t="s">
        <v>1384</v>
      </c>
      <c r="C21" s="15" t="s">
        <v>1385</v>
      </c>
      <c r="D21" s="15" t="s">
        <v>156</v>
      </c>
      <c r="E21" s="20">
        <v>3394100</v>
      </c>
      <c r="F21" s="21">
        <v>3242.7638999999999</v>
      </c>
      <c r="G21" s="22">
        <v>1.8499999999999999E-2</v>
      </c>
      <c r="H21" s="23">
        <v>7.5940999999999995E-2</v>
      </c>
      <c r="I21" s="41"/>
      <c r="J21" s="5"/>
    </row>
    <row r="22" spans="1:10" ht="12.95" customHeight="1">
      <c r="A22" s="18" t="s">
        <v>1386</v>
      </c>
      <c r="B22" s="19" t="s">
        <v>1387</v>
      </c>
      <c r="C22" s="15" t="s">
        <v>1388</v>
      </c>
      <c r="D22" s="15" t="s">
        <v>179</v>
      </c>
      <c r="E22" s="20">
        <v>300</v>
      </c>
      <c r="F22" s="21">
        <v>3106.3919999999998</v>
      </c>
      <c r="G22" s="22">
        <v>1.77E-2</v>
      </c>
      <c r="H22" s="23">
        <v>7.4499999999999997E-2</v>
      </c>
      <c r="I22" s="41"/>
      <c r="J22" s="5"/>
    </row>
    <row r="23" spans="1:10" ht="12.95" customHeight="1">
      <c r="A23" s="18" t="s">
        <v>1389</v>
      </c>
      <c r="B23" s="19" t="s">
        <v>1390</v>
      </c>
      <c r="C23" s="15" t="s">
        <v>1391</v>
      </c>
      <c r="D23" s="15" t="s">
        <v>179</v>
      </c>
      <c r="E23" s="20">
        <v>300</v>
      </c>
      <c r="F23" s="21">
        <v>3098.1390000000001</v>
      </c>
      <c r="G23" s="22">
        <v>1.7600000000000001E-2</v>
      </c>
      <c r="H23" s="23">
        <v>7.6401999999999998E-2</v>
      </c>
      <c r="I23" s="41"/>
      <c r="J23" s="5"/>
    </row>
    <row r="24" spans="1:10" ht="12.95" customHeight="1">
      <c r="A24" s="18" t="s">
        <v>1392</v>
      </c>
      <c r="B24" s="19" t="s">
        <v>1393</v>
      </c>
      <c r="C24" s="15" t="s">
        <v>1394</v>
      </c>
      <c r="D24" s="15" t="s">
        <v>179</v>
      </c>
      <c r="E24" s="20">
        <v>300</v>
      </c>
      <c r="F24" s="21">
        <v>3018.4560000000001</v>
      </c>
      <c r="G24" s="22">
        <v>1.72E-2</v>
      </c>
      <c r="H24" s="23">
        <v>7.6175000000000007E-2</v>
      </c>
      <c r="I24" s="41"/>
      <c r="J24" s="5"/>
    </row>
    <row r="25" spans="1:10" ht="12.95" customHeight="1">
      <c r="A25" s="18" t="s">
        <v>1395</v>
      </c>
      <c r="B25" s="19" t="s">
        <v>1396</v>
      </c>
      <c r="C25" s="15" t="s">
        <v>1397</v>
      </c>
      <c r="D25" s="15" t="s">
        <v>156</v>
      </c>
      <c r="E25" s="20">
        <v>3000000</v>
      </c>
      <c r="F25" s="21">
        <v>2845.3620000000001</v>
      </c>
      <c r="G25" s="22">
        <v>1.6199999999999999E-2</v>
      </c>
      <c r="H25" s="23">
        <v>7.5833999999999999E-2</v>
      </c>
      <c r="I25" s="41"/>
      <c r="J25" s="5"/>
    </row>
    <row r="26" spans="1:10" ht="12.95" customHeight="1">
      <c r="A26" s="18" t="s">
        <v>1398</v>
      </c>
      <c r="B26" s="19" t="s">
        <v>1399</v>
      </c>
      <c r="C26" s="15" t="s">
        <v>1400</v>
      </c>
      <c r="D26" s="15" t="s">
        <v>432</v>
      </c>
      <c r="E26" s="20">
        <v>250</v>
      </c>
      <c r="F26" s="21">
        <v>2607.1774999999998</v>
      </c>
      <c r="G26" s="22">
        <v>1.4800000000000001E-2</v>
      </c>
      <c r="H26" s="23">
        <v>7.5402999999999998E-2</v>
      </c>
      <c r="I26" s="41"/>
      <c r="J26" s="5"/>
    </row>
    <row r="27" spans="1:10" ht="12.95" customHeight="1">
      <c r="A27" s="18" t="s">
        <v>1401</v>
      </c>
      <c r="B27" s="19" t="s">
        <v>1402</v>
      </c>
      <c r="C27" s="15" t="s">
        <v>1403</v>
      </c>
      <c r="D27" s="15" t="s">
        <v>432</v>
      </c>
      <c r="E27" s="20">
        <v>250</v>
      </c>
      <c r="F27" s="21">
        <v>2489.19</v>
      </c>
      <c r="G27" s="22">
        <v>1.4200000000000001E-2</v>
      </c>
      <c r="H27" s="23">
        <v>7.6550000000000007E-2</v>
      </c>
      <c r="I27" s="41"/>
      <c r="J27" s="5"/>
    </row>
    <row r="28" spans="1:10" ht="12.95" customHeight="1">
      <c r="A28" s="18" t="s">
        <v>1404</v>
      </c>
      <c r="B28" s="19" t="s">
        <v>1405</v>
      </c>
      <c r="C28" s="15" t="s">
        <v>1406</v>
      </c>
      <c r="D28" s="15" t="s">
        <v>179</v>
      </c>
      <c r="E28" s="20">
        <v>250</v>
      </c>
      <c r="F28" s="21">
        <v>2458.6325000000002</v>
      </c>
      <c r="G28" s="22">
        <v>1.4E-2</v>
      </c>
      <c r="H28" s="23">
        <v>7.6118000000000005E-2</v>
      </c>
      <c r="I28" s="41"/>
      <c r="J28" s="5"/>
    </row>
    <row r="29" spans="1:10" ht="12.95" customHeight="1">
      <c r="A29" s="18" t="s">
        <v>1407</v>
      </c>
      <c r="B29" s="19" t="s">
        <v>1408</v>
      </c>
      <c r="C29" s="15" t="s">
        <v>1409</v>
      </c>
      <c r="D29" s="15" t="s">
        <v>179</v>
      </c>
      <c r="E29" s="20">
        <v>250</v>
      </c>
      <c r="F29" s="21">
        <v>2422.5</v>
      </c>
      <c r="G29" s="22">
        <v>1.38E-2</v>
      </c>
      <c r="H29" s="23">
        <v>7.6175000000000007E-2</v>
      </c>
      <c r="I29" s="41"/>
      <c r="J29" s="5"/>
    </row>
    <row r="30" spans="1:10" ht="12.95" customHeight="1">
      <c r="A30" s="18" t="s">
        <v>1410</v>
      </c>
      <c r="B30" s="19" t="s">
        <v>1411</v>
      </c>
      <c r="C30" s="15" t="s">
        <v>1412</v>
      </c>
      <c r="D30" s="15" t="s">
        <v>179</v>
      </c>
      <c r="E30" s="20">
        <v>250</v>
      </c>
      <c r="F30" s="21">
        <v>2395.3200000000002</v>
      </c>
      <c r="G30" s="22">
        <v>1.3599999999999999E-2</v>
      </c>
      <c r="H30" s="23">
        <v>7.8113000000000002E-2</v>
      </c>
      <c r="I30" s="41"/>
      <c r="J30" s="5"/>
    </row>
    <row r="31" spans="1:10" ht="12.95" customHeight="1">
      <c r="A31" s="18" t="s">
        <v>1413</v>
      </c>
      <c r="B31" s="19" t="s">
        <v>1414</v>
      </c>
      <c r="C31" s="15" t="s">
        <v>1415</v>
      </c>
      <c r="D31" s="15" t="s">
        <v>179</v>
      </c>
      <c r="E31" s="20">
        <v>250</v>
      </c>
      <c r="F31" s="21">
        <v>2387.9549999999999</v>
      </c>
      <c r="G31" s="22">
        <v>1.3599999999999999E-2</v>
      </c>
      <c r="H31" s="23">
        <v>7.6220999999999997E-2</v>
      </c>
      <c r="I31" s="41"/>
      <c r="J31" s="5"/>
    </row>
    <row r="32" spans="1:10" ht="12.95" customHeight="1">
      <c r="A32" s="18" t="s">
        <v>1416</v>
      </c>
      <c r="B32" s="19" t="s">
        <v>1417</v>
      </c>
      <c r="C32" s="15" t="s">
        <v>1418</v>
      </c>
      <c r="D32" s="15" t="s">
        <v>179</v>
      </c>
      <c r="E32" s="20">
        <v>250</v>
      </c>
      <c r="F32" s="21">
        <v>2374.9924999999998</v>
      </c>
      <c r="G32" s="22">
        <v>1.35E-2</v>
      </c>
      <c r="H32" s="23">
        <v>7.5475E-2</v>
      </c>
      <c r="I32" s="41"/>
      <c r="J32" s="5"/>
    </row>
    <row r="33" spans="1:10" ht="12.95" customHeight="1">
      <c r="A33" s="18" t="s">
        <v>1419</v>
      </c>
      <c r="B33" s="19" t="s">
        <v>1420</v>
      </c>
      <c r="C33" s="15" t="s">
        <v>1421</v>
      </c>
      <c r="D33" s="15" t="s">
        <v>156</v>
      </c>
      <c r="E33" s="20">
        <v>2500000</v>
      </c>
      <c r="F33" s="21">
        <v>2370.5450000000001</v>
      </c>
      <c r="G33" s="22">
        <v>1.35E-2</v>
      </c>
      <c r="H33" s="23">
        <v>7.5833999999999999E-2</v>
      </c>
      <c r="I33" s="41"/>
      <c r="J33" s="5"/>
    </row>
    <row r="34" spans="1:10" ht="12.95" customHeight="1">
      <c r="A34" s="18" t="s">
        <v>1422</v>
      </c>
      <c r="B34" s="19" t="s">
        <v>1423</v>
      </c>
      <c r="C34" s="15" t="s">
        <v>1424</v>
      </c>
      <c r="D34" s="15" t="s">
        <v>179</v>
      </c>
      <c r="E34" s="20">
        <v>250</v>
      </c>
      <c r="F34" s="21">
        <v>2365.3625000000002</v>
      </c>
      <c r="G34" s="22">
        <v>1.35E-2</v>
      </c>
      <c r="H34" s="23">
        <v>7.8113000000000002E-2</v>
      </c>
      <c r="I34" s="41"/>
      <c r="J34" s="5"/>
    </row>
    <row r="35" spans="1:10" ht="12.95" customHeight="1">
      <c r="A35" s="18" t="s">
        <v>1425</v>
      </c>
      <c r="B35" s="19" t="s">
        <v>1426</v>
      </c>
      <c r="C35" s="15" t="s">
        <v>1427</v>
      </c>
      <c r="D35" s="15" t="s">
        <v>432</v>
      </c>
      <c r="E35" s="20">
        <v>250</v>
      </c>
      <c r="F35" s="21">
        <v>2352.8249999999998</v>
      </c>
      <c r="G35" s="22">
        <v>1.34E-2</v>
      </c>
      <c r="H35" s="23">
        <v>7.6546000000000003E-2</v>
      </c>
      <c r="I35" s="41"/>
      <c r="J35" s="5"/>
    </row>
    <row r="36" spans="1:10" ht="12.95" customHeight="1">
      <c r="A36" s="18" t="s">
        <v>1428</v>
      </c>
      <c r="B36" s="19" t="s">
        <v>1429</v>
      </c>
      <c r="C36" s="15" t="s">
        <v>1430</v>
      </c>
      <c r="D36" s="15" t="s">
        <v>432</v>
      </c>
      <c r="E36" s="20">
        <v>250</v>
      </c>
      <c r="F36" s="21">
        <v>2346.7049999999999</v>
      </c>
      <c r="G36" s="22">
        <v>1.34E-2</v>
      </c>
      <c r="H36" s="23">
        <v>7.6508000000000007E-2</v>
      </c>
      <c r="I36" s="41"/>
      <c r="J36" s="5"/>
    </row>
    <row r="37" spans="1:10" ht="12.95" customHeight="1">
      <c r="A37" s="18" t="s">
        <v>1431</v>
      </c>
      <c r="B37" s="19" t="s">
        <v>1432</v>
      </c>
      <c r="C37" s="15" t="s">
        <v>1433</v>
      </c>
      <c r="D37" s="15" t="s">
        <v>179</v>
      </c>
      <c r="E37" s="20">
        <v>250</v>
      </c>
      <c r="F37" s="21">
        <v>2344.0574999999999</v>
      </c>
      <c r="G37" s="22">
        <v>1.3299999999999999E-2</v>
      </c>
      <c r="H37" s="23">
        <v>7.5149999999999995E-2</v>
      </c>
      <c r="I37" s="41"/>
      <c r="J37" s="5"/>
    </row>
    <row r="38" spans="1:10" ht="12.95" customHeight="1">
      <c r="A38" s="18" t="s">
        <v>1434</v>
      </c>
      <c r="B38" s="19" t="s">
        <v>1435</v>
      </c>
      <c r="C38" s="15" t="s">
        <v>1436</v>
      </c>
      <c r="D38" s="15" t="s">
        <v>179</v>
      </c>
      <c r="E38" s="20">
        <v>200</v>
      </c>
      <c r="F38" s="21">
        <v>2005.588</v>
      </c>
      <c r="G38" s="22">
        <v>1.14E-2</v>
      </c>
      <c r="H38" s="23">
        <v>7.6175000000000007E-2</v>
      </c>
      <c r="I38" s="41"/>
      <c r="J38" s="5"/>
    </row>
    <row r="39" spans="1:10" ht="12.95" customHeight="1">
      <c r="A39" s="18" t="s">
        <v>1167</v>
      </c>
      <c r="B39" s="19" t="s">
        <v>1168</v>
      </c>
      <c r="C39" s="15" t="s">
        <v>1169</v>
      </c>
      <c r="D39" s="15" t="s">
        <v>179</v>
      </c>
      <c r="E39" s="20">
        <v>200</v>
      </c>
      <c r="F39" s="21">
        <v>1991.424</v>
      </c>
      <c r="G39" s="22">
        <v>1.1299999999999999E-2</v>
      </c>
      <c r="H39" s="23">
        <v>7.6220999999999997E-2</v>
      </c>
      <c r="I39" s="41"/>
      <c r="J39" s="5"/>
    </row>
    <row r="40" spans="1:10" ht="12.95" customHeight="1">
      <c r="A40" s="18" t="s">
        <v>1437</v>
      </c>
      <c r="B40" s="19" t="s">
        <v>1438</v>
      </c>
      <c r="C40" s="15" t="s">
        <v>1439</v>
      </c>
      <c r="D40" s="15" t="s">
        <v>1364</v>
      </c>
      <c r="E40" s="20">
        <v>203</v>
      </c>
      <c r="F40" s="21">
        <v>1964.5771999999999</v>
      </c>
      <c r="G40" s="22">
        <v>1.12E-2</v>
      </c>
      <c r="H40" s="23">
        <v>7.6450000000000004E-2</v>
      </c>
      <c r="I40" s="41"/>
      <c r="J40" s="5"/>
    </row>
    <row r="41" spans="1:10" ht="12.95" customHeight="1">
      <c r="A41" s="18" t="s">
        <v>1440</v>
      </c>
      <c r="B41" s="19" t="s">
        <v>1441</v>
      </c>
      <c r="C41" s="15" t="s">
        <v>1442</v>
      </c>
      <c r="D41" s="15" t="s">
        <v>179</v>
      </c>
      <c r="E41" s="20">
        <v>200</v>
      </c>
      <c r="F41" s="21">
        <v>1942.432</v>
      </c>
      <c r="G41" s="22">
        <v>1.11E-2</v>
      </c>
      <c r="H41" s="23">
        <v>7.8062999999999994E-2</v>
      </c>
      <c r="I41" s="41"/>
      <c r="J41" s="5"/>
    </row>
    <row r="42" spans="1:10" ht="12.95" customHeight="1">
      <c r="A42" s="18" t="s">
        <v>1443</v>
      </c>
      <c r="B42" s="19" t="s">
        <v>1444</v>
      </c>
      <c r="C42" s="15" t="s">
        <v>1445</v>
      </c>
      <c r="D42" s="15" t="s">
        <v>156</v>
      </c>
      <c r="E42" s="20">
        <v>2000000</v>
      </c>
      <c r="F42" s="21">
        <v>1919.5060000000001</v>
      </c>
      <c r="G42" s="22">
        <v>1.09E-2</v>
      </c>
      <c r="H42" s="23">
        <v>7.5883999999999993E-2</v>
      </c>
      <c r="I42" s="41"/>
      <c r="J42" s="5"/>
    </row>
    <row r="43" spans="1:10" ht="12.95" customHeight="1">
      <c r="A43" s="18" t="s">
        <v>1446</v>
      </c>
      <c r="B43" s="19" t="s">
        <v>1447</v>
      </c>
      <c r="C43" s="15" t="s">
        <v>1448</v>
      </c>
      <c r="D43" s="15" t="s">
        <v>156</v>
      </c>
      <c r="E43" s="20">
        <v>2000000</v>
      </c>
      <c r="F43" s="21">
        <v>1898.9839999999999</v>
      </c>
      <c r="G43" s="22">
        <v>1.0800000000000001E-2</v>
      </c>
      <c r="H43" s="23">
        <v>7.5883999999999993E-2</v>
      </c>
      <c r="I43" s="41"/>
      <c r="J43" s="5"/>
    </row>
    <row r="44" spans="1:10" ht="12.95" customHeight="1">
      <c r="A44" s="18" t="s">
        <v>1449</v>
      </c>
      <c r="B44" s="19" t="s">
        <v>1450</v>
      </c>
      <c r="C44" s="15" t="s">
        <v>1451</v>
      </c>
      <c r="D44" s="15" t="s">
        <v>432</v>
      </c>
      <c r="E44" s="20">
        <v>200</v>
      </c>
      <c r="F44" s="21">
        <v>1886.86</v>
      </c>
      <c r="G44" s="22">
        <v>1.0699999999999999E-2</v>
      </c>
      <c r="H44" s="23">
        <v>7.6550000000000007E-2</v>
      </c>
      <c r="I44" s="41"/>
      <c r="J44" s="5"/>
    </row>
    <row r="45" spans="1:10" ht="12.95" customHeight="1">
      <c r="A45" s="18" t="s">
        <v>1452</v>
      </c>
      <c r="B45" s="19" t="s">
        <v>1453</v>
      </c>
      <c r="C45" s="15" t="s">
        <v>1454</v>
      </c>
      <c r="D45" s="15" t="s">
        <v>156</v>
      </c>
      <c r="E45" s="20">
        <v>1864800</v>
      </c>
      <c r="F45" s="21">
        <v>1767.7520999999999</v>
      </c>
      <c r="G45" s="22">
        <v>1.01E-2</v>
      </c>
      <c r="H45" s="23">
        <v>7.5883999999999993E-2</v>
      </c>
      <c r="I45" s="41"/>
      <c r="J45" s="5"/>
    </row>
    <row r="46" spans="1:10" ht="12.95" customHeight="1">
      <c r="A46" s="18" t="s">
        <v>1455</v>
      </c>
      <c r="B46" s="19" t="s">
        <v>1456</v>
      </c>
      <c r="C46" s="15" t="s">
        <v>1457</v>
      </c>
      <c r="D46" s="15" t="s">
        <v>179</v>
      </c>
      <c r="E46" s="20">
        <v>170</v>
      </c>
      <c r="F46" s="21">
        <v>1687.0119999999999</v>
      </c>
      <c r="G46" s="22">
        <v>9.5999999999999992E-3</v>
      </c>
      <c r="H46" s="23">
        <v>7.5687000000000004E-2</v>
      </c>
      <c r="I46" s="41"/>
      <c r="J46" s="5"/>
    </row>
    <row r="47" spans="1:10" ht="12.95" customHeight="1">
      <c r="A47" s="18" t="s">
        <v>1458</v>
      </c>
      <c r="B47" s="19" t="s">
        <v>1459</v>
      </c>
      <c r="C47" s="15" t="s">
        <v>1460</v>
      </c>
      <c r="D47" s="15" t="s">
        <v>156</v>
      </c>
      <c r="E47" s="20">
        <v>1620300</v>
      </c>
      <c r="F47" s="21">
        <v>1586.6512</v>
      </c>
      <c r="G47" s="22">
        <v>8.9999999999999993E-3</v>
      </c>
      <c r="H47" s="23">
        <v>7.5885999999999995E-2</v>
      </c>
      <c r="I47" s="41"/>
      <c r="J47" s="5"/>
    </row>
    <row r="48" spans="1:10" ht="12.95" customHeight="1">
      <c r="A48" s="18" t="s">
        <v>1461</v>
      </c>
      <c r="B48" s="19" t="s">
        <v>1462</v>
      </c>
      <c r="C48" s="15" t="s">
        <v>1463</v>
      </c>
      <c r="D48" s="15" t="s">
        <v>432</v>
      </c>
      <c r="E48" s="20">
        <v>150</v>
      </c>
      <c r="F48" s="21">
        <v>1576.875</v>
      </c>
      <c r="G48" s="22">
        <v>8.9999999999999993E-3</v>
      </c>
      <c r="H48" s="23">
        <v>7.5399999999999995E-2</v>
      </c>
      <c r="I48" s="41"/>
      <c r="J48" s="5"/>
    </row>
    <row r="49" spans="1:10" ht="12.95" customHeight="1">
      <c r="A49" s="18" t="s">
        <v>1464</v>
      </c>
      <c r="B49" s="19" t="s">
        <v>1465</v>
      </c>
      <c r="C49" s="15" t="s">
        <v>1466</v>
      </c>
      <c r="D49" s="15" t="s">
        <v>1034</v>
      </c>
      <c r="E49" s="20">
        <v>150</v>
      </c>
      <c r="F49" s="21">
        <v>1550.2484999999999</v>
      </c>
      <c r="G49" s="22">
        <v>8.8000000000000005E-3</v>
      </c>
      <c r="H49" s="23">
        <v>7.5061000000000003E-2</v>
      </c>
      <c r="I49" s="41"/>
      <c r="J49" s="5"/>
    </row>
    <row r="50" spans="1:10" ht="12.95" customHeight="1">
      <c r="A50" s="18" t="s">
        <v>1467</v>
      </c>
      <c r="B50" s="19" t="s">
        <v>1468</v>
      </c>
      <c r="C50" s="15" t="s">
        <v>1469</v>
      </c>
      <c r="D50" s="15" t="s">
        <v>1364</v>
      </c>
      <c r="E50" s="20">
        <v>150</v>
      </c>
      <c r="F50" s="21">
        <v>1496.2574999999999</v>
      </c>
      <c r="G50" s="22">
        <v>8.5000000000000006E-3</v>
      </c>
      <c r="H50" s="23">
        <v>7.6399999999999996E-2</v>
      </c>
      <c r="I50" s="41"/>
      <c r="J50" s="5"/>
    </row>
    <row r="51" spans="1:10" ht="12.95" customHeight="1">
      <c r="A51" s="18" t="s">
        <v>1470</v>
      </c>
      <c r="B51" s="19" t="s">
        <v>1471</v>
      </c>
      <c r="C51" s="15" t="s">
        <v>1472</v>
      </c>
      <c r="D51" s="15" t="s">
        <v>179</v>
      </c>
      <c r="E51" s="20">
        <v>150</v>
      </c>
      <c r="F51" s="21">
        <v>1469.1389999999999</v>
      </c>
      <c r="G51" s="22">
        <v>8.3999999999999995E-3</v>
      </c>
      <c r="H51" s="23">
        <v>7.8062999999999994E-2</v>
      </c>
      <c r="I51" s="41"/>
      <c r="J51" s="5"/>
    </row>
    <row r="52" spans="1:10" ht="12.95" customHeight="1">
      <c r="A52" s="18" t="s">
        <v>1473</v>
      </c>
      <c r="B52" s="19" t="s">
        <v>1474</v>
      </c>
      <c r="C52" s="15" t="s">
        <v>1475</v>
      </c>
      <c r="D52" s="15" t="s">
        <v>156</v>
      </c>
      <c r="E52" s="20">
        <v>1500000</v>
      </c>
      <c r="F52" s="21">
        <v>1443.9269999999999</v>
      </c>
      <c r="G52" s="22">
        <v>8.2000000000000007E-3</v>
      </c>
      <c r="H52" s="23">
        <v>7.6123999999999997E-2</v>
      </c>
      <c r="I52" s="41"/>
      <c r="J52" s="5"/>
    </row>
    <row r="53" spans="1:10" ht="12.95" customHeight="1">
      <c r="A53" s="18" t="s">
        <v>1476</v>
      </c>
      <c r="B53" s="19" t="s">
        <v>1477</v>
      </c>
      <c r="C53" s="15" t="s">
        <v>1478</v>
      </c>
      <c r="D53" s="15" t="s">
        <v>179</v>
      </c>
      <c r="E53" s="20">
        <v>100</v>
      </c>
      <c r="F53" s="21">
        <v>1045.7909999999999</v>
      </c>
      <c r="G53" s="22">
        <v>6.0000000000000001E-3</v>
      </c>
      <c r="H53" s="23">
        <v>7.8750000000000001E-2</v>
      </c>
      <c r="I53" s="41"/>
      <c r="J53" s="5"/>
    </row>
    <row r="54" spans="1:10" ht="12.95" customHeight="1">
      <c r="A54" s="18" t="s">
        <v>1479</v>
      </c>
      <c r="B54" s="19" t="s">
        <v>1480</v>
      </c>
      <c r="C54" s="15" t="s">
        <v>1481</v>
      </c>
      <c r="D54" s="15" t="s">
        <v>179</v>
      </c>
      <c r="E54" s="20">
        <v>100</v>
      </c>
      <c r="F54" s="21">
        <v>1039.9459999999999</v>
      </c>
      <c r="G54" s="22">
        <v>5.8999999999999999E-3</v>
      </c>
      <c r="H54" s="23">
        <v>7.6327999999999993E-2</v>
      </c>
      <c r="I54" s="41"/>
      <c r="J54" s="5"/>
    </row>
    <row r="55" spans="1:10" ht="12.95" customHeight="1">
      <c r="A55" s="18" t="s">
        <v>1482</v>
      </c>
      <c r="B55" s="19" t="s">
        <v>1483</v>
      </c>
      <c r="C55" s="15" t="s">
        <v>1484</v>
      </c>
      <c r="D55" s="15" t="s">
        <v>179</v>
      </c>
      <c r="E55" s="20">
        <v>100</v>
      </c>
      <c r="F55" s="21">
        <v>1032.3789999999999</v>
      </c>
      <c r="G55" s="22">
        <v>5.8999999999999999E-3</v>
      </c>
      <c r="H55" s="23">
        <v>7.5399999999999995E-2</v>
      </c>
      <c r="I55" s="41"/>
      <c r="J55" s="5"/>
    </row>
    <row r="56" spans="1:10" ht="12.95" customHeight="1">
      <c r="A56" s="18" t="s">
        <v>1485</v>
      </c>
      <c r="B56" s="19" t="s">
        <v>1486</v>
      </c>
      <c r="C56" s="15" t="s">
        <v>1487</v>
      </c>
      <c r="D56" s="15" t="s">
        <v>156</v>
      </c>
      <c r="E56" s="20">
        <v>1000000</v>
      </c>
      <c r="F56" s="21">
        <v>1015.276</v>
      </c>
      <c r="G56" s="22">
        <v>5.7999999999999996E-3</v>
      </c>
      <c r="H56" s="23">
        <v>7.5930999999999998E-2</v>
      </c>
      <c r="I56" s="41"/>
      <c r="J56" s="5"/>
    </row>
    <row r="57" spans="1:10" ht="12.95" customHeight="1">
      <c r="A57" s="18" t="s">
        <v>1488</v>
      </c>
      <c r="B57" s="19" t="s">
        <v>1489</v>
      </c>
      <c r="C57" s="15" t="s">
        <v>1490</v>
      </c>
      <c r="D57" s="15" t="s">
        <v>179</v>
      </c>
      <c r="E57" s="20">
        <v>100</v>
      </c>
      <c r="F57" s="21">
        <v>999.53399999999999</v>
      </c>
      <c r="G57" s="22">
        <v>5.7000000000000002E-3</v>
      </c>
      <c r="H57" s="23">
        <v>7.5596999999999998E-2</v>
      </c>
      <c r="I57" s="41"/>
      <c r="J57" s="5"/>
    </row>
    <row r="58" spans="1:10" ht="12.95" customHeight="1">
      <c r="A58" s="18" t="s">
        <v>1491</v>
      </c>
      <c r="B58" s="19" t="s">
        <v>1444</v>
      </c>
      <c r="C58" s="15" t="s">
        <v>1492</v>
      </c>
      <c r="D58" s="15" t="s">
        <v>156</v>
      </c>
      <c r="E58" s="20">
        <v>1000000</v>
      </c>
      <c r="F58" s="21">
        <v>960.00400000000002</v>
      </c>
      <c r="G58" s="22">
        <v>5.4999999999999997E-3</v>
      </c>
      <c r="H58" s="23">
        <v>7.5833999999999999E-2</v>
      </c>
      <c r="I58" s="41"/>
      <c r="J58" s="5"/>
    </row>
    <row r="59" spans="1:10" ht="12.95" customHeight="1">
      <c r="A59" s="18" t="s">
        <v>1493</v>
      </c>
      <c r="B59" s="19" t="s">
        <v>1494</v>
      </c>
      <c r="C59" s="15" t="s">
        <v>1495</v>
      </c>
      <c r="D59" s="15" t="s">
        <v>179</v>
      </c>
      <c r="E59" s="20">
        <v>90</v>
      </c>
      <c r="F59" s="21">
        <v>947.02049999999997</v>
      </c>
      <c r="G59" s="22">
        <v>5.4000000000000003E-3</v>
      </c>
      <c r="H59" s="23">
        <v>7.6399999999999996E-2</v>
      </c>
      <c r="I59" s="41"/>
      <c r="J59" s="5"/>
    </row>
    <row r="60" spans="1:10" ht="12.95" customHeight="1">
      <c r="A60" s="18" t="s">
        <v>1496</v>
      </c>
      <c r="B60" s="19" t="s">
        <v>1497</v>
      </c>
      <c r="C60" s="15" t="s">
        <v>1498</v>
      </c>
      <c r="D60" s="15" t="s">
        <v>179</v>
      </c>
      <c r="E60" s="20">
        <v>88</v>
      </c>
      <c r="F60" s="21">
        <v>914.80579999999998</v>
      </c>
      <c r="G60" s="22">
        <v>5.1999999999999998E-3</v>
      </c>
      <c r="H60" s="23">
        <v>7.5475E-2</v>
      </c>
      <c r="I60" s="41"/>
      <c r="J60" s="5"/>
    </row>
    <row r="61" spans="1:10" ht="12.95" customHeight="1">
      <c r="A61" s="18" t="s">
        <v>1499</v>
      </c>
      <c r="B61" s="19" t="s">
        <v>1500</v>
      </c>
      <c r="C61" s="15" t="s">
        <v>1501</v>
      </c>
      <c r="D61" s="15" t="s">
        <v>179</v>
      </c>
      <c r="E61" s="20">
        <v>50</v>
      </c>
      <c r="F61" s="21">
        <v>527.09699999999998</v>
      </c>
      <c r="G61" s="22">
        <v>3.0000000000000001E-3</v>
      </c>
      <c r="H61" s="23">
        <v>7.6175000000000007E-2</v>
      </c>
      <c r="I61" s="41"/>
      <c r="J61" s="5"/>
    </row>
    <row r="62" spans="1:10" ht="12.95" customHeight="1">
      <c r="A62" s="18" t="s">
        <v>1502</v>
      </c>
      <c r="B62" s="19" t="s">
        <v>1503</v>
      </c>
      <c r="C62" s="15" t="s">
        <v>1504</v>
      </c>
      <c r="D62" s="15" t="s">
        <v>179</v>
      </c>
      <c r="E62" s="20">
        <v>50</v>
      </c>
      <c r="F62" s="21">
        <v>525.33249999999998</v>
      </c>
      <c r="G62" s="22">
        <v>3.0000000000000001E-3</v>
      </c>
      <c r="H62" s="23">
        <v>7.6399999999999996E-2</v>
      </c>
      <c r="I62" s="41"/>
      <c r="J62" s="5"/>
    </row>
    <row r="63" spans="1:10" ht="12.95" customHeight="1">
      <c r="A63" s="18" t="s">
        <v>1505</v>
      </c>
      <c r="B63" s="19" t="s">
        <v>1506</v>
      </c>
      <c r="C63" s="15" t="s">
        <v>1507</v>
      </c>
      <c r="D63" s="15" t="s">
        <v>179</v>
      </c>
      <c r="E63" s="20">
        <v>50</v>
      </c>
      <c r="F63" s="21">
        <v>523.625</v>
      </c>
      <c r="G63" s="22">
        <v>3.0000000000000001E-3</v>
      </c>
      <c r="H63" s="23">
        <v>7.8750000000000001E-2</v>
      </c>
      <c r="I63" s="41"/>
      <c r="J63" s="5"/>
    </row>
    <row r="64" spans="1:10" ht="12.95" customHeight="1">
      <c r="A64" s="18" t="s">
        <v>1508</v>
      </c>
      <c r="B64" s="19" t="s">
        <v>1509</v>
      </c>
      <c r="C64" s="15" t="s">
        <v>1510</v>
      </c>
      <c r="D64" s="15" t="s">
        <v>432</v>
      </c>
      <c r="E64" s="20">
        <v>50</v>
      </c>
      <c r="F64" s="21">
        <v>522.22850000000005</v>
      </c>
      <c r="G64" s="22">
        <v>3.0000000000000001E-3</v>
      </c>
      <c r="H64" s="23">
        <v>7.5463000000000002E-2</v>
      </c>
      <c r="I64" s="41"/>
      <c r="J64" s="5"/>
    </row>
    <row r="65" spans="1:10" ht="12.95" customHeight="1">
      <c r="A65" s="18" t="s">
        <v>1511</v>
      </c>
      <c r="B65" s="19" t="s">
        <v>1512</v>
      </c>
      <c r="C65" s="15" t="s">
        <v>1513</v>
      </c>
      <c r="D65" s="15" t="s">
        <v>179</v>
      </c>
      <c r="E65" s="20">
        <v>50</v>
      </c>
      <c r="F65" s="21">
        <v>521.85249999999996</v>
      </c>
      <c r="G65" s="22">
        <v>3.0000000000000001E-3</v>
      </c>
      <c r="H65" s="23">
        <v>7.6397000000000007E-2</v>
      </c>
      <c r="I65" s="41"/>
      <c r="J65" s="5"/>
    </row>
    <row r="66" spans="1:10" ht="12.95" customHeight="1">
      <c r="A66" s="18" t="s">
        <v>1514</v>
      </c>
      <c r="B66" s="19" t="s">
        <v>1515</v>
      </c>
      <c r="C66" s="15" t="s">
        <v>1516</v>
      </c>
      <c r="D66" s="15" t="s">
        <v>179</v>
      </c>
      <c r="E66" s="20">
        <v>50</v>
      </c>
      <c r="F66" s="21">
        <v>515.3845</v>
      </c>
      <c r="G66" s="22">
        <v>2.8999999999999998E-3</v>
      </c>
      <c r="H66" s="23">
        <v>7.5475E-2</v>
      </c>
      <c r="I66" s="41"/>
      <c r="J66" s="5"/>
    </row>
    <row r="67" spans="1:10" ht="12.95" customHeight="1">
      <c r="A67" s="18" t="s">
        <v>1517</v>
      </c>
      <c r="B67" s="19" t="s">
        <v>1518</v>
      </c>
      <c r="C67" s="15" t="s">
        <v>1519</v>
      </c>
      <c r="D67" s="15" t="s">
        <v>179</v>
      </c>
      <c r="E67" s="20">
        <v>50</v>
      </c>
      <c r="F67" s="21">
        <v>514.81050000000005</v>
      </c>
      <c r="G67" s="22">
        <v>2.8999999999999998E-3</v>
      </c>
      <c r="H67" s="23">
        <v>7.5597999999999999E-2</v>
      </c>
      <c r="I67" s="41"/>
      <c r="J67" s="5"/>
    </row>
    <row r="68" spans="1:10" ht="12.95" customHeight="1">
      <c r="A68" s="18" t="s">
        <v>1520</v>
      </c>
      <c r="B68" s="19" t="s">
        <v>1521</v>
      </c>
      <c r="C68" s="15" t="s">
        <v>1522</v>
      </c>
      <c r="D68" s="15" t="s">
        <v>179</v>
      </c>
      <c r="E68" s="20">
        <v>50</v>
      </c>
      <c r="F68" s="21">
        <v>514.62649999999996</v>
      </c>
      <c r="G68" s="22">
        <v>2.8999999999999998E-3</v>
      </c>
      <c r="H68" s="23">
        <v>7.5449000000000002E-2</v>
      </c>
      <c r="I68" s="41"/>
      <c r="J68" s="5"/>
    </row>
    <row r="69" spans="1:10" ht="12.95" customHeight="1">
      <c r="A69" s="18" t="s">
        <v>1523</v>
      </c>
      <c r="B69" s="19" t="s">
        <v>1524</v>
      </c>
      <c r="C69" s="15" t="s">
        <v>1525</v>
      </c>
      <c r="D69" s="15" t="s">
        <v>179</v>
      </c>
      <c r="E69" s="20">
        <v>50</v>
      </c>
      <c r="F69" s="21">
        <v>514.4135</v>
      </c>
      <c r="G69" s="22">
        <v>2.8999999999999998E-3</v>
      </c>
      <c r="H69" s="23">
        <v>7.6462000000000002E-2</v>
      </c>
      <c r="I69" s="41"/>
      <c r="J69" s="5"/>
    </row>
    <row r="70" spans="1:10" ht="12.95" customHeight="1">
      <c r="A70" s="18" t="s">
        <v>1526</v>
      </c>
      <c r="B70" s="19" t="s">
        <v>1527</v>
      </c>
      <c r="C70" s="15" t="s">
        <v>1528</v>
      </c>
      <c r="D70" s="15" t="s">
        <v>156</v>
      </c>
      <c r="E70" s="20">
        <v>500000</v>
      </c>
      <c r="F70" s="21">
        <v>509.01350000000002</v>
      </c>
      <c r="G70" s="22">
        <v>2.8999999999999998E-3</v>
      </c>
      <c r="H70" s="23">
        <v>7.6147999999999993E-2</v>
      </c>
      <c r="I70" s="41"/>
      <c r="J70" s="5"/>
    </row>
    <row r="71" spans="1:10" ht="12.95" customHeight="1">
      <c r="A71" s="18" t="s">
        <v>1529</v>
      </c>
      <c r="B71" s="19" t="s">
        <v>1530</v>
      </c>
      <c r="C71" s="15" t="s">
        <v>1531</v>
      </c>
      <c r="D71" s="15" t="s">
        <v>156</v>
      </c>
      <c r="E71" s="20">
        <v>500000</v>
      </c>
      <c r="F71" s="21">
        <v>507.32150000000001</v>
      </c>
      <c r="G71" s="22">
        <v>2.8999999999999998E-3</v>
      </c>
      <c r="H71" s="23">
        <v>7.5878000000000001E-2</v>
      </c>
      <c r="I71" s="41"/>
      <c r="J71" s="5"/>
    </row>
    <row r="72" spans="1:10" ht="12.95" customHeight="1">
      <c r="A72" s="18" t="s">
        <v>1532</v>
      </c>
      <c r="B72" s="19" t="s">
        <v>1533</v>
      </c>
      <c r="C72" s="15" t="s">
        <v>1534</v>
      </c>
      <c r="D72" s="15" t="s">
        <v>179</v>
      </c>
      <c r="E72" s="20">
        <v>50</v>
      </c>
      <c r="F72" s="21">
        <v>504.9495</v>
      </c>
      <c r="G72" s="22">
        <v>2.8999999999999998E-3</v>
      </c>
      <c r="H72" s="23">
        <v>7.8350000000000003E-2</v>
      </c>
      <c r="I72" s="41"/>
      <c r="J72" s="5"/>
    </row>
    <row r="73" spans="1:10" ht="12.95" customHeight="1">
      <c r="A73" s="18" t="s">
        <v>1535</v>
      </c>
      <c r="B73" s="19" t="s">
        <v>1536</v>
      </c>
      <c r="C73" s="15" t="s">
        <v>1537</v>
      </c>
      <c r="D73" s="15" t="s">
        <v>179</v>
      </c>
      <c r="E73" s="20">
        <v>50</v>
      </c>
      <c r="F73" s="21">
        <v>504.24400000000003</v>
      </c>
      <c r="G73" s="22">
        <v>2.8999999999999998E-3</v>
      </c>
      <c r="H73" s="23">
        <v>7.6175000000000007E-2</v>
      </c>
      <c r="I73" s="41"/>
      <c r="J73" s="5"/>
    </row>
    <row r="74" spans="1:10" ht="12.95" customHeight="1">
      <c r="A74" s="18" t="s">
        <v>1538</v>
      </c>
      <c r="B74" s="19" t="s">
        <v>1539</v>
      </c>
      <c r="C74" s="15" t="s">
        <v>1540</v>
      </c>
      <c r="D74" s="15" t="s">
        <v>179</v>
      </c>
      <c r="E74" s="20">
        <v>50</v>
      </c>
      <c r="F74" s="21">
        <v>500.2595</v>
      </c>
      <c r="G74" s="22">
        <v>2.8E-3</v>
      </c>
      <c r="H74" s="23">
        <v>7.5398999999999994E-2</v>
      </c>
      <c r="I74" s="41"/>
      <c r="J74" s="5"/>
    </row>
    <row r="75" spans="1:10" ht="12.95" customHeight="1">
      <c r="A75" s="18" t="s">
        <v>1541</v>
      </c>
      <c r="B75" s="19" t="s">
        <v>1542</v>
      </c>
      <c r="C75" s="15" t="s">
        <v>1543</v>
      </c>
      <c r="D75" s="15" t="s">
        <v>432</v>
      </c>
      <c r="E75" s="20">
        <v>250</v>
      </c>
      <c r="F75" s="21">
        <v>499.62849999999997</v>
      </c>
      <c r="G75" s="22">
        <v>2.8E-3</v>
      </c>
      <c r="H75" s="23">
        <v>7.5149999999999995E-2</v>
      </c>
      <c r="I75" s="41"/>
      <c r="J75" s="5"/>
    </row>
    <row r="76" spans="1:10" ht="12.95" customHeight="1">
      <c r="A76" s="18" t="s">
        <v>1544</v>
      </c>
      <c r="B76" s="19" t="s">
        <v>1545</v>
      </c>
      <c r="C76" s="15" t="s">
        <v>1546</v>
      </c>
      <c r="D76" s="15" t="s">
        <v>432</v>
      </c>
      <c r="E76" s="20">
        <v>250</v>
      </c>
      <c r="F76" s="21">
        <v>499.43200000000002</v>
      </c>
      <c r="G76" s="22">
        <v>2.8E-3</v>
      </c>
      <c r="H76" s="23">
        <v>7.5325000000000003E-2</v>
      </c>
      <c r="I76" s="41"/>
      <c r="J76" s="5"/>
    </row>
    <row r="77" spans="1:10" ht="12.95" customHeight="1">
      <c r="A77" s="18" t="s">
        <v>1547</v>
      </c>
      <c r="B77" s="19" t="s">
        <v>1548</v>
      </c>
      <c r="C77" s="15" t="s">
        <v>1549</v>
      </c>
      <c r="D77" s="15" t="s">
        <v>179</v>
      </c>
      <c r="E77" s="20">
        <v>50</v>
      </c>
      <c r="F77" s="21">
        <v>498.49549999999999</v>
      </c>
      <c r="G77" s="22">
        <v>2.8E-3</v>
      </c>
      <c r="H77" s="23">
        <v>7.5475E-2</v>
      </c>
      <c r="I77" s="41"/>
      <c r="J77" s="5"/>
    </row>
    <row r="78" spans="1:10" ht="12.95" customHeight="1">
      <c r="A78" s="18" t="s">
        <v>1550</v>
      </c>
      <c r="B78" s="19" t="s">
        <v>1551</v>
      </c>
      <c r="C78" s="15" t="s">
        <v>1552</v>
      </c>
      <c r="D78" s="15" t="s">
        <v>179</v>
      </c>
      <c r="E78" s="20">
        <v>50</v>
      </c>
      <c r="F78" s="21">
        <v>494.1925</v>
      </c>
      <c r="G78" s="22">
        <v>2.8E-3</v>
      </c>
      <c r="H78" s="23">
        <v>7.6175000000000007E-2</v>
      </c>
      <c r="I78" s="41"/>
      <c r="J78" s="5"/>
    </row>
    <row r="79" spans="1:10" ht="12.95" customHeight="1">
      <c r="A79" s="18" t="s">
        <v>1553</v>
      </c>
      <c r="B79" s="19" t="s">
        <v>1554</v>
      </c>
      <c r="C79" s="15" t="s">
        <v>1555</v>
      </c>
      <c r="D79" s="15" t="s">
        <v>432</v>
      </c>
      <c r="E79" s="20">
        <v>50</v>
      </c>
      <c r="F79" s="21">
        <v>485.20049999999998</v>
      </c>
      <c r="G79" s="22">
        <v>2.8E-3</v>
      </c>
      <c r="H79" s="23">
        <v>7.6350000000000001E-2</v>
      </c>
      <c r="I79" s="41"/>
      <c r="J79" s="5"/>
    </row>
    <row r="80" spans="1:10" ht="12.95" customHeight="1">
      <c r="A80" s="18" t="s">
        <v>1556</v>
      </c>
      <c r="B80" s="19" t="s">
        <v>1557</v>
      </c>
      <c r="C80" s="15" t="s">
        <v>1558</v>
      </c>
      <c r="D80" s="15" t="s">
        <v>156</v>
      </c>
      <c r="E80" s="20">
        <v>500000</v>
      </c>
      <c r="F80" s="21">
        <v>483.6925</v>
      </c>
      <c r="G80" s="22">
        <v>2.8E-3</v>
      </c>
      <c r="H80" s="23">
        <v>7.5833999999999999E-2</v>
      </c>
      <c r="I80" s="41"/>
      <c r="J80" s="5"/>
    </row>
    <row r="81" spans="1:10" ht="12.95" customHeight="1">
      <c r="A81" s="18" t="s">
        <v>1559</v>
      </c>
      <c r="B81" s="19" t="s">
        <v>1560</v>
      </c>
      <c r="C81" s="15" t="s">
        <v>1561</v>
      </c>
      <c r="D81" s="15" t="s">
        <v>179</v>
      </c>
      <c r="E81" s="20">
        <v>40</v>
      </c>
      <c r="F81" s="21">
        <v>412.5292</v>
      </c>
      <c r="G81" s="22">
        <v>2.3E-3</v>
      </c>
      <c r="H81" s="23">
        <v>7.5449000000000002E-2</v>
      </c>
      <c r="I81" s="41"/>
      <c r="J81" s="5"/>
    </row>
    <row r="82" spans="1:10" ht="12.95" customHeight="1">
      <c r="A82" s="18" t="s">
        <v>1562</v>
      </c>
      <c r="B82" s="19" t="s">
        <v>1563</v>
      </c>
      <c r="C82" s="15" t="s">
        <v>1564</v>
      </c>
      <c r="D82" s="15" t="s">
        <v>179</v>
      </c>
      <c r="E82" s="20">
        <v>25</v>
      </c>
      <c r="F82" s="21">
        <v>288.18180000000001</v>
      </c>
      <c r="G82" s="22">
        <v>1.6000000000000001E-3</v>
      </c>
      <c r="H82" s="23">
        <v>7.5826000000000005E-2</v>
      </c>
      <c r="I82" s="41"/>
      <c r="J82" s="5"/>
    </row>
    <row r="83" spans="1:10" ht="12.95" customHeight="1">
      <c r="A83" s="18" t="s">
        <v>920</v>
      </c>
      <c r="B83" s="19" t="s">
        <v>921</v>
      </c>
      <c r="C83" s="15" t="s">
        <v>922</v>
      </c>
      <c r="D83" s="15" t="s">
        <v>156</v>
      </c>
      <c r="E83" s="20">
        <v>100000</v>
      </c>
      <c r="F83" s="21">
        <v>91.805999999999997</v>
      </c>
      <c r="G83" s="22">
        <v>5.0000000000000001E-4</v>
      </c>
      <c r="H83" s="23">
        <v>7.4206999999999995E-2</v>
      </c>
      <c r="I83" s="41"/>
      <c r="J83" s="5"/>
    </row>
    <row r="84" spans="1:10" ht="12.95" customHeight="1">
      <c r="A84" s="18" t="s">
        <v>1565</v>
      </c>
      <c r="B84" s="19" t="s">
        <v>1566</v>
      </c>
      <c r="C84" s="15" t="s">
        <v>1567</v>
      </c>
      <c r="D84" s="15" t="s">
        <v>156</v>
      </c>
      <c r="E84" s="20">
        <v>30000</v>
      </c>
      <c r="F84" s="21">
        <v>31.532900000000001</v>
      </c>
      <c r="G84" s="22">
        <v>2.0000000000000001E-4</v>
      </c>
      <c r="H84" s="23">
        <v>7.4177000000000007E-2</v>
      </c>
      <c r="I84" s="41"/>
      <c r="J84" s="5"/>
    </row>
    <row r="85" spans="1:10" ht="12.95" customHeight="1">
      <c r="A85" s="5"/>
      <c r="B85" s="14" t="s">
        <v>160</v>
      </c>
      <c r="C85" s="15"/>
      <c r="D85" s="15"/>
      <c r="E85" s="15"/>
      <c r="F85" s="25">
        <v>170718.30050000001</v>
      </c>
      <c r="G85" s="26">
        <v>0.97140000000000004</v>
      </c>
      <c r="H85" s="27"/>
      <c r="I85" s="28"/>
      <c r="J85" s="5"/>
    </row>
    <row r="86" spans="1:10" ht="12.95" customHeight="1">
      <c r="A86" s="5"/>
      <c r="B86" s="29" t="s">
        <v>161</v>
      </c>
      <c r="C86" s="2"/>
      <c r="D86" s="2"/>
      <c r="E86" s="2"/>
      <c r="F86" s="27" t="s">
        <v>162</v>
      </c>
      <c r="G86" s="27" t="s">
        <v>162</v>
      </c>
      <c r="H86" s="27"/>
      <c r="I86" s="28"/>
      <c r="J86" s="5"/>
    </row>
    <row r="87" spans="1:10" ht="12.95" customHeight="1">
      <c r="A87" s="5"/>
      <c r="B87" s="29" t="s">
        <v>160</v>
      </c>
      <c r="C87" s="2"/>
      <c r="D87" s="2"/>
      <c r="E87" s="2"/>
      <c r="F87" s="27" t="s">
        <v>162</v>
      </c>
      <c r="G87" s="27" t="s">
        <v>162</v>
      </c>
      <c r="H87" s="27"/>
      <c r="I87" s="28"/>
      <c r="J87" s="5"/>
    </row>
    <row r="88" spans="1:10" ht="12.95" customHeight="1">
      <c r="A88" s="5"/>
      <c r="B88" s="29" t="s">
        <v>163</v>
      </c>
      <c r="C88" s="30"/>
      <c r="D88" s="2"/>
      <c r="E88" s="30"/>
      <c r="F88" s="25">
        <v>170718.30050000001</v>
      </c>
      <c r="G88" s="26">
        <v>0.97140000000000004</v>
      </c>
      <c r="H88" s="27"/>
      <c r="I88" s="28"/>
      <c r="J88" s="5"/>
    </row>
    <row r="89" spans="1:10" ht="12.95" customHeight="1">
      <c r="A89" s="5"/>
      <c r="B89" s="14" t="s">
        <v>164</v>
      </c>
      <c r="C89" s="15"/>
      <c r="D89" s="15"/>
      <c r="E89" s="15"/>
      <c r="F89" s="15"/>
      <c r="G89" s="15"/>
      <c r="H89" s="16"/>
      <c r="I89" s="17"/>
      <c r="J89" s="5"/>
    </row>
    <row r="90" spans="1:10" ht="12.95" customHeight="1">
      <c r="A90" s="18" t="s">
        <v>165</v>
      </c>
      <c r="B90" s="19" t="s">
        <v>166</v>
      </c>
      <c r="C90" s="15"/>
      <c r="D90" s="15"/>
      <c r="E90" s="20"/>
      <c r="F90" s="21">
        <v>817.44539999999995</v>
      </c>
      <c r="G90" s="22">
        <v>4.7000000000000002E-3</v>
      </c>
      <c r="H90" s="23">
        <v>6.7996827861667899E-2</v>
      </c>
      <c r="I90" s="41"/>
      <c r="J90" s="5"/>
    </row>
    <row r="91" spans="1:10" ht="12.95" customHeight="1">
      <c r="A91" s="5"/>
      <c r="B91" s="14" t="s">
        <v>160</v>
      </c>
      <c r="C91" s="15"/>
      <c r="D91" s="15"/>
      <c r="E91" s="15"/>
      <c r="F91" s="25">
        <v>817.44539999999995</v>
      </c>
      <c r="G91" s="26">
        <v>4.7000000000000002E-3</v>
      </c>
      <c r="H91" s="27"/>
      <c r="I91" s="28"/>
      <c r="J91" s="5"/>
    </row>
    <row r="92" spans="1:10" ht="12.95" customHeight="1">
      <c r="A92" s="5"/>
      <c r="B92" s="29" t="s">
        <v>163</v>
      </c>
      <c r="C92" s="30"/>
      <c r="D92" s="2"/>
      <c r="E92" s="30"/>
      <c r="F92" s="25">
        <v>817.44539999999995</v>
      </c>
      <c r="G92" s="26">
        <v>4.7000000000000002E-3</v>
      </c>
      <c r="H92" s="27"/>
      <c r="I92" s="28"/>
      <c r="J92" s="5"/>
    </row>
    <row r="93" spans="1:10" ht="12.95" customHeight="1">
      <c r="A93" s="5"/>
      <c r="B93" s="29" t="s">
        <v>167</v>
      </c>
      <c r="C93" s="15"/>
      <c r="D93" s="2"/>
      <c r="E93" s="15"/>
      <c r="F93" s="31">
        <v>4217.7941000000001</v>
      </c>
      <c r="G93" s="26">
        <v>2.3900000000000001E-2</v>
      </c>
      <c r="H93" s="27"/>
      <c r="I93" s="28"/>
      <c r="J93" s="5"/>
    </row>
    <row r="94" spans="1:10" ht="12.95" customHeight="1">
      <c r="A94" s="5"/>
      <c r="B94" s="32" t="s">
        <v>168</v>
      </c>
      <c r="C94" s="33"/>
      <c r="D94" s="33"/>
      <c r="E94" s="33"/>
      <c r="F94" s="34">
        <v>175753.54</v>
      </c>
      <c r="G94" s="35">
        <v>1</v>
      </c>
      <c r="H94" s="36"/>
      <c r="I94" s="37"/>
      <c r="J94" s="5"/>
    </row>
    <row r="95" spans="1:10" ht="12.95" customHeight="1">
      <c r="A95" s="5"/>
      <c r="B95" s="7"/>
      <c r="C95" s="5"/>
      <c r="D95" s="5"/>
      <c r="E95" s="5"/>
      <c r="F95" s="5"/>
      <c r="G95" s="5"/>
      <c r="H95" s="5"/>
      <c r="I95" s="5"/>
      <c r="J95" s="5"/>
    </row>
    <row r="96" spans="1:10" ht="12.95" customHeight="1">
      <c r="A96" s="5"/>
      <c r="B96" s="4" t="s">
        <v>169</v>
      </c>
      <c r="C96" s="5"/>
      <c r="D96" s="5"/>
      <c r="E96" s="5"/>
      <c r="F96" s="5"/>
      <c r="G96" s="5"/>
      <c r="H96" s="5"/>
      <c r="I96" s="5"/>
      <c r="J96" s="5"/>
    </row>
    <row r="97" spans="1:10" ht="12.95" customHeight="1">
      <c r="A97" s="5"/>
      <c r="B97" s="4" t="s">
        <v>207</v>
      </c>
      <c r="C97" s="5"/>
      <c r="D97" s="5"/>
      <c r="E97" s="5"/>
      <c r="F97" s="5"/>
      <c r="G97" s="5"/>
      <c r="H97" s="5"/>
      <c r="I97" s="5"/>
      <c r="J97" s="5"/>
    </row>
    <row r="98" spans="1:10" ht="12.95" customHeight="1">
      <c r="A98" s="5"/>
      <c r="B98" s="4" t="s">
        <v>170</v>
      </c>
      <c r="C98" s="5"/>
      <c r="D98" s="5"/>
      <c r="E98" s="5"/>
      <c r="F98" s="5"/>
      <c r="G98" s="5"/>
      <c r="H98" s="5"/>
      <c r="I98" s="5"/>
      <c r="J98" s="5"/>
    </row>
    <row r="99" spans="1:10" ht="26.1" customHeight="1">
      <c r="A99" s="5"/>
      <c r="B99" s="86" t="s">
        <v>171</v>
      </c>
      <c r="C99" s="86"/>
      <c r="D99" s="86"/>
      <c r="E99" s="86"/>
      <c r="F99" s="86"/>
      <c r="G99" s="86"/>
      <c r="H99" s="86"/>
      <c r="I99" s="86"/>
      <c r="J99" s="5"/>
    </row>
    <row r="100" spans="1:10" ht="12.95" customHeight="1">
      <c r="A100" s="5"/>
      <c r="B100" s="86"/>
      <c r="C100" s="86"/>
      <c r="D100" s="86"/>
      <c r="E100" s="86"/>
      <c r="F100" s="86"/>
      <c r="G100" s="86"/>
      <c r="H100" s="86"/>
      <c r="I100" s="86"/>
      <c r="J100" s="5"/>
    </row>
    <row r="101" spans="1:10" ht="12.95" customHeight="1">
      <c r="A101" s="5"/>
      <c r="B101" s="86"/>
      <c r="C101" s="86"/>
      <c r="D101" s="86"/>
      <c r="E101" s="86"/>
      <c r="F101" s="86"/>
      <c r="G101" s="86"/>
      <c r="H101" s="86"/>
      <c r="I101" s="86"/>
      <c r="J101" s="5"/>
    </row>
    <row r="102" spans="1:10" ht="12.95" customHeight="1">
      <c r="A102" s="5"/>
      <c r="B102" s="5"/>
      <c r="C102" s="87" t="s">
        <v>1568</v>
      </c>
      <c r="D102" s="87"/>
      <c r="E102" s="87"/>
      <c r="F102" s="87"/>
      <c r="G102" s="5"/>
      <c r="H102" s="5"/>
      <c r="I102" s="5"/>
      <c r="J102" s="5"/>
    </row>
    <row r="103" spans="1:10" ht="12.95" customHeight="1">
      <c r="A103" s="5"/>
      <c r="B103" s="38" t="s">
        <v>173</v>
      </c>
      <c r="C103" s="87" t="s">
        <v>174</v>
      </c>
      <c r="D103" s="87"/>
      <c r="E103" s="87"/>
      <c r="F103" s="87"/>
      <c r="G103" s="5"/>
      <c r="H103" s="5"/>
      <c r="I103" s="5"/>
      <c r="J103" s="5"/>
    </row>
    <row r="104" spans="1:10" ht="120.95" customHeight="1">
      <c r="A104" s="5"/>
      <c r="B104" s="39"/>
      <c r="C104" s="85"/>
      <c r="D104" s="85"/>
      <c r="E104" s="5"/>
      <c r="F104" s="5"/>
      <c r="G104" s="5"/>
      <c r="H104" s="5"/>
      <c r="I104" s="5"/>
      <c r="J104" s="5"/>
    </row>
  </sheetData>
  <mergeCells count="6">
    <mergeCell ref="C104:D104"/>
    <mergeCell ref="B99:I99"/>
    <mergeCell ref="B100:I100"/>
    <mergeCell ref="B101:I101"/>
    <mergeCell ref="C102:F102"/>
    <mergeCell ref="C103:F103"/>
  </mergeCells>
  <hyperlinks>
    <hyperlink ref="A1" location="AxisDynamicBondFund" display="AXISDBF" xr:uid="{00000000-0004-0000-0F00-000000000000}"/>
    <hyperlink ref="B1" location="AxisDynamicBondFund" display="Axis Dynamic Bond Fund" xr:uid="{00000000-0004-0000-0F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J12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34</v>
      </c>
      <c r="B1" s="4" t="s">
        <v>35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268</v>
      </c>
      <c r="B7" s="19" t="s">
        <v>269</v>
      </c>
      <c r="C7" s="15" t="s">
        <v>270</v>
      </c>
      <c r="D7" s="15" t="s">
        <v>271</v>
      </c>
      <c r="E7" s="20">
        <v>1402004</v>
      </c>
      <c r="F7" s="21">
        <v>13345.676100000001</v>
      </c>
      <c r="G7" s="22">
        <v>6.7900000000000002E-2</v>
      </c>
      <c r="H7" s="40"/>
      <c r="I7" s="24"/>
      <c r="J7" s="5"/>
    </row>
    <row r="8" spans="1:10" ht="12.95" customHeight="1">
      <c r="A8" s="18" t="s">
        <v>282</v>
      </c>
      <c r="B8" s="19" t="s">
        <v>283</v>
      </c>
      <c r="C8" s="15" t="s">
        <v>284</v>
      </c>
      <c r="D8" s="15" t="s">
        <v>271</v>
      </c>
      <c r="E8" s="20">
        <v>720557</v>
      </c>
      <c r="F8" s="21">
        <v>10997.861500000001</v>
      </c>
      <c r="G8" s="22">
        <v>5.6000000000000001E-2</v>
      </c>
      <c r="H8" s="40"/>
      <c r="I8" s="24"/>
      <c r="J8" s="5"/>
    </row>
    <row r="9" spans="1:10" ht="12.95" customHeight="1">
      <c r="A9" s="18" t="s">
        <v>285</v>
      </c>
      <c r="B9" s="19" t="s">
        <v>286</v>
      </c>
      <c r="C9" s="15" t="s">
        <v>287</v>
      </c>
      <c r="D9" s="15" t="s">
        <v>263</v>
      </c>
      <c r="E9" s="20">
        <v>687681</v>
      </c>
      <c r="F9" s="21">
        <v>9871.3168999999998</v>
      </c>
      <c r="G9" s="22">
        <v>5.0200000000000002E-2</v>
      </c>
      <c r="H9" s="40"/>
      <c r="I9" s="24"/>
      <c r="J9" s="5"/>
    </row>
    <row r="10" spans="1:10" ht="12.95" customHeight="1">
      <c r="A10" s="18" t="s">
        <v>727</v>
      </c>
      <c r="B10" s="19" t="s">
        <v>728</v>
      </c>
      <c r="C10" s="15" t="s">
        <v>729</v>
      </c>
      <c r="D10" s="15" t="s">
        <v>255</v>
      </c>
      <c r="E10" s="20">
        <v>118069</v>
      </c>
      <c r="F10" s="21">
        <v>9222.0743999999995</v>
      </c>
      <c r="G10" s="22">
        <v>4.6899999999999997E-2</v>
      </c>
      <c r="H10" s="40"/>
      <c r="I10" s="24"/>
      <c r="J10" s="5"/>
    </row>
    <row r="11" spans="1:10" ht="12.95" customHeight="1">
      <c r="A11" s="18" t="s">
        <v>1569</v>
      </c>
      <c r="B11" s="19" t="s">
        <v>1570</v>
      </c>
      <c r="C11" s="15" t="s">
        <v>1571</v>
      </c>
      <c r="D11" s="15" t="s">
        <v>267</v>
      </c>
      <c r="E11" s="20">
        <v>1610420</v>
      </c>
      <c r="F11" s="21">
        <v>6841.0641999999998</v>
      </c>
      <c r="G11" s="22">
        <v>3.4799999999999998E-2</v>
      </c>
      <c r="H11" s="40"/>
      <c r="I11" s="24"/>
      <c r="J11" s="5"/>
    </row>
    <row r="12" spans="1:10" ht="12.95" customHeight="1">
      <c r="A12" s="18" t="s">
        <v>248</v>
      </c>
      <c r="B12" s="19" t="s">
        <v>249</v>
      </c>
      <c r="C12" s="15" t="s">
        <v>250</v>
      </c>
      <c r="D12" s="15" t="s">
        <v>251</v>
      </c>
      <c r="E12" s="20">
        <v>287761</v>
      </c>
      <c r="F12" s="21">
        <v>6747.9955</v>
      </c>
      <c r="G12" s="22">
        <v>3.4299999999999997E-2</v>
      </c>
      <c r="H12" s="40"/>
      <c r="I12" s="24"/>
      <c r="J12" s="5"/>
    </row>
    <row r="13" spans="1:10" ht="12.95" customHeight="1">
      <c r="A13" s="18" t="s">
        <v>1572</v>
      </c>
      <c r="B13" s="19" t="s">
        <v>1573</v>
      </c>
      <c r="C13" s="15" t="s">
        <v>1574</v>
      </c>
      <c r="D13" s="15" t="s">
        <v>263</v>
      </c>
      <c r="E13" s="20">
        <v>98612</v>
      </c>
      <c r="F13" s="21">
        <v>5716.2417999999998</v>
      </c>
      <c r="G13" s="22">
        <v>2.9100000000000001E-2</v>
      </c>
      <c r="H13" s="40"/>
      <c r="I13" s="24"/>
      <c r="J13" s="5"/>
    </row>
    <row r="14" spans="1:10" ht="12.95" customHeight="1">
      <c r="A14" s="18" t="s">
        <v>742</v>
      </c>
      <c r="B14" s="19" t="s">
        <v>743</v>
      </c>
      <c r="C14" s="15" t="s">
        <v>744</v>
      </c>
      <c r="D14" s="15" t="s">
        <v>745</v>
      </c>
      <c r="E14" s="20">
        <v>482109</v>
      </c>
      <c r="F14" s="21">
        <v>5585.9558999999999</v>
      </c>
      <c r="G14" s="22">
        <v>2.8400000000000002E-2</v>
      </c>
      <c r="H14" s="40"/>
      <c r="I14" s="24"/>
      <c r="J14" s="5"/>
    </row>
    <row r="15" spans="1:10" ht="12.95" customHeight="1">
      <c r="A15" s="18" t="s">
        <v>719</v>
      </c>
      <c r="B15" s="19" t="s">
        <v>720</v>
      </c>
      <c r="C15" s="15" t="s">
        <v>721</v>
      </c>
      <c r="D15" s="15" t="s">
        <v>722</v>
      </c>
      <c r="E15" s="20">
        <v>184127</v>
      </c>
      <c r="F15" s="21">
        <v>5567.1719000000003</v>
      </c>
      <c r="G15" s="22">
        <v>2.8299999999999999E-2</v>
      </c>
      <c r="H15" s="40"/>
      <c r="I15" s="24"/>
      <c r="J15" s="5"/>
    </row>
    <row r="16" spans="1:10" ht="12.95" customHeight="1">
      <c r="A16" s="18" t="s">
        <v>349</v>
      </c>
      <c r="B16" s="19" t="s">
        <v>350</v>
      </c>
      <c r="C16" s="15" t="s">
        <v>351</v>
      </c>
      <c r="D16" s="15" t="s">
        <v>352</v>
      </c>
      <c r="E16" s="20">
        <v>238525</v>
      </c>
      <c r="F16" s="21">
        <v>5486.7906000000003</v>
      </c>
      <c r="G16" s="22">
        <v>2.7900000000000001E-2</v>
      </c>
      <c r="H16" s="40"/>
      <c r="I16" s="24"/>
      <c r="J16" s="5"/>
    </row>
    <row r="17" spans="1:10" ht="12.95" customHeight="1">
      <c r="A17" s="18" t="s">
        <v>264</v>
      </c>
      <c r="B17" s="19" t="s">
        <v>265</v>
      </c>
      <c r="C17" s="15" t="s">
        <v>266</v>
      </c>
      <c r="D17" s="15" t="s">
        <v>267</v>
      </c>
      <c r="E17" s="20">
        <v>60909</v>
      </c>
      <c r="F17" s="21">
        <v>5027.9466000000002</v>
      </c>
      <c r="G17" s="22">
        <v>2.5600000000000001E-2</v>
      </c>
      <c r="H17" s="40"/>
      <c r="I17" s="24"/>
      <c r="J17" s="5"/>
    </row>
    <row r="18" spans="1:10" ht="12.95" customHeight="1">
      <c r="A18" s="18" t="s">
        <v>321</v>
      </c>
      <c r="B18" s="19" t="s">
        <v>322</v>
      </c>
      <c r="C18" s="15" t="s">
        <v>323</v>
      </c>
      <c r="D18" s="15" t="s">
        <v>324</v>
      </c>
      <c r="E18" s="20">
        <v>154954</v>
      </c>
      <c r="F18" s="21">
        <v>4898.1733999999997</v>
      </c>
      <c r="G18" s="22">
        <v>2.4899999999999999E-2</v>
      </c>
      <c r="H18" s="40"/>
      <c r="I18" s="24"/>
      <c r="J18" s="5"/>
    </row>
    <row r="19" spans="1:10" ht="12.95" customHeight="1">
      <c r="A19" s="18" t="s">
        <v>1575</v>
      </c>
      <c r="B19" s="19" t="s">
        <v>1576</v>
      </c>
      <c r="C19" s="15" t="s">
        <v>1577</v>
      </c>
      <c r="D19" s="15" t="s">
        <v>745</v>
      </c>
      <c r="E19" s="20">
        <v>402235</v>
      </c>
      <c r="F19" s="21">
        <v>4771.1104999999998</v>
      </c>
      <c r="G19" s="22">
        <v>2.4299999999999999E-2</v>
      </c>
      <c r="H19" s="40"/>
      <c r="I19" s="24"/>
      <c r="J19" s="5"/>
    </row>
    <row r="20" spans="1:10" ht="12.95" customHeight="1">
      <c r="A20" s="18" t="s">
        <v>730</v>
      </c>
      <c r="B20" s="19" t="s">
        <v>731</v>
      </c>
      <c r="C20" s="15" t="s">
        <v>732</v>
      </c>
      <c r="D20" s="15" t="s">
        <v>281</v>
      </c>
      <c r="E20" s="20">
        <v>282637</v>
      </c>
      <c r="F20" s="21">
        <v>4392.8855999999996</v>
      </c>
      <c r="G20" s="22">
        <v>2.24E-2</v>
      </c>
      <c r="H20" s="40"/>
      <c r="I20" s="24"/>
      <c r="J20" s="5"/>
    </row>
    <row r="21" spans="1:10" ht="12.95" customHeight="1">
      <c r="A21" s="18" t="s">
        <v>690</v>
      </c>
      <c r="B21" s="19" t="s">
        <v>691</v>
      </c>
      <c r="C21" s="15" t="s">
        <v>692</v>
      </c>
      <c r="D21" s="15" t="s">
        <v>271</v>
      </c>
      <c r="E21" s="20">
        <v>223589</v>
      </c>
      <c r="F21" s="21">
        <v>3880.8343</v>
      </c>
      <c r="G21" s="22">
        <v>1.9699999999999999E-2</v>
      </c>
      <c r="H21" s="40"/>
      <c r="I21" s="24"/>
      <c r="J21" s="5"/>
    </row>
    <row r="22" spans="1:10" ht="12.95" customHeight="1">
      <c r="A22" s="18" t="s">
        <v>848</v>
      </c>
      <c r="B22" s="19" t="s">
        <v>849</v>
      </c>
      <c r="C22" s="15" t="s">
        <v>850</v>
      </c>
      <c r="D22" s="15" t="s">
        <v>255</v>
      </c>
      <c r="E22" s="20">
        <v>314328</v>
      </c>
      <c r="F22" s="21">
        <v>3827.1006000000002</v>
      </c>
      <c r="G22" s="22">
        <v>1.95E-2</v>
      </c>
      <c r="H22" s="40"/>
      <c r="I22" s="24"/>
      <c r="J22" s="5"/>
    </row>
    <row r="23" spans="1:10" ht="12.95" customHeight="1">
      <c r="A23" s="18" t="s">
        <v>1578</v>
      </c>
      <c r="B23" s="19" t="s">
        <v>1579</v>
      </c>
      <c r="C23" s="15" t="s">
        <v>1580</v>
      </c>
      <c r="D23" s="15" t="s">
        <v>890</v>
      </c>
      <c r="E23" s="20">
        <v>283847</v>
      </c>
      <c r="F23" s="21">
        <v>3705.3386999999998</v>
      </c>
      <c r="G23" s="22">
        <v>1.89E-2</v>
      </c>
      <c r="H23" s="40"/>
      <c r="I23" s="24"/>
      <c r="J23" s="5"/>
    </row>
    <row r="24" spans="1:10" ht="12.95" customHeight="1">
      <c r="A24" s="18" t="s">
        <v>1581</v>
      </c>
      <c r="B24" s="19" t="s">
        <v>1582</v>
      </c>
      <c r="C24" s="15" t="s">
        <v>1583</v>
      </c>
      <c r="D24" s="15" t="s">
        <v>281</v>
      </c>
      <c r="E24" s="20">
        <v>215669</v>
      </c>
      <c r="F24" s="21">
        <v>3282.0508</v>
      </c>
      <c r="G24" s="22">
        <v>1.67E-2</v>
      </c>
      <c r="H24" s="40"/>
      <c r="I24" s="24"/>
      <c r="J24" s="5"/>
    </row>
    <row r="25" spans="1:10" ht="12.95" customHeight="1">
      <c r="A25" s="18" t="s">
        <v>345</v>
      </c>
      <c r="B25" s="19" t="s">
        <v>346</v>
      </c>
      <c r="C25" s="15" t="s">
        <v>347</v>
      </c>
      <c r="D25" s="15" t="s">
        <v>348</v>
      </c>
      <c r="E25" s="20">
        <v>118318</v>
      </c>
      <c r="F25" s="21">
        <v>2917.2485999999999</v>
      </c>
      <c r="G25" s="22">
        <v>1.4800000000000001E-2</v>
      </c>
      <c r="H25" s="40"/>
      <c r="I25" s="24"/>
      <c r="J25" s="5"/>
    </row>
    <row r="26" spans="1:10" ht="12.95" customHeight="1">
      <c r="A26" s="18" t="s">
        <v>275</v>
      </c>
      <c r="B26" s="19" t="s">
        <v>276</v>
      </c>
      <c r="C26" s="15" t="s">
        <v>277</v>
      </c>
      <c r="D26" s="15" t="s">
        <v>271</v>
      </c>
      <c r="E26" s="20">
        <v>407311</v>
      </c>
      <c r="F26" s="21">
        <v>2437.96</v>
      </c>
      <c r="G26" s="22">
        <v>1.24E-2</v>
      </c>
      <c r="H26" s="40"/>
      <c r="I26" s="24"/>
      <c r="J26" s="5"/>
    </row>
    <row r="27" spans="1:10" ht="12.95" customHeight="1">
      <c r="A27" s="18" t="s">
        <v>1584</v>
      </c>
      <c r="B27" s="19" t="s">
        <v>1585</v>
      </c>
      <c r="C27" s="15" t="s">
        <v>1586</v>
      </c>
      <c r="D27" s="15" t="s">
        <v>263</v>
      </c>
      <c r="E27" s="20">
        <v>46523</v>
      </c>
      <c r="F27" s="21">
        <v>2374.7433000000001</v>
      </c>
      <c r="G27" s="22">
        <v>1.21E-2</v>
      </c>
      <c r="H27" s="40"/>
      <c r="I27" s="24"/>
      <c r="J27" s="5"/>
    </row>
    <row r="28" spans="1:10" ht="12.95" customHeight="1">
      <c r="A28" s="18" t="s">
        <v>1587</v>
      </c>
      <c r="B28" s="19" t="s">
        <v>1588</v>
      </c>
      <c r="C28" s="15" t="s">
        <v>1589</v>
      </c>
      <c r="D28" s="15" t="s">
        <v>1590</v>
      </c>
      <c r="E28" s="20">
        <v>455400</v>
      </c>
      <c r="F28" s="21">
        <v>2137.8753000000002</v>
      </c>
      <c r="G28" s="22">
        <v>1.09E-2</v>
      </c>
      <c r="H28" s="40"/>
      <c r="I28" s="24"/>
      <c r="J28" s="5"/>
    </row>
    <row r="29" spans="1:10" ht="12.95" customHeight="1">
      <c r="A29" s="18" t="s">
        <v>799</v>
      </c>
      <c r="B29" s="19" t="s">
        <v>800</v>
      </c>
      <c r="C29" s="15" t="s">
        <v>801</v>
      </c>
      <c r="D29" s="15" t="s">
        <v>291</v>
      </c>
      <c r="E29" s="20">
        <v>759375</v>
      </c>
      <c r="F29" s="21">
        <v>1991.8406</v>
      </c>
      <c r="G29" s="22">
        <v>1.01E-2</v>
      </c>
      <c r="H29" s="40"/>
      <c r="I29" s="24"/>
      <c r="J29" s="5"/>
    </row>
    <row r="30" spans="1:10" ht="12.95" customHeight="1">
      <c r="A30" s="18" t="s">
        <v>260</v>
      </c>
      <c r="B30" s="19" t="s">
        <v>261</v>
      </c>
      <c r="C30" s="15" t="s">
        <v>262</v>
      </c>
      <c r="D30" s="15" t="s">
        <v>263</v>
      </c>
      <c r="E30" s="20">
        <v>55331</v>
      </c>
      <c r="F30" s="21">
        <v>1952.4096999999999</v>
      </c>
      <c r="G30" s="22">
        <v>9.9000000000000008E-3</v>
      </c>
      <c r="H30" s="40"/>
      <c r="I30" s="24"/>
      <c r="J30" s="5"/>
    </row>
    <row r="31" spans="1:10" ht="12.95" customHeight="1">
      <c r="A31" s="18" t="s">
        <v>723</v>
      </c>
      <c r="B31" s="19" t="s">
        <v>724</v>
      </c>
      <c r="C31" s="15" t="s">
        <v>725</v>
      </c>
      <c r="D31" s="15" t="s">
        <v>726</v>
      </c>
      <c r="E31" s="20">
        <v>200000</v>
      </c>
      <c r="F31" s="21">
        <v>1852.8</v>
      </c>
      <c r="G31" s="22">
        <v>9.4000000000000004E-3</v>
      </c>
      <c r="H31" s="40"/>
      <c r="I31" s="24"/>
      <c r="J31" s="5"/>
    </row>
    <row r="32" spans="1:10" ht="12.95" customHeight="1">
      <c r="A32" s="18" t="s">
        <v>256</v>
      </c>
      <c r="B32" s="19" t="s">
        <v>257</v>
      </c>
      <c r="C32" s="15" t="s">
        <v>258</v>
      </c>
      <c r="D32" s="15" t="s">
        <v>259</v>
      </c>
      <c r="E32" s="20">
        <v>301336</v>
      </c>
      <c r="F32" s="21">
        <v>1757.9942000000001</v>
      </c>
      <c r="G32" s="22">
        <v>8.8999999999999999E-3</v>
      </c>
      <c r="H32" s="40"/>
      <c r="I32" s="24"/>
      <c r="J32" s="5"/>
    </row>
    <row r="33" spans="1:10" ht="12.95" customHeight="1">
      <c r="A33" s="18" t="s">
        <v>1591</v>
      </c>
      <c r="B33" s="19" t="s">
        <v>1592</v>
      </c>
      <c r="C33" s="15" t="s">
        <v>1593</v>
      </c>
      <c r="D33" s="15" t="s">
        <v>1594</v>
      </c>
      <c r="E33" s="20">
        <v>648000</v>
      </c>
      <c r="F33" s="21">
        <v>1714.2840000000001</v>
      </c>
      <c r="G33" s="22">
        <v>8.6999999999999994E-3</v>
      </c>
      <c r="H33" s="40"/>
      <c r="I33" s="24"/>
      <c r="J33" s="5"/>
    </row>
    <row r="34" spans="1:10" ht="12.95" customHeight="1">
      <c r="A34" s="18" t="s">
        <v>400</v>
      </c>
      <c r="B34" s="19" t="s">
        <v>401</v>
      </c>
      <c r="C34" s="15" t="s">
        <v>402</v>
      </c>
      <c r="D34" s="15" t="s">
        <v>403</v>
      </c>
      <c r="E34" s="20">
        <v>119970</v>
      </c>
      <c r="F34" s="21">
        <v>1605.8584000000001</v>
      </c>
      <c r="G34" s="22">
        <v>8.2000000000000007E-3</v>
      </c>
      <c r="H34" s="40"/>
      <c r="I34" s="24"/>
      <c r="J34" s="5"/>
    </row>
    <row r="35" spans="1:10" ht="12.95" customHeight="1">
      <c r="A35" s="18" t="s">
        <v>1595</v>
      </c>
      <c r="B35" s="19" t="s">
        <v>1596</v>
      </c>
      <c r="C35" s="15" t="s">
        <v>1597</v>
      </c>
      <c r="D35" s="15" t="s">
        <v>778</v>
      </c>
      <c r="E35" s="20">
        <v>200904</v>
      </c>
      <c r="F35" s="21">
        <v>1438.5731000000001</v>
      </c>
      <c r="G35" s="22">
        <v>7.3000000000000001E-3</v>
      </c>
      <c r="H35" s="40"/>
      <c r="I35" s="24"/>
      <c r="J35" s="5"/>
    </row>
    <row r="36" spans="1:10" ht="12.95" customHeight="1">
      <c r="A36" s="18" t="s">
        <v>752</v>
      </c>
      <c r="B36" s="19" t="s">
        <v>753</v>
      </c>
      <c r="C36" s="15" t="s">
        <v>754</v>
      </c>
      <c r="D36" s="15" t="s">
        <v>755</v>
      </c>
      <c r="E36" s="20">
        <v>6208</v>
      </c>
      <c r="F36" s="21">
        <v>1397.2284</v>
      </c>
      <c r="G36" s="22">
        <v>7.1000000000000004E-3</v>
      </c>
      <c r="H36" s="40"/>
      <c r="I36" s="24"/>
      <c r="J36" s="5"/>
    </row>
    <row r="37" spans="1:10" ht="12.95" customHeight="1">
      <c r="A37" s="18" t="s">
        <v>1598</v>
      </c>
      <c r="B37" s="19" t="s">
        <v>1599</v>
      </c>
      <c r="C37" s="15" t="s">
        <v>1600</v>
      </c>
      <c r="D37" s="15" t="s">
        <v>267</v>
      </c>
      <c r="E37" s="20">
        <v>142023</v>
      </c>
      <c r="F37" s="21">
        <v>1292.6932999999999</v>
      </c>
      <c r="G37" s="22">
        <v>6.6E-3</v>
      </c>
      <c r="H37" s="40"/>
      <c r="I37" s="24"/>
      <c r="J37" s="5"/>
    </row>
    <row r="38" spans="1:10" ht="12.95" customHeight="1">
      <c r="A38" s="18" t="s">
        <v>359</v>
      </c>
      <c r="B38" s="19" t="s">
        <v>360</v>
      </c>
      <c r="C38" s="15" t="s">
        <v>361</v>
      </c>
      <c r="D38" s="15" t="s">
        <v>255</v>
      </c>
      <c r="E38" s="20">
        <v>287761</v>
      </c>
      <c r="F38" s="21">
        <v>665.30340000000001</v>
      </c>
      <c r="G38" s="22">
        <v>3.3999999999999998E-3</v>
      </c>
      <c r="H38" s="40"/>
      <c r="I38" s="24"/>
      <c r="J38" s="5"/>
    </row>
    <row r="39" spans="1:10" ht="12.95" customHeight="1">
      <c r="A39" s="18" t="s">
        <v>315</v>
      </c>
      <c r="B39" s="19" t="s">
        <v>316</v>
      </c>
      <c r="C39" s="15" t="s">
        <v>317</v>
      </c>
      <c r="D39" s="15" t="s">
        <v>314</v>
      </c>
      <c r="E39" s="20">
        <v>27155</v>
      </c>
      <c r="F39" s="21">
        <v>610.82460000000003</v>
      </c>
      <c r="G39" s="22">
        <v>3.0999999999999999E-3</v>
      </c>
      <c r="H39" s="40"/>
      <c r="I39" s="24"/>
      <c r="J39" s="5"/>
    </row>
    <row r="40" spans="1:10" ht="12.95" customHeight="1">
      <c r="A40" s="18" t="s">
        <v>1601</v>
      </c>
      <c r="B40" s="19" t="s">
        <v>1602</v>
      </c>
      <c r="C40" s="15" t="s">
        <v>1603</v>
      </c>
      <c r="D40" s="15" t="s">
        <v>267</v>
      </c>
      <c r="E40" s="20">
        <v>29538</v>
      </c>
      <c r="F40" s="21">
        <v>594.37840000000006</v>
      </c>
      <c r="G40" s="22">
        <v>3.0000000000000001E-3</v>
      </c>
      <c r="H40" s="40"/>
      <c r="I40" s="24"/>
      <c r="J40" s="5"/>
    </row>
    <row r="41" spans="1:10" ht="12.95" customHeight="1">
      <c r="A41" s="18" t="s">
        <v>1604</v>
      </c>
      <c r="B41" s="19" t="s">
        <v>1605</v>
      </c>
      <c r="C41" s="15" t="s">
        <v>1606</v>
      </c>
      <c r="D41" s="15" t="s">
        <v>324</v>
      </c>
      <c r="E41" s="20">
        <v>32136</v>
      </c>
      <c r="F41" s="21">
        <v>477.47669999999999</v>
      </c>
      <c r="G41" s="22">
        <v>2.3999999999999998E-3</v>
      </c>
      <c r="H41" s="40"/>
      <c r="I41" s="24"/>
      <c r="J41" s="5"/>
    </row>
    <row r="42" spans="1:10" ht="12.95" customHeight="1">
      <c r="A42" s="18" t="s">
        <v>812</v>
      </c>
      <c r="B42" s="19" t="s">
        <v>813</v>
      </c>
      <c r="C42" s="15" t="s">
        <v>814</v>
      </c>
      <c r="D42" s="15" t="s">
        <v>798</v>
      </c>
      <c r="E42" s="20">
        <v>68750</v>
      </c>
      <c r="F42" s="21">
        <v>379.22500000000002</v>
      </c>
      <c r="G42" s="22">
        <v>1.9E-3</v>
      </c>
      <c r="H42" s="40"/>
      <c r="I42" s="24"/>
      <c r="J42" s="5"/>
    </row>
    <row r="43" spans="1:10" ht="12.95" customHeight="1">
      <c r="A43" s="18" t="s">
        <v>1607</v>
      </c>
      <c r="B43" s="19" t="s">
        <v>1608</v>
      </c>
      <c r="C43" s="15" t="s">
        <v>1609</v>
      </c>
      <c r="D43" s="15" t="s">
        <v>407</v>
      </c>
      <c r="E43" s="20">
        <v>375000</v>
      </c>
      <c r="F43" s="21">
        <v>364.5</v>
      </c>
      <c r="G43" s="22">
        <v>1.9E-3</v>
      </c>
      <c r="H43" s="40"/>
      <c r="I43" s="24"/>
      <c r="J43" s="5"/>
    </row>
    <row r="44" spans="1:10" ht="12.95" customHeight="1">
      <c r="A44" s="18" t="s">
        <v>854</v>
      </c>
      <c r="B44" s="19" t="s">
        <v>855</v>
      </c>
      <c r="C44" s="15" t="s">
        <v>856</v>
      </c>
      <c r="D44" s="15" t="s">
        <v>314</v>
      </c>
      <c r="E44" s="20">
        <v>24295</v>
      </c>
      <c r="F44" s="21">
        <v>342.37729999999999</v>
      </c>
      <c r="G44" s="22">
        <v>1.6999999999999999E-3</v>
      </c>
      <c r="H44" s="40"/>
      <c r="I44" s="24"/>
      <c r="J44" s="5"/>
    </row>
    <row r="45" spans="1:10" ht="12.95" customHeight="1">
      <c r="A45" s="18" t="s">
        <v>1610</v>
      </c>
      <c r="B45" s="19" t="s">
        <v>1611</v>
      </c>
      <c r="C45" s="15" t="s">
        <v>1612</v>
      </c>
      <c r="D45" s="15" t="s">
        <v>890</v>
      </c>
      <c r="E45" s="20">
        <v>22000</v>
      </c>
      <c r="F45" s="21">
        <v>140.22800000000001</v>
      </c>
      <c r="G45" s="22">
        <v>6.9999999999999999E-4</v>
      </c>
      <c r="H45" s="40"/>
      <c r="I45" s="24"/>
      <c r="J45" s="5"/>
    </row>
    <row r="46" spans="1:10" ht="12.95" customHeight="1">
      <c r="A46" s="18" t="s">
        <v>1613</v>
      </c>
      <c r="B46" s="19" t="s">
        <v>1614</v>
      </c>
      <c r="C46" s="15" t="s">
        <v>1615</v>
      </c>
      <c r="D46" s="15" t="s">
        <v>1616</v>
      </c>
      <c r="E46" s="20">
        <v>73200</v>
      </c>
      <c r="F46" s="21">
        <v>91.0608</v>
      </c>
      <c r="G46" s="22">
        <v>5.0000000000000001E-4</v>
      </c>
      <c r="H46" s="40"/>
      <c r="I46" s="24"/>
      <c r="J46" s="5"/>
    </row>
    <row r="47" spans="1:10" ht="12.95" customHeight="1">
      <c r="A47" s="18" t="s">
        <v>1617</v>
      </c>
      <c r="B47" s="19" t="s">
        <v>1618</v>
      </c>
      <c r="C47" s="15" t="s">
        <v>1619</v>
      </c>
      <c r="D47" s="15" t="s">
        <v>745</v>
      </c>
      <c r="E47" s="20">
        <v>3764</v>
      </c>
      <c r="F47" s="21">
        <v>67.575100000000006</v>
      </c>
      <c r="G47" s="22">
        <v>2.9999999999999997E-4</v>
      </c>
      <c r="H47" s="40"/>
      <c r="I47" s="24"/>
      <c r="J47" s="5"/>
    </row>
    <row r="48" spans="1:10" ht="12.95" customHeight="1">
      <c r="A48" s="18" t="s">
        <v>1620</v>
      </c>
      <c r="B48" s="19" t="s">
        <v>1621</v>
      </c>
      <c r="C48" s="15" t="s">
        <v>1622</v>
      </c>
      <c r="D48" s="15" t="s">
        <v>255</v>
      </c>
      <c r="E48" s="20">
        <v>35700</v>
      </c>
      <c r="F48" s="21">
        <v>66.223500000000001</v>
      </c>
      <c r="G48" s="22">
        <v>2.9999999999999997E-4</v>
      </c>
      <c r="H48" s="40"/>
      <c r="I48" s="24"/>
      <c r="J48" s="5"/>
    </row>
    <row r="49" spans="1:10" ht="12.95" customHeight="1">
      <c r="A49" s="18" t="s">
        <v>772</v>
      </c>
      <c r="B49" s="19" t="s">
        <v>773</v>
      </c>
      <c r="C49" s="15" t="s">
        <v>774</v>
      </c>
      <c r="D49" s="15" t="s">
        <v>310</v>
      </c>
      <c r="E49" s="20">
        <v>5400</v>
      </c>
      <c r="F49" s="21">
        <v>47.352600000000002</v>
      </c>
      <c r="G49" s="22">
        <v>2.0000000000000001E-4</v>
      </c>
      <c r="H49" s="40"/>
      <c r="I49" s="24"/>
      <c r="J49" s="5"/>
    </row>
    <row r="50" spans="1:10" ht="12.95" customHeight="1">
      <c r="A50" s="18" t="s">
        <v>693</v>
      </c>
      <c r="B50" s="19" t="s">
        <v>694</v>
      </c>
      <c r="C50" s="15" t="s">
        <v>695</v>
      </c>
      <c r="D50" s="15" t="s">
        <v>271</v>
      </c>
      <c r="E50" s="20">
        <v>3000</v>
      </c>
      <c r="F50" s="21">
        <v>42.865499999999997</v>
      </c>
      <c r="G50" s="22">
        <v>2.0000000000000001E-4</v>
      </c>
      <c r="H50" s="40"/>
      <c r="I50" s="24"/>
      <c r="J50" s="5"/>
    </row>
    <row r="51" spans="1:10" ht="12.95" customHeight="1">
      <c r="A51" s="18" t="s">
        <v>341</v>
      </c>
      <c r="B51" s="19" t="s">
        <v>342</v>
      </c>
      <c r="C51" s="15" t="s">
        <v>343</v>
      </c>
      <c r="D51" s="15" t="s">
        <v>344</v>
      </c>
      <c r="E51" s="20">
        <v>3756</v>
      </c>
      <c r="F51" s="21">
        <v>26.342700000000001</v>
      </c>
      <c r="G51" s="22">
        <v>1E-4</v>
      </c>
      <c r="H51" s="40"/>
      <c r="I51" s="24"/>
      <c r="J51" s="5"/>
    </row>
    <row r="52" spans="1:10" ht="12.95" customHeight="1">
      <c r="A52" s="18" t="s">
        <v>815</v>
      </c>
      <c r="B52" s="19" t="s">
        <v>816</v>
      </c>
      <c r="C52" s="15" t="s">
        <v>817</v>
      </c>
      <c r="D52" s="15" t="s">
        <v>788</v>
      </c>
      <c r="E52" s="20">
        <v>2100</v>
      </c>
      <c r="F52" s="21">
        <v>21.1523</v>
      </c>
      <c r="G52" s="22">
        <v>1E-4</v>
      </c>
      <c r="H52" s="40"/>
      <c r="I52" s="24"/>
      <c r="J52" s="5"/>
    </row>
    <row r="53" spans="1:10" ht="12.95" customHeight="1">
      <c r="A53" s="5"/>
      <c r="B53" s="14" t="s">
        <v>160</v>
      </c>
      <c r="C53" s="15"/>
      <c r="D53" s="15"/>
      <c r="E53" s="15"/>
      <c r="F53" s="25">
        <v>141975.98389999999</v>
      </c>
      <c r="G53" s="26">
        <v>0.72240000000000004</v>
      </c>
      <c r="H53" s="27"/>
      <c r="I53" s="28"/>
      <c r="J53" s="5"/>
    </row>
    <row r="54" spans="1:10" ht="12.95" customHeight="1">
      <c r="A54" s="5"/>
      <c r="B54" s="29" t="s">
        <v>408</v>
      </c>
      <c r="C54" s="2"/>
      <c r="D54" s="2"/>
      <c r="E54" s="2"/>
      <c r="F54" s="27" t="s">
        <v>162</v>
      </c>
      <c r="G54" s="27" t="s">
        <v>162</v>
      </c>
      <c r="H54" s="27"/>
      <c r="I54" s="28"/>
      <c r="J54" s="5"/>
    </row>
    <row r="55" spans="1:10" ht="12.95" customHeight="1">
      <c r="A55" s="5"/>
      <c r="B55" s="29" t="s">
        <v>160</v>
      </c>
      <c r="C55" s="2"/>
      <c r="D55" s="2"/>
      <c r="E55" s="2"/>
      <c r="F55" s="27" t="s">
        <v>162</v>
      </c>
      <c r="G55" s="27" t="s">
        <v>162</v>
      </c>
      <c r="H55" s="27"/>
      <c r="I55" s="28"/>
      <c r="J55" s="5"/>
    </row>
    <row r="56" spans="1:10" ht="12.95" customHeight="1">
      <c r="A56" s="5"/>
      <c r="B56" s="29" t="s">
        <v>163</v>
      </c>
      <c r="C56" s="30"/>
      <c r="D56" s="2"/>
      <c r="E56" s="30"/>
      <c r="F56" s="25">
        <v>141975.98389999999</v>
      </c>
      <c r="G56" s="26">
        <v>0.72240000000000004</v>
      </c>
      <c r="H56" s="27"/>
      <c r="I56" s="28"/>
      <c r="J56" s="5"/>
    </row>
    <row r="57" spans="1:10" ht="12.95" customHeight="1">
      <c r="A57" s="5"/>
      <c r="B57" s="14" t="s">
        <v>409</v>
      </c>
      <c r="C57" s="15"/>
      <c r="D57" s="15"/>
      <c r="E57" s="15"/>
      <c r="F57" s="15"/>
      <c r="G57" s="15"/>
      <c r="H57" s="16"/>
      <c r="I57" s="17"/>
      <c r="J57" s="5"/>
    </row>
    <row r="58" spans="1:10" ht="12.95" customHeight="1">
      <c r="A58" s="5"/>
      <c r="B58" s="14" t="s">
        <v>410</v>
      </c>
      <c r="C58" s="15"/>
      <c r="D58" s="15"/>
      <c r="E58" s="15"/>
      <c r="F58" s="5"/>
      <c r="G58" s="16"/>
      <c r="H58" s="16"/>
      <c r="I58" s="17"/>
      <c r="J58" s="5"/>
    </row>
    <row r="59" spans="1:10" ht="12.95" customHeight="1">
      <c r="A59" s="18" t="s">
        <v>1623</v>
      </c>
      <c r="B59" s="19" t="s">
        <v>1624</v>
      </c>
      <c r="C59" s="15"/>
      <c r="D59" s="15"/>
      <c r="E59" s="20">
        <v>-2100</v>
      </c>
      <c r="F59" s="21">
        <v>-21.2804</v>
      </c>
      <c r="G59" s="22">
        <v>-1E-4</v>
      </c>
      <c r="H59" s="40"/>
      <c r="I59" s="24"/>
      <c r="J59" s="5"/>
    </row>
    <row r="60" spans="1:10" ht="12.95" customHeight="1">
      <c r="A60" s="18" t="s">
        <v>1625</v>
      </c>
      <c r="B60" s="19" t="s">
        <v>1626</v>
      </c>
      <c r="C60" s="15"/>
      <c r="D60" s="15"/>
      <c r="E60" s="20">
        <v>-1200</v>
      </c>
      <c r="F60" s="21">
        <v>-24.305399999999999</v>
      </c>
      <c r="G60" s="22">
        <v>-1E-4</v>
      </c>
      <c r="H60" s="40"/>
      <c r="I60" s="24"/>
      <c r="J60" s="5"/>
    </row>
    <row r="61" spans="1:10" ht="12.95" customHeight="1">
      <c r="A61" s="18" t="s">
        <v>1627</v>
      </c>
      <c r="B61" s="19" t="s">
        <v>1628</v>
      </c>
      <c r="C61" s="15"/>
      <c r="D61" s="15"/>
      <c r="E61" s="20">
        <v>-3750</v>
      </c>
      <c r="F61" s="21">
        <v>-26.471299999999999</v>
      </c>
      <c r="G61" s="22">
        <v>-1E-4</v>
      </c>
      <c r="H61" s="40"/>
      <c r="I61" s="24"/>
      <c r="J61" s="5"/>
    </row>
    <row r="62" spans="1:10" ht="12.95" customHeight="1">
      <c r="A62" s="18" t="s">
        <v>1629</v>
      </c>
      <c r="B62" s="19" t="s">
        <v>1630</v>
      </c>
      <c r="C62" s="15"/>
      <c r="D62" s="15"/>
      <c r="E62" s="20">
        <v>-3000</v>
      </c>
      <c r="F62" s="21">
        <v>-43.137</v>
      </c>
      <c r="G62" s="22">
        <v>-2.0000000000000001E-4</v>
      </c>
      <c r="H62" s="40"/>
      <c r="I62" s="24"/>
      <c r="J62" s="5"/>
    </row>
    <row r="63" spans="1:10" ht="12.95" customHeight="1">
      <c r="A63" s="18" t="s">
        <v>1631</v>
      </c>
      <c r="B63" s="19" t="s">
        <v>1632</v>
      </c>
      <c r="C63" s="15"/>
      <c r="D63" s="15"/>
      <c r="E63" s="20">
        <v>-5400</v>
      </c>
      <c r="F63" s="21">
        <v>-47.6145</v>
      </c>
      <c r="G63" s="22">
        <v>-2.0000000000000001E-4</v>
      </c>
      <c r="H63" s="40"/>
      <c r="I63" s="24"/>
      <c r="J63" s="5"/>
    </row>
    <row r="64" spans="1:10" ht="12.95" customHeight="1">
      <c r="A64" s="18" t="s">
        <v>415</v>
      </c>
      <c r="B64" s="19" t="s">
        <v>416</v>
      </c>
      <c r="C64" s="15"/>
      <c r="D64" s="15"/>
      <c r="E64" s="20">
        <v>-18000</v>
      </c>
      <c r="F64" s="21">
        <v>-47.798999999999999</v>
      </c>
      <c r="G64" s="22">
        <v>-2.0000000000000001E-4</v>
      </c>
      <c r="H64" s="40"/>
      <c r="I64" s="24"/>
      <c r="J64" s="5"/>
    </row>
    <row r="65" spans="1:10" ht="12.95" customHeight="1">
      <c r="A65" s="18" t="s">
        <v>1633</v>
      </c>
      <c r="B65" s="19" t="s">
        <v>1634</v>
      </c>
      <c r="C65" s="15"/>
      <c r="D65" s="15"/>
      <c r="E65" s="20">
        <v>-35700</v>
      </c>
      <c r="F65" s="21">
        <v>-66.705500000000001</v>
      </c>
      <c r="G65" s="22">
        <v>-2.9999999999999997E-4</v>
      </c>
      <c r="H65" s="40"/>
      <c r="I65" s="24"/>
      <c r="J65" s="5"/>
    </row>
    <row r="66" spans="1:10" ht="12.95" customHeight="1">
      <c r="A66" s="18" t="s">
        <v>1635</v>
      </c>
      <c r="B66" s="19" t="s">
        <v>1636</v>
      </c>
      <c r="C66" s="15"/>
      <c r="D66" s="15"/>
      <c r="E66" s="20">
        <v>-73200</v>
      </c>
      <c r="F66" s="21">
        <v>-91.6464</v>
      </c>
      <c r="G66" s="22">
        <v>-5.0000000000000001E-4</v>
      </c>
      <c r="H66" s="40"/>
      <c r="I66" s="24"/>
      <c r="J66" s="5"/>
    </row>
    <row r="67" spans="1:10" ht="12.95" customHeight="1">
      <c r="A67" s="18" t="s">
        <v>1637</v>
      </c>
      <c r="B67" s="19" t="s">
        <v>1638</v>
      </c>
      <c r="C67" s="15"/>
      <c r="D67" s="15"/>
      <c r="E67" s="20">
        <v>-22000</v>
      </c>
      <c r="F67" s="21">
        <v>-140.78899999999999</v>
      </c>
      <c r="G67" s="22">
        <v>-6.9999999999999999E-4</v>
      </c>
      <c r="H67" s="40"/>
      <c r="I67" s="24"/>
      <c r="J67" s="5"/>
    </row>
    <row r="68" spans="1:10" ht="12.95" customHeight="1">
      <c r="A68" s="18" t="s">
        <v>1639</v>
      </c>
      <c r="B68" s="19" t="s">
        <v>1640</v>
      </c>
      <c r="C68" s="15"/>
      <c r="D68" s="15"/>
      <c r="E68" s="20">
        <v>-375000</v>
      </c>
      <c r="F68" s="21">
        <v>-366.9375</v>
      </c>
      <c r="G68" s="22">
        <v>-1.9E-3</v>
      </c>
      <c r="H68" s="40"/>
      <c r="I68" s="24"/>
      <c r="J68" s="5"/>
    </row>
    <row r="69" spans="1:10" ht="12.95" customHeight="1">
      <c r="A69" s="18" t="s">
        <v>1641</v>
      </c>
      <c r="B69" s="19" t="s">
        <v>1642</v>
      </c>
      <c r="C69" s="15"/>
      <c r="D69" s="15"/>
      <c r="E69" s="20">
        <v>-68750</v>
      </c>
      <c r="F69" s="21">
        <v>-380.49689999999998</v>
      </c>
      <c r="G69" s="22">
        <v>-1.9E-3</v>
      </c>
      <c r="H69" s="40"/>
      <c r="I69" s="24"/>
      <c r="J69" s="5"/>
    </row>
    <row r="70" spans="1:10" ht="12.95" customHeight="1">
      <c r="A70" s="18" t="s">
        <v>1643</v>
      </c>
      <c r="B70" s="19" t="s">
        <v>1644</v>
      </c>
      <c r="C70" s="15"/>
      <c r="D70" s="15"/>
      <c r="E70" s="20">
        <v>-74200</v>
      </c>
      <c r="F70" s="21">
        <v>-709.61170000000004</v>
      </c>
      <c r="G70" s="22">
        <v>-3.5999999999999999E-3</v>
      </c>
      <c r="H70" s="40"/>
      <c r="I70" s="24"/>
      <c r="J70" s="5"/>
    </row>
    <row r="71" spans="1:10" ht="12.95" customHeight="1">
      <c r="A71" s="18" t="s">
        <v>1645</v>
      </c>
      <c r="B71" s="19" t="s">
        <v>1646</v>
      </c>
      <c r="C71" s="15"/>
      <c r="D71" s="15"/>
      <c r="E71" s="20">
        <v>-62700</v>
      </c>
      <c r="F71" s="21">
        <v>-963.51089999999999</v>
      </c>
      <c r="G71" s="22">
        <v>-4.8999999999999998E-3</v>
      </c>
      <c r="H71" s="40"/>
      <c r="I71" s="24"/>
      <c r="J71" s="5"/>
    </row>
    <row r="72" spans="1:10" ht="12.95" customHeight="1">
      <c r="A72" s="18" t="s">
        <v>1647</v>
      </c>
      <c r="B72" s="19" t="s">
        <v>1648</v>
      </c>
      <c r="C72" s="15"/>
      <c r="D72" s="15"/>
      <c r="E72" s="20">
        <v>-759375</v>
      </c>
      <c r="F72" s="21">
        <v>-2004.3703</v>
      </c>
      <c r="G72" s="22">
        <v>-1.0200000000000001E-2</v>
      </c>
      <c r="H72" s="40"/>
      <c r="I72" s="24"/>
      <c r="J72" s="5"/>
    </row>
    <row r="73" spans="1:10" ht="12.95" customHeight="1">
      <c r="A73" s="18" t="s">
        <v>1649</v>
      </c>
      <c r="B73" s="19" t="s">
        <v>1650</v>
      </c>
      <c r="C73" s="15"/>
      <c r="D73" s="15"/>
      <c r="E73" s="20">
        <v>-1036800</v>
      </c>
      <c r="F73" s="21">
        <v>-4432.32</v>
      </c>
      <c r="G73" s="22">
        <v>-2.2599999999999999E-2</v>
      </c>
      <c r="H73" s="40"/>
      <c r="I73" s="24"/>
      <c r="J73" s="5"/>
    </row>
    <row r="74" spans="1:10" ht="12.95" customHeight="1">
      <c r="A74" s="5"/>
      <c r="B74" s="14" t="s">
        <v>160</v>
      </c>
      <c r="C74" s="15"/>
      <c r="D74" s="15"/>
      <c r="E74" s="15"/>
      <c r="F74" s="25">
        <v>-9366.9956000000002</v>
      </c>
      <c r="G74" s="26">
        <v>-4.7699999999999999E-2</v>
      </c>
      <c r="H74" s="27"/>
      <c r="I74" s="28"/>
      <c r="J74" s="5"/>
    </row>
    <row r="75" spans="1:10" ht="12.95" customHeight="1">
      <c r="A75" s="5"/>
      <c r="B75" s="29" t="s">
        <v>163</v>
      </c>
      <c r="C75" s="30"/>
      <c r="D75" s="2"/>
      <c r="E75" s="30"/>
      <c r="F75" s="25">
        <v>-9366.9956000000002</v>
      </c>
      <c r="G75" s="26">
        <v>-4.7699999999999999E-2</v>
      </c>
      <c r="H75" s="27"/>
      <c r="I75" s="28"/>
      <c r="J75" s="5"/>
    </row>
    <row r="76" spans="1:10" ht="12.95" customHeight="1">
      <c r="A76" s="5"/>
      <c r="B76" s="14" t="s">
        <v>151</v>
      </c>
      <c r="C76" s="15"/>
      <c r="D76" s="15"/>
      <c r="E76" s="15"/>
      <c r="F76" s="15"/>
      <c r="G76" s="15"/>
      <c r="H76" s="16"/>
      <c r="I76" s="17"/>
      <c r="J76" s="5"/>
    </row>
    <row r="77" spans="1:10" ht="12.95" customHeight="1">
      <c r="A77" s="5"/>
      <c r="B77" s="14" t="s">
        <v>152</v>
      </c>
      <c r="C77" s="15"/>
      <c r="D77" s="15"/>
      <c r="E77" s="15"/>
      <c r="F77" s="5"/>
      <c r="G77" s="16"/>
      <c r="H77" s="16"/>
      <c r="I77" s="17"/>
      <c r="J77" s="5"/>
    </row>
    <row r="78" spans="1:10" ht="12.95" customHeight="1">
      <c r="A78" s="18" t="s">
        <v>1651</v>
      </c>
      <c r="B78" s="19" t="s">
        <v>1652</v>
      </c>
      <c r="C78" s="15" t="s">
        <v>1653</v>
      </c>
      <c r="D78" s="15" t="s">
        <v>1654</v>
      </c>
      <c r="E78" s="20">
        <v>500</v>
      </c>
      <c r="F78" s="21">
        <v>5007.34</v>
      </c>
      <c r="G78" s="22">
        <v>2.5499999999999998E-2</v>
      </c>
      <c r="H78" s="23">
        <v>8.4949999999999998E-2</v>
      </c>
      <c r="I78" s="24"/>
      <c r="J78" s="5"/>
    </row>
    <row r="79" spans="1:10" ht="12.95" customHeight="1">
      <c r="A79" s="18" t="s">
        <v>1022</v>
      </c>
      <c r="B79" s="19" t="s">
        <v>1023</v>
      </c>
      <c r="C79" s="15" t="s">
        <v>1024</v>
      </c>
      <c r="D79" s="15" t="s">
        <v>156</v>
      </c>
      <c r="E79" s="20">
        <v>3500000</v>
      </c>
      <c r="F79" s="21">
        <v>3454.7624999999998</v>
      </c>
      <c r="G79" s="22">
        <v>1.7600000000000001E-2</v>
      </c>
      <c r="H79" s="23">
        <v>7.4629000000000001E-2</v>
      </c>
      <c r="I79" s="24"/>
      <c r="J79" s="5"/>
    </row>
    <row r="80" spans="1:10" ht="12.95" customHeight="1">
      <c r="A80" s="18" t="s">
        <v>594</v>
      </c>
      <c r="B80" s="19" t="s">
        <v>595</v>
      </c>
      <c r="C80" s="15" t="s">
        <v>596</v>
      </c>
      <c r="D80" s="15" t="s">
        <v>156</v>
      </c>
      <c r="E80" s="20">
        <v>3988000</v>
      </c>
      <c r="F80" s="21">
        <v>3221.5581999999999</v>
      </c>
      <c r="G80" s="22">
        <v>1.6400000000000001E-2</v>
      </c>
      <c r="H80" s="23">
        <v>7.4593000000000007E-2</v>
      </c>
      <c r="I80" s="24"/>
      <c r="J80" s="5"/>
    </row>
    <row r="81" spans="1:10" ht="12.95" customHeight="1">
      <c r="A81" s="18" t="s">
        <v>1655</v>
      </c>
      <c r="B81" s="19" t="s">
        <v>1656</v>
      </c>
      <c r="C81" s="15" t="s">
        <v>1657</v>
      </c>
      <c r="D81" s="15" t="s">
        <v>156</v>
      </c>
      <c r="E81" s="20">
        <v>3000000</v>
      </c>
      <c r="F81" s="21">
        <v>3002.3249999999998</v>
      </c>
      <c r="G81" s="22">
        <v>1.5299999999999999E-2</v>
      </c>
      <c r="H81" s="23">
        <v>7.3776999999999995E-2</v>
      </c>
      <c r="I81" s="24"/>
      <c r="J81" s="5"/>
    </row>
    <row r="82" spans="1:10" ht="12.95" customHeight="1">
      <c r="A82" s="18" t="s">
        <v>977</v>
      </c>
      <c r="B82" s="19" t="s">
        <v>978</v>
      </c>
      <c r="C82" s="15" t="s">
        <v>979</v>
      </c>
      <c r="D82" s="15" t="s">
        <v>156</v>
      </c>
      <c r="E82" s="20">
        <v>3000000</v>
      </c>
      <c r="F82" s="21">
        <v>2988.0360000000001</v>
      </c>
      <c r="G82" s="22">
        <v>1.52E-2</v>
      </c>
      <c r="H82" s="23">
        <v>7.3778999999999997E-2</v>
      </c>
      <c r="I82" s="24"/>
      <c r="J82" s="5"/>
    </row>
    <row r="83" spans="1:10" ht="12.95" customHeight="1">
      <c r="A83" s="18" t="s">
        <v>914</v>
      </c>
      <c r="B83" s="19" t="s">
        <v>915</v>
      </c>
      <c r="C83" s="15" t="s">
        <v>916</v>
      </c>
      <c r="D83" s="15" t="s">
        <v>156</v>
      </c>
      <c r="E83" s="20">
        <v>3000000</v>
      </c>
      <c r="F83" s="21">
        <v>2936.1419999999998</v>
      </c>
      <c r="G83" s="22">
        <v>1.49E-2</v>
      </c>
      <c r="H83" s="23">
        <v>7.5534000000000004E-2</v>
      </c>
      <c r="I83" s="24"/>
      <c r="J83" s="5"/>
    </row>
    <row r="84" spans="1:10" ht="12.95" customHeight="1">
      <c r="A84" s="18" t="s">
        <v>1658</v>
      </c>
      <c r="B84" s="19" t="s">
        <v>1659</v>
      </c>
      <c r="C84" s="15" t="s">
        <v>1660</v>
      </c>
      <c r="D84" s="15" t="s">
        <v>179</v>
      </c>
      <c r="E84" s="20">
        <v>25</v>
      </c>
      <c r="F84" s="21">
        <v>2490.4175</v>
      </c>
      <c r="G84" s="22">
        <v>1.2699999999999999E-2</v>
      </c>
      <c r="H84" s="23">
        <v>7.8850000000000003E-2</v>
      </c>
      <c r="I84" s="24"/>
      <c r="J84" s="5"/>
    </row>
    <row r="85" spans="1:10" ht="12.95" customHeight="1">
      <c r="A85" s="18" t="s">
        <v>1661</v>
      </c>
      <c r="B85" s="19" t="s">
        <v>1662</v>
      </c>
      <c r="C85" s="15" t="s">
        <v>1663</v>
      </c>
      <c r="D85" s="15" t="s">
        <v>179</v>
      </c>
      <c r="E85" s="20">
        <v>250</v>
      </c>
      <c r="F85" s="21">
        <v>2391.04</v>
      </c>
      <c r="G85" s="22">
        <v>1.2200000000000001E-2</v>
      </c>
      <c r="H85" s="23">
        <v>7.6270000000000004E-2</v>
      </c>
      <c r="I85" s="24"/>
      <c r="J85" s="5"/>
    </row>
    <row r="86" spans="1:10" ht="12.95" customHeight="1">
      <c r="A86" s="18" t="s">
        <v>1664</v>
      </c>
      <c r="B86" s="19" t="s">
        <v>1665</v>
      </c>
      <c r="C86" s="15" t="s">
        <v>1666</v>
      </c>
      <c r="D86" s="15" t="s">
        <v>179</v>
      </c>
      <c r="E86" s="20">
        <v>150</v>
      </c>
      <c r="F86" s="21">
        <v>1491.7515000000001</v>
      </c>
      <c r="G86" s="22">
        <v>7.6E-3</v>
      </c>
      <c r="H86" s="23">
        <v>8.2100000000000006E-2</v>
      </c>
      <c r="I86" s="24"/>
      <c r="J86" s="5"/>
    </row>
    <row r="87" spans="1:10" ht="12.95" customHeight="1">
      <c r="A87" s="18" t="s">
        <v>496</v>
      </c>
      <c r="B87" s="19" t="s">
        <v>497</v>
      </c>
      <c r="C87" s="15" t="s">
        <v>498</v>
      </c>
      <c r="D87" s="15" t="s">
        <v>179</v>
      </c>
      <c r="E87" s="20">
        <v>150</v>
      </c>
      <c r="F87" s="21">
        <v>1490.421</v>
      </c>
      <c r="G87" s="22">
        <v>7.6E-3</v>
      </c>
      <c r="H87" s="23">
        <v>7.6799999999999993E-2</v>
      </c>
      <c r="I87" s="24"/>
      <c r="J87" s="5"/>
    </row>
    <row r="88" spans="1:10" ht="12.95" customHeight="1">
      <c r="A88" s="18" t="s">
        <v>1667</v>
      </c>
      <c r="B88" s="19" t="s">
        <v>1668</v>
      </c>
      <c r="C88" s="15" t="s">
        <v>1669</v>
      </c>
      <c r="D88" s="15" t="s">
        <v>1670</v>
      </c>
      <c r="E88" s="20">
        <v>150</v>
      </c>
      <c r="F88" s="21">
        <v>1486.9185</v>
      </c>
      <c r="G88" s="22">
        <v>7.6E-3</v>
      </c>
      <c r="H88" s="23">
        <v>8.2549999999999998E-2</v>
      </c>
      <c r="I88" s="24"/>
      <c r="J88" s="5"/>
    </row>
    <row r="89" spans="1:10" ht="12.95" customHeight="1">
      <c r="A89" s="18" t="s">
        <v>1671</v>
      </c>
      <c r="B89" s="19" t="s">
        <v>1672</v>
      </c>
      <c r="C89" s="15" t="s">
        <v>1673</v>
      </c>
      <c r="D89" s="15" t="s">
        <v>156</v>
      </c>
      <c r="E89" s="20">
        <v>1500000</v>
      </c>
      <c r="F89" s="21">
        <v>1128.9839999999999</v>
      </c>
      <c r="G89" s="22">
        <v>5.7000000000000002E-3</v>
      </c>
      <c r="H89" s="23">
        <v>7.4262999999999996E-2</v>
      </c>
      <c r="I89" s="24"/>
      <c r="J89" s="5"/>
    </row>
    <row r="90" spans="1:10" ht="12.95" customHeight="1">
      <c r="A90" s="18" t="s">
        <v>1674</v>
      </c>
      <c r="B90" s="19" t="s">
        <v>1675</v>
      </c>
      <c r="C90" s="15" t="s">
        <v>1676</v>
      </c>
      <c r="D90" s="15" t="s">
        <v>1677</v>
      </c>
      <c r="E90" s="20">
        <v>110</v>
      </c>
      <c r="F90" s="21">
        <v>1103.1185</v>
      </c>
      <c r="G90" s="22">
        <v>5.5999999999999999E-3</v>
      </c>
      <c r="H90" s="23">
        <v>9.7548999999999997E-2</v>
      </c>
      <c r="I90" s="24"/>
      <c r="J90" s="5"/>
    </row>
    <row r="91" spans="1:10" ht="12.95" customHeight="1">
      <c r="A91" s="18" t="s">
        <v>1678</v>
      </c>
      <c r="B91" s="19" t="s">
        <v>1679</v>
      </c>
      <c r="C91" s="15" t="s">
        <v>1680</v>
      </c>
      <c r="D91" s="15" t="s">
        <v>156</v>
      </c>
      <c r="E91" s="20">
        <v>1000000</v>
      </c>
      <c r="F91" s="21">
        <v>1007.756</v>
      </c>
      <c r="G91" s="22">
        <v>5.1000000000000004E-3</v>
      </c>
      <c r="H91" s="23">
        <v>7.4493000000000004E-2</v>
      </c>
      <c r="I91" s="24"/>
      <c r="J91" s="5"/>
    </row>
    <row r="92" spans="1:10" ht="12.95" customHeight="1">
      <c r="A92" s="18" t="s">
        <v>911</v>
      </c>
      <c r="B92" s="19" t="s">
        <v>912</v>
      </c>
      <c r="C92" s="15" t="s">
        <v>913</v>
      </c>
      <c r="D92" s="15" t="s">
        <v>156</v>
      </c>
      <c r="E92" s="20">
        <v>1000000</v>
      </c>
      <c r="F92" s="21">
        <v>993.38199999999995</v>
      </c>
      <c r="G92" s="22">
        <v>5.1000000000000004E-3</v>
      </c>
      <c r="H92" s="23">
        <v>7.3640999999999998E-2</v>
      </c>
      <c r="I92" s="24"/>
      <c r="J92" s="5"/>
    </row>
    <row r="93" spans="1:10" ht="12.95" customHeight="1">
      <c r="A93" s="18" t="s">
        <v>1681</v>
      </c>
      <c r="B93" s="19" t="s">
        <v>1682</v>
      </c>
      <c r="C93" s="15" t="s">
        <v>1683</v>
      </c>
      <c r="D93" s="15" t="s">
        <v>179</v>
      </c>
      <c r="E93" s="20">
        <v>1000</v>
      </c>
      <c r="F93" s="21">
        <v>992.04399999999998</v>
      </c>
      <c r="G93" s="22">
        <v>5.0000000000000001E-3</v>
      </c>
      <c r="H93" s="23">
        <v>7.8450000000000006E-2</v>
      </c>
      <c r="I93" s="24"/>
      <c r="J93" s="5"/>
    </row>
    <row r="94" spans="1:10" ht="12.95" customHeight="1">
      <c r="A94" s="18" t="s">
        <v>1684</v>
      </c>
      <c r="B94" s="19" t="s">
        <v>1685</v>
      </c>
      <c r="C94" s="15" t="s">
        <v>1686</v>
      </c>
      <c r="D94" s="15" t="s">
        <v>1687</v>
      </c>
      <c r="E94" s="20">
        <v>1000</v>
      </c>
      <c r="F94" s="21">
        <v>990.36599999999999</v>
      </c>
      <c r="G94" s="22">
        <v>5.0000000000000001E-3</v>
      </c>
      <c r="H94" s="23">
        <v>0.10947999999999999</v>
      </c>
      <c r="I94" s="24"/>
      <c r="J94" s="5"/>
    </row>
    <row r="95" spans="1:10" ht="12.95" customHeight="1">
      <c r="A95" s="18" t="s">
        <v>1688</v>
      </c>
      <c r="B95" s="19" t="s">
        <v>1689</v>
      </c>
      <c r="C95" s="15" t="s">
        <v>1690</v>
      </c>
      <c r="D95" s="15" t="s">
        <v>1691</v>
      </c>
      <c r="E95" s="20">
        <v>500</v>
      </c>
      <c r="F95" s="21">
        <v>499.16250000000002</v>
      </c>
      <c r="G95" s="22">
        <v>2.5000000000000001E-3</v>
      </c>
      <c r="H95" s="23">
        <v>8.5374000000000005E-2</v>
      </c>
      <c r="I95" s="24"/>
      <c r="J95" s="5"/>
    </row>
    <row r="96" spans="1:10" ht="12.95" customHeight="1">
      <c r="A96" s="18" t="s">
        <v>1692</v>
      </c>
      <c r="B96" s="19" t="s">
        <v>1693</v>
      </c>
      <c r="C96" s="15" t="s">
        <v>1694</v>
      </c>
      <c r="D96" s="15" t="s">
        <v>1695</v>
      </c>
      <c r="E96" s="20">
        <v>500</v>
      </c>
      <c r="F96" s="21">
        <v>372.99650000000003</v>
      </c>
      <c r="G96" s="22">
        <v>1.9E-3</v>
      </c>
      <c r="H96" s="23">
        <v>9.8499000000000003E-2</v>
      </c>
      <c r="I96" s="24"/>
      <c r="J96" s="5"/>
    </row>
    <row r="97" spans="1:10" ht="12.95" customHeight="1">
      <c r="A97" s="18" t="s">
        <v>1550</v>
      </c>
      <c r="B97" s="19" t="s">
        <v>1551</v>
      </c>
      <c r="C97" s="15" t="s">
        <v>1552</v>
      </c>
      <c r="D97" s="15" t="s">
        <v>179</v>
      </c>
      <c r="E97" s="20">
        <v>20</v>
      </c>
      <c r="F97" s="21">
        <v>197.67699999999999</v>
      </c>
      <c r="G97" s="22">
        <v>1E-3</v>
      </c>
      <c r="H97" s="23">
        <v>7.6175000000000007E-2</v>
      </c>
      <c r="I97" s="24"/>
      <c r="J97" s="5"/>
    </row>
    <row r="98" spans="1:10" ht="12.95" customHeight="1">
      <c r="A98" s="18" t="s">
        <v>1696</v>
      </c>
      <c r="B98" s="19" t="s">
        <v>1697</v>
      </c>
      <c r="C98" s="15" t="s">
        <v>1698</v>
      </c>
      <c r="D98" s="15" t="s">
        <v>156</v>
      </c>
      <c r="E98" s="20">
        <v>200000</v>
      </c>
      <c r="F98" s="21">
        <v>193.97319999999999</v>
      </c>
      <c r="G98" s="22">
        <v>1E-3</v>
      </c>
      <c r="H98" s="23">
        <v>7.5617000000000004E-2</v>
      </c>
      <c r="I98" s="24"/>
      <c r="J98" s="5"/>
    </row>
    <row r="99" spans="1:10" ht="12.95" customHeight="1">
      <c r="A99" s="18" t="s">
        <v>1699</v>
      </c>
      <c r="B99" s="19" t="s">
        <v>1700</v>
      </c>
      <c r="C99" s="15" t="s">
        <v>1701</v>
      </c>
      <c r="D99" s="15" t="s">
        <v>156</v>
      </c>
      <c r="E99" s="20">
        <v>125000</v>
      </c>
      <c r="F99" s="21">
        <v>127.90309999999999</v>
      </c>
      <c r="G99" s="22">
        <v>6.9999999999999999E-4</v>
      </c>
      <c r="H99" s="23">
        <v>7.5858999999999996E-2</v>
      </c>
      <c r="I99" s="24"/>
      <c r="J99" s="5"/>
    </row>
    <row r="100" spans="1:10" ht="12.95" customHeight="1">
      <c r="A100" s="5"/>
      <c r="B100" s="14" t="s">
        <v>160</v>
      </c>
      <c r="C100" s="15"/>
      <c r="D100" s="15"/>
      <c r="E100" s="15"/>
      <c r="F100" s="25">
        <v>37568.075100000002</v>
      </c>
      <c r="G100" s="26">
        <v>0.19109999999999999</v>
      </c>
      <c r="H100" s="27"/>
      <c r="I100" s="28"/>
      <c r="J100" s="5"/>
    </row>
    <row r="101" spans="1:10" ht="12.95" customHeight="1">
      <c r="A101" s="5"/>
      <c r="B101" s="29" t="s">
        <v>161</v>
      </c>
      <c r="C101" s="2"/>
      <c r="D101" s="2"/>
      <c r="E101" s="2"/>
      <c r="F101" s="27" t="s">
        <v>162</v>
      </c>
      <c r="G101" s="27" t="s">
        <v>162</v>
      </c>
      <c r="H101" s="27"/>
      <c r="I101" s="28"/>
      <c r="J101" s="5"/>
    </row>
    <row r="102" spans="1:10" ht="12.95" customHeight="1">
      <c r="A102" s="5"/>
      <c r="B102" s="29" t="s">
        <v>160</v>
      </c>
      <c r="C102" s="2"/>
      <c r="D102" s="2"/>
      <c r="E102" s="2"/>
      <c r="F102" s="27" t="s">
        <v>162</v>
      </c>
      <c r="G102" s="27" t="s">
        <v>162</v>
      </c>
      <c r="H102" s="27"/>
      <c r="I102" s="28"/>
      <c r="J102" s="5"/>
    </row>
    <row r="103" spans="1:10" ht="12.95" customHeight="1">
      <c r="A103" s="5"/>
      <c r="B103" s="29" t="s">
        <v>163</v>
      </c>
      <c r="C103" s="30"/>
      <c r="D103" s="2"/>
      <c r="E103" s="30"/>
      <c r="F103" s="25">
        <v>37568.075100000002</v>
      </c>
      <c r="G103" s="26">
        <v>0.19109999999999999</v>
      </c>
      <c r="H103" s="27"/>
      <c r="I103" s="28"/>
      <c r="J103" s="5"/>
    </row>
    <row r="104" spans="1:10" ht="12.95" customHeight="1">
      <c r="A104" s="5"/>
      <c r="B104" s="14" t="s">
        <v>417</v>
      </c>
      <c r="C104" s="15"/>
      <c r="D104" s="15"/>
      <c r="E104" s="15"/>
      <c r="F104" s="15"/>
      <c r="G104" s="15"/>
      <c r="H104" s="16"/>
      <c r="I104" s="17"/>
      <c r="J104" s="5"/>
    </row>
    <row r="105" spans="1:10" ht="12.95" customHeight="1">
      <c r="A105" s="5"/>
      <c r="B105" s="14" t="s">
        <v>418</v>
      </c>
      <c r="C105" s="15"/>
      <c r="D105" s="15"/>
      <c r="E105" s="15"/>
      <c r="F105" s="5"/>
      <c r="G105" s="16"/>
      <c r="H105" s="16"/>
      <c r="I105" s="17"/>
      <c r="J105" s="5"/>
    </row>
    <row r="106" spans="1:10" ht="12.95" customHeight="1">
      <c r="A106" s="18" t="s">
        <v>1702</v>
      </c>
      <c r="B106" s="19" t="s">
        <v>1703</v>
      </c>
      <c r="C106" s="15" t="s">
        <v>1704</v>
      </c>
      <c r="D106" s="15" t="s">
        <v>156</v>
      </c>
      <c r="E106" s="20">
        <v>3000000</v>
      </c>
      <c r="F106" s="21">
        <v>2963.4720000000002</v>
      </c>
      <c r="G106" s="22">
        <v>1.5100000000000001E-2</v>
      </c>
      <c r="H106" s="23">
        <v>6.7150000000000001E-2</v>
      </c>
      <c r="I106" s="24"/>
      <c r="J106" s="5"/>
    </row>
    <row r="107" spans="1:10" ht="12.95" customHeight="1">
      <c r="A107" s="18" t="s">
        <v>1705</v>
      </c>
      <c r="B107" s="19" t="s">
        <v>1706</v>
      </c>
      <c r="C107" s="15" t="s">
        <v>1707</v>
      </c>
      <c r="D107" s="15" t="s">
        <v>156</v>
      </c>
      <c r="E107" s="20">
        <v>3000000</v>
      </c>
      <c r="F107" s="21">
        <v>2951.8020000000001</v>
      </c>
      <c r="G107" s="22">
        <v>1.4999999999999999E-2</v>
      </c>
      <c r="H107" s="23">
        <v>6.7727999999999997E-2</v>
      </c>
      <c r="I107" s="24"/>
      <c r="J107" s="5"/>
    </row>
    <row r="108" spans="1:10" ht="12.95" customHeight="1">
      <c r="A108" s="18" t="s">
        <v>1708</v>
      </c>
      <c r="B108" s="19" t="s">
        <v>1709</v>
      </c>
      <c r="C108" s="15" t="s">
        <v>1710</v>
      </c>
      <c r="D108" s="15" t="s">
        <v>156</v>
      </c>
      <c r="E108" s="20">
        <v>500000</v>
      </c>
      <c r="F108" s="21">
        <v>497.71600000000001</v>
      </c>
      <c r="G108" s="22">
        <v>2.5000000000000001E-3</v>
      </c>
      <c r="H108" s="23">
        <v>6.7000000000000004E-2</v>
      </c>
      <c r="I108" s="24"/>
      <c r="J108" s="5"/>
    </row>
    <row r="109" spans="1:10" ht="12.95" customHeight="1">
      <c r="A109" s="18" t="s">
        <v>1711</v>
      </c>
      <c r="B109" s="19" t="s">
        <v>1712</v>
      </c>
      <c r="C109" s="15" t="s">
        <v>1713</v>
      </c>
      <c r="D109" s="15" t="s">
        <v>156</v>
      </c>
      <c r="E109" s="20">
        <v>500000</v>
      </c>
      <c r="F109" s="21">
        <v>487.14400000000001</v>
      </c>
      <c r="G109" s="22">
        <v>2.5000000000000001E-3</v>
      </c>
      <c r="H109" s="23">
        <v>6.9800000000000001E-2</v>
      </c>
      <c r="I109" s="24"/>
      <c r="J109" s="5"/>
    </row>
    <row r="110" spans="1:10" ht="12.95" customHeight="1">
      <c r="A110" s="5"/>
      <c r="B110" s="14" t="s">
        <v>160</v>
      </c>
      <c r="C110" s="15"/>
      <c r="D110" s="15"/>
      <c r="E110" s="15"/>
      <c r="F110" s="25">
        <v>6900.134</v>
      </c>
      <c r="G110" s="26">
        <v>3.5099999999999999E-2</v>
      </c>
      <c r="H110" s="27"/>
      <c r="I110" s="28"/>
      <c r="J110" s="5"/>
    </row>
    <row r="111" spans="1:10" ht="12.95" customHeight="1">
      <c r="A111" s="5"/>
      <c r="B111" s="29" t="s">
        <v>163</v>
      </c>
      <c r="C111" s="30"/>
      <c r="D111" s="2"/>
      <c r="E111" s="30"/>
      <c r="F111" s="25">
        <v>6900.134</v>
      </c>
      <c r="G111" s="26">
        <v>3.5099999999999999E-2</v>
      </c>
      <c r="H111" s="27"/>
      <c r="I111" s="28"/>
      <c r="J111" s="5"/>
    </row>
    <row r="112" spans="1:10" ht="12.95" customHeight="1">
      <c r="A112" s="5"/>
      <c r="B112" s="14" t="s">
        <v>164</v>
      </c>
      <c r="C112" s="15"/>
      <c r="D112" s="15"/>
      <c r="E112" s="15"/>
      <c r="F112" s="15"/>
      <c r="G112" s="15"/>
      <c r="H112" s="16"/>
      <c r="I112" s="17"/>
      <c r="J112" s="5"/>
    </row>
    <row r="113" spans="1:10" ht="12.95" customHeight="1">
      <c r="A113" s="18" t="s">
        <v>165</v>
      </c>
      <c r="B113" s="19" t="s">
        <v>166</v>
      </c>
      <c r="C113" s="15"/>
      <c r="D113" s="15"/>
      <c r="E113" s="20"/>
      <c r="F113" s="21">
        <v>2983.9081999999999</v>
      </c>
      <c r="G113" s="22">
        <v>1.52E-2</v>
      </c>
      <c r="H113" s="23">
        <v>6.7996826035307711E-2</v>
      </c>
      <c r="I113" s="24"/>
      <c r="J113" s="5"/>
    </row>
    <row r="114" spans="1:10" ht="12.95" customHeight="1">
      <c r="A114" s="5"/>
      <c r="B114" s="14" t="s">
        <v>160</v>
      </c>
      <c r="C114" s="15"/>
      <c r="D114" s="15"/>
      <c r="E114" s="15"/>
      <c r="F114" s="25">
        <v>2983.9081999999999</v>
      </c>
      <c r="G114" s="26">
        <v>1.52E-2</v>
      </c>
      <c r="H114" s="27"/>
      <c r="I114" s="28"/>
      <c r="J114" s="5"/>
    </row>
    <row r="115" spans="1:10" ht="12.95" customHeight="1">
      <c r="A115" s="5"/>
      <c r="B115" s="29" t="s">
        <v>163</v>
      </c>
      <c r="C115" s="30"/>
      <c r="D115" s="2"/>
      <c r="E115" s="30"/>
      <c r="F115" s="25">
        <v>2983.9081999999999</v>
      </c>
      <c r="G115" s="26">
        <v>1.52E-2</v>
      </c>
      <c r="H115" s="27"/>
      <c r="I115" s="28"/>
      <c r="J115" s="5"/>
    </row>
    <row r="116" spans="1:10" ht="12.95" customHeight="1">
      <c r="A116" s="5"/>
      <c r="B116" s="29" t="s">
        <v>167</v>
      </c>
      <c r="C116" s="15"/>
      <c r="D116" s="2"/>
      <c r="E116" s="15"/>
      <c r="F116" s="31">
        <v>16480.9944</v>
      </c>
      <c r="G116" s="26">
        <v>8.3900000000000002E-2</v>
      </c>
      <c r="H116" s="27"/>
      <c r="I116" s="28"/>
      <c r="J116" s="5"/>
    </row>
    <row r="117" spans="1:10" ht="12.95" customHeight="1">
      <c r="A117" s="5"/>
      <c r="B117" s="32" t="s">
        <v>168</v>
      </c>
      <c r="C117" s="33"/>
      <c r="D117" s="33"/>
      <c r="E117" s="33"/>
      <c r="F117" s="34">
        <v>196542.1</v>
      </c>
      <c r="G117" s="35">
        <v>1</v>
      </c>
      <c r="H117" s="36"/>
      <c r="I117" s="37"/>
      <c r="J117" s="5"/>
    </row>
    <row r="118" spans="1:10" ht="12.95" customHeight="1">
      <c r="A118" s="5"/>
      <c r="B118" s="7"/>
      <c r="C118" s="5"/>
      <c r="D118" s="5"/>
      <c r="E118" s="5"/>
      <c r="F118" s="5"/>
      <c r="G118" s="5"/>
      <c r="H118" s="5"/>
      <c r="I118" s="5"/>
      <c r="J118" s="5"/>
    </row>
    <row r="119" spans="1:10" ht="12.95" customHeight="1">
      <c r="A119" s="5"/>
      <c r="B119" s="4" t="s">
        <v>169</v>
      </c>
      <c r="C119" s="5"/>
      <c r="D119" s="5"/>
      <c r="E119" s="5"/>
      <c r="F119" s="5"/>
      <c r="G119" s="5"/>
      <c r="H119" s="5"/>
      <c r="I119" s="5"/>
      <c r="J119" s="5"/>
    </row>
    <row r="120" spans="1:10" ht="12.95" customHeight="1">
      <c r="A120" s="5"/>
      <c r="B120" s="4" t="s">
        <v>207</v>
      </c>
      <c r="C120" s="5"/>
      <c r="D120" s="5"/>
      <c r="E120" s="5"/>
      <c r="F120" s="5"/>
      <c r="G120" s="5"/>
      <c r="H120" s="5"/>
      <c r="I120" s="5"/>
      <c r="J120" s="5"/>
    </row>
    <row r="121" spans="1:10" ht="12.95" customHeight="1">
      <c r="A121" s="5"/>
      <c r="B121" s="4" t="s">
        <v>170</v>
      </c>
      <c r="C121" s="5"/>
      <c r="D121" s="5"/>
      <c r="E121" s="5"/>
      <c r="F121" s="5"/>
      <c r="G121" s="5"/>
      <c r="H121" s="5"/>
      <c r="I121" s="5"/>
      <c r="J121" s="5"/>
    </row>
    <row r="122" spans="1:10" ht="26.1" customHeight="1">
      <c r="A122" s="5"/>
      <c r="B122" s="86" t="s">
        <v>171</v>
      </c>
      <c r="C122" s="86"/>
      <c r="D122" s="86"/>
      <c r="E122" s="86"/>
      <c r="F122" s="86"/>
      <c r="G122" s="86"/>
      <c r="H122" s="86"/>
      <c r="I122" s="86"/>
      <c r="J122" s="5"/>
    </row>
    <row r="123" spans="1:10" ht="12.95" customHeight="1">
      <c r="A123" s="5"/>
      <c r="B123" s="86"/>
      <c r="C123" s="86"/>
      <c r="D123" s="86"/>
      <c r="E123" s="86"/>
      <c r="F123" s="86"/>
      <c r="G123" s="86"/>
      <c r="H123" s="86"/>
      <c r="I123" s="86"/>
      <c r="J123" s="5"/>
    </row>
    <row r="124" spans="1:10" ht="12.95" customHeight="1">
      <c r="A124" s="5"/>
      <c r="B124" s="86"/>
      <c r="C124" s="86"/>
      <c r="D124" s="86"/>
      <c r="E124" s="86"/>
      <c r="F124" s="86"/>
      <c r="G124" s="86"/>
      <c r="H124" s="86"/>
      <c r="I124" s="86"/>
      <c r="J124" s="5"/>
    </row>
    <row r="125" spans="1:10" ht="12.95" customHeight="1">
      <c r="A125" s="5"/>
      <c r="B125" s="5"/>
      <c r="C125" s="87" t="s">
        <v>1714</v>
      </c>
      <c r="D125" s="87"/>
      <c r="E125" s="87"/>
      <c r="F125" s="87"/>
      <c r="G125" s="5"/>
      <c r="H125" s="5"/>
      <c r="I125" s="5"/>
      <c r="J125" s="5"/>
    </row>
    <row r="126" spans="1:10" ht="12.95" customHeight="1">
      <c r="A126" s="5"/>
      <c r="B126" s="38" t="s">
        <v>173</v>
      </c>
      <c r="C126" s="87" t="s">
        <v>174</v>
      </c>
      <c r="D126" s="87"/>
      <c r="E126" s="87"/>
      <c r="F126" s="87"/>
      <c r="G126" s="5"/>
      <c r="H126" s="5"/>
      <c r="I126" s="5"/>
      <c r="J126" s="5"/>
    </row>
    <row r="127" spans="1:10" ht="120.95" customHeight="1">
      <c r="A127" s="5"/>
      <c r="B127" s="5"/>
      <c r="C127" s="85"/>
      <c r="D127" s="85"/>
      <c r="E127" s="5"/>
      <c r="F127" s="5"/>
      <c r="G127" s="5"/>
      <c r="H127" s="5"/>
      <c r="I127" s="5"/>
      <c r="J127" s="5"/>
    </row>
  </sheetData>
  <mergeCells count="6">
    <mergeCell ref="C127:D127"/>
    <mergeCell ref="B122:I122"/>
    <mergeCell ref="B123:I123"/>
    <mergeCell ref="B124:I124"/>
    <mergeCell ref="C125:F125"/>
    <mergeCell ref="C126:F126"/>
  </mergeCells>
  <hyperlinks>
    <hyperlink ref="A1" location="AxisBalancedAdvantageFund" display="AXISDEF" xr:uid="{00000000-0004-0000-1000-000000000000}"/>
    <hyperlink ref="B1" location="AxisBalancedAdvantageFund" display="Axis Balanced Advantage Fund" xr:uid="{00000000-0004-0000-10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J29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36</v>
      </c>
      <c r="B1" s="4" t="s">
        <v>37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282</v>
      </c>
      <c r="B7" s="19" t="s">
        <v>283</v>
      </c>
      <c r="C7" s="15" t="s">
        <v>284</v>
      </c>
      <c r="D7" s="15" t="s">
        <v>271</v>
      </c>
      <c r="E7" s="20">
        <v>1007600</v>
      </c>
      <c r="F7" s="21">
        <v>15378.998799999999</v>
      </c>
      <c r="G7" s="22">
        <v>4.99E-2</v>
      </c>
      <c r="H7" s="40"/>
      <c r="I7" s="24"/>
      <c r="J7" s="5"/>
    </row>
    <row r="8" spans="1:10" ht="12.95" customHeight="1">
      <c r="A8" s="18" t="s">
        <v>248</v>
      </c>
      <c r="B8" s="19" t="s">
        <v>249</v>
      </c>
      <c r="C8" s="15" t="s">
        <v>250</v>
      </c>
      <c r="D8" s="15" t="s">
        <v>251</v>
      </c>
      <c r="E8" s="20">
        <v>443500</v>
      </c>
      <c r="F8" s="21">
        <v>10400.075000000001</v>
      </c>
      <c r="G8" s="22">
        <v>3.3700000000000001E-2</v>
      </c>
      <c r="H8" s="40"/>
      <c r="I8" s="24"/>
      <c r="J8" s="5"/>
    </row>
    <row r="9" spans="1:10" ht="12.95" customHeight="1">
      <c r="A9" s="18" t="s">
        <v>341</v>
      </c>
      <c r="B9" s="19" t="s">
        <v>342</v>
      </c>
      <c r="C9" s="15" t="s">
        <v>343</v>
      </c>
      <c r="D9" s="15" t="s">
        <v>344</v>
      </c>
      <c r="E9" s="20">
        <v>1443750</v>
      </c>
      <c r="F9" s="21">
        <v>10125.740599999999</v>
      </c>
      <c r="G9" s="22">
        <v>3.2800000000000003E-2</v>
      </c>
      <c r="H9" s="40"/>
      <c r="I9" s="24"/>
      <c r="J9" s="5"/>
    </row>
    <row r="10" spans="1:10" ht="12.95" customHeight="1">
      <c r="A10" s="18" t="s">
        <v>799</v>
      </c>
      <c r="B10" s="19" t="s">
        <v>800</v>
      </c>
      <c r="C10" s="15" t="s">
        <v>801</v>
      </c>
      <c r="D10" s="15" t="s">
        <v>291</v>
      </c>
      <c r="E10" s="20">
        <v>3513375</v>
      </c>
      <c r="F10" s="21">
        <v>9215.5825999999997</v>
      </c>
      <c r="G10" s="22">
        <v>2.9899999999999999E-2</v>
      </c>
      <c r="H10" s="40"/>
      <c r="I10" s="24"/>
      <c r="J10" s="5"/>
    </row>
    <row r="11" spans="1:10" ht="12.95" customHeight="1">
      <c r="A11" s="18" t="s">
        <v>693</v>
      </c>
      <c r="B11" s="19" t="s">
        <v>694</v>
      </c>
      <c r="C11" s="15" t="s">
        <v>695</v>
      </c>
      <c r="D11" s="15" t="s">
        <v>271</v>
      </c>
      <c r="E11" s="20">
        <v>637000</v>
      </c>
      <c r="F11" s="21">
        <v>9101.7744999999995</v>
      </c>
      <c r="G11" s="22">
        <v>2.9499999999999998E-2</v>
      </c>
      <c r="H11" s="40"/>
      <c r="I11" s="24"/>
      <c r="J11" s="5"/>
    </row>
    <row r="12" spans="1:10" ht="12.95" customHeight="1">
      <c r="A12" s="18" t="s">
        <v>1569</v>
      </c>
      <c r="B12" s="19" t="s">
        <v>1570</v>
      </c>
      <c r="C12" s="15" t="s">
        <v>1571</v>
      </c>
      <c r="D12" s="15" t="s">
        <v>267</v>
      </c>
      <c r="E12" s="20">
        <v>2052000</v>
      </c>
      <c r="F12" s="21">
        <v>8716.8960000000006</v>
      </c>
      <c r="G12" s="22">
        <v>2.8299999999999999E-2</v>
      </c>
      <c r="H12" s="40"/>
      <c r="I12" s="24"/>
      <c r="J12" s="5"/>
    </row>
    <row r="13" spans="1:10" ht="12.95" customHeight="1">
      <c r="A13" s="18" t="s">
        <v>268</v>
      </c>
      <c r="B13" s="19" t="s">
        <v>269</v>
      </c>
      <c r="C13" s="15" t="s">
        <v>270</v>
      </c>
      <c r="D13" s="15" t="s">
        <v>271</v>
      </c>
      <c r="E13" s="20">
        <v>868000</v>
      </c>
      <c r="F13" s="21">
        <v>8262.4920000000002</v>
      </c>
      <c r="G13" s="22">
        <v>2.6800000000000001E-2</v>
      </c>
      <c r="H13" s="40"/>
      <c r="I13" s="24"/>
      <c r="J13" s="5"/>
    </row>
    <row r="14" spans="1:10" ht="12.95" customHeight="1">
      <c r="A14" s="18" t="s">
        <v>1715</v>
      </c>
      <c r="B14" s="19" t="s">
        <v>1716</v>
      </c>
      <c r="C14" s="15" t="s">
        <v>1717</v>
      </c>
      <c r="D14" s="15" t="s">
        <v>726</v>
      </c>
      <c r="E14" s="20">
        <v>3869200</v>
      </c>
      <c r="F14" s="21">
        <v>7417.2564000000002</v>
      </c>
      <c r="G14" s="22">
        <v>2.41E-2</v>
      </c>
      <c r="H14" s="40"/>
      <c r="I14" s="24"/>
      <c r="J14" s="5"/>
    </row>
    <row r="15" spans="1:10" ht="12.95" customHeight="1">
      <c r="A15" s="18" t="s">
        <v>829</v>
      </c>
      <c r="B15" s="19" t="s">
        <v>830</v>
      </c>
      <c r="C15" s="15" t="s">
        <v>831</v>
      </c>
      <c r="D15" s="15" t="s">
        <v>832</v>
      </c>
      <c r="E15" s="20">
        <v>192250</v>
      </c>
      <c r="F15" s="21">
        <v>6638.3924999999999</v>
      </c>
      <c r="G15" s="22">
        <v>2.1499999999999998E-2</v>
      </c>
      <c r="H15" s="40"/>
      <c r="I15" s="24"/>
      <c r="J15" s="5"/>
    </row>
    <row r="16" spans="1:10" ht="12.95" customHeight="1">
      <c r="A16" s="18" t="s">
        <v>815</v>
      </c>
      <c r="B16" s="19" t="s">
        <v>816</v>
      </c>
      <c r="C16" s="15" t="s">
        <v>817</v>
      </c>
      <c r="D16" s="15" t="s">
        <v>788</v>
      </c>
      <c r="E16" s="20">
        <v>617400</v>
      </c>
      <c r="F16" s="21">
        <v>6218.7614999999996</v>
      </c>
      <c r="G16" s="22">
        <v>2.0199999999999999E-2</v>
      </c>
      <c r="H16" s="40"/>
      <c r="I16" s="24"/>
      <c r="J16" s="5"/>
    </row>
    <row r="17" spans="1:10" ht="12.95" customHeight="1">
      <c r="A17" s="18" t="s">
        <v>1591</v>
      </c>
      <c r="B17" s="19" t="s">
        <v>1592</v>
      </c>
      <c r="C17" s="15" t="s">
        <v>1593</v>
      </c>
      <c r="D17" s="15" t="s">
        <v>1594</v>
      </c>
      <c r="E17" s="20">
        <v>2208000</v>
      </c>
      <c r="F17" s="21">
        <v>5841.2640000000001</v>
      </c>
      <c r="G17" s="22">
        <v>1.89E-2</v>
      </c>
      <c r="H17" s="40"/>
      <c r="I17" s="24"/>
      <c r="J17" s="5"/>
    </row>
    <row r="18" spans="1:10" ht="12.95" customHeight="1">
      <c r="A18" s="18" t="s">
        <v>711</v>
      </c>
      <c r="B18" s="19" t="s">
        <v>712</v>
      </c>
      <c r="C18" s="15" t="s">
        <v>713</v>
      </c>
      <c r="D18" s="15" t="s">
        <v>271</v>
      </c>
      <c r="E18" s="20">
        <v>2250000</v>
      </c>
      <c r="F18" s="21">
        <v>5661</v>
      </c>
      <c r="G18" s="22">
        <v>1.84E-2</v>
      </c>
      <c r="H18" s="40"/>
      <c r="I18" s="24"/>
      <c r="J18" s="5"/>
    </row>
    <row r="19" spans="1:10" ht="12.95" customHeight="1">
      <c r="A19" s="18" t="s">
        <v>763</v>
      </c>
      <c r="B19" s="19" t="s">
        <v>764</v>
      </c>
      <c r="C19" s="15" t="s">
        <v>765</v>
      </c>
      <c r="D19" s="15" t="s">
        <v>281</v>
      </c>
      <c r="E19" s="20">
        <v>109250</v>
      </c>
      <c r="F19" s="21">
        <v>5532.0923000000003</v>
      </c>
      <c r="G19" s="22">
        <v>1.7899999999999999E-2</v>
      </c>
      <c r="H19" s="40"/>
      <c r="I19" s="24"/>
      <c r="J19" s="5"/>
    </row>
    <row r="20" spans="1:10" ht="12.95" customHeight="1">
      <c r="A20" s="18" t="s">
        <v>1718</v>
      </c>
      <c r="B20" s="19" t="s">
        <v>1719</v>
      </c>
      <c r="C20" s="15" t="s">
        <v>1720</v>
      </c>
      <c r="D20" s="15" t="s">
        <v>255</v>
      </c>
      <c r="E20" s="20">
        <v>3348000</v>
      </c>
      <c r="F20" s="21">
        <v>5016.9780000000001</v>
      </c>
      <c r="G20" s="22">
        <v>1.6299999999999999E-2</v>
      </c>
      <c r="H20" s="40"/>
      <c r="I20" s="24"/>
      <c r="J20" s="5"/>
    </row>
    <row r="21" spans="1:10" ht="12.95" customHeight="1">
      <c r="A21" s="18" t="s">
        <v>1721</v>
      </c>
      <c r="B21" s="19" t="s">
        <v>1722</v>
      </c>
      <c r="C21" s="15" t="s">
        <v>1723</v>
      </c>
      <c r="D21" s="15" t="s">
        <v>745</v>
      </c>
      <c r="E21" s="20">
        <v>520300</v>
      </c>
      <c r="F21" s="21">
        <v>4757.3630999999996</v>
      </c>
      <c r="G21" s="22">
        <v>1.54E-2</v>
      </c>
      <c r="H21" s="40"/>
      <c r="I21" s="24"/>
      <c r="J21" s="5"/>
    </row>
    <row r="22" spans="1:10" ht="12.95" customHeight="1">
      <c r="A22" s="18" t="s">
        <v>1724</v>
      </c>
      <c r="B22" s="19" t="s">
        <v>1725</v>
      </c>
      <c r="C22" s="15" t="s">
        <v>1726</v>
      </c>
      <c r="D22" s="15" t="s">
        <v>263</v>
      </c>
      <c r="E22" s="20">
        <v>870000</v>
      </c>
      <c r="F22" s="21">
        <v>4205.1450000000004</v>
      </c>
      <c r="G22" s="22">
        <v>1.3599999999999999E-2</v>
      </c>
      <c r="H22" s="40"/>
      <c r="I22" s="24"/>
      <c r="J22" s="5"/>
    </row>
    <row r="23" spans="1:10" ht="12.95" customHeight="1">
      <c r="A23" s="18" t="s">
        <v>1727</v>
      </c>
      <c r="B23" s="19" t="s">
        <v>1728</v>
      </c>
      <c r="C23" s="15" t="s">
        <v>1729</v>
      </c>
      <c r="D23" s="15" t="s">
        <v>745</v>
      </c>
      <c r="E23" s="20">
        <v>74375</v>
      </c>
      <c r="F23" s="21">
        <v>4155.3312999999998</v>
      </c>
      <c r="G23" s="22">
        <v>1.35E-2</v>
      </c>
      <c r="H23" s="40"/>
      <c r="I23" s="24"/>
      <c r="J23" s="5"/>
    </row>
    <row r="24" spans="1:10" ht="12.95" customHeight="1">
      <c r="A24" s="18" t="s">
        <v>795</v>
      </c>
      <c r="B24" s="19" t="s">
        <v>796</v>
      </c>
      <c r="C24" s="15" t="s">
        <v>797</v>
      </c>
      <c r="D24" s="15" t="s">
        <v>798</v>
      </c>
      <c r="E24" s="20">
        <v>386000</v>
      </c>
      <c r="F24" s="21">
        <v>3827.576</v>
      </c>
      <c r="G24" s="22">
        <v>1.24E-2</v>
      </c>
      <c r="H24" s="40"/>
      <c r="I24" s="24"/>
      <c r="J24" s="5"/>
    </row>
    <row r="25" spans="1:10" ht="12.95" customHeight="1">
      <c r="A25" s="18" t="s">
        <v>699</v>
      </c>
      <c r="B25" s="19" t="s">
        <v>700</v>
      </c>
      <c r="C25" s="15" t="s">
        <v>701</v>
      </c>
      <c r="D25" s="15" t="s">
        <v>271</v>
      </c>
      <c r="E25" s="20">
        <v>2560000</v>
      </c>
      <c r="F25" s="21">
        <v>3768.32</v>
      </c>
      <c r="G25" s="22">
        <v>1.2200000000000001E-2</v>
      </c>
      <c r="H25" s="40"/>
      <c r="I25" s="24"/>
      <c r="J25" s="5"/>
    </row>
    <row r="26" spans="1:10" ht="12.95" customHeight="1">
      <c r="A26" s="18" t="s">
        <v>1730</v>
      </c>
      <c r="B26" s="19" t="s">
        <v>1731</v>
      </c>
      <c r="C26" s="15" t="s">
        <v>1732</v>
      </c>
      <c r="D26" s="15" t="s">
        <v>745</v>
      </c>
      <c r="E26" s="20">
        <v>1382500</v>
      </c>
      <c r="F26" s="21">
        <v>3763.165</v>
      </c>
      <c r="G26" s="22">
        <v>1.2200000000000001E-2</v>
      </c>
      <c r="H26" s="40"/>
      <c r="I26" s="24"/>
      <c r="J26" s="5"/>
    </row>
    <row r="27" spans="1:10" ht="12.95" customHeight="1">
      <c r="A27" s="18" t="s">
        <v>690</v>
      </c>
      <c r="B27" s="19" t="s">
        <v>691</v>
      </c>
      <c r="C27" s="15" t="s">
        <v>692</v>
      </c>
      <c r="D27" s="15" t="s">
        <v>271</v>
      </c>
      <c r="E27" s="20">
        <v>207600</v>
      </c>
      <c r="F27" s="21">
        <v>3603.3132000000001</v>
      </c>
      <c r="G27" s="22">
        <v>1.17E-2</v>
      </c>
      <c r="H27" s="40"/>
      <c r="I27" s="24"/>
      <c r="J27" s="5"/>
    </row>
    <row r="28" spans="1:10" ht="12.95" customHeight="1">
      <c r="A28" s="18" t="s">
        <v>742</v>
      </c>
      <c r="B28" s="19" t="s">
        <v>743</v>
      </c>
      <c r="C28" s="15" t="s">
        <v>744</v>
      </c>
      <c r="D28" s="15" t="s">
        <v>745</v>
      </c>
      <c r="E28" s="20">
        <v>301000</v>
      </c>
      <c r="F28" s="21">
        <v>3487.5365000000002</v>
      </c>
      <c r="G28" s="22">
        <v>1.1299999999999999E-2</v>
      </c>
      <c r="H28" s="40"/>
      <c r="I28" s="24"/>
      <c r="J28" s="5"/>
    </row>
    <row r="29" spans="1:10" ht="12.95" customHeight="1">
      <c r="A29" s="18" t="s">
        <v>775</v>
      </c>
      <c r="B29" s="19" t="s">
        <v>776</v>
      </c>
      <c r="C29" s="15" t="s">
        <v>777</v>
      </c>
      <c r="D29" s="15" t="s">
        <v>778</v>
      </c>
      <c r="E29" s="20">
        <v>66000</v>
      </c>
      <c r="F29" s="21">
        <v>3390.915</v>
      </c>
      <c r="G29" s="22">
        <v>1.0999999999999999E-2</v>
      </c>
      <c r="H29" s="40"/>
      <c r="I29" s="24"/>
      <c r="J29" s="5"/>
    </row>
    <row r="30" spans="1:10" ht="12.95" customHeight="1">
      <c r="A30" s="18" t="s">
        <v>1601</v>
      </c>
      <c r="B30" s="19" t="s">
        <v>1602</v>
      </c>
      <c r="C30" s="15" t="s">
        <v>1603</v>
      </c>
      <c r="D30" s="15" t="s">
        <v>267</v>
      </c>
      <c r="E30" s="20">
        <v>165000</v>
      </c>
      <c r="F30" s="21">
        <v>3320.2125000000001</v>
      </c>
      <c r="G30" s="22">
        <v>1.0800000000000001E-2</v>
      </c>
      <c r="H30" s="40"/>
      <c r="I30" s="24"/>
      <c r="J30" s="5"/>
    </row>
    <row r="31" spans="1:10" ht="12.95" customHeight="1">
      <c r="A31" s="18" t="s">
        <v>1733</v>
      </c>
      <c r="B31" s="19" t="s">
        <v>1734</v>
      </c>
      <c r="C31" s="15" t="s">
        <v>1735</v>
      </c>
      <c r="D31" s="15" t="s">
        <v>267</v>
      </c>
      <c r="E31" s="20">
        <v>147725</v>
      </c>
      <c r="F31" s="21">
        <v>2869.4104000000002</v>
      </c>
      <c r="G31" s="22">
        <v>9.2999999999999992E-3</v>
      </c>
      <c r="H31" s="40"/>
      <c r="I31" s="24"/>
      <c r="J31" s="5"/>
    </row>
    <row r="32" spans="1:10" ht="12.95" customHeight="1">
      <c r="A32" s="18" t="s">
        <v>812</v>
      </c>
      <c r="B32" s="19" t="s">
        <v>813</v>
      </c>
      <c r="C32" s="15" t="s">
        <v>814</v>
      </c>
      <c r="D32" s="15" t="s">
        <v>798</v>
      </c>
      <c r="E32" s="20">
        <v>516250</v>
      </c>
      <c r="F32" s="21">
        <v>2847.6350000000002</v>
      </c>
      <c r="G32" s="22">
        <v>9.1999999999999998E-3</v>
      </c>
      <c r="H32" s="40"/>
      <c r="I32" s="24"/>
      <c r="J32" s="5"/>
    </row>
    <row r="33" spans="1:10" ht="12.95" customHeight="1">
      <c r="A33" s="18" t="s">
        <v>1613</v>
      </c>
      <c r="B33" s="19" t="s">
        <v>1614</v>
      </c>
      <c r="C33" s="15" t="s">
        <v>1615</v>
      </c>
      <c r="D33" s="15" t="s">
        <v>1616</v>
      </c>
      <c r="E33" s="20">
        <v>2260050</v>
      </c>
      <c r="F33" s="21">
        <v>2811.5021999999999</v>
      </c>
      <c r="G33" s="22">
        <v>9.1000000000000004E-3</v>
      </c>
      <c r="H33" s="40"/>
      <c r="I33" s="24"/>
      <c r="J33" s="5"/>
    </row>
    <row r="34" spans="1:10" ht="12.95" customHeight="1">
      <c r="A34" s="18" t="s">
        <v>1620</v>
      </c>
      <c r="B34" s="19" t="s">
        <v>1621</v>
      </c>
      <c r="C34" s="15" t="s">
        <v>1622</v>
      </c>
      <c r="D34" s="15" t="s">
        <v>255</v>
      </c>
      <c r="E34" s="20">
        <v>1397400</v>
      </c>
      <c r="F34" s="21">
        <v>2592.1770000000001</v>
      </c>
      <c r="G34" s="22">
        <v>8.3999999999999995E-3</v>
      </c>
      <c r="H34" s="40"/>
      <c r="I34" s="24"/>
      <c r="J34" s="5"/>
    </row>
    <row r="35" spans="1:10" ht="12.95" customHeight="1">
      <c r="A35" s="18" t="s">
        <v>1736</v>
      </c>
      <c r="B35" s="19" t="s">
        <v>1737</v>
      </c>
      <c r="C35" s="15" t="s">
        <v>1738</v>
      </c>
      <c r="D35" s="15" t="s">
        <v>255</v>
      </c>
      <c r="E35" s="20">
        <v>558000</v>
      </c>
      <c r="F35" s="21">
        <v>2591.0729999999999</v>
      </c>
      <c r="G35" s="22">
        <v>8.3999999999999995E-3</v>
      </c>
      <c r="H35" s="40"/>
      <c r="I35" s="24"/>
      <c r="J35" s="5"/>
    </row>
    <row r="36" spans="1:10" ht="12.95" customHeight="1">
      <c r="A36" s="18" t="s">
        <v>1739</v>
      </c>
      <c r="B36" s="19" t="s">
        <v>1740</v>
      </c>
      <c r="C36" s="15" t="s">
        <v>1741</v>
      </c>
      <c r="D36" s="15" t="s">
        <v>726</v>
      </c>
      <c r="E36" s="20">
        <v>22160000</v>
      </c>
      <c r="F36" s="21">
        <v>2581.64</v>
      </c>
      <c r="G36" s="22">
        <v>8.3999999999999995E-3</v>
      </c>
      <c r="H36" s="40"/>
      <c r="I36" s="24"/>
      <c r="J36" s="5"/>
    </row>
    <row r="37" spans="1:10" ht="12.95" customHeight="1">
      <c r="A37" s="18" t="s">
        <v>1742</v>
      </c>
      <c r="B37" s="19" t="s">
        <v>1743</v>
      </c>
      <c r="C37" s="15" t="s">
        <v>1744</v>
      </c>
      <c r="D37" s="15" t="s">
        <v>1745</v>
      </c>
      <c r="E37" s="20">
        <v>1696500</v>
      </c>
      <c r="F37" s="21">
        <v>2509.9717999999998</v>
      </c>
      <c r="G37" s="22">
        <v>8.0999999999999996E-3</v>
      </c>
      <c r="H37" s="40"/>
      <c r="I37" s="24"/>
      <c r="J37" s="5"/>
    </row>
    <row r="38" spans="1:10" ht="12.95" customHeight="1">
      <c r="A38" s="18" t="s">
        <v>1746</v>
      </c>
      <c r="B38" s="19" t="s">
        <v>1747</v>
      </c>
      <c r="C38" s="15" t="s">
        <v>1748</v>
      </c>
      <c r="D38" s="15" t="s">
        <v>271</v>
      </c>
      <c r="E38" s="20">
        <v>653400</v>
      </c>
      <c r="F38" s="21">
        <v>2458.4175</v>
      </c>
      <c r="G38" s="22">
        <v>8.0000000000000002E-3</v>
      </c>
      <c r="H38" s="40"/>
      <c r="I38" s="24"/>
      <c r="J38" s="5"/>
    </row>
    <row r="39" spans="1:10" ht="12.95" customHeight="1">
      <c r="A39" s="18" t="s">
        <v>746</v>
      </c>
      <c r="B39" s="19" t="s">
        <v>747</v>
      </c>
      <c r="C39" s="15" t="s">
        <v>748</v>
      </c>
      <c r="D39" s="15" t="s">
        <v>344</v>
      </c>
      <c r="E39" s="20">
        <v>1771000</v>
      </c>
      <c r="F39" s="21">
        <v>2282.819</v>
      </c>
      <c r="G39" s="22">
        <v>7.4000000000000003E-3</v>
      </c>
      <c r="H39" s="40"/>
      <c r="I39" s="24"/>
      <c r="J39" s="5"/>
    </row>
    <row r="40" spans="1:10" ht="12.95" customHeight="1">
      <c r="A40" s="18" t="s">
        <v>733</v>
      </c>
      <c r="B40" s="19" t="s">
        <v>734</v>
      </c>
      <c r="C40" s="15" t="s">
        <v>735</v>
      </c>
      <c r="D40" s="15" t="s">
        <v>281</v>
      </c>
      <c r="E40" s="20">
        <v>19600</v>
      </c>
      <c r="F40" s="21">
        <v>2079.6776</v>
      </c>
      <c r="G40" s="22">
        <v>6.7000000000000002E-3</v>
      </c>
      <c r="H40" s="40"/>
      <c r="I40" s="24"/>
      <c r="J40" s="5"/>
    </row>
    <row r="41" spans="1:10" ht="12.95" customHeight="1">
      <c r="A41" s="18" t="s">
        <v>264</v>
      </c>
      <c r="B41" s="19" t="s">
        <v>265</v>
      </c>
      <c r="C41" s="15" t="s">
        <v>266</v>
      </c>
      <c r="D41" s="15" t="s">
        <v>267</v>
      </c>
      <c r="E41" s="20">
        <v>25000</v>
      </c>
      <c r="F41" s="21">
        <v>2063.7125000000001</v>
      </c>
      <c r="G41" s="22">
        <v>6.7000000000000002E-3</v>
      </c>
      <c r="H41" s="40"/>
      <c r="I41" s="24"/>
      <c r="J41" s="5"/>
    </row>
    <row r="42" spans="1:10" ht="12.95" customHeight="1">
      <c r="A42" s="18" t="s">
        <v>1749</v>
      </c>
      <c r="B42" s="19" t="s">
        <v>1750</v>
      </c>
      <c r="C42" s="15" t="s">
        <v>1751</v>
      </c>
      <c r="D42" s="15" t="s">
        <v>267</v>
      </c>
      <c r="E42" s="20">
        <v>745300</v>
      </c>
      <c r="F42" s="21">
        <v>1738.0396000000001</v>
      </c>
      <c r="G42" s="22">
        <v>5.5999999999999999E-3</v>
      </c>
      <c r="H42" s="40"/>
      <c r="I42" s="24"/>
      <c r="J42" s="5"/>
    </row>
    <row r="43" spans="1:10" ht="12.95" customHeight="1">
      <c r="A43" s="18" t="s">
        <v>338</v>
      </c>
      <c r="B43" s="19" t="s">
        <v>339</v>
      </c>
      <c r="C43" s="15" t="s">
        <v>340</v>
      </c>
      <c r="D43" s="15" t="s">
        <v>334</v>
      </c>
      <c r="E43" s="20">
        <v>301950</v>
      </c>
      <c r="F43" s="21">
        <v>1603.0526</v>
      </c>
      <c r="G43" s="22">
        <v>5.1999999999999998E-3</v>
      </c>
      <c r="H43" s="40"/>
      <c r="I43" s="24"/>
      <c r="J43" s="5"/>
    </row>
    <row r="44" spans="1:10" ht="12.95" customHeight="1">
      <c r="A44" s="18" t="s">
        <v>1752</v>
      </c>
      <c r="B44" s="19" t="s">
        <v>1753</v>
      </c>
      <c r="C44" s="15" t="s">
        <v>1754</v>
      </c>
      <c r="D44" s="15" t="s">
        <v>344</v>
      </c>
      <c r="E44" s="20">
        <v>1672000</v>
      </c>
      <c r="F44" s="21">
        <v>1569.172</v>
      </c>
      <c r="G44" s="22">
        <v>5.1000000000000004E-3</v>
      </c>
      <c r="H44" s="40"/>
      <c r="I44" s="24"/>
      <c r="J44" s="5"/>
    </row>
    <row r="45" spans="1:10" ht="12.95" customHeight="1">
      <c r="A45" s="18" t="s">
        <v>759</v>
      </c>
      <c r="B45" s="19" t="s">
        <v>760</v>
      </c>
      <c r="C45" s="15" t="s">
        <v>761</v>
      </c>
      <c r="D45" s="15" t="s">
        <v>263</v>
      </c>
      <c r="E45" s="20">
        <v>378000</v>
      </c>
      <c r="F45" s="21">
        <v>1534.8689999999999</v>
      </c>
      <c r="G45" s="22">
        <v>5.0000000000000001E-3</v>
      </c>
      <c r="H45" s="40"/>
      <c r="I45" s="24"/>
      <c r="J45" s="5"/>
    </row>
    <row r="46" spans="1:10" ht="12.95" customHeight="1">
      <c r="A46" s="18" t="s">
        <v>1755</v>
      </c>
      <c r="B46" s="19" t="s">
        <v>1756</v>
      </c>
      <c r="C46" s="15" t="s">
        <v>1757</v>
      </c>
      <c r="D46" s="15" t="s">
        <v>745</v>
      </c>
      <c r="E46" s="20">
        <v>424000</v>
      </c>
      <c r="F46" s="21">
        <v>1504.14</v>
      </c>
      <c r="G46" s="22">
        <v>4.8999999999999998E-3</v>
      </c>
      <c r="H46" s="40"/>
      <c r="I46" s="24"/>
      <c r="J46" s="5"/>
    </row>
    <row r="47" spans="1:10" ht="12.95" customHeight="1">
      <c r="A47" s="18" t="s">
        <v>404</v>
      </c>
      <c r="B47" s="19" t="s">
        <v>405</v>
      </c>
      <c r="C47" s="15" t="s">
        <v>406</v>
      </c>
      <c r="D47" s="15" t="s">
        <v>407</v>
      </c>
      <c r="E47" s="20">
        <v>275800</v>
      </c>
      <c r="F47" s="21">
        <v>1358.7286999999999</v>
      </c>
      <c r="G47" s="22">
        <v>4.4000000000000003E-3</v>
      </c>
      <c r="H47" s="40"/>
      <c r="I47" s="24"/>
      <c r="J47" s="5"/>
    </row>
    <row r="48" spans="1:10" ht="12.95" customHeight="1">
      <c r="A48" s="18" t="s">
        <v>805</v>
      </c>
      <c r="B48" s="19" t="s">
        <v>806</v>
      </c>
      <c r="C48" s="15" t="s">
        <v>807</v>
      </c>
      <c r="D48" s="15" t="s">
        <v>808</v>
      </c>
      <c r="E48" s="20">
        <v>322000</v>
      </c>
      <c r="F48" s="21">
        <v>1323.742</v>
      </c>
      <c r="G48" s="22">
        <v>4.3E-3</v>
      </c>
      <c r="H48" s="40"/>
      <c r="I48" s="24"/>
      <c r="J48" s="5"/>
    </row>
    <row r="49" spans="1:10" ht="12.95" customHeight="1">
      <c r="A49" s="18" t="s">
        <v>749</v>
      </c>
      <c r="B49" s="19" t="s">
        <v>750</v>
      </c>
      <c r="C49" s="15" t="s">
        <v>751</v>
      </c>
      <c r="D49" s="15" t="s">
        <v>255</v>
      </c>
      <c r="E49" s="20">
        <v>81000</v>
      </c>
      <c r="F49" s="21">
        <v>1247.6025</v>
      </c>
      <c r="G49" s="22">
        <v>4.0000000000000001E-3</v>
      </c>
      <c r="H49" s="40"/>
      <c r="I49" s="24"/>
      <c r="J49" s="5"/>
    </row>
    <row r="50" spans="1:10" ht="12.95" customHeight="1">
      <c r="A50" s="18" t="s">
        <v>824</v>
      </c>
      <c r="B50" s="19" t="s">
        <v>825</v>
      </c>
      <c r="C50" s="15" t="s">
        <v>826</v>
      </c>
      <c r="D50" s="15" t="s">
        <v>302</v>
      </c>
      <c r="E50" s="20">
        <v>3135</v>
      </c>
      <c r="F50" s="21">
        <v>1221.9807000000001</v>
      </c>
      <c r="G50" s="22">
        <v>4.0000000000000001E-3</v>
      </c>
      <c r="H50" s="40"/>
      <c r="I50" s="24"/>
      <c r="J50" s="5"/>
    </row>
    <row r="51" spans="1:10" ht="12.95" customHeight="1">
      <c r="A51" s="18" t="s">
        <v>278</v>
      </c>
      <c r="B51" s="19" t="s">
        <v>279</v>
      </c>
      <c r="C51" s="15" t="s">
        <v>280</v>
      </c>
      <c r="D51" s="15" t="s">
        <v>281</v>
      </c>
      <c r="E51" s="20">
        <v>183825</v>
      </c>
      <c r="F51" s="21">
        <v>1158.4652000000001</v>
      </c>
      <c r="G51" s="22">
        <v>3.8E-3</v>
      </c>
      <c r="H51" s="40"/>
      <c r="I51" s="24"/>
      <c r="J51" s="5"/>
    </row>
    <row r="52" spans="1:10" ht="12.95" customHeight="1">
      <c r="A52" s="18" t="s">
        <v>1758</v>
      </c>
      <c r="B52" s="19" t="s">
        <v>1759</v>
      </c>
      <c r="C52" s="15" t="s">
        <v>1760</v>
      </c>
      <c r="D52" s="15" t="s">
        <v>745</v>
      </c>
      <c r="E52" s="20">
        <v>56500</v>
      </c>
      <c r="F52" s="21">
        <v>1089.9414999999999</v>
      </c>
      <c r="G52" s="22">
        <v>3.5000000000000001E-3</v>
      </c>
      <c r="H52" s="40"/>
      <c r="I52" s="24"/>
      <c r="J52" s="5"/>
    </row>
    <row r="53" spans="1:10" ht="12.95" customHeight="1">
      <c r="A53" s="18" t="s">
        <v>288</v>
      </c>
      <c r="B53" s="19" t="s">
        <v>289</v>
      </c>
      <c r="C53" s="15" t="s">
        <v>290</v>
      </c>
      <c r="D53" s="15" t="s">
        <v>291</v>
      </c>
      <c r="E53" s="20">
        <v>414000</v>
      </c>
      <c r="F53" s="21">
        <v>1016.577</v>
      </c>
      <c r="G53" s="22">
        <v>3.3E-3</v>
      </c>
      <c r="H53" s="40"/>
      <c r="I53" s="24"/>
      <c r="J53" s="5"/>
    </row>
    <row r="54" spans="1:10" ht="12.95" customHeight="1">
      <c r="A54" s="18" t="s">
        <v>1761</v>
      </c>
      <c r="B54" s="19" t="s">
        <v>1762</v>
      </c>
      <c r="C54" s="15" t="s">
        <v>1763</v>
      </c>
      <c r="D54" s="15" t="s">
        <v>306</v>
      </c>
      <c r="E54" s="20">
        <v>51000</v>
      </c>
      <c r="F54" s="21">
        <v>983.35649999999998</v>
      </c>
      <c r="G54" s="22">
        <v>3.2000000000000002E-3</v>
      </c>
      <c r="H54" s="40"/>
      <c r="I54" s="24"/>
      <c r="J54" s="5"/>
    </row>
    <row r="55" spans="1:10" ht="12.95" customHeight="1">
      <c r="A55" s="18" t="s">
        <v>1764</v>
      </c>
      <c r="B55" s="19" t="s">
        <v>1765</v>
      </c>
      <c r="C55" s="15" t="s">
        <v>1766</v>
      </c>
      <c r="D55" s="15" t="s">
        <v>407</v>
      </c>
      <c r="E55" s="20">
        <v>593600</v>
      </c>
      <c r="F55" s="21">
        <v>964.00639999999999</v>
      </c>
      <c r="G55" s="22">
        <v>3.0999999999999999E-3</v>
      </c>
      <c r="H55" s="40"/>
      <c r="I55" s="24"/>
      <c r="J55" s="5"/>
    </row>
    <row r="56" spans="1:10" ht="12.95" customHeight="1">
      <c r="A56" s="18" t="s">
        <v>260</v>
      </c>
      <c r="B56" s="19" t="s">
        <v>261</v>
      </c>
      <c r="C56" s="15" t="s">
        <v>262</v>
      </c>
      <c r="D56" s="15" t="s">
        <v>263</v>
      </c>
      <c r="E56" s="20">
        <v>24675</v>
      </c>
      <c r="F56" s="21">
        <v>870.68209999999999</v>
      </c>
      <c r="G56" s="22">
        <v>2.8E-3</v>
      </c>
      <c r="H56" s="40"/>
      <c r="I56" s="24"/>
      <c r="J56" s="5"/>
    </row>
    <row r="57" spans="1:10" ht="12.95" customHeight="1">
      <c r="A57" s="18" t="s">
        <v>1767</v>
      </c>
      <c r="B57" s="19" t="s">
        <v>1768</v>
      </c>
      <c r="C57" s="15" t="s">
        <v>1769</v>
      </c>
      <c r="D57" s="15" t="s">
        <v>314</v>
      </c>
      <c r="E57" s="20">
        <v>140400</v>
      </c>
      <c r="F57" s="21">
        <v>859.38840000000005</v>
      </c>
      <c r="G57" s="22">
        <v>2.8E-3</v>
      </c>
      <c r="H57" s="40"/>
      <c r="I57" s="24"/>
      <c r="J57" s="5"/>
    </row>
    <row r="58" spans="1:10" ht="12.95" customHeight="1">
      <c r="A58" s="18" t="s">
        <v>1770</v>
      </c>
      <c r="B58" s="19" t="s">
        <v>1771</v>
      </c>
      <c r="C58" s="15" t="s">
        <v>1772</v>
      </c>
      <c r="D58" s="15" t="s">
        <v>1594</v>
      </c>
      <c r="E58" s="20">
        <v>47619</v>
      </c>
      <c r="F58" s="21">
        <v>817.59439999999995</v>
      </c>
      <c r="G58" s="22">
        <v>2.7000000000000001E-3</v>
      </c>
      <c r="H58" s="40"/>
      <c r="I58" s="24"/>
      <c r="J58" s="5"/>
    </row>
    <row r="59" spans="1:10" ht="12.95" customHeight="1">
      <c r="A59" s="18" t="s">
        <v>716</v>
      </c>
      <c r="B59" s="19" t="s">
        <v>717</v>
      </c>
      <c r="C59" s="15" t="s">
        <v>718</v>
      </c>
      <c r="D59" s="15" t="s">
        <v>348</v>
      </c>
      <c r="E59" s="20">
        <v>177600</v>
      </c>
      <c r="F59" s="21">
        <v>789.25440000000003</v>
      </c>
      <c r="G59" s="22">
        <v>2.5999999999999999E-3</v>
      </c>
      <c r="H59" s="40"/>
      <c r="I59" s="24"/>
      <c r="J59" s="5"/>
    </row>
    <row r="60" spans="1:10" ht="12.95" customHeight="1">
      <c r="A60" s="18" t="s">
        <v>1773</v>
      </c>
      <c r="B60" s="19" t="s">
        <v>1774</v>
      </c>
      <c r="C60" s="15" t="s">
        <v>1775</v>
      </c>
      <c r="D60" s="15" t="s">
        <v>832</v>
      </c>
      <c r="E60" s="20">
        <v>123500</v>
      </c>
      <c r="F60" s="21">
        <v>761.06880000000001</v>
      </c>
      <c r="G60" s="22">
        <v>2.5000000000000001E-3</v>
      </c>
      <c r="H60" s="40"/>
      <c r="I60" s="24"/>
      <c r="J60" s="5"/>
    </row>
    <row r="61" spans="1:10" ht="12.95" customHeight="1">
      <c r="A61" s="18" t="s">
        <v>1607</v>
      </c>
      <c r="B61" s="19" t="s">
        <v>1608</v>
      </c>
      <c r="C61" s="15" t="s">
        <v>1609</v>
      </c>
      <c r="D61" s="15" t="s">
        <v>407</v>
      </c>
      <c r="E61" s="20">
        <v>735000</v>
      </c>
      <c r="F61" s="21">
        <v>714.42</v>
      </c>
      <c r="G61" s="22">
        <v>2.3E-3</v>
      </c>
      <c r="H61" s="40"/>
      <c r="I61" s="24"/>
      <c r="J61" s="5"/>
    </row>
    <row r="62" spans="1:10" ht="12.95" customHeight="1">
      <c r="A62" s="18" t="s">
        <v>1776</v>
      </c>
      <c r="B62" s="19" t="s">
        <v>1777</v>
      </c>
      <c r="C62" s="15" t="s">
        <v>1778</v>
      </c>
      <c r="D62" s="15" t="s">
        <v>314</v>
      </c>
      <c r="E62" s="20">
        <v>24750</v>
      </c>
      <c r="F62" s="21">
        <v>603.77629999999999</v>
      </c>
      <c r="G62" s="22">
        <v>2E-3</v>
      </c>
      <c r="H62" s="40"/>
      <c r="I62" s="24"/>
      <c r="J62" s="5"/>
    </row>
    <row r="63" spans="1:10" ht="12.95" customHeight="1">
      <c r="A63" s="18" t="s">
        <v>1779</v>
      </c>
      <c r="B63" s="19" t="s">
        <v>1780</v>
      </c>
      <c r="C63" s="15" t="s">
        <v>1781</v>
      </c>
      <c r="D63" s="15" t="s">
        <v>808</v>
      </c>
      <c r="E63" s="20">
        <v>406000</v>
      </c>
      <c r="F63" s="21">
        <v>579.36199999999997</v>
      </c>
      <c r="G63" s="22">
        <v>1.9E-3</v>
      </c>
      <c r="H63" s="40"/>
      <c r="I63" s="24"/>
      <c r="J63" s="5"/>
    </row>
    <row r="64" spans="1:10" ht="12.95" customHeight="1">
      <c r="A64" s="18" t="s">
        <v>1782</v>
      </c>
      <c r="B64" s="19" t="s">
        <v>1783</v>
      </c>
      <c r="C64" s="15" t="s">
        <v>1784</v>
      </c>
      <c r="D64" s="15" t="s">
        <v>251</v>
      </c>
      <c r="E64" s="20">
        <v>216000</v>
      </c>
      <c r="F64" s="21">
        <v>550.69200000000001</v>
      </c>
      <c r="G64" s="22">
        <v>1.8E-3</v>
      </c>
      <c r="H64" s="40"/>
      <c r="I64" s="24"/>
      <c r="J64" s="5"/>
    </row>
    <row r="65" spans="1:10" ht="12.95" customHeight="1">
      <c r="A65" s="18" t="s">
        <v>1785</v>
      </c>
      <c r="B65" s="19" t="s">
        <v>1786</v>
      </c>
      <c r="C65" s="15" t="s">
        <v>1787</v>
      </c>
      <c r="D65" s="15" t="s">
        <v>1590</v>
      </c>
      <c r="E65" s="20">
        <v>416250</v>
      </c>
      <c r="F65" s="21">
        <v>550.28250000000003</v>
      </c>
      <c r="G65" s="22">
        <v>1.8E-3</v>
      </c>
      <c r="H65" s="40"/>
      <c r="I65" s="24"/>
      <c r="J65" s="5"/>
    </row>
    <row r="66" spans="1:10" ht="12.95" customHeight="1">
      <c r="A66" s="18" t="s">
        <v>779</v>
      </c>
      <c r="B66" s="19" t="s">
        <v>780</v>
      </c>
      <c r="C66" s="15" t="s">
        <v>781</v>
      </c>
      <c r="D66" s="15" t="s">
        <v>281</v>
      </c>
      <c r="E66" s="20">
        <v>15750</v>
      </c>
      <c r="F66" s="21">
        <v>542.89459999999997</v>
      </c>
      <c r="G66" s="22">
        <v>1.8E-3</v>
      </c>
      <c r="H66" s="40"/>
      <c r="I66" s="24"/>
      <c r="J66" s="5"/>
    </row>
    <row r="67" spans="1:10" ht="12.95" customHeight="1">
      <c r="A67" s="18" t="s">
        <v>878</v>
      </c>
      <c r="B67" s="19" t="s">
        <v>879</v>
      </c>
      <c r="C67" s="15" t="s">
        <v>880</v>
      </c>
      <c r="D67" s="15" t="s">
        <v>255</v>
      </c>
      <c r="E67" s="20">
        <v>66300</v>
      </c>
      <c r="F67" s="21">
        <v>507.06240000000003</v>
      </c>
      <c r="G67" s="22">
        <v>1.6000000000000001E-3</v>
      </c>
      <c r="H67" s="40"/>
      <c r="I67" s="24"/>
      <c r="J67" s="5"/>
    </row>
    <row r="68" spans="1:10" ht="12.95" customHeight="1">
      <c r="A68" s="18" t="s">
        <v>356</v>
      </c>
      <c r="B68" s="19" t="s">
        <v>357</v>
      </c>
      <c r="C68" s="15" t="s">
        <v>358</v>
      </c>
      <c r="D68" s="15" t="s">
        <v>291</v>
      </c>
      <c r="E68" s="20">
        <v>241200</v>
      </c>
      <c r="F68" s="21">
        <v>481.79700000000003</v>
      </c>
      <c r="G68" s="22">
        <v>1.6000000000000001E-3</v>
      </c>
      <c r="H68" s="40"/>
      <c r="I68" s="24"/>
      <c r="J68" s="5"/>
    </row>
    <row r="69" spans="1:10" ht="12.95" customHeight="1">
      <c r="A69" s="18" t="s">
        <v>1788</v>
      </c>
      <c r="B69" s="19" t="s">
        <v>1789</v>
      </c>
      <c r="C69" s="15" t="s">
        <v>1790</v>
      </c>
      <c r="D69" s="15" t="s">
        <v>255</v>
      </c>
      <c r="E69" s="20">
        <v>248400</v>
      </c>
      <c r="F69" s="21">
        <v>446.99579999999997</v>
      </c>
      <c r="G69" s="22">
        <v>1.4E-3</v>
      </c>
      <c r="H69" s="40"/>
      <c r="I69" s="24"/>
      <c r="J69" s="5"/>
    </row>
    <row r="70" spans="1:10" ht="12.95" customHeight="1">
      <c r="A70" s="18" t="s">
        <v>1791</v>
      </c>
      <c r="B70" s="19" t="s">
        <v>1792</v>
      </c>
      <c r="C70" s="15" t="s">
        <v>1793</v>
      </c>
      <c r="D70" s="15" t="s">
        <v>1616</v>
      </c>
      <c r="E70" s="20">
        <v>180000</v>
      </c>
      <c r="F70" s="21">
        <v>431.91</v>
      </c>
      <c r="G70" s="22">
        <v>1.4E-3</v>
      </c>
      <c r="H70" s="40"/>
      <c r="I70" s="24"/>
      <c r="J70" s="5"/>
    </row>
    <row r="71" spans="1:10" ht="12.95" customHeight="1">
      <c r="A71" s="18" t="s">
        <v>1794</v>
      </c>
      <c r="B71" s="19" t="s">
        <v>1795</v>
      </c>
      <c r="C71" s="15" t="s">
        <v>1796</v>
      </c>
      <c r="D71" s="15" t="s">
        <v>271</v>
      </c>
      <c r="E71" s="20">
        <v>155000</v>
      </c>
      <c r="F71" s="21">
        <v>391.76249999999999</v>
      </c>
      <c r="G71" s="22">
        <v>1.2999999999999999E-3</v>
      </c>
      <c r="H71" s="40"/>
      <c r="I71" s="24"/>
      <c r="J71" s="5"/>
    </row>
    <row r="72" spans="1:10" ht="12.95" customHeight="1">
      <c r="A72" s="18" t="s">
        <v>1797</v>
      </c>
      <c r="B72" s="19" t="s">
        <v>1798</v>
      </c>
      <c r="C72" s="15" t="s">
        <v>1799</v>
      </c>
      <c r="D72" s="15" t="s">
        <v>1800</v>
      </c>
      <c r="E72" s="20">
        <v>176000</v>
      </c>
      <c r="F72" s="21">
        <v>391.68799999999999</v>
      </c>
      <c r="G72" s="22">
        <v>1.2999999999999999E-3</v>
      </c>
      <c r="H72" s="40"/>
      <c r="I72" s="24"/>
      <c r="J72" s="5"/>
    </row>
    <row r="73" spans="1:10" ht="12.95" customHeight="1">
      <c r="A73" s="18" t="s">
        <v>1801</v>
      </c>
      <c r="B73" s="19" t="s">
        <v>1802</v>
      </c>
      <c r="C73" s="15" t="s">
        <v>1803</v>
      </c>
      <c r="D73" s="15" t="s">
        <v>745</v>
      </c>
      <c r="E73" s="20">
        <v>33150</v>
      </c>
      <c r="F73" s="21">
        <v>388.26940000000002</v>
      </c>
      <c r="G73" s="22">
        <v>1.2999999999999999E-3</v>
      </c>
      <c r="H73" s="40"/>
      <c r="I73" s="24"/>
      <c r="J73" s="5"/>
    </row>
    <row r="74" spans="1:10" ht="12.95" customHeight="1">
      <c r="A74" s="18" t="s">
        <v>1804</v>
      </c>
      <c r="B74" s="19" t="s">
        <v>1805</v>
      </c>
      <c r="C74" s="15" t="s">
        <v>1806</v>
      </c>
      <c r="D74" s="15" t="s">
        <v>384</v>
      </c>
      <c r="E74" s="20">
        <v>51000</v>
      </c>
      <c r="F74" s="21">
        <v>365.262</v>
      </c>
      <c r="G74" s="22">
        <v>1.1999999999999999E-3</v>
      </c>
      <c r="H74" s="40"/>
      <c r="I74" s="24"/>
      <c r="J74" s="5"/>
    </row>
    <row r="75" spans="1:10" ht="12.95" customHeight="1">
      <c r="A75" s="18" t="s">
        <v>1807</v>
      </c>
      <c r="B75" s="19" t="s">
        <v>1808</v>
      </c>
      <c r="C75" s="15" t="s">
        <v>1809</v>
      </c>
      <c r="D75" s="15" t="s">
        <v>314</v>
      </c>
      <c r="E75" s="20">
        <v>70000</v>
      </c>
      <c r="F75" s="21">
        <v>343.98</v>
      </c>
      <c r="G75" s="22">
        <v>1.1000000000000001E-3</v>
      </c>
      <c r="H75" s="40"/>
      <c r="I75" s="24"/>
      <c r="J75" s="5"/>
    </row>
    <row r="76" spans="1:10" ht="12.95" customHeight="1">
      <c r="A76" s="18" t="s">
        <v>1575</v>
      </c>
      <c r="B76" s="19" t="s">
        <v>1576</v>
      </c>
      <c r="C76" s="15" t="s">
        <v>1577</v>
      </c>
      <c r="D76" s="15" t="s">
        <v>745</v>
      </c>
      <c r="E76" s="20">
        <v>28600</v>
      </c>
      <c r="F76" s="21">
        <v>339.2389</v>
      </c>
      <c r="G76" s="22">
        <v>1.1000000000000001E-3</v>
      </c>
      <c r="H76" s="40"/>
      <c r="I76" s="24"/>
      <c r="J76" s="5"/>
    </row>
    <row r="77" spans="1:10" ht="12.95" customHeight="1">
      <c r="A77" s="18" t="s">
        <v>696</v>
      </c>
      <c r="B77" s="19" t="s">
        <v>697</v>
      </c>
      <c r="C77" s="15" t="s">
        <v>698</v>
      </c>
      <c r="D77" s="15" t="s">
        <v>271</v>
      </c>
      <c r="E77" s="20">
        <v>157950</v>
      </c>
      <c r="F77" s="21">
        <v>337.93400000000003</v>
      </c>
      <c r="G77" s="22">
        <v>1.1000000000000001E-3</v>
      </c>
      <c r="H77" s="40"/>
      <c r="I77" s="24"/>
      <c r="J77" s="5"/>
    </row>
    <row r="78" spans="1:10" ht="12.95" customHeight="1">
      <c r="A78" s="18" t="s">
        <v>1810</v>
      </c>
      <c r="B78" s="19" t="s">
        <v>1811</v>
      </c>
      <c r="C78" s="15" t="s">
        <v>1812</v>
      </c>
      <c r="D78" s="15" t="s">
        <v>890</v>
      </c>
      <c r="E78" s="20">
        <v>36800</v>
      </c>
      <c r="F78" s="21">
        <v>334.78800000000001</v>
      </c>
      <c r="G78" s="22">
        <v>1.1000000000000001E-3</v>
      </c>
      <c r="H78" s="40"/>
      <c r="I78" s="24"/>
      <c r="J78" s="5"/>
    </row>
    <row r="79" spans="1:10" ht="12.95" customHeight="1">
      <c r="A79" s="18" t="s">
        <v>1813</v>
      </c>
      <c r="B79" s="19" t="s">
        <v>1814</v>
      </c>
      <c r="C79" s="15" t="s">
        <v>1815</v>
      </c>
      <c r="D79" s="15" t="s">
        <v>1816</v>
      </c>
      <c r="E79" s="20">
        <v>8800</v>
      </c>
      <c r="F79" s="21">
        <v>323.18</v>
      </c>
      <c r="G79" s="22">
        <v>1E-3</v>
      </c>
      <c r="H79" s="40"/>
      <c r="I79" s="24"/>
      <c r="J79" s="5"/>
    </row>
    <row r="80" spans="1:10" ht="12.95" customHeight="1">
      <c r="A80" s="18" t="s">
        <v>1817</v>
      </c>
      <c r="B80" s="19" t="s">
        <v>1818</v>
      </c>
      <c r="C80" s="15" t="s">
        <v>1819</v>
      </c>
      <c r="D80" s="15" t="s">
        <v>334</v>
      </c>
      <c r="E80" s="20">
        <v>23100</v>
      </c>
      <c r="F80" s="21">
        <v>266.6549</v>
      </c>
      <c r="G80" s="22">
        <v>8.9999999999999998E-4</v>
      </c>
      <c r="H80" s="40"/>
      <c r="I80" s="24"/>
      <c r="J80" s="5"/>
    </row>
    <row r="81" spans="1:10" ht="12.95" customHeight="1">
      <c r="A81" s="18" t="s">
        <v>1820</v>
      </c>
      <c r="B81" s="19" t="s">
        <v>1821</v>
      </c>
      <c r="C81" s="15" t="s">
        <v>1822</v>
      </c>
      <c r="D81" s="15" t="s">
        <v>832</v>
      </c>
      <c r="E81" s="20">
        <v>91200</v>
      </c>
      <c r="F81" s="21">
        <v>252.4872</v>
      </c>
      <c r="G81" s="22">
        <v>8.0000000000000004E-4</v>
      </c>
      <c r="H81" s="40"/>
      <c r="I81" s="24"/>
      <c r="J81" s="5"/>
    </row>
    <row r="82" spans="1:10" ht="12.95" customHeight="1">
      <c r="A82" s="18" t="s">
        <v>1610</v>
      </c>
      <c r="B82" s="19" t="s">
        <v>1611</v>
      </c>
      <c r="C82" s="15" t="s">
        <v>1612</v>
      </c>
      <c r="D82" s="15" t="s">
        <v>890</v>
      </c>
      <c r="E82" s="20">
        <v>39600</v>
      </c>
      <c r="F82" s="21">
        <v>252.41040000000001</v>
      </c>
      <c r="G82" s="22">
        <v>8.0000000000000004E-4</v>
      </c>
      <c r="H82" s="40"/>
      <c r="I82" s="24"/>
      <c r="J82" s="5"/>
    </row>
    <row r="83" spans="1:10" ht="12.95" customHeight="1">
      <c r="A83" s="18" t="s">
        <v>1823</v>
      </c>
      <c r="B83" s="19" t="s">
        <v>1824</v>
      </c>
      <c r="C83" s="15" t="s">
        <v>1825</v>
      </c>
      <c r="D83" s="15" t="s">
        <v>295</v>
      </c>
      <c r="E83" s="20">
        <v>23000</v>
      </c>
      <c r="F83" s="21">
        <v>251.06800000000001</v>
      </c>
      <c r="G83" s="22">
        <v>8.0000000000000004E-4</v>
      </c>
      <c r="H83" s="40"/>
      <c r="I83" s="24"/>
      <c r="J83" s="5"/>
    </row>
    <row r="84" spans="1:10" ht="12.95" customHeight="1">
      <c r="A84" s="18" t="s">
        <v>1826</v>
      </c>
      <c r="B84" s="19" t="s">
        <v>1827</v>
      </c>
      <c r="C84" s="15" t="s">
        <v>1828</v>
      </c>
      <c r="D84" s="15" t="s">
        <v>1816</v>
      </c>
      <c r="E84" s="20">
        <v>168000</v>
      </c>
      <c r="F84" s="21">
        <v>220.08</v>
      </c>
      <c r="G84" s="22">
        <v>6.9999999999999999E-4</v>
      </c>
      <c r="H84" s="40"/>
      <c r="I84" s="24"/>
      <c r="J84" s="5"/>
    </row>
    <row r="85" spans="1:10" ht="12.95" customHeight="1">
      <c r="A85" s="18" t="s">
        <v>371</v>
      </c>
      <c r="B85" s="19" t="s">
        <v>372</v>
      </c>
      <c r="C85" s="15" t="s">
        <v>373</v>
      </c>
      <c r="D85" s="15" t="s">
        <v>324</v>
      </c>
      <c r="E85" s="20">
        <v>24600</v>
      </c>
      <c r="F85" s="21">
        <v>212.37180000000001</v>
      </c>
      <c r="G85" s="22">
        <v>6.9999999999999999E-4</v>
      </c>
      <c r="H85" s="40"/>
      <c r="I85" s="24"/>
      <c r="J85" s="5"/>
    </row>
    <row r="86" spans="1:10" ht="12.95" customHeight="1">
      <c r="A86" s="18" t="s">
        <v>1829</v>
      </c>
      <c r="B86" s="19" t="s">
        <v>1830</v>
      </c>
      <c r="C86" s="15" t="s">
        <v>1831</v>
      </c>
      <c r="D86" s="15" t="s">
        <v>745</v>
      </c>
      <c r="E86" s="20">
        <v>23200</v>
      </c>
      <c r="F86" s="21">
        <v>198.476</v>
      </c>
      <c r="G86" s="22">
        <v>5.9999999999999995E-4</v>
      </c>
      <c r="H86" s="40"/>
      <c r="I86" s="24"/>
      <c r="J86" s="5"/>
    </row>
    <row r="87" spans="1:10" ht="12.95" customHeight="1">
      <c r="A87" s="18" t="s">
        <v>736</v>
      </c>
      <c r="B87" s="19" t="s">
        <v>737</v>
      </c>
      <c r="C87" s="15" t="s">
        <v>738</v>
      </c>
      <c r="D87" s="15" t="s">
        <v>324</v>
      </c>
      <c r="E87" s="20">
        <v>6000</v>
      </c>
      <c r="F87" s="21">
        <v>188.928</v>
      </c>
      <c r="G87" s="22">
        <v>5.9999999999999995E-4</v>
      </c>
      <c r="H87" s="40"/>
      <c r="I87" s="24"/>
      <c r="J87" s="5"/>
    </row>
    <row r="88" spans="1:10" ht="12.95" customHeight="1">
      <c r="A88" s="18" t="s">
        <v>809</v>
      </c>
      <c r="B88" s="19" t="s">
        <v>810</v>
      </c>
      <c r="C88" s="15" t="s">
        <v>811</v>
      </c>
      <c r="D88" s="15" t="s">
        <v>403</v>
      </c>
      <c r="E88" s="20">
        <v>4500</v>
      </c>
      <c r="F88" s="21">
        <v>187.4385</v>
      </c>
      <c r="G88" s="22">
        <v>5.9999999999999995E-4</v>
      </c>
      <c r="H88" s="40"/>
      <c r="I88" s="24"/>
      <c r="J88" s="5"/>
    </row>
    <row r="89" spans="1:10" ht="12.95" customHeight="1">
      <c r="A89" s="18" t="s">
        <v>307</v>
      </c>
      <c r="B89" s="19" t="s">
        <v>308</v>
      </c>
      <c r="C89" s="15" t="s">
        <v>309</v>
      </c>
      <c r="D89" s="15" t="s">
        <v>310</v>
      </c>
      <c r="E89" s="20">
        <v>41600</v>
      </c>
      <c r="F89" s="21">
        <v>181.7088</v>
      </c>
      <c r="G89" s="22">
        <v>5.9999999999999995E-4</v>
      </c>
      <c r="H89" s="40"/>
      <c r="I89" s="24"/>
      <c r="J89" s="5"/>
    </row>
    <row r="90" spans="1:10" ht="12.95" customHeight="1">
      <c r="A90" s="18" t="s">
        <v>1832</v>
      </c>
      <c r="B90" s="19" t="s">
        <v>1833</v>
      </c>
      <c r="C90" s="15" t="s">
        <v>1834</v>
      </c>
      <c r="D90" s="15" t="s">
        <v>263</v>
      </c>
      <c r="E90" s="20">
        <v>4000</v>
      </c>
      <c r="F90" s="21">
        <v>164.434</v>
      </c>
      <c r="G90" s="22">
        <v>5.0000000000000001E-4</v>
      </c>
      <c r="H90" s="40"/>
      <c r="I90" s="24"/>
      <c r="J90" s="5"/>
    </row>
    <row r="91" spans="1:10" ht="12.95" customHeight="1">
      <c r="A91" s="18" t="s">
        <v>1835</v>
      </c>
      <c r="B91" s="19" t="s">
        <v>1836</v>
      </c>
      <c r="C91" s="15" t="s">
        <v>1837</v>
      </c>
      <c r="D91" s="15" t="s">
        <v>259</v>
      </c>
      <c r="E91" s="20">
        <v>54000</v>
      </c>
      <c r="F91" s="21">
        <v>140.72399999999999</v>
      </c>
      <c r="G91" s="22">
        <v>5.0000000000000001E-4</v>
      </c>
      <c r="H91" s="40"/>
      <c r="I91" s="24"/>
      <c r="J91" s="5"/>
    </row>
    <row r="92" spans="1:10" ht="12.95" customHeight="1">
      <c r="A92" s="18" t="s">
        <v>1578</v>
      </c>
      <c r="B92" s="19" t="s">
        <v>1579</v>
      </c>
      <c r="C92" s="15" t="s">
        <v>1580</v>
      </c>
      <c r="D92" s="15" t="s">
        <v>890</v>
      </c>
      <c r="E92" s="20">
        <v>10500</v>
      </c>
      <c r="F92" s="21">
        <v>137.06700000000001</v>
      </c>
      <c r="G92" s="22">
        <v>4.0000000000000002E-4</v>
      </c>
      <c r="H92" s="40"/>
      <c r="I92" s="24"/>
      <c r="J92" s="5"/>
    </row>
    <row r="93" spans="1:10" ht="12.95" customHeight="1">
      <c r="A93" s="18" t="s">
        <v>1838</v>
      </c>
      <c r="B93" s="19" t="s">
        <v>1839</v>
      </c>
      <c r="C93" s="15" t="s">
        <v>1840</v>
      </c>
      <c r="D93" s="15" t="s">
        <v>324</v>
      </c>
      <c r="E93" s="20">
        <v>37800</v>
      </c>
      <c r="F93" s="21">
        <v>117.1233</v>
      </c>
      <c r="G93" s="22">
        <v>4.0000000000000002E-4</v>
      </c>
      <c r="H93" s="40"/>
      <c r="I93" s="24"/>
      <c r="J93" s="5"/>
    </row>
    <row r="94" spans="1:10" ht="12.95" customHeight="1">
      <c r="A94" s="18" t="s">
        <v>802</v>
      </c>
      <c r="B94" s="19" t="s">
        <v>803</v>
      </c>
      <c r="C94" s="15" t="s">
        <v>804</v>
      </c>
      <c r="D94" s="15" t="s">
        <v>324</v>
      </c>
      <c r="E94" s="20">
        <v>8000</v>
      </c>
      <c r="F94" s="21">
        <v>111.116</v>
      </c>
      <c r="G94" s="22">
        <v>4.0000000000000002E-4</v>
      </c>
      <c r="H94" s="40"/>
      <c r="I94" s="24"/>
      <c r="J94" s="5"/>
    </row>
    <row r="95" spans="1:10" ht="12.95" customHeight="1">
      <c r="A95" s="18" t="s">
        <v>1841</v>
      </c>
      <c r="B95" s="19" t="s">
        <v>1842</v>
      </c>
      <c r="C95" s="15" t="s">
        <v>1843</v>
      </c>
      <c r="D95" s="15" t="s">
        <v>295</v>
      </c>
      <c r="E95" s="20">
        <v>1800</v>
      </c>
      <c r="F95" s="21">
        <v>96.174899999999994</v>
      </c>
      <c r="G95" s="22">
        <v>2.9999999999999997E-4</v>
      </c>
      <c r="H95" s="40"/>
      <c r="I95" s="24"/>
      <c r="J95" s="5"/>
    </row>
    <row r="96" spans="1:10" ht="12.95" customHeight="1">
      <c r="A96" s="18" t="s">
        <v>1844</v>
      </c>
      <c r="B96" s="19" t="s">
        <v>1845</v>
      </c>
      <c r="C96" s="15" t="s">
        <v>1846</v>
      </c>
      <c r="D96" s="15" t="s">
        <v>1594</v>
      </c>
      <c r="E96" s="20">
        <v>15000</v>
      </c>
      <c r="F96" s="21">
        <v>91.822500000000005</v>
      </c>
      <c r="G96" s="22">
        <v>2.9999999999999997E-4</v>
      </c>
      <c r="H96" s="40"/>
      <c r="I96" s="24"/>
      <c r="J96" s="5"/>
    </row>
    <row r="97" spans="1:10" ht="12.95" customHeight="1">
      <c r="A97" s="18" t="s">
        <v>730</v>
      </c>
      <c r="B97" s="19" t="s">
        <v>731</v>
      </c>
      <c r="C97" s="15" t="s">
        <v>732</v>
      </c>
      <c r="D97" s="15" t="s">
        <v>281</v>
      </c>
      <c r="E97" s="20">
        <v>5600</v>
      </c>
      <c r="F97" s="21">
        <v>87.037999999999997</v>
      </c>
      <c r="G97" s="22">
        <v>2.9999999999999997E-4</v>
      </c>
      <c r="H97" s="40"/>
      <c r="I97" s="24"/>
      <c r="J97" s="5"/>
    </row>
    <row r="98" spans="1:10" ht="12.95" customHeight="1">
      <c r="A98" s="18" t="s">
        <v>1847</v>
      </c>
      <c r="B98" s="19" t="s">
        <v>1848</v>
      </c>
      <c r="C98" s="15" t="s">
        <v>1849</v>
      </c>
      <c r="D98" s="15" t="s">
        <v>271</v>
      </c>
      <c r="E98" s="20">
        <v>60000</v>
      </c>
      <c r="F98" s="21">
        <v>76.02</v>
      </c>
      <c r="G98" s="22">
        <v>2.0000000000000001E-4</v>
      </c>
      <c r="H98" s="40"/>
      <c r="I98" s="24"/>
      <c r="J98" s="5"/>
    </row>
    <row r="99" spans="1:10" ht="12.95" customHeight="1">
      <c r="A99" s="18" t="s">
        <v>752</v>
      </c>
      <c r="B99" s="19" t="s">
        <v>753</v>
      </c>
      <c r="C99" s="15" t="s">
        <v>754</v>
      </c>
      <c r="D99" s="15" t="s">
        <v>755</v>
      </c>
      <c r="E99" s="20">
        <v>280</v>
      </c>
      <c r="F99" s="21">
        <v>63.019300000000001</v>
      </c>
      <c r="G99" s="22">
        <v>2.0000000000000001E-4</v>
      </c>
      <c r="H99" s="40"/>
      <c r="I99" s="24"/>
      <c r="J99" s="5"/>
    </row>
    <row r="100" spans="1:10" ht="12.95" customHeight="1">
      <c r="A100" s="18" t="s">
        <v>1850</v>
      </c>
      <c r="B100" s="19" t="s">
        <v>1851</v>
      </c>
      <c r="C100" s="15" t="s">
        <v>1852</v>
      </c>
      <c r="D100" s="15" t="s">
        <v>1816</v>
      </c>
      <c r="E100" s="20">
        <v>1500</v>
      </c>
      <c r="F100" s="21">
        <v>61.473799999999997</v>
      </c>
      <c r="G100" s="22">
        <v>2.0000000000000001E-4</v>
      </c>
      <c r="H100" s="40"/>
      <c r="I100" s="24"/>
      <c r="J100" s="5"/>
    </row>
    <row r="101" spans="1:10" ht="12.95" customHeight="1">
      <c r="A101" s="18" t="s">
        <v>839</v>
      </c>
      <c r="B101" s="19" t="s">
        <v>840</v>
      </c>
      <c r="C101" s="15" t="s">
        <v>841</v>
      </c>
      <c r="D101" s="15" t="s">
        <v>745</v>
      </c>
      <c r="E101" s="20">
        <v>1600</v>
      </c>
      <c r="F101" s="21">
        <v>60.242400000000004</v>
      </c>
      <c r="G101" s="22">
        <v>2.0000000000000001E-4</v>
      </c>
      <c r="H101" s="40"/>
      <c r="I101" s="24"/>
      <c r="J101" s="5"/>
    </row>
    <row r="102" spans="1:10" ht="12.95" customHeight="1">
      <c r="A102" s="18" t="s">
        <v>1853</v>
      </c>
      <c r="B102" s="19" t="s">
        <v>1854</v>
      </c>
      <c r="C102" s="15" t="s">
        <v>1855</v>
      </c>
      <c r="D102" s="15" t="s">
        <v>808</v>
      </c>
      <c r="E102" s="20">
        <v>8750</v>
      </c>
      <c r="F102" s="21">
        <v>59.574399999999997</v>
      </c>
      <c r="G102" s="22">
        <v>2.0000000000000001E-4</v>
      </c>
      <c r="H102" s="40"/>
      <c r="I102" s="24"/>
      <c r="J102" s="5"/>
    </row>
    <row r="103" spans="1:10" ht="12.95" customHeight="1">
      <c r="A103" s="18" t="s">
        <v>1856</v>
      </c>
      <c r="B103" s="19" t="s">
        <v>1857</v>
      </c>
      <c r="C103" s="15" t="s">
        <v>1858</v>
      </c>
      <c r="D103" s="15" t="s">
        <v>1859</v>
      </c>
      <c r="E103" s="20">
        <v>90000</v>
      </c>
      <c r="F103" s="21">
        <v>53.594999999999999</v>
      </c>
      <c r="G103" s="22">
        <v>2.0000000000000001E-4</v>
      </c>
      <c r="H103" s="40"/>
      <c r="I103" s="24"/>
      <c r="J103" s="5"/>
    </row>
    <row r="104" spans="1:10" ht="12.95" customHeight="1">
      <c r="A104" s="18" t="s">
        <v>1860</v>
      </c>
      <c r="B104" s="19" t="s">
        <v>1861</v>
      </c>
      <c r="C104" s="15" t="s">
        <v>1862</v>
      </c>
      <c r="D104" s="15" t="s">
        <v>788</v>
      </c>
      <c r="E104" s="20">
        <v>3200</v>
      </c>
      <c r="F104" s="21">
        <v>49.823999999999998</v>
      </c>
      <c r="G104" s="22">
        <v>2.0000000000000001E-4</v>
      </c>
      <c r="H104" s="40"/>
      <c r="I104" s="24"/>
      <c r="J104" s="5"/>
    </row>
    <row r="105" spans="1:10" ht="12.95" customHeight="1">
      <c r="A105" s="18" t="s">
        <v>1863</v>
      </c>
      <c r="B105" s="19" t="s">
        <v>1864</v>
      </c>
      <c r="C105" s="15" t="s">
        <v>1865</v>
      </c>
      <c r="D105" s="15" t="s">
        <v>255</v>
      </c>
      <c r="E105" s="20">
        <v>16000</v>
      </c>
      <c r="F105" s="21">
        <v>45.984000000000002</v>
      </c>
      <c r="G105" s="22">
        <v>1E-4</v>
      </c>
      <c r="H105" s="40"/>
      <c r="I105" s="24"/>
      <c r="J105" s="5"/>
    </row>
    <row r="106" spans="1:10" ht="12.95" customHeight="1">
      <c r="A106" s="18" t="s">
        <v>321</v>
      </c>
      <c r="B106" s="19" t="s">
        <v>322</v>
      </c>
      <c r="C106" s="15" t="s">
        <v>323</v>
      </c>
      <c r="D106" s="15" t="s">
        <v>324</v>
      </c>
      <c r="E106" s="20">
        <v>1400</v>
      </c>
      <c r="F106" s="21">
        <v>44.2547</v>
      </c>
      <c r="G106" s="22">
        <v>1E-4</v>
      </c>
      <c r="H106" s="40"/>
      <c r="I106" s="24"/>
      <c r="J106" s="5"/>
    </row>
    <row r="107" spans="1:10" ht="12.95" customHeight="1">
      <c r="A107" s="18" t="s">
        <v>1866</v>
      </c>
      <c r="B107" s="19" t="s">
        <v>1867</v>
      </c>
      <c r="C107" s="15" t="s">
        <v>1868</v>
      </c>
      <c r="D107" s="15" t="s">
        <v>1616</v>
      </c>
      <c r="E107" s="20">
        <v>8250</v>
      </c>
      <c r="F107" s="21">
        <v>37.525100000000002</v>
      </c>
      <c r="G107" s="22">
        <v>1E-4</v>
      </c>
      <c r="H107" s="40"/>
      <c r="I107" s="24"/>
      <c r="J107" s="5"/>
    </row>
    <row r="108" spans="1:10" ht="12.95" customHeight="1">
      <c r="A108" s="18" t="s">
        <v>1869</v>
      </c>
      <c r="B108" s="19" t="s">
        <v>1870</v>
      </c>
      <c r="C108" s="15" t="s">
        <v>1871</v>
      </c>
      <c r="D108" s="15" t="s">
        <v>1872</v>
      </c>
      <c r="E108" s="20">
        <v>1100</v>
      </c>
      <c r="F108" s="21">
        <v>35.036099999999998</v>
      </c>
      <c r="G108" s="22">
        <v>1E-4</v>
      </c>
      <c r="H108" s="40"/>
      <c r="I108" s="24"/>
      <c r="J108" s="5"/>
    </row>
    <row r="109" spans="1:10" ht="12.95" customHeight="1">
      <c r="A109" s="18" t="s">
        <v>1873</v>
      </c>
      <c r="B109" s="19" t="s">
        <v>1874</v>
      </c>
      <c r="C109" s="15" t="s">
        <v>1875</v>
      </c>
      <c r="D109" s="15" t="s">
        <v>255</v>
      </c>
      <c r="E109" s="20">
        <v>1800</v>
      </c>
      <c r="F109" s="21">
        <v>34.548299999999998</v>
      </c>
      <c r="G109" s="22">
        <v>1E-4</v>
      </c>
      <c r="H109" s="40"/>
      <c r="I109" s="24"/>
      <c r="J109" s="5"/>
    </row>
    <row r="110" spans="1:10" ht="12.95" customHeight="1">
      <c r="A110" s="18" t="s">
        <v>374</v>
      </c>
      <c r="B110" s="19" t="s">
        <v>375</v>
      </c>
      <c r="C110" s="15" t="s">
        <v>376</v>
      </c>
      <c r="D110" s="15" t="s">
        <v>310</v>
      </c>
      <c r="E110" s="20">
        <v>6000</v>
      </c>
      <c r="F110" s="21">
        <v>33.698999999999998</v>
      </c>
      <c r="G110" s="22">
        <v>1E-4</v>
      </c>
      <c r="H110" s="40"/>
      <c r="I110" s="24"/>
      <c r="J110" s="5"/>
    </row>
    <row r="111" spans="1:10" ht="12.95" customHeight="1">
      <c r="A111" s="18" t="s">
        <v>782</v>
      </c>
      <c r="B111" s="19" t="s">
        <v>783</v>
      </c>
      <c r="C111" s="15" t="s">
        <v>784</v>
      </c>
      <c r="D111" s="15" t="s">
        <v>403</v>
      </c>
      <c r="E111" s="20">
        <v>1600</v>
      </c>
      <c r="F111" s="21">
        <v>33.282400000000003</v>
      </c>
      <c r="G111" s="22">
        <v>1E-4</v>
      </c>
      <c r="H111" s="40"/>
      <c r="I111" s="24"/>
      <c r="J111" s="5"/>
    </row>
    <row r="112" spans="1:10" ht="12.95" customHeight="1">
      <c r="A112" s="18" t="s">
        <v>1876</v>
      </c>
      <c r="B112" s="19" t="s">
        <v>1877</v>
      </c>
      <c r="C112" s="15" t="s">
        <v>1878</v>
      </c>
      <c r="D112" s="15" t="s">
        <v>778</v>
      </c>
      <c r="E112" s="20">
        <v>2000</v>
      </c>
      <c r="F112" s="21">
        <v>29.196000000000002</v>
      </c>
      <c r="G112" s="22">
        <v>1E-4</v>
      </c>
      <c r="H112" s="40"/>
      <c r="I112" s="24"/>
      <c r="J112" s="5"/>
    </row>
    <row r="113" spans="1:10" ht="12.95" customHeight="1">
      <c r="A113" s="18" t="s">
        <v>315</v>
      </c>
      <c r="B113" s="19" t="s">
        <v>316</v>
      </c>
      <c r="C113" s="15" t="s">
        <v>317</v>
      </c>
      <c r="D113" s="15" t="s">
        <v>314</v>
      </c>
      <c r="E113" s="20">
        <v>1125</v>
      </c>
      <c r="F113" s="21">
        <v>25.305800000000001</v>
      </c>
      <c r="G113" s="22">
        <v>1E-4</v>
      </c>
      <c r="H113" s="40"/>
      <c r="I113" s="24"/>
      <c r="J113" s="5"/>
    </row>
    <row r="114" spans="1:10" ht="12.95" customHeight="1">
      <c r="A114" s="18" t="s">
        <v>1879</v>
      </c>
      <c r="B114" s="19" t="s">
        <v>1880</v>
      </c>
      <c r="C114" s="15" t="s">
        <v>1881</v>
      </c>
      <c r="D114" s="15" t="s">
        <v>255</v>
      </c>
      <c r="E114" s="20">
        <v>7750</v>
      </c>
      <c r="F114" s="21">
        <v>19.522300000000001</v>
      </c>
      <c r="G114" s="22">
        <v>1E-4</v>
      </c>
      <c r="H114" s="40"/>
      <c r="I114" s="24"/>
      <c r="J114" s="5"/>
    </row>
    <row r="115" spans="1:10" ht="12.95" customHeight="1">
      <c r="A115" s="18" t="s">
        <v>1882</v>
      </c>
      <c r="B115" s="19" t="s">
        <v>1883</v>
      </c>
      <c r="C115" s="15" t="s">
        <v>1884</v>
      </c>
      <c r="D115" s="15" t="s">
        <v>1872</v>
      </c>
      <c r="E115" s="20">
        <v>10000</v>
      </c>
      <c r="F115" s="21">
        <v>17.7</v>
      </c>
      <c r="G115" s="22">
        <v>1E-4</v>
      </c>
      <c r="H115" s="40"/>
      <c r="I115" s="24"/>
      <c r="J115" s="5"/>
    </row>
    <row r="116" spans="1:10" ht="12.95" customHeight="1">
      <c r="A116" s="18" t="s">
        <v>772</v>
      </c>
      <c r="B116" s="19" t="s">
        <v>773</v>
      </c>
      <c r="C116" s="15" t="s">
        <v>774</v>
      </c>
      <c r="D116" s="15" t="s">
        <v>310</v>
      </c>
      <c r="E116" s="20">
        <v>1800</v>
      </c>
      <c r="F116" s="21">
        <v>15.7842</v>
      </c>
      <c r="G116" s="22">
        <v>1E-4</v>
      </c>
      <c r="H116" s="40"/>
      <c r="I116" s="24"/>
      <c r="J116" s="5"/>
    </row>
    <row r="117" spans="1:10" ht="12.95" customHeight="1">
      <c r="A117" s="18" t="s">
        <v>381</v>
      </c>
      <c r="B117" s="19" t="s">
        <v>382</v>
      </c>
      <c r="C117" s="15" t="s">
        <v>383</v>
      </c>
      <c r="D117" s="15" t="s">
        <v>384</v>
      </c>
      <c r="E117" s="20">
        <v>600</v>
      </c>
      <c r="F117" s="21">
        <v>14.2872</v>
      </c>
      <c r="G117" s="40" t="s">
        <v>675</v>
      </c>
      <c r="H117" s="40"/>
      <c r="I117" s="24"/>
      <c r="J117" s="5"/>
    </row>
    <row r="118" spans="1:10" ht="12.95" customHeight="1">
      <c r="A118" s="18" t="s">
        <v>1885</v>
      </c>
      <c r="B118" s="19" t="s">
        <v>1886</v>
      </c>
      <c r="C118" s="15" t="s">
        <v>1887</v>
      </c>
      <c r="D118" s="15" t="s">
        <v>745</v>
      </c>
      <c r="E118" s="20">
        <v>40</v>
      </c>
      <c r="F118" s="21">
        <v>9.2718000000000007</v>
      </c>
      <c r="G118" s="40" t="s">
        <v>675</v>
      </c>
      <c r="H118" s="40"/>
      <c r="I118" s="24"/>
      <c r="J118" s="5"/>
    </row>
    <row r="119" spans="1:10" ht="12.95" customHeight="1">
      <c r="A119" s="18" t="s">
        <v>1888</v>
      </c>
      <c r="B119" s="19" t="s">
        <v>1889</v>
      </c>
      <c r="C119" s="15" t="s">
        <v>1890</v>
      </c>
      <c r="D119" s="15" t="s">
        <v>1590</v>
      </c>
      <c r="E119" s="20">
        <v>400</v>
      </c>
      <c r="F119" s="21">
        <v>8.1988000000000003</v>
      </c>
      <c r="G119" s="40" t="s">
        <v>675</v>
      </c>
      <c r="H119" s="40"/>
      <c r="I119" s="24"/>
      <c r="J119" s="5"/>
    </row>
    <row r="120" spans="1:10" ht="12.95" customHeight="1">
      <c r="A120" s="18" t="s">
        <v>1891</v>
      </c>
      <c r="B120" s="19" t="s">
        <v>1892</v>
      </c>
      <c r="C120" s="15" t="s">
        <v>1893</v>
      </c>
      <c r="D120" s="15" t="s">
        <v>267</v>
      </c>
      <c r="E120" s="20">
        <v>250</v>
      </c>
      <c r="F120" s="21">
        <v>7.9485999999999999</v>
      </c>
      <c r="G120" s="40" t="s">
        <v>675</v>
      </c>
      <c r="H120" s="40"/>
      <c r="I120" s="24"/>
      <c r="J120" s="5"/>
    </row>
    <row r="121" spans="1:10" ht="12.95" customHeight="1">
      <c r="A121" s="18" t="s">
        <v>325</v>
      </c>
      <c r="B121" s="19" t="s">
        <v>326</v>
      </c>
      <c r="C121" s="15" t="s">
        <v>327</v>
      </c>
      <c r="D121" s="15" t="s">
        <v>306</v>
      </c>
      <c r="E121" s="20">
        <v>5700</v>
      </c>
      <c r="F121" s="21">
        <v>7.8830999999999998</v>
      </c>
      <c r="G121" s="40" t="s">
        <v>675</v>
      </c>
      <c r="H121" s="40"/>
      <c r="I121" s="24"/>
      <c r="J121" s="5"/>
    </row>
    <row r="122" spans="1:10" ht="12.95" customHeight="1">
      <c r="A122" s="5"/>
      <c r="B122" s="14" t="s">
        <v>160</v>
      </c>
      <c r="C122" s="15"/>
      <c r="D122" s="15"/>
      <c r="E122" s="15"/>
      <c r="F122" s="25">
        <v>214531.47399999999</v>
      </c>
      <c r="G122" s="26">
        <v>0.69579999999999997</v>
      </c>
      <c r="H122" s="27"/>
      <c r="I122" s="28"/>
      <c r="J122" s="5"/>
    </row>
    <row r="123" spans="1:10" ht="12.95" customHeight="1">
      <c r="A123" s="5"/>
      <c r="B123" s="29" t="s">
        <v>408</v>
      </c>
      <c r="C123" s="2"/>
      <c r="D123" s="2"/>
      <c r="E123" s="2"/>
      <c r="F123" s="27" t="s">
        <v>162</v>
      </c>
      <c r="G123" s="27" t="s">
        <v>162</v>
      </c>
      <c r="H123" s="27"/>
      <c r="I123" s="28"/>
      <c r="J123" s="5"/>
    </row>
    <row r="124" spans="1:10" ht="12.95" customHeight="1">
      <c r="A124" s="5"/>
      <c r="B124" s="29" t="s">
        <v>160</v>
      </c>
      <c r="C124" s="2"/>
      <c r="D124" s="2"/>
      <c r="E124" s="2"/>
      <c r="F124" s="27" t="s">
        <v>162</v>
      </c>
      <c r="G124" s="27" t="s">
        <v>162</v>
      </c>
      <c r="H124" s="27"/>
      <c r="I124" s="28"/>
      <c r="J124" s="5"/>
    </row>
    <row r="125" spans="1:10" ht="12.95" customHeight="1">
      <c r="A125" s="5"/>
      <c r="B125" s="29" t="s">
        <v>163</v>
      </c>
      <c r="C125" s="30"/>
      <c r="D125" s="2"/>
      <c r="E125" s="30"/>
      <c r="F125" s="25">
        <v>214531.47399999999</v>
      </c>
      <c r="G125" s="26">
        <v>0.69579999999999997</v>
      </c>
      <c r="H125" s="27"/>
      <c r="I125" s="28"/>
      <c r="J125" s="5"/>
    </row>
    <row r="126" spans="1:10" ht="12.95" customHeight="1">
      <c r="A126" s="5"/>
      <c r="B126" s="14" t="s">
        <v>409</v>
      </c>
      <c r="C126" s="15"/>
      <c r="D126" s="15"/>
      <c r="E126" s="15"/>
      <c r="F126" s="15"/>
      <c r="G126" s="15"/>
      <c r="H126" s="16"/>
      <c r="I126" s="17"/>
      <c r="J126" s="5"/>
    </row>
    <row r="127" spans="1:10" ht="12.95" customHeight="1">
      <c r="A127" s="5"/>
      <c r="B127" s="14" t="s">
        <v>410</v>
      </c>
      <c r="C127" s="15"/>
      <c r="D127" s="15"/>
      <c r="E127" s="15"/>
      <c r="F127" s="5"/>
      <c r="G127" s="16"/>
      <c r="H127" s="16"/>
      <c r="I127" s="17"/>
      <c r="J127" s="5"/>
    </row>
    <row r="128" spans="1:10" ht="12.95" customHeight="1">
      <c r="A128" s="18" t="s">
        <v>1894</v>
      </c>
      <c r="B128" s="19" t="s">
        <v>1895</v>
      </c>
      <c r="C128" s="15"/>
      <c r="D128" s="15"/>
      <c r="E128" s="20">
        <v>-5700</v>
      </c>
      <c r="F128" s="21">
        <v>-7.9173</v>
      </c>
      <c r="G128" s="40" t="s">
        <v>675</v>
      </c>
      <c r="H128" s="40"/>
      <c r="I128" s="24"/>
      <c r="J128" s="5"/>
    </row>
    <row r="129" spans="1:10" ht="12.95" customHeight="1">
      <c r="A129" s="18" t="s">
        <v>1896</v>
      </c>
      <c r="B129" s="19" t="s">
        <v>1897</v>
      </c>
      <c r="C129" s="15"/>
      <c r="D129" s="15"/>
      <c r="E129" s="20">
        <v>-250</v>
      </c>
      <c r="F129" s="21">
        <v>-7.9996</v>
      </c>
      <c r="G129" s="40" t="s">
        <v>675</v>
      </c>
      <c r="H129" s="40"/>
      <c r="I129" s="24"/>
      <c r="J129" s="5"/>
    </row>
    <row r="130" spans="1:10" ht="12.95" customHeight="1">
      <c r="A130" s="18" t="s">
        <v>1898</v>
      </c>
      <c r="B130" s="19" t="s">
        <v>1899</v>
      </c>
      <c r="C130" s="15"/>
      <c r="D130" s="15"/>
      <c r="E130" s="20">
        <v>-400</v>
      </c>
      <c r="F130" s="21">
        <v>-8.202</v>
      </c>
      <c r="G130" s="40" t="s">
        <v>675</v>
      </c>
      <c r="H130" s="40"/>
      <c r="I130" s="24"/>
      <c r="J130" s="5"/>
    </row>
    <row r="131" spans="1:10" ht="12.95" customHeight="1">
      <c r="A131" s="18" t="s">
        <v>1900</v>
      </c>
      <c r="B131" s="19" t="s">
        <v>1901</v>
      </c>
      <c r="C131" s="15"/>
      <c r="D131" s="15"/>
      <c r="E131" s="20">
        <v>-40</v>
      </c>
      <c r="F131" s="21">
        <v>-9.3261000000000003</v>
      </c>
      <c r="G131" s="40" t="s">
        <v>675</v>
      </c>
      <c r="H131" s="40"/>
      <c r="I131" s="24"/>
      <c r="J131" s="5"/>
    </row>
    <row r="132" spans="1:10" ht="12.95" customHeight="1">
      <c r="A132" s="18" t="s">
        <v>1902</v>
      </c>
      <c r="B132" s="19" t="s">
        <v>1903</v>
      </c>
      <c r="C132" s="15"/>
      <c r="D132" s="15"/>
      <c r="E132" s="20">
        <v>-600</v>
      </c>
      <c r="F132" s="21">
        <v>-14.340299999999999</v>
      </c>
      <c r="G132" s="40" t="s">
        <v>675</v>
      </c>
      <c r="H132" s="40"/>
      <c r="I132" s="24"/>
      <c r="J132" s="5"/>
    </row>
    <row r="133" spans="1:10" ht="12.95" customHeight="1">
      <c r="A133" s="18" t="s">
        <v>1631</v>
      </c>
      <c r="B133" s="19" t="s">
        <v>1632</v>
      </c>
      <c r="C133" s="15"/>
      <c r="D133" s="15"/>
      <c r="E133" s="20">
        <v>-1800</v>
      </c>
      <c r="F133" s="21">
        <v>-15.871499999999999</v>
      </c>
      <c r="G133" s="22">
        <v>-1E-4</v>
      </c>
      <c r="H133" s="40"/>
      <c r="I133" s="24"/>
      <c r="J133" s="5"/>
    </row>
    <row r="134" spans="1:10" ht="12.95" customHeight="1">
      <c r="A134" s="18" t="s">
        <v>1904</v>
      </c>
      <c r="B134" s="19" t="s">
        <v>1905</v>
      </c>
      <c r="C134" s="15"/>
      <c r="D134" s="15"/>
      <c r="E134" s="20">
        <v>-10000</v>
      </c>
      <c r="F134" s="21">
        <v>-17.765000000000001</v>
      </c>
      <c r="G134" s="22">
        <v>-1E-4</v>
      </c>
      <c r="H134" s="40"/>
      <c r="I134" s="24"/>
      <c r="J134" s="5"/>
    </row>
    <row r="135" spans="1:10" ht="12.95" customHeight="1">
      <c r="A135" s="18" t="s">
        <v>1906</v>
      </c>
      <c r="B135" s="19" t="s">
        <v>1907</v>
      </c>
      <c r="C135" s="15"/>
      <c r="D135" s="15"/>
      <c r="E135" s="20">
        <v>-7750</v>
      </c>
      <c r="F135" s="21">
        <v>-19.650099999999998</v>
      </c>
      <c r="G135" s="22">
        <v>-1E-4</v>
      </c>
      <c r="H135" s="40"/>
      <c r="I135" s="24"/>
      <c r="J135" s="5"/>
    </row>
    <row r="136" spans="1:10" ht="12.95" customHeight="1">
      <c r="A136" s="18" t="s">
        <v>1908</v>
      </c>
      <c r="B136" s="19" t="s">
        <v>1909</v>
      </c>
      <c r="C136" s="15"/>
      <c r="D136" s="15"/>
      <c r="E136" s="20">
        <v>-1125</v>
      </c>
      <c r="F136" s="21">
        <v>-25.472300000000001</v>
      </c>
      <c r="G136" s="22">
        <v>-1E-4</v>
      </c>
      <c r="H136" s="40"/>
      <c r="I136" s="24"/>
      <c r="J136" s="5"/>
    </row>
    <row r="137" spans="1:10" ht="12.95" customHeight="1">
      <c r="A137" s="18" t="s">
        <v>1910</v>
      </c>
      <c r="B137" s="19" t="s">
        <v>1911</v>
      </c>
      <c r="C137" s="15"/>
      <c r="D137" s="15"/>
      <c r="E137" s="20">
        <v>-2000</v>
      </c>
      <c r="F137" s="21">
        <v>-29.401</v>
      </c>
      <c r="G137" s="22">
        <v>-1E-4</v>
      </c>
      <c r="H137" s="40"/>
      <c r="I137" s="24"/>
      <c r="J137" s="5"/>
    </row>
    <row r="138" spans="1:10" ht="12.95" customHeight="1">
      <c r="A138" s="18" t="s">
        <v>1912</v>
      </c>
      <c r="B138" s="19" t="s">
        <v>1913</v>
      </c>
      <c r="C138" s="15"/>
      <c r="D138" s="15"/>
      <c r="E138" s="20">
        <v>-1600</v>
      </c>
      <c r="F138" s="21">
        <v>-33.377600000000001</v>
      </c>
      <c r="G138" s="22">
        <v>-1E-4</v>
      </c>
      <c r="H138" s="40"/>
      <c r="I138" s="24"/>
      <c r="J138" s="5"/>
    </row>
    <row r="139" spans="1:10" ht="12.95" customHeight="1">
      <c r="A139" s="18" t="s">
        <v>1914</v>
      </c>
      <c r="B139" s="19" t="s">
        <v>1915</v>
      </c>
      <c r="C139" s="15"/>
      <c r="D139" s="15"/>
      <c r="E139" s="20">
        <v>-6000</v>
      </c>
      <c r="F139" s="21">
        <v>-33.881999999999998</v>
      </c>
      <c r="G139" s="22">
        <v>-1E-4</v>
      </c>
      <c r="H139" s="40"/>
      <c r="I139" s="24"/>
      <c r="J139" s="5"/>
    </row>
    <row r="140" spans="1:10" ht="12.95" customHeight="1">
      <c r="A140" s="18" t="s">
        <v>1916</v>
      </c>
      <c r="B140" s="19" t="s">
        <v>1917</v>
      </c>
      <c r="C140" s="15"/>
      <c r="D140" s="15"/>
      <c r="E140" s="20">
        <v>-1800</v>
      </c>
      <c r="F140" s="21">
        <v>-34.758000000000003</v>
      </c>
      <c r="G140" s="22">
        <v>-1E-4</v>
      </c>
      <c r="H140" s="40"/>
      <c r="I140" s="24"/>
      <c r="J140" s="5"/>
    </row>
    <row r="141" spans="1:10" ht="12.95" customHeight="1">
      <c r="A141" s="18" t="s">
        <v>1918</v>
      </c>
      <c r="B141" s="19" t="s">
        <v>1919</v>
      </c>
      <c r="C141" s="15"/>
      <c r="D141" s="15"/>
      <c r="E141" s="20">
        <v>-1100</v>
      </c>
      <c r="F141" s="21">
        <v>-35.247300000000003</v>
      </c>
      <c r="G141" s="22">
        <v>-1E-4</v>
      </c>
      <c r="H141" s="40"/>
      <c r="I141" s="24"/>
      <c r="J141" s="5"/>
    </row>
    <row r="142" spans="1:10" ht="12.95" customHeight="1">
      <c r="A142" s="18" t="s">
        <v>1920</v>
      </c>
      <c r="B142" s="19" t="s">
        <v>1921</v>
      </c>
      <c r="C142" s="15"/>
      <c r="D142" s="15"/>
      <c r="E142" s="20">
        <v>-8250</v>
      </c>
      <c r="F142" s="21">
        <v>-37.669499999999999</v>
      </c>
      <c r="G142" s="22">
        <v>-1E-4</v>
      </c>
      <c r="H142" s="40"/>
      <c r="I142" s="24"/>
      <c r="J142" s="5"/>
    </row>
    <row r="143" spans="1:10" ht="12.95" customHeight="1">
      <c r="A143" s="18" t="s">
        <v>1922</v>
      </c>
      <c r="B143" s="19" t="s">
        <v>1923</v>
      </c>
      <c r="C143" s="15"/>
      <c r="D143" s="15"/>
      <c r="E143" s="20">
        <v>-1400</v>
      </c>
      <c r="F143" s="21">
        <v>-44.526299999999999</v>
      </c>
      <c r="G143" s="22">
        <v>-1E-4</v>
      </c>
      <c r="H143" s="40"/>
      <c r="I143" s="24"/>
      <c r="J143" s="5"/>
    </row>
    <row r="144" spans="1:10" ht="12.95" customHeight="1">
      <c r="A144" s="18" t="s">
        <v>1924</v>
      </c>
      <c r="B144" s="19" t="s">
        <v>1925</v>
      </c>
      <c r="C144" s="15"/>
      <c r="D144" s="15"/>
      <c r="E144" s="20">
        <v>-16000</v>
      </c>
      <c r="F144" s="21">
        <v>-46.28</v>
      </c>
      <c r="G144" s="22">
        <v>-2.0000000000000001E-4</v>
      </c>
      <c r="H144" s="40"/>
      <c r="I144" s="24"/>
      <c r="J144" s="5"/>
    </row>
    <row r="145" spans="1:10" ht="12.95" customHeight="1">
      <c r="A145" s="18" t="s">
        <v>1926</v>
      </c>
      <c r="B145" s="19" t="s">
        <v>1927</v>
      </c>
      <c r="C145" s="15"/>
      <c r="D145" s="15"/>
      <c r="E145" s="20">
        <v>-3200</v>
      </c>
      <c r="F145" s="21">
        <v>-50.055999999999997</v>
      </c>
      <c r="G145" s="22">
        <v>-2.0000000000000001E-4</v>
      </c>
      <c r="H145" s="40"/>
      <c r="I145" s="24"/>
      <c r="J145" s="5"/>
    </row>
    <row r="146" spans="1:10" ht="12.95" customHeight="1">
      <c r="A146" s="18" t="s">
        <v>1928</v>
      </c>
      <c r="B146" s="19" t="s">
        <v>1929</v>
      </c>
      <c r="C146" s="15"/>
      <c r="D146" s="15"/>
      <c r="E146" s="20">
        <v>-90000</v>
      </c>
      <c r="F146" s="21">
        <v>-53.865000000000002</v>
      </c>
      <c r="G146" s="22">
        <v>-2.0000000000000001E-4</v>
      </c>
      <c r="H146" s="40"/>
      <c r="I146" s="24"/>
      <c r="J146" s="5"/>
    </row>
    <row r="147" spans="1:10" ht="12.95" customHeight="1">
      <c r="A147" s="18" t="s">
        <v>1930</v>
      </c>
      <c r="B147" s="19" t="s">
        <v>1931</v>
      </c>
      <c r="C147" s="15"/>
      <c r="D147" s="15"/>
      <c r="E147" s="20">
        <v>-8750</v>
      </c>
      <c r="F147" s="21">
        <v>-59.911299999999997</v>
      </c>
      <c r="G147" s="22">
        <v>-2.0000000000000001E-4</v>
      </c>
      <c r="H147" s="40"/>
      <c r="I147" s="24"/>
      <c r="J147" s="5"/>
    </row>
    <row r="148" spans="1:10" ht="12.95" customHeight="1">
      <c r="A148" s="18" t="s">
        <v>1932</v>
      </c>
      <c r="B148" s="19" t="s">
        <v>1933</v>
      </c>
      <c r="C148" s="15"/>
      <c r="D148" s="15"/>
      <c r="E148" s="20">
        <v>-1600</v>
      </c>
      <c r="F148" s="21">
        <v>-60.543999999999997</v>
      </c>
      <c r="G148" s="22">
        <v>-2.0000000000000001E-4</v>
      </c>
      <c r="H148" s="40"/>
      <c r="I148" s="24"/>
      <c r="J148" s="5"/>
    </row>
    <row r="149" spans="1:10" ht="12.95" customHeight="1">
      <c r="A149" s="18" t="s">
        <v>1934</v>
      </c>
      <c r="B149" s="19" t="s">
        <v>1935</v>
      </c>
      <c r="C149" s="15"/>
      <c r="D149" s="15"/>
      <c r="E149" s="20">
        <v>-1500</v>
      </c>
      <c r="F149" s="21">
        <v>-61.884</v>
      </c>
      <c r="G149" s="22">
        <v>-2.0000000000000001E-4</v>
      </c>
      <c r="H149" s="40"/>
      <c r="I149" s="24"/>
      <c r="J149" s="5"/>
    </row>
    <row r="150" spans="1:10" ht="12.95" customHeight="1">
      <c r="A150" s="18" t="s">
        <v>1936</v>
      </c>
      <c r="B150" s="19" t="s">
        <v>1937</v>
      </c>
      <c r="C150" s="15"/>
      <c r="D150" s="15"/>
      <c r="E150" s="20">
        <v>-280</v>
      </c>
      <c r="F150" s="21">
        <v>-63.285200000000003</v>
      </c>
      <c r="G150" s="22">
        <v>-2.0000000000000001E-4</v>
      </c>
      <c r="H150" s="40"/>
      <c r="I150" s="24"/>
      <c r="J150" s="5"/>
    </row>
    <row r="151" spans="1:10" ht="12.95" customHeight="1">
      <c r="A151" s="18" t="s">
        <v>1938</v>
      </c>
      <c r="B151" s="19" t="s">
        <v>1939</v>
      </c>
      <c r="C151" s="15"/>
      <c r="D151" s="15"/>
      <c r="E151" s="20">
        <v>-60000</v>
      </c>
      <c r="F151" s="21">
        <v>-76.5</v>
      </c>
      <c r="G151" s="22">
        <v>-2.0000000000000001E-4</v>
      </c>
      <c r="H151" s="40"/>
      <c r="I151" s="24"/>
      <c r="J151" s="5"/>
    </row>
    <row r="152" spans="1:10" ht="12.95" customHeight="1">
      <c r="A152" s="18" t="s">
        <v>1940</v>
      </c>
      <c r="B152" s="19" t="s">
        <v>1941</v>
      </c>
      <c r="C152" s="15"/>
      <c r="D152" s="15"/>
      <c r="E152" s="20">
        <v>-5600</v>
      </c>
      <c r="F152" s="21">
        <v>-87.575599999999994</v>
      </c>
      <c r="G152" s="22">
        <v>-2.9999999999999997E-4</v>
      </c>
      <c r="H152" s="40"/>
      <c r="I152" s="24"/>
      <c r="J152" s="5"/>
    </row>
    <row r="153" spans="1:10" ht="12.95" customHeight="1">
      <c r="A153" s="18" t="s">
        <v>1942</v>
      </c>
      <c r="B153" s="19" t="s">
        <v>1943</v>
      </c>
      <c r="C153" s="15"/>
      <c r="D153" s="15"/>
      <c r="E153" s="20">
        <v>-15000</v>
      </c>
      <c r="F153" s="21">
        <v>-92.167500000000004</v>
      </c>
      <c r="G153" s="22">
        <v>-2.9999999999999997E-4</v>
      </c>
      <c r="H153" s="40"/>
      <c r="I153" s="24"/>
      <c r="J153" s="5"/>
    </row>
    <row r="154" spans="1:10" ht="12.95" customHeight="1">
      <c r="A154" s="18" t="s">
        <v>1944</v>
      </c>
      <c r="B154" s="19" t="s">
        <v>1945</v>
      </c>
      <c r="C154" s="15"/>
      <c r="D154" s="15"/>
      <c r="E154" s="20">
        <v>-1800</v>
      </c>
      <c r="F154" s="21">
        <v>-96.8202</v>
      </c>
      <c r="G154" s="22">
        <v>-2.9999999999999997E-4</v>
      </c>
      <c r="H154" s="40"/>
      <c r="I154" s="24"/>
      <c r="J154" s="5"/>
    </row>
    <row r="155" spans="1:10" ht="12.95" customHeight="1">
      <c r="A155" s="18" t="s">
        <v>1946</v>
      </c>
      <c r="B155" s="19" t="s">
        <v>1947</v>
      </c>
      <c r="C155" s="15"/>
      <c r="D155" s="15"/>
      <c r="E155" s="20">
        <v>-8000</v>
      </c>
      <c r="F155" s="21">
        <v>-111.848</v>
      </c>
      <c r="G155" s="22">
        <v>-4.0000000000000002E-4</v>
      </c>
      <c r="H155" s="40"/>
      <c r="I155" s="24"/>
      <c r="J155" s="5"/>
    </row>
    <row r="156" spans="1:10" ht="12.95" customHeight="1">
      <c r="A156" s="18" t="s">
        <v>1948</v>
      </c>
      <c r="B156" s="19" t="s">
        <v>1949</v>
      </c>
      <c r="C156" s="15"/>
      <c r="D156" s="15"/>
      <c r="E156" s="20">
        <v>-37800</v>
      </c>
      <c r="F156" s="21">
        <v>-117.80370000000001</v>
      </c>
      <c r="G156" s="22">
        <v>-4.0000000000000002E-4</v>
      </c>
      <c r="H156" s="40"/>
      <c r="I156" s="24"/>
      <c r="J156" s="5"/>
    </row>
    <row r="157" spans="1:10" ht="12.95" customHeight="1">
      <c r="A157" s="18" t="s">
        <v>1950</v>
      </c>
      <c r="B157" s="19" t="s">
        <v>1951</v>
      </c>
      <c r="C157" s="15"/>
      <c r="D157" s="15"/>
      <c r="E157" s="20">
        <v>-10500</v>
      </c>
      <c r="F157" s="21">
        <v>-137.8493</v>
      </c>
      <c r="G157" s="22">
        <v>-4.0000000000000002E-4</v>
      </c>
      <c r="H157" s="40"/>
      <c r="I157" s="24"/>
      <c r="J157" s="5"/>
    </row>
    <row r="158" spans="1:10" ht="12.95" customHeight="1">
      <c r="A158" s="18" t="s">
        <v>1952</v>
      </c>
      <c r="B158" s="19" t="s">
        <v>1953</v>
      </c>
      <c r="C158" s="15"/>
      <c r="D158" s="15"/>
      <c r="E158" s="20">
        <v>-54000</v>
      </c>
      <c r="F158" s="21">
        <v>-141.58799999999999</v>
      </c>
      <c r="G158" s="22">
        <v>-5.0000000000000001E-4</v>
      </c>
      <c r="H158" s="40"/>
      <c r="I158" s="24"/>
      <c r="J158" s="5"/>
    </row>
    <row r="159" spans="1:10" ht="12.95" customHeight="1">
      <c r="A159" s="18" t="s">
        <v>1954</v>
      </c>
      <c r="B159" s="19" t="s">
        <v>1955</v>
      </c>
      <c r="C159" s="15"/>
      <c r="D159" s="15"/>
      <c r="E159" s="20">
        <v>-4000</v>
      </c>
      <c r="F159" s="21">
        <v>-165.458</v>
      </c>
      <c r="G159" s="22">
        <v>-5.0000000000000001E-4</v>
      </c>
      <c r="H159" s="40"/>
      <c r="I159" s="24"/>
      <c r="J159" s="5"/>
    </row>
    <row r="160" spans="1:10" ht="12.95" customHeight="1">
      <c r="A160" s="18" t="s">
        <v>1956</v>
      </c>
      <c r="B160" s="19" t="s">
        <v>1957</v>
      </c>
      <c r="C160" s="15"/>
      <c r="D160" s="15"/>
      <c r="E160" s="20">
        <v>-41600</v>
      </c>
      <c r="F160" s="21">
        <v>-182.87360000000001</v>
      </c>
      <c r="G160" s="22">
        <v>-5.9999999999999995E-4</v>
      </c>
      <c r="H160" s="40"/>
      <c r="I160" s="24"/>
      <c r="J160" s="5"/>
    </row>
    <row r="161" spans="1:10" ht="12.95" customHeight="1">
      <c r="A161" s="18" t="s">
        <v>1958</v>
      </c>
      <c r="B161" s="19" t="s">
        <v>1959</v>
      </c>
      <c r="C161" s="15"/>
      <c r="D161" s="15"/>
      <c r="E161" s="20">
        <v>-4500</v>
      </c>
      <c r="F161" s="21">
        <v>-188.4128</v>
      </c>
      <c r="G161" s="22">
        <v>-5.9999999999999995E-4</v>
      </c>
      <c r="H161" s="40"/>
      <c r="I161" s="24"/>
      <c r="J161" s="5"/>
    </row>
    <row r="162" spans="1:10" ht="12.95" customHeight="1">
      <c r="A162" s="18" t="s">
        <v>1960</v>
      </c>
      <c r="B162" s="19" t="s">
        <v>1961</v>
      </c>
      <c r="C162" s="15"/>
      <c r="D162" s="15"/>
      <c r="E162" s="20">
        <v>-6000</v>
      </c>
      <c r="F162" s="21">
        <v>-190.11600000000001</v>
      </c>
      <c r="G162" s="22">
        <v>-5.9999999999999995E-4</v>
      </c>
      <c r="H162" s="40"/>
      <c r="I162" s="24"/>
      <c r="J162" s="5"/>
    </row>
    <row r="163" spans="1:10" ht="12.95" customHeight="1">
      <c r="A163" s="18" t="s">
        <v>1962</v>
      </c>
      <c r="B163" s="19" t="s">
        <v>1963</v>
      </c>
      <c r="C163" s="15"/>
      <c r="D163" s="15"/>
      <c r="E163" s="20">
        <v>-23200</v>
      </c>
      <c r="F163" s="21">
        <v>-199.12559999999999</v>
      </c>
      <c r="G163" s="22">
        <v>-5.9999999999999995E-4</v>
      </c>
      <c r="H163" s="40"/>
      <c r="I163" s="24"/>
      <c r="J163" s="5"/>
    </row>
    <row r="164" spans="1:10" ht="12.95" customHeight="1">
      <c r="A164" s="18" t="s">
        <v>1964</v>
      </c>
      <c r="B164" s="19" t="s">
        <v>1965</v>
      </c>
      <c r="C164" s="15"/>
      <c r="D164" s="15"/>
      <c r="E164" s="20">
        <v>-24600</v>
      </c>
      <c r="F164" s="21">
        <v>-213.56489999999999</v>
      </c>
      <c r="G164" s="22">
        <v>-6.9999999999999999E-4</v>
      </c>
      <c r="H164" s="40"/>
      <c r="I164" s="24"/>
      <c r="J164" s="5"/>
    </row>
    <row r="165" spans="1:10" ht="12.95" customHeight="1">
      <c r="A165" s="18" t="s">
        <v>1966</v>
      </c>
      <c r="B165" s="19" t="s">
        <v>1967</v>
      </c>
      <c r="C165" s="15"/>
      <c r="D165" s="15"/>
      <c r="E165" s="20">
        <v>-168000</v>
      </c>
      <c r="F165" s="21">
        <v>-221.59200000000001</v>
      </c>
      <c r="G165" s="22">
        <v>-6.9999999999999999E-4</v>
      </c>
      <c r="H165" s="40"/>
      <c r="I165" s="24"/>
      <c r="J165" s="5"/>
    </row>
    <row r="166" spans="1:10" ht="12.95" customHeight="1">
      <c r="A166" s="18" t="s">
        <v>1968</v>
      </c>
      <c r="B166" s="19" t="s">
        <v>1969</v>
      </c>
      <c r="C166" s="15"/>
      <c r="D166" s="15"/>
      <c r="E166" s="20">
        <v>-23000</v>
      </c>
      <c r="F166" s="21">
        <v>-252.32149999999999</v>
      </c>
      <c r="G166" s="22">
        <v>-8.0000000000000004E-4</v>
      </c>
      <c r="H166" s="40"/>
      <c r="I166" s="24"/>
      <c r="J166" s="5"/>
    </row>
    <row r="167" spans="1:10" ht="12.95" customHeight="1">
      <c r="A167" s="18" t="s">
        <v>1637</v>
      </c>
      <c r="B167" s="19" t="s">
        <v>1638</v>
      </c>
      <c r="C167" s="15"/>
      <c r="D167" s="15"/>
      <c r="E167" s="20">
        <v>-39600</v>
      </c>
      <c r="F167" s="21">
        <v>-253.42019999999999</v>
      </c>
      <c r="G167" s="22">
        <v>-8.0000000000000004E-4</v>
      </c>
      <c r="H167" s="40"/>
      <c r="I167" s="24"/>
      <c r="J167" s="5"/>
    </row>
    <row r="168" spans="1:10" ht="12.95" customHeight="1">
      <c r="A168" s="18" t="s">
        <v>1970</v>
      </c>
      <c r="B168" s="19" t="s">
        <v>1971</v>
      </c>
      <c r="C168" s="15"/>
      <c r="D168" s="15"/>
      <c r="E168" s="20">
        <v>-91200</v>
      </c>
      <c r="F168" s="21">
        <v>-254.12880000000001</v>
      </c>
      <c r="G168" s="22">
        <v>-8.0000000000000004E-4</v>
      </c>
      <c r="H168" s="40"/>
      <c r="I168" s="24"/>
      <c r="J168" s="5"/>
    </row>
    <row r="169" spans="1:10" ht="12.95" customHeight="1">
      <c r="A169" s="18" t="s">
        <v>1972</v>
      </c>
      <c r="B169" s="19" t="s">
        <v>1973</v>
      </c>
      <c r="C169" s="15"/>
      <c r="D169" s="15"/>
      <c r="E169" s="20">
        <v>-23100</v>
      </c>
      <c r="F169" s="21">
        <v>-268.15640000000002</v>
      </c>
      <c r="G169" s="22">
        <v>-8.9999999999999998E-4</v>
      </c>
      <c r="H169" s="40"/>
      <c r="I169" s="24"/>
      <c r="J169" s="5"/>
    </row>
    <row r="170" spans="1:10" ht="12.95" customHeight="1">
      <c r="A170" s="18" t="s">
        <v>1974</v>
      </c>
      <c r="B170" s="19" t="s">
        <v>1975</v>
      </c>
      <c r="C170" s="15"/>
      <c r="D170" s="15"/>
      <c r="E170" s="20">
        <v>-8800</v>
      </c>
      <c r="F170" s="21">
        <v>-325.02800000000002</v>
      </c>
      <c r="G170" s="22">
        <v>-1.1000000000000001E-3</v>
      </c>
      <c r="H170" s="40"/>
      <c r="I170" s="24"/>
      <c r="J170" s="5"/>
    </row>
    <row r="171" spans="1:10" ht="12.95" customHeight="1">
      <c r="A171" s="18" t="s">
        <v>1976</v>
      </c>
      <c r="B171" s="19" t="s">
        <v>1977</v>
      </c>
      <c r="C171" s="15"/>
      <c r="D171" s="15"/>
      <c r="E171" s="20">
        <v>-36800</v>
      </c>
      <c r="F171" s="21">
        <v>-336.77519999999998</v>
      </c>
      <c r="G171" s="22">
        <v>-1.1000000000000001E-3</v>
      </c>
      <c r="H171" s="40"/>
      <c r="I171" s="24"/>
      <c r="J171" s="5"/>
    </row>
    <row r="172" spans="1:10" ht="12.95" customHeight="1">
      <c r="A172" s="18" t="s">
        <v>1978</v>
      </c>
      <c r="B172" s="19" t="s">
        <v>1979</v>
      </c>
      <c r="C172" s="15"/>
      <c r="D172" s="15"/>
      <c r="E172" s="20">
        <v>-157950</v>
      </c>
      <c r="F172" s="21">
        <v>-339.82940000000002</v>
      </c>
      <c r="G172" s="22">
        <v>-1.1000000000000001E-3</v>
      </c>
      <c r="H172" s="40"/>
      <c r="I172" s="24"/>
      <c r="J172" s="5"/>
    </row>
    <row r="173" spans="1:10" ht="12.95" customHeight="1">
      <c r="A173" s="18" t="s">
        <v>1980</v>
      </c>
      <c r="B173" s="19" t="s">
        <v>1981</v>
      </c>
      <c r="C173" s="15"/>
      <c r="D173" s="15"/>
      <c r="E173" s="20">
        <v>-28600</v>
      </c>
      <c r="F173" s="21">
        <v>-340.95490000000001</v>
      </c>
      <c r="G173" s="22">
        <v>-1.1000000000000001E-3</v>
      </c>
      <c r="H173" s="40"/>
      <c r="I173" s="24"/>
      <c r="J173" s="5"/>
    </row>
    <row r="174" spans="1:10" ht="12.95" customHeight="1">
      <c r="A174" s="18" t="s">
        <v>1982</v>
      </c>
      <c r="B174" s="19" t="s">
        <v>1983</v>
      </c>
      <c r="C174" s="15"/>
      <c r="D174" s="15"/>
      <c r="E174" s="20">
        <v>-70000</v>
      </c>
      <c r="F174" s="21">
        <v>-345.94</v>
      </c>
      <c r="G174" s="22">
        <v>-1.1000000000000001E-3</v>
      </c>
      <c r="H174" s="40"/>
      <c r="I174" s="24"/>
      <c r="J174" s="5"/>
    </row>
    <row r="175" spans="1:10" ht="12.95" customHeight="1">
      <c r="A175" s="18" t="s">
        <v>1984</v>
      </c>
      <c r="B175" s="19" t="s">
        <v>1985</v>
      </c>
      <c r="C175" s="15"/>
      <c r="D175" s="15"/>
      <c r="E175" s="20">
        <v>-51000</v>
      </c>
      <c r="F175" s="21">
        <v>-367.2765</v>
      </c>
      <c r="G175" s="22">
        <v>-1.1999999999999999E-3</v>
      </c>
      <c r="H175" s="40"/>
      <c r="I175" s="24"/>
      <c r="J175" s="5"/>
    </row>
    <row r="176" spans="1:10" ht="12.95" customHeight="1">
      <c r="A176" s="18" t="s">
        <v>1986</v>
      </c>
      <c r="B176" s="19" t="s">
        <v>1987</v>
      </c>
      <c r="C176" s="15"/>
      <c r="D176" s="15"/>
      <c r="E176" s="20">
        <v>-33150</v>
      </c>
      <c r="F176" s="21">
        <v>-390.87169999999998</v>
      </c>
      <c r="G176" s="22">
        <v>-1.2999999999999999E-3</v>
      </c>
      <c r="H176" s="40"/>
      <c r="I176" s="24"/>
      <c r="J176" s="5"/>
    </row>
    <row r="177" spans="1:10" ht="12.95" customHeight="1">
      <c r="A177" s="18" t="s">
        <v>1988</v>
      </c>
      <c r="B177" s="19" t="s">
        <v>1989</v>
      </c>
      <c r="C177" s="15"/>
      <c r="D177" s="15"/>
      <c r="E177" s="20">
        <v>-155000</v>
      </c>
      <c r="F177" s="21">
        <v>-393.0025</v>
      </c>
      <c r="G177" s="22">
        <v>-1.2999999999999999E-3</v>
      </c>
      <c r="H177" s="40"/>
      <c r="I177" s="24"/>
      <c r="J177" s="5"/>
    </row>
    <row r="178" spans="1:10" ht="12.95" customHeight="1">
      <c r="A178" s="18" t="s">
        <v>1990</v>
      </c>
      <c r="B178" s="19" t="s">
        <v>1991</v>
      </c>
      <c r="C178" s="15"/>
      <c r="D178" s="15"/>
      <c r="E178" s="20">
        <v>-176000</v>
      </c>
      <c r="F178" s="21">
        <v>-393.536</v>
      </c>
      <c r="G178" s="22">
        <v>-1.2999999999999999E-3</v>
      </c>
      <c r="H178" s="40"/>
      <c r="I178" s="24"/>
      <c r="J178" s="5"/>
    </row>
    <row r="179" spans="1:10" ht="12.95" customHeight="1">
      <c r="A179" s="18" t="s">
        <v>1992</v>
      </c>
      <c r="B179" s="19" t="s">
        <v>1993</v>
      </c>
      <c r="C179" s="15"/>
      <c r="D179" s="15"/>
      <c r="E179" s="20">
        <v>-180000</v>
      </c>
      <c r="F179" s="21">
        <v>-434.79</v>
      </c>
      <c r="G179" s="22">
        <v>-1.4E-3</v>
      </c>
      <c r="H179" s="40"/>
      <c r="I179" s="24"/>
      <c r="J179" s="5"/>
    </row>
    <row r="180" spans="1:10" ht="12.95" customHeight="1">
      <c r="A180" s="18" t="s">
        <v>1994</v>
      </c>
      <c r="B180" s="19" t="s">
        <v>1995</v>
      </c>
      <c r="C180" s="15"/>
      <c r="D180" s="15"/>
      <c r="E180" s="20">
        <v>-248400</v>
      </c>
      <c r="F180" s="21">
        <v>-449.23140000000001</v>
      </c>
      <c r="G180" s="22">
        <v>-1.5E-3</v>
      </c>
      <c r="H180" s="40"/>
      <c r="I180" s="24"/>
      <c r="J180" s="5"/>
    </row>
    <row r="181" spans="1:10" ht="12.95" customHeight="1">
      <c r="A181" s="18" t="s">
        <v>1996</v>
      </c>
      <c r="B181" s="19" t="s">
        <v>1997</v>
      </c>
      <c r="C181" s="15"/>
      <c r="D181" s="15"/>
      <c r="E181" s="20">
        <v>-241200</v>
      </c>
      <c r="F181" s="21">
        <v>-484.93259999999998</v>
      </c>
      <c r="G181" s="22">
        <v>-1.6000000000000001E-3</v>
      </c>
      <c r="H181" s="40"/>
      <c r="I181" s="24"/>
      <c r="J181" s="5"/>
    </row>
    <row r="182" spans="1:10" ht="12.95" customHeight="1">
      <c r="A182" s="18" t="s">
        <v>1998</v>
      </c>
      <c r="B182" s="19" t="s">
        <v>1999</v>
      </c>
      <c r="C182" s="15"/>
      <c r="D182" s="15"/>
      <c r="E182" s="20">
        <v>-66300</v>
      </c>
      <c r="F182" s="21">
        <v>-510.70890000000003</v>
      </c>
      <c r="G182" s="22">
        <v>-1.6999999999999999E-3</v>
      </c>
      <c r="H182" s="40"/>
      <c r="I182" s="24"/>
      <c r="J182" s="5"/>
    </row>
    <row r="183" spans="1:10" ht="12.95" customHeight="1">
      <c r="A183" s="18" t="s">
        <v>2000</v>
      </c>
      <c r="B183" s="19" t="s">
        <v>2001</v>
      </c>
      <c r="C183" s="15"/>
      <c r="D183" s="15"/>
      <c r="E183" s="20">
        <v>-15750</v>
      </c>
      <c r="F183" s="21">
        <v>-547.32830000000001</v>
      </c>
      <c r="G183" s="22">
        <v>-1.8E-3</v>
      </c>
      <c r="H183" s="40"/>
      <c r="I183" s="24"/>
      <c r="J183" s="5"/>
    </row>
    <row r="184" spans="1:10" ht="12.95" customHeight="1">
      <c r="A184" s="18" t="s">
        <v>2002</v>
      </c>
      <c r="B184" s="19" t="s">
        <v>2003</v>
      </c>
      <c r="C184" s="15"/>
      <c r="D184" s="15"/>
      <c r="E184" s="20">
        <v>-216000</v>
      </c>
      <c r="F184" s="21">
        <v>-552.74400000000003</v>
      </c>
      <c r="G184" s="22">
        <v>-1.8E-3</v>
      </c>
      <c r="H184" s="40"/>
      <c r="I184" s="24"/>
      <c r="J184" s="5"/>
    </row>
    <row r="185" spans="1:10" ht="12.95" customHeight="1">
      <c r="A185" s="18" t="s">
        <v>2004</v>
      </c>
      <c r="B185" s="19" t="s">
        <v>2005</v>
      </c>
      <c r="C185" s="15"/>
      <c r="D185" s="15"/>
      <c r="E185" s="20">
        <v>-416250</v>
      </c>
      <c r="F185" s="21">
        <v>-553.40440000000001</v>
      </c>
      <c r="G185" s="22">
        <v>-1.8E-3</v>
      </c>
      <c r="H185" s="40"/>
      <c r="I185" s="24"/>
      <c r="J185" s="5"/>
    </row>
    <row r="186" spans="1:10" ht="12.95" customHeight="1">
      <c r="A186" s="18" t="s">
        <v>2006</v>
      </c>
      <c r="B186" s="19" t="s">
        <v>2007</v>
      </c>
      <c r="C186" s="15"/>
      <c r="D186" s="15"/>
      <c r="E186" s="20">
        <v>-406000</v>
      </c>
      <c r="F186" s="21">
        <v>-582.40700000000004</v>
      </c>
      <c r="G186" s="22">
        <v>-1.9E-3</v>
      </c>
      <c r="H186" s="40"/>
      <c r="I186" s="24"/>
      <c r="J186" s="5"/>
    </row>
    <row r="187" spans="1:10" ht="12.95" customHeight="1">
      <c r="A187" s="18" t="s">
        <v>2008</v>
      </c>
      <c r="B187" s="19" t="s">
        <v>2009</v>
      </c>
      <c r="C187" s="15"/>
      <c r="D187" s="15"/>
      <c r="E187" s="20">
        <v>-24750</v>
      </c>
      <c r="F187" s="21">
        <v>-607.97140000000002</v>
      </c>
      <c r="G187" s="22">
        <v>-2E-3</v>
      </c>
      <c r="H187" s="40"/>
      <c r="I187" s="24"/>
      <c r="J187" s="5"/>
    </row>
    <row r="188" spans="1:10" ht="12.95" customHeight="1">
      <c r="A188" s="18" t="s">
        <v>1639</v>
      </c>
      <c r="B188" s="19" t="s">
        <v>1640</v>
      </c>
      <c r="C188" s="15"/>
      <c r="D188" s="15"/>
      <c r="E188" s="20">
        <v>-735000</v>
      </c>
      <c r="F188" s="21">
        <v>-719.19749999999999</v>
      </c>
      <c r="G188" s="22">
        <v>-2.3E-3</v>
      </c>
      <c r="H188" s="40"/>
      <c r="I188" s="24"/>
      <c r="J188" s="5"/>
    </row>
    <row r="189" spans="1:10" ht="12.95" customHeight="1">
      <c r="A189" s="18" t="s">
        <v>2010</v>
      </c>
      <c r="B189" s="19" t="s">
        <v>2011</v>
      </c>
      <c r="C189" s="15"/>
      <c r="D189" s="15"/>
      <c r="E189" s="20">
        <v>-123500</v>
      </c>
      <c r="F189" s="21">
        <v>-766.19399999999996</v>
      </c>
      <c r="G189" s="22">
        <v>-2.5000000000000001E-3</v>
      </c>
      <c r="H189" s="40"/>
      <c r="I189" s="24"/>
      <c r="J189" s="5"/>
    </row>
    <row r="190" spans="1:10" ht="12.95" customHeight="1">
      <c r="A190" s="18" t="s">
        <v>2012</v>
      </c>
      <c r="B190" s="19" t="s">
        <v>2013</v>
      </c>
      <c r="C190" s="15"/>
      <c r="D190" s="15"/>
      <c r="E190" s="20">
        <v>-177600</v>
      </c>
      <c r="F190" s="21">
        <v>-791.29679999999996</v>
      </c>
      <c r="G190" s="22">
        <v>-2.5999999999999999E-3</v>
      </c>
      <c r="H190" s="40"/>
      <c r="I190" s="24"/>
      <c r="J190" s="5"/>
    </row>
    <row r="191" spans="1:10" ht="12.95" customHeight="1">
      <c r="A191" s="18" t="s">
        <v>2014</v>
      </c>
      <c r="B191" s="19" t="s">
        <v>2015</v>
      </c>
      <c r="C191" s="15"/>
      <c r="D191" s="15"/>
      <c r="E191" s="20">
        <v>-47619</v>
      </c>
      <c r="F191" s="21">
        <v>-823.16579999999999</v>
      </c>
      <c r="G191" s="22">
        <v>-2.7000000000000001E-3</v>
      </c>
      <c r="H191" s="40"/>
      <c r="I191" s="24"/>
      <c r="J191" s="5"/>
    </row>
    <row r="192" spans="1:10" ht="12.95" customHeight="1">
      <c r="A192" s="18" t="s">
        <v>2016</v>
      </c>
      <c r="B192" s="19" t="s">
        <v>2017</v>
      </c>
      <c r="C192" s="15"/>
      <c r="D192" s="15"/>
      <c r="E192" s="20">
        <v>-140400</v>
      </c>
      <c r="F192" s="21">
        <v>-863.81100000000004</v>
      </c>
      <c r="G192" s="22">
        <v>-2.8E-3</v>
      </c>
      <c r="H192" s="40"/>
      <c r="I192" s="24"/>
      <c r="J192" s="5"/>
    </row>
    <row r="193" spans="1:10" ht="12.95" customHeight="1">
      <c r="A193" s="18" t="s">
        <v>2018</v>
      </c>
      <c r="B193" s="19" t="s">
        <v>2019</v>
      </c>
      <c r="C193" s="15"/>
      <c r="D193" s="15"/>
      <c r="E193" s="20">
        <v>-24675</v>
      </c>
      <c r="F193" s="21">
        <v>-870.46</v>
      </c>
      <c r="G193" s="22">
        <v>-2.8E-3</v>
      </c>
      <c r="H193" s="40"/>
      <c r="I193" s="24"/>
      <c r="J193" s="5"/>
    </row>
    <row r="194" spans="1:10" ht="12.95" customHeight="1">
      <c r="A194" s="18" t="s">
        <v>2020</v>
      </c>
      <c r="B194" s="19" t="s">
        <v>2021</v>
      </c>
      <c r="C194" s="15"/>
      <c r="D194" s="15"/>
      <c r="E194" s="20">
        <v>-593600</v>
      </c>
      <c r="F194" s="21">
        <v>-971.12959999999998</v>
      </c>
      <c r="G194" s="22">
        <v>-3.0999999999999999E-3</v>
      </c>
      <c r="H194" s="40"/>
      <c r="I194" s="24"/>
      <c r="J194" s="5"/>
    </row>
    <row r="195" spans="1:10" ht="12.95" customHeight="1">
      <c r="A195" s="18" t="s">
        <v>2022</v>
      </c>
      <c r="B195" s="19" t="s">
        <v>2023</v>
      </c>
      <c r="C195" s="15"/>
      <c r="D195" s="15"/>
      <c r="E195" s="20">
        <v>-51000</v>
      </c>
      <c r="F195" s="21">
        <v>-988.86450000000002</v>
      </c>
      <c r="G195" s="22">
        <v>-3.2000000000000002E-3</v>
      </c>
      <c r="H195" s="40"/>
      <c r="I195" s="24"/>
      <c r="J195" s="5"/>
    </row>
    <row r="196" spans="1:10" ht="12.95" customHeight="1">
      <c r="A196" s="18" t="s">
        <v>2024</v>
      </c>
      <c r="B196" s="19" t="s">
        <v>2025</v>
      </c>
      <c r="C196" s="15"/>
      <c r="D196" s="15"/>
      <c r="E196" s="20">
        <v>-414000</v>
      </c>
      <c r="F196" s="21">
        <v>-1023.408</v>
      </c>
      <c r="G196" s="22">
        <v>-3.3E-3</v>
      </c>
      <c r="H196" s="40"/>
      <c r="I196" s="24"/>
      <c r="J196" s="5"/>
    </row>
    <row r="197" spans="1:10" ht="12.95" customHeight="1">
      <c r="A197" s="18" t="s">
        <v>2026</v>
      </c>
      <c r="B197" s="19" t="s">
        <v>2027</v>
      </c>
      <c r="C197" s="15"/>
      <c r="D197" s="15"/>
      <c r="E197" s="20">
        <v>-56500</v>
      </c>
      <c r="F197" s="21">
        <v>-1096.2978000000001</v>
      </c>
      <c r="G197" s="22">
        <v>-3.5999999999999999E-3</v>
      </c>
      <c r="H197" s="40"/>
      <c r="I197" s="24"/>
      <c r="J197" s="5"/>
    </row>
    <row r="198" spans="1:10" ht="12.95" customHeight="1">
      <c r="A198" s="18" t="s">
        <v>2028</v>
      </c>
      <c r="B198" s="19" t="s">
        <v>2029</v>
      </c>
      <c r="C198" s="15"/>
      <c r="D198" s="15"/>
      <c r="E198" s="20">
        <v>-183825</v>
      </c>
      <c r="F198" s="21">
        <v>-1164.0717999999999</v>
      </c>
      <c r="G198" s="22">
        <v>-3.8E-3</v>
      </c>
      <c r="H198" s="40"/>
      <c r="I198" s="24"/>
      <c r="J198" s="5"/>
    </row>
    <row r="199" spans="1:10" ht="12.95" customHeight="1">
      <c r="A199" s="18" t="s">
        <v>2030</v>
      </c>
      <c r="B199" s="19" t="s">
        <v>2031</v>
      </c>
      <c r="C199" s="15"/>
      <c r="D199" s="15"/>
      <c r="E199" s="20">
        <v>-3135</v>
      </c>
      <c r="F199" s="21">
        <v>-1228.6049</v>
      </c>
      <c r="G199" s="22">
        <v>-4.0000000000000001E-3</v>
      </c>
      <c r="H199" s="40"/>
      <c r="I199" s="24"/>
      <c r="J199" s="5"/>
    </row>
    <row r="200" spans="1:10" ht="12.95" customHeight="1">
      <c r="A200" s="18" t="s">
        <v>2032</v>
      </c>
      <c r="B200" s="19" t="s">
        <v>2033</v>
      </c>
      <c r="C200" s="15"/>
      <c r="D200" s="15"/>
      <c r="E200" s="20">
        <v>-81000</v>
      </c>
      <c r="F200" s="21">
        <v>-1256.1479999999999</v>
      </c>
      <c r="G200" s="22">
        <v>-4.1000000000000003E-3</v>
      </c>
      <c r="H200" s="40"/>
      <c r="I200" s="24"/>
      <c r="J200" s="5"/>
    </row>
    <row r="201" spans="1:10" ht="12.95" customHeight="1">
      <c r="A201" s="18" t="s">
        <v>2034</v>
      </c>
      <c r="B201" s="19" t="s">
        <v>2035</v>
      </c>
      <c r="C201" s="15"/>
      <c r="D201" s="15"/>
      <c r="E201" s="20">
        <v>-322000</v>
      </c>
      <c r="F201" s="21">
        <v>-1329.2159999999999</v>
      </c>
      <c r="G201" s="22">
        <v>-4.3E-3</v>
      </c>
      <c r="H201" s="40"/>
      <c r="I201" s="24"/>
      <c r="J201" s="5"/>
    </row>
    <row r="202" spans="1:10" ht="12.95" customHeight="1">
      <c r="A202" s="18" t="s">
        <v>413</v>
      </c>
      <c r="B202" s="19" t="s">
        <v>414</v>
      </c>
      <c r="C202" s="15"/>
      <c r="D202" s="15"/>
      <c r="E202" s="20">
        <v>-275800</v>
      </c>
      <c r="F202" s="21">
        <v>-1361.7625</v>
      </c>
      <c r="G202" s="22">
        <v>-4.4000000000000003E-3</v>
      </c>
      <c r="H202" s="40"/>
      <c r="I202" s="24"/>
      <c r="J202" s="5"/>
    </row>
    <row r="203" spans="1:10" ht="12.95" customHeight="1">
      <c r="A203" s="18" t="s">
        <v>2036</v>
      </c>
      <c r="B203" s="19" t="s">
        <v>2037</v>
      </c>
      <c r="C203" s="15"/>
      <c r="D203" s="15"/>
      <c r="E203" s="20">
        <v>-424000</v>
      </c>
      <c r="F203" s="21">
        <v>-1514.74</v>
      </c>
      <c r="G203" s="22">
        <v>-4.8999999999999998E-3</v>
      </c>
      <c r="H203" s="40"/>
      <c r="I203" s="24"/>
      <c r="J203" s="5"/>
    </row>
    <row r="204" spans="1:10" ht="12.95" customHeight="1">
      <c r="A204" s="18" t="s">
        <v>2038</v>
      </c>
      <c r="B204" s="19" t="s">
        <v>2039</v>
      </c>
      <c r="C204" s="15"/>
      <c r="D204" s="15"/>
      <c r="E204" s="20">
        <v>-378000</v>
      </c>
      <c r="F204" s="21">
        <v>-1544.508</v>
      </c>
      <c r="G204" s="22">
        <v>-5.0000000000000001E-3</v>
      </c>
      <c r="H204" s="40"/>
      <c r="I204" s="24"/>
      <c r="J204" s="5"/>
    </row>
    <row r="205" spans="1:10" ht="12.95" customHeight="1">
      <c r="A205" s="18" t="s">
        <v>2040</v>
      </c>
      <c r="B205" s="19" t="s">
        <v>2041</v>
      </c>
      <c r="C205" s="15"/>
      <c r="D205" s="15"/>
      <c r="E205" s="20">
        <v>-1672000</v>
      </c>
      <c r="F205" s="21">
        <v>-1580.04</v>
      </c>
      <c r="G205" s="22">
        <v>-5.1000000000000004E-3</v>
      </c>
      <c r="H205" s="40"/>
      <c r="I205" s="24"/>
      <c r="J205" s="5"/>
    </row>
    <row r="206" spans="1:10" ht="12.95" customHeight="1">
      <c r="A206" s="18" t="s">
        <v>2042</v>
      </c>
      <c r="B206" s="19" t="s">
        <v>2043</v>
      </c>
      <c r="C206" s="15"/>
      <c r="D206" s="15"/>
      <c r="E206" s="20">
        <v>-301950</v>
      </c>
      <c r="F206" s="21">
        <v>-1613.3189</v>
      </c>
      <c r="G206" s="22">
        <v>-5.1999999999999998E-3</v>
      </c>
      <c r="H206" s="40"/>
      <c r="I206" s="24"/>
      <c r="J206" s="5"/>
    </row>
    <row r="207" spans="1:10" ht="12.95" customHeight="1">
      <c r="A207" s="18" t="s">
        <v>2044</v>
      </c>
      <c r="B207" s="19" t="s">
        <v>2045</v>
      </c>
      <c r="C207" s="15"/>
      <c r="D207" s="15"/>
      <c r="E207" s="20">
        <v>-745300</v>
      </c>
      <c r="F207" s="21">
        <v>-1749.2191</v>
      </c>
      <c r="G207" s="22">
        <v>-5.7000000000000002E-3</v>
      </c>
      <c r="H207" s="40"/>
      <c r="I207" s="24"/>
      <c r="J207" s="5"/>
    </row>
    <row r="208" spans="1:10" ht="12.95" customHeight="1">
      <c r="A208" s="18" t="s">
        <v>2046</v>
      </c>
      <c r="B208" s="19" t="s">
        <v>2047</v>
      </c>
      <c r="C208" s="15"/>
      <c r="D208" s="15"/>
      <c r="E208" s="20">
        <v>-25000</v>
      </c>
      <c r="F208" s="21">
        <v>-2072.375</v>
      </c>
      <c r="G208" s="22">
        <v>-6.7000000000000002E-3</v>
      </c>
      <c r="H208" s="40"/>
      <c r="I208" s="24"/>
      <c r="J208" s="5"/>
    </row>
    <row r="209" spans="1:10" ht="12.95" customHeight="1">
      <c r="A209" s="18" t="s">
        <v>2048</v>
      </c>
      <c r="B209" s="19" t="s">
        <v>2049</v>
      </c>
      <c r="C209" s="15"/>
      <c r="D209" s="15"/>
      <c r="E209" s="20">
        <v>-19600</v>
      </c>
      <c r="F209" s="21">
        <v>-2088.6446000000001</v>
      </c>
      <c r="G209" s="22">
        <v>-6.7999999999999996E-3</v>
      </c>
      <c r="H209" s="40"/>
      <c r="I209" s="24"/>
      <c r="J209" s="5"/>
    </row>
    <row r="210" spans="1:10" ht="12.95" customHeight="1">
      <c r="A210" s="18" t="s">
        <v>411</v>
      </c>
      <c r="B210" s="19" t="s">
        <v>412</v>
      </c>
      <c r="C210" s="15"/>
      <c r="D210" s="15"/>
      <c r="E210" s="20">
        <v>-1771000</v>
      </c>
      <c r="F210" s="21">
        <v>-2299.6435000000001</v>
      </c>
      <c r="G210" s="22">
        <v>-7.4999999999999997E-3</v>
      </c>
      <c r="H210" s="40"/>
      <c r="I210" s="24"/>
      <c r="J210" s="5"/>
    </row>
    <row r="211" spans="1:10" ht="12.95" customHeight="1">
      <c r="A211" s="18" t="s">
        <v>2050</v>
      </c>
      <c r="B211" s="19" t="s">
        <v>2051</v>
      </c>
      <c r="C211" s="15"/>
      <c r="D211" s="15"/>
      <c r="E211" s="20">
        <v>-653400</v>
      </c>
      <c r="F211" s="21">
        <v>-2474.7525000000001</v>
      </c>
      <c r="G211" s="22">
        <v>-8.0000000000000002E-3</v>
      </c>
      <c r="H211" s="40"/>
      <c r="I211" s="24"/>
      <c r="J211" s="5"/>
    </row>
    <row r="212" spans="1:10" ht="12.95" customHeight="1">
      <c r="A212" s="18" t="s">
        <v>2052</v>
      </c>
      <c r="B212" s="19" t="s">
        <v>2053</v>
      </c>
      <c r="C212" s="15"/>
      <c r="D212" s="15"/>
      <c r="E212" s="20">
        <v>-1696500</v>
      </c>
      <c r="F212" s="21">
        <v>-2520.9989999999998</v>
      </c>
      <c r="G212" s="22">
        <v>-8.2000000000000007E-3</v>
      </c>
      <c r="H212" s="40"/>
      <c r="I212" s="24"/>
      <c r="J212" s="5"/>
    </row>
    <row r="213" spans="1:10" ht="12.95" customHeight="1">
      <c r="A213" s="18" t="s">
        <v>2054</v>
      </c>
      <c r="B213" s="19" t="s">
        <v>2055</v>
      </c>
      <c r="C213" s="15"/>
      <c r="D213" s="15"/>
      <c r="E213" s="20">
        <v>-558000</v>
      </c>
      <c r="F213" s="21">
        <v>-2601.3960000000002</v>
      </c>
      <c r="G213" s="22">
        <v>-8.3999999999999995E-3</v>
      </c>
      <c r="H213" s="40"/>
      <c r="I213" s="24"/>
      <c r="J213" s="5"/>
    </row>
    <row r="214" spans="1:10" ht="12.95" customHeight="1">
      <c r="A214" s="18" t="s">
        <v>2056</v>
      </c>
      <c r="B214" s="19" t="s">
        <v>2057</v>
      </c>
      <c r="C214" s="15"/>
      <c r="D214" s="15"/>
      <c r="E214" s="20">
        <v>-22160000</v>
      </c>
      <c r="F214" s="21">
        <v>-2603.8000000000002</v>
      </c>
      <c r="G214" s="22">
        <v>-8.3999999999999995E-3</v>
      </c>
      <c r="H214" s="40"/>
      <c r="I214" s="24"/>
      <c r="J214" s="5"/>
    </row>
    <row r="215" spans="1:10" ht="12.95" customHeight="1">
      <c r="A215" s="18" t="s">
        <v>1633</v>
      </c>
      <c r="B215" s="19" t="s">
        <v>1634</v>
      </c>
      <c r="C215" s="15"/>
      <c r="D215" s="15"/>
      <c r="E215" s="20">
        <v>-1397400</v>
      </c>
      <c r="F215" s="21">
        <v>-2611.0419000000002</v>
      </c>
      <c r="G215" s="22">
        <v>-8.5000000000000006E-3</v>
      </c>
      <c r="H215" s="40"/>
      <c r="I215" s="24"/>
      <c r="J215" s="5"/>
    </row>
    <row r="216" spans="1:10" ht="12.95" customHeight="1">
      <c r="A216" s="18" t="s">
        <v>1635</v>
      </c>
      <c r="B216" s="19" t="s">
        <v>1636</v>
      </c>
      <c r="C216" s="15"/>
      <c r="D216" s="15"/>
      <c r="E216" s="20">
        <v>-2260050</v>
      </c>
      <c r="F216" s="21">
        <v>-2829.5826000000002</v>
      </c>
      <c r="G216" s="22">
        <v>-9.1999999999999998E-3</v>
      </c>
      <c r="H216" s="40"/>
      <c r="I216" s="24"/>
      <c r="J216" s="5"/>
    </row>
    <row r="217" spans="1:10" ht="12.95" customHeight="1">
      <c r="A217" s="18" t="s">
        <v>1641</v>
      </c>
      <c r="B217" s="19" t="s">
        <v>1642</v>
      </c>
      <c r="C217" s="15"/>
      <c r="D217" s="15"/>
      <c r="E217" s="20">
        <v>-516250</v>
      </c>
      <c r="F217" s="21">
        <v>-2857.1855999999998</v>
      </c>
      <c r="G217" s="22">
        <v>-9.2999999999999992E-3</v>
      </c>
      <c r="H217" s="40"/>
      <c r="I217" s="24"/>
      <c r="J217" s="5"/>
    </row>
    <row r="218" spans="1:10" ht="12.95" customHeight="1">
      <c r="A218" s="18" t="s">
        <v>2058</v>
      </c>
      <c r="B218" s="19" t="s">
        <v>2059</v>
      </c>
      <c r="C218" s="15"/>
      <c r="D218" s="15"/>
      <c r="E218" s="20">
        <v>-147725</v>
      </c>
      <c r="F218" s="21">
        <v>-2879.6772999999998</v>
      </c>
      <c r="G218" s="22">
        <v>-9.2999999999999992E-3</v>
      </c>
      <c r="H218" s="40"/>
      <c r="I218" s="24"/>
      <c r="J218" s="5"/>
    </row>
    <row r="219" spans="1:10" ht="12.95" customHeight="1">
      <c r="A219" s="18" t="s">
        <v>1625</v>
      </c>
      <c r="B219" s="19" t="s">
        <v>1626</v>
      </c>
      <c r="C219" s="15"/>
      <c r="D219" s="15"/>
      <c r="E219" s="20">
        <v>-165000</v>
      </c>
      <c r="F219" s="21">
        <v>-3341.9924999999998</v>
      </c>
      <c r="G219" s="22">
        <v>-1.0800000000000001E-2</v>
      </c>
      <c r="H219" s="40"/>
      <c r="I219" s="24"/>
      <c r="J219" s="5"/>
    </row>
    <row r="220" spans="1:10" ht="12.95" customHeight="1">
      <c r="A220" s="18" t="s">
        <v>2060</v>
      </c>
      <c r="B220" s="19" t="s">
        <v>2061</v>
      </c>
      <c r="C220" s="15"/>
      <c r="D220" s="15"/>
      <c r="E220" s="20">
        <v>-66000</v>
      </c>
      <c r="F220" s="21">
        <v>-3406.029</v>
      </c>
      <c r="G220" s="22">
        <v>-1.0999999999999999E-2</v>
      </c>
      <c r="H220" s="40"/>
      <c r="I220" s="24"/>
      <c r="J220" s="5"/>
    </row>
    <row r="221" spans="1:10" ht="12.95" customHeight="1">
      <c r="A221" s="18" t="s">
        <v>2062</v>
      </c>
      <c r="B221" s="19" t="s">
        <v>2063</v>
      </c>
      <c r="C221" s="15"/>
      <c r="D221" s="15"/>
      <c r="E221" s="20">
        <v>-301000</v>
      </c>
      <c r="F221" s="21">
        <v>-3503.4895000000001</v>
      </c>
      <c r="G221" s="22">
        <v>-1.14E-2</v>
      </c>
      <c r="H221" s="40"/>
      <c r="I221" s="24"/>
      <c r="J221" s="5"/>
    </row>
    <row r="222" spans="1:10" ht="12.95" customHeight="1">
      <c r="A222" s="18" t="s">
        <v>2064</v>
      </c>
      <c r="B222" s="19" t="s">
        <v>2065</v>
      </c>
      <c r="C222" s="15"/>
      <c r="D222" s="15"/>
      <c r="E222" s="20">
        <v>-207600</v>
      </c>
      <c r="F222" s="21">
        <v>-3624.0731999999998</v>
      </c>
      <c r="G222" s="22">
        <v>-1.18E-2</v>
      </c>
      <c r="H222" s="40"/>
      <c r="I222" s="24"/>
      <c r="J222" s="5"/>
    </row>
    <row r="223" spans="1:10" ht="12.95" customHeight="1">
      <c r="A223" s="18" t="s">
        <v>2066</v>
      </c>
      <c r="B223" s="19" t="s">
        <v>2067</v>
      </c>
      <c r="C223" s="15"/>
      <c r="D223" s="15"/>
      <c r="E223" s="20">
        <v>-1382500</v>
      </c>
      <c r="F223" s="21">
        <v>-3779.0637999999999</v>
      </c>
      <c r="G223" s="22">
        <v>-1.23E-2</v>
      </c>
      <c r="H223" s="40"/>
      <c r="I223" s="24"/>
      <c r="J223" s="5"/>
    </row>
    <row r="224" spans="1:10" ht="12.95" customHeight="1">
      <c r="A224" s="18" t="s">
        <v>2068</v>
      </c>
      <c r="B224" s="19" t="s">
        <v>2069</v>
      </c>
      <c r="C224" s="15"/>
      <c r="D224" s="15"/>
      <c r="E224" s="20">
        <v>-2560000</v>
      </c>
      <c r="F224" s="21">
        <v>-3782.4</v>
      </c>
      <c r="G224" s="22">
        <v>-1.23E-2</v>
      </c>
      <c r="H224" s="40"/>
      <c r="I224" s="24"/>
      <c r="J224" s="5"/>
    </row>
    <row r="225" spans="1:10" ht="12.95" customHeight="1">
      <c r="A225" s="18" t="s">
        <v>2070</v>
      </c>
      <c r="B225" s="19" t="s">
        <v>2071</v>
      </c>
      <c r="C225" s="15"/>
      <c r="D225" s="15"/>
      <c r="E225" s="20">
        <v>-386000</v>
      </c>
      <c r="F225" s="21">
        <v>-3854.21</v>
      </c>
      <c r="G225" s="22">
        <v>-1.2500000000000001E-2</v>
      </c>
      <c r="H225" s="40"/>
      <c r="I225" s="24"/>
      <c r="J225" s="5"/>
    </row>
    <row r="226" spans="1:10" ht="12.95" customHeight="1">
      <c r="A226" s="18" t="s">
        <v>2072</v>
      </c>
      <c r="B226" s="19" t="s">
        <v>2073</v>
      </c>
      <c r="C226" s="15"/>
      <c r="D226" s="15"/>
      <c r="E226" s="20">
        <v>-74375</v>
      </c>
      <c r="F226" s="21">
        <v>-4181.2138000000004</v>
      </c>
      <c r="G226" s="22">
        <v>-1.3599999999999999E-2</v>
      </c>
      <c r="H226" s="40"/>
      <c r="I226" s="24"/>
      <c r="J226" s="5"/>
    </row>
    <row r="227" spans="1:10" ht="12.95" customHeight="1">
      <c r="A227" s="18" t="s">
        <v>2074</v>
      </c>
      <c r="B227" s="19" t="s">
        <v>2075</v>
      </c>
      <c r="C227" s="15"/>
      <c r="D227" s="15"/>
      <c r="E227" s="20">
        <v>-870000</v>
      </c>
      <c r="F227" s="21">
        <v>-4233.42</v>
      </c>
      <c r="G227" s="22">
        <v>-1.37E-2</v>
      </c>
      <c r="H227" s="40"/>
      <c r="I227" s="24"/>
      <c r="J227" s="5"/>
    </row>
    <row r="228" spans="1:10" ht="12.95" customHeight="1">
      <c r="A228" s="18" t="s">
        <v>2076</v>
      </c>
      <c r="B228" s="19" t="s">
        <v>2077</v>
      </c>
      <c r="C228" s="15"/>
      <c r="D228" s="15"/>
      <c r="E228" s="20">
        <v>-520300</v>
      </c>
      <c r="F228" s="21">
        <v>-4788.5811000000003</v>
      </c>
      <c r="G228" s="22">
        <v>-1.55E-2</v>
      </c>
      <c r="H228" s="40"/>
      <c r="I228" s="24"/>
      <c r="J228" s="5"/>
    </row>
    <row r="229" spans="1:10" ht="12.95" customHeight="1">
      <c r="A229" s="18" t="s">
        <v>2078</v>
      </c>
      <c r="B229" s="19" t="s">
        <v>2079</v>
      </c>
      <c r="C229" s="15"/>
      <c r="D229" s="15"/>
      <c r="E229" s="20">
        <v>-3348000</v>
      </c>
      <c r="F229" s="21">
        <v>-5053.8059999999996</v>
      </c>
      <c r="G229" s="22">
        <v>-1.6400000000000001E-2</v>
      </c>
      <c r="H229" s="40"/>
      <c r="I229" s="24"/>
      <c r="J229" s="5"/>
    </row>
    <row r="230" spans="1:10" ht="12.95" customHeight="1">
      <c r="A230" s="18" t="s">
        <v>2080</v>
      </c>
      <c r="B230" s="19" t="s">
        <v>2081</v>
      </c>
      <c r="C230" s="15"/>
      <c r="D230" s="15"/>
      <c r="E230" s="20">
        <v>-109250</v>
      </c>
      <c r="F230" s="21">
        <v>-5550.2824000000001</v>
      </c>
      <c r="G230" s="22">
        <v>-1.7999999999999999E-2</v>
      </c>
      <c r="H230" s="40"/>
      <c r="I230" s="24"/>
      <c r="J230" s="5"/>
    </row>
    <row r="231" spans="1:10" ht="12.95" customHeight="1">
      <c r="A231" s="18" t="s">
        <v>2082</v>
      </c>
      <c r="B231" s="19" t="s">
        <v>2083</v>
      </c>
      <c r="C231" s="15"/>
      <c r="D231" s="15"/>
      <c r="E231" s="20">
        <v>-2250000</v>
      </c>
      <c r="F231" s="21">
        <v>-5679</v>
      </c>
      <c r="G231" s="22">
        <v>-1.84E-2</v>
      </c>
      <c r="H231" s="40"/>
      <c r="I231" s="24"/>
      <c r="J231" s="5"/>
    </row>
    <row r="232" spans="1:10" ht="12.95" customHeight="1">
      <c r="A232" s="18" t="s">
        <v>415</v>
      </c>
      <c r="B232" s="19" t="s">
        <v>416</v>
      </c>
      <c r="C232" s="15"/>
      <c r="D232" s="15"/>
      <c r="E232" s="20">
        <v>-2208000</v>
      </c>
      <c r="F232" s="21">
        <v>-5863.3440000000001</v>
      </c>
      <c r="G232" s="22">
        <v>-1.9E-2</v>
      </c>
      <c r="H232" s="40"/>
      <c r="I232" s="24"/>
      <c r="J232" s="5"/>
    </row>
    <row r="233" spans="1:10" ht="12.95" customHeight="1">
      <c r="A233" s="18" t="s">
        <v>1623</v>
      </c>
      <c r="B233" s="19" t="s">
        <v>1624</v>
      </c>
      <c r="C233" s="15"/>
      <c r="D233" s="15"/>
      <c r="E233" s="20">
        <v>-617400</v>
      </c>
      <c r="F233" s="21">
        <v>-6256.4228999999996</v>
      </c>
      <c r="G233" s="22">
        <v>-2.0299999999999999E-2</v>
      </c>
      <c r="H233" s="40"/>
      <c r="I233" s="24"/>
      <c r="J233" s="5"/>
    </row>
    <row r="234" spans="1:10" ht="12.95" customHeight="1">
      <c r="A234" s="18" t="s">
        <v>2084</v>
      </c>
      <c r="B234" s="19" t="s">
        <v>2085</v>
      </c>
      <c r="C234" s="15"/>
      <c r="D234" s="15"/>
      <c r="E234" s="20">
        <v>-192250</v>
      </c>
      <c r="F234" s="21">
        <v>-6665.4035999999996</v>
      </c>
      <c r="G234" s="22">
        <v>-2.1600000000000001E-2</v>
      </c>
      <c r="H234" s="40"/>
      <c r="I234" s="24"/>
      <c r="J234" s="5"/>
    </row>
    <row r="235" spans="1:10" ht="12.95" customHeight="1">
      <c r="A235" s="18" t="s">
        <v>2086</v>
      </c>
      <c r="B235" s="19" t="s">
        <v>2087</v>
      </c>
      <c r="C235" s="15"/>
      <c r="D235" s="15"/>
      <c r="E235" s="20">
        <v>-3869200</v>
      </c>
      <c r="F235" s="21">
        <v>-7457.8829999999998</v>
      </c>
      <c r="G235" s="22">
        <v>-2.4199999999999999E-2</v>
      </c>
      <c r="H235" s="40"/>
      <c r="I235" s="24"/>
      <c r="J235" s="5"/>
    </row>
    <row r="236" spans="1:10" ht="12.95" customHeight="1">
      <c r="A236" s="18" t="s">
        <v>1643</v>
      </c>
      <c r="B236" s="19" t="s">
        <v>1644</v>
      </c>
      <c r="C236" s="15"/>
      <c r="D236" s="15"/>
      <c r="E236" s="20">
        <v>-868000</v>
      </c>
      <c r="F236" s="21">
        <v>-8301.1180000000004</v>
      </c>
      <c r="G236" s="22">
        <v>-2.69E-2</v>
      </c>
      <c r="H236" s="40"/>
      <c r="I236" s="24"/>
      <c r="J236" s="5"/>
    </row>
    <row r="237" spans="1:10" ht="12.95" customHeight="1">
      <c r="A237" s="18" t="s">
        <v>1649</v>
      </c>
      <c r="B237" s="19" t="s">
        <v>1650</v>
      </c>
      <c r="C237" s="15"/>
      <c r="D237" s="15"/>
      <c r="E237" s="20">
        <v>-2052000</v>
      </c>
      <c r="F237" s="21">
        <v>-8772.2999999999993</v>
      </c>
      <c r="G237" s="22">
        <v>-2.8500000000000001E-2</v>
      </c>
      <c r="H237" s="40"/>
      <c r="I237" s="24"/>
      <c r="J237" s="5"/>
    </row>
    <row r="238" spans="1:10" ht="12.95" customHeight="1">
      <c r="A238" s="18" t="s">
        <v>1629</v>
      </c>
      <c r="B238" s="19" t="s">
        <v>1630</v>
      </c>
      <c r="C238" s="15"/>
      <c r="D238" s="15"/>
      <c r="E238" s="20">
        <v>-637000</v>
      </c>
      <c r="F238" s="21">
        <v>-9159.4230000000007</v>
      </c>
      <c r="G238" s="22">
        <v>-2.9700000000000001E-2</v>
      </c>
      <c r="H238" s="40"/>
      <c r="I238" s="24"/>
      <c r="J238" s="5"/>
    </row>
    <row r="239" spans="1:10" ht="12.95" customHeight="1">
      <c r="A239" s="18" t="s">
        <v>1647</v>
      </c>
      <c r="B239" s="19" t="s">
        <v>1648</v>
      </c>
      <c r="C239" s="15"/>
      <c r="D239" s="15"/>
      <c r="E239" s="20">
        <v>-3513375</v>
      </c>
      <c r="F239" s="21">
        <v>-9273.5532999999996</v>
      </c>
      <c r="G239" s="22">
        <v>-3.0099999999999998E-2</v>
      </c>
      <c r="H239" s="40"/>
      <c r="I239" s="24"/>
      <c r="J239" s="5"/>
    </row>
    <row r="240" spans="1:10" ht="12.95" customHeight="1">
      <c r="A240" s="18" t="s">
        <v>1627</v>
      </c>
      <c r="B240" s="19" t="s">
        <v>1628</v>
      </c>
      <c r="C240" s="15"/>
      <c r="D240" s="15"/>
      <c r="E240" s="20">
        <v>-1443750</v>
      </c>
      <c r="F240" s="21">
        <v>-10191.4313</v>
      </c>
      <c r="G240" s="22">
        <v>-3.3099999999999997E-2</v>
      </c>
      <c r="H240" s="40"/>
      <c r="I240" s="24"/>
      <c r="J240" s="5"/>
    </row>
    <row r="241" spans="1:10" ht="12.95" customHeight="1">
      <c r="A241" s="18" t="s">
        <v>2088</v>
      </c>
      <c r="B241" s="19" t="s">
        <v>2089</v>
      </c>
      <c r="C241" s="15"/>
      <c r="D241" s="15"/>
      <c r="E241" s="20">
        <v>-443500</v>
      </c>
      <c r="F241" s="21">
        <v>-10457.73</v>
      </c>
      <c r="G241" s="22">
        <v>-3.39E-2</v>
      </c>
      <c r="H241" s="40"/>
      <c r="I241" s="24"/>
      <c r="J241" s="5"/>
    </row>
    <row r="242" spans="1:10" ht="12.95" customHeight="1">
      <c r="A242" s="18" t="s">
        <v>1645</v>
      </c>
      <c r="B242" s="19" t="s">
        <v>1646</v>
      </c>
      <c r="C242" s="15"/>
      <c r="D242" s="15"/>
      <c r="E242" s="20">
        <v>-1007600</v>
      </c>
      <c r="F242" s="21">
        <v>-15483.789199999999</v>
      </c>
      <c r="G242" s="22">
        <v>-5.0200000000000002E-2</v>
      </c>
      <c r="H242" s="40"/>
      <c r="I242" s="24"/>
      <c r="J242" s="5"/>
    </row>
    <row r="243" spans="1:10" ht="12.95" customHeight="1">
      <c r="A243" s="5"/>
      <c r="B243" s="14" t="s">
        <v>160</v>
      </c>
      <c r="C243" s="15"/>
      <c r="D243" s="15"/>
      <c r="E243" s="15"/>
      <c r="F243" s="25">
        <v>-215733.79689999999</v>
      </c>
      <c r="G243" s="26">
        <v>-0.69969999999999999</v>
      </c>
      <c r="H243" s="27"/>
      <c r="I243" s="28"/>
      <c r="J243" s="5"/>
    </row>
    <row r="244" spans="1:10" ht="12.95" customHeight="1">
      <c r="A244" s="5"/>
      <c r="B244" s="29" t="s">
        <v>163</v>
      </c>
      <c r="C244" s="30"/>
      <c r="D244" s="2"/>
      <c r="E244" s="30"/>
      <c r="F244" s="25">
        <v>-215733.79689999999</v>
      </c>
      <c r="G244" s="26">
        <v>-0.69969999999999999</v>
      </c>
      <c r="H244" s="27"/>
      <c r="I244" s="28"/>
      <c r="J244" s="5"/>
    </row>
    <row r="245" spans="1:10" ht="12.95" customHeight="1">
      <c r="A245" s="5"/>
      <c r="B245" s="14" t="s">
        <v>151</v>
      </c>
      <c r="C245" s="15"/>
      <c r="D245" s="15"/>
      <c r="E245" s="15"/>
      <c r="F245" s="15"/>
      <c r="G245" s="15"/>
      <c r="H245" s="16"/>
      <c r="I245" s="17"/>
      <c r="J245" s="5"/>
    </row>
    <row r="246" spans="1:10" ht="12.95" customHeight="1">
      <c r="A246" s="5"/>
      <c r="B246" s="14" t="s">
        <v>152</v>
      </c>
      <c r="C246" s="15"/>
      <c r="D246" s="15"/>
      <c r="E246" s="15"/>
      <c r="F246" s="5"/>
      <c r="G246" s="16"/>
      <c r="H246" s="16"/>
      <c r="I246" s="17"/>
      <c r="J246" s="5"/>
    </row>
    <row r="247" spans="1:10" ht="12.95" customHeight="1">
      <c r="A247" s="18" t="s">
        <v>2090</v>
      </c>
      <c r="B247" s="19" t="s">
        <v>2091</v>
      </c>
      <c r="C247" s="15" t="s">
        <v>2092</v>
      </c>
      <c r="D247" s="15" t="s">
        <v>156</v>
      </c>
      <c r="E247" s="20">
        <v>2500000</v>
      </c>
      <c r="F247" s="21">
        <v>2529.2350000000001</v>
      </c>
      <c r="G247" s="22">
        <v>8.2000000000000007E-3</v>
      </c>
      <c r="H247" s="23">
        <v>7.4733999999999995E-2</v>
      </c>
      <c r="I247" s="24"/>
      <c r="J247" s="5"/>
    </row>
    <row r="248" spans="1:10" ht="12.95" customHeight="1">
      <c r="A248" s="5"/>
      <c r="B248" s="14" t="s">
        <v>160</v>
      </c>
      <c r="C248" s="15"/>
      <c r="D248" s="15"/>
      <c r="E248" s="15"/>
      <c r="F248" s="25">
        <v>2529.2350000000001</v>
      </c>
      <c r="G248" s="26">
        <v>8.2000000000000007E-3</v>
      </c>
      <c r="H248" s="27"/>
      <c r="I248" s="28"/>
      <c r="J248" s="5"/>
    </row>
    <row r="249" spans="1:10" ht="12.95" customHeight="1">
      <c r="A249" s="5"/>
      <c r="B249" s="29" t="s">
        <v>161</v>
      </c>
      <c r="C249" s="2"/>
      <c r="D249" s="2"/>
      <c r="E249" s="2"/>
      <c r="F249" s="27" t="s">
        <v>162</v>
      </c>
      <c r="G249" s="27" t="s">
        <v>162</v>
      </c>
      <c r="H249" s="27"/>
      <c r="I249" s="28"/>
      <c r="J249" s="5"/>
    </row>
    <row r="250" spans="1:10" ht="12.95" customHeight="1">
      <c r="A250" s="5"/>
      <c r="B250" s="29" t="s">
        <v>160</v>
      </c>
      <c r="C250" s="2"/>
      <c r="D250" s="2"/>
      <c r="E250" s="2"/>
      <c r="F250" s="27" t="s">
        <v>162</v>
      </c>
      <c r="G250" s="27" t="s">
        <v>162</v>
      </c>
      <c r="H250" s="27"/>
      <c r="I250" s="28"/>
      <c r="J250" s="5"/>
    </row>
    <row r="251" spans="1:10" ht="12.95" customHeight="1">
      <c r="A251" s="5"/>
      <c r="B251" s="29" t="s">
        <v>163</v>
      </c>
      <c r="C251" s="30"/>
      <c r="D251" s="2"/>
      <c r="E251" s="30"/>
      <c r="F251" s="25">
        <v>2529.2350000000001</v>
      </c>
      <c r="G251" s="26">
        <v>8.2000000000000007E-3</v>
      </c>
      <c r="H251" s="27"/>
      <c r="I251" s="28"/>
      <c r="J251" s="5"/>
    </row>
    <row r="252" spans="1:10" ht="12.95" customHeight="1">
      <c r="A252" s="5"/>
      <c r="B252" s="14" t="s">
        <v>417</v>
      </c>
      <c r="C252" s="15"/>
      <c r="D252" s="15"/>
      <c r="E252" s="15"/>
      <c r="F252" s="15"/>
      <c r="G252" s="15"/>
      <c r="H252" s="16"/>
      <c r="I252" s="17"/>
      <c r="J252" s="5"/>
    </row>
    <row r="253" spans="1:10" ht="12.95" customHeight="1">
      <c r="A253" s="5"/>
      <c r="B253" s="14" t="s">
        <v>679</v>
      </c>
      <c r="C253" s="15"/>
      <c r="D253" s="15"/>
      <c r="E253" s="15"/>
      <c r="F253" s="5"/>
      <c r="G253" s="16"/>
      <c r="H253" s="16"/>
      <c r="I253" s="17"/>
      <c r="J253" s="5"/>
    </row>
    <row r="254" spans="1:10" ht="12.95" customHeight="1">
      <c r="A254" s="18" t="s">
        <v>2093</v>
      </c>
      <c r="B254" s="19" t="s">
        <v>2094</v>
      </c>
      <c r="C254" s="15" t="s">
        <v>2095</v>
      </c>
      <c r="D254" s="15" t="s">
        <v>683</v>
      </c>
      <c r="E254" s="20">
        <v>1000</v>
      </c>
      <c r="F254" s="21">
        <v>4881.08</v>
      </c>
      <c r="G254" s="22">
        <v>1.5800000000000002E-2</v>
      </c>
      <c r="H254" s="23">
        <v>7.2300000000000003E-2</v>
      </c>
      <c r="I254" s="24"/>
      <c r="J254" s="5"/>
    </row>
    <row r="255" spans="1:10" ht="12.95" customHeight="1">
      <c r="A255" s="18" t="s">
        <v>2096</v>
      </c>
      <c r="B255" s="19" t="s">
        <v>2097</v>
      </c>
      <c r="C255" s="15" t="s">
        <v>2098</v>
      </c>
      <c r="D255" s="15" t="s">
        <v>2099</v>
      </c>
      <c r="E255" s="20">
        <v>1000</v>
      </c>
      <c r="F255" s="21">
        <v>4835.75</v>
      </c>
      <c r="G255" s="22">
        <v>1.5699999999999999E-2</v>
      </c>
      <c r="H255" s="23">
        <v>7.2499999999999995E-2</v>
      </c>
      <c r="I255" s="24"/>
      <c r="J255" s="5"/>
    </row>
    <row r="256" spans="1:10" ht="12.95" customHeight="1">
      <c r="A256" s="5"/>
      <c r="B256" s="14" t="s">
        <v>160</v>
      </c>
      <c r="C256" s="15"/>
      <c r="D256" s="15"/>
      <c r="E256" s="15"/>
      <c r="F256" s="25">
        <v>9716.83</v>
      </c>
      <c r="G256" s="26">
        <v>3.15E-2</v>
      </c>
      <c r="H256" s="27"/>
      <c r="I256" s="28"/>
      <c r="J256" s="5"/>
    </row>
    <row r="257" spans="1:10" ht="12.95" customHeight="1">
      <c r="A257" s="5"/>
      <c r="B257" s="14" t="s">
        <v>2100</v>
      </c>
      <c r="C257" s="15"/>
      <c r="D257" s="15"/>
      <c r="E257" s="15"/>
      <c r="F257" s="5"/>
      <c r="G257" s="16"/>
      <c r="H257" s="16"/>
      <c r="I257" s="17"/>
      <c r="J257" s="5"/>
    </row>
    <row r="258" spans="1:10" ht="12.95" customHeight="1">
      <c r="A258" s="18" t="s">
        <v>2101</v>
      </c>
      <c r="B258" s="19" t="s">
        <v>2102</v>
      </c>
      <c r="C258" s="15" t="s">
        <v>2103</v>
      </c>
      <c r="D258" s="15" t="s">
        <v>683</v>
      </c>
      <c r="E258" s="20">
        <v>1000</v>
      </c>
      <c r="F258" s="21">
        <v>4935.87</v>
      </c>
      <c r="G258" s="22">
        <v>1.6E-2</v>
      </c>
      <c r="H258" s="23">
        <v>7.4102000000000001E-2</v>
      </c>
      <c r="I258" s="24"/>
      <c r="J258" s="5"/>
    </row>
    <row r="259" spans="1:10" ht="12.95" customHeight="1">
      <c r="A259" s="18" t="s">
        <v>2104</v>
      </c>
      <c r="B259" s="19" t="s">
        <v>2105</v>
      </c>
      <c r="C259" s="15" t="s">
        <v>2106</v>
      </c>
      <c r="D259" s="15" t="s">
        <v>683</v>
      </c>
      <c r="E259" s="20">
        <v>500</v>
      </c>
      <c r="F259" s="21">
        <v>2395.2325000000001</v>
      </c>
      <c r="G259" s="22">
        <v>7.7999999999999996E-3</v>
      </c>
      <c r="H259" s="23">
        <v>7.7499999999999999E-2</v>
      </c>
      <c r="I259" s="24"/>
      <c r="J259" s="5"/>
    </row>
    <row r="260" spans="1:10" ht="12.95" customHeight="1">
      <c r="A260" s="18" t="s">
        <v>2107</v>
      </c>
      <c r="B260" s="19" t="s">
        <v>2108</v>
      </c>
      <c r="C260" s="15" t="s">
        <v>2109</v>
      </c>
      <c r="D260" s="15" t="s">
        <v>683</v>
      </c>
      <c r="E260" s="20">
        <v>500</v>
      </c>
      <c r="F260" s="21">
        <v>2379.5324999999998</v>
      </c>
      <c r="G260" s="22">
        <v>7.7000000000000002E-3</v>
      </c>
      <c r="H260" s="23">
        <v>7.8299999999999995E-2</v>
      </c>
      <c r="I260" s="24"/>
      <c r="J260" s="5"/>
    </row>
    <row r="261" spans="1:10" ht="12.95" customHeight="1">
      <c r="A261" s="5"/>
      <c r="B261" s="14" t="s">
        <v>160</v>
      </c>
      <c r="C261" s="15"/>
      <c r="D261" s="15"/>
      <c r="E261" s="15"/>
      <c r="F261" s="25">
        <v>9710.6350000000002</v>
      </c>
      <c r="G261" s="26">
        <v>3.15E-2</v>
      </c>
      <c r="H261" s="27"/>
      <c r="I261" s="28"/>
      <c r="J261" s="5"/>
    </row>
    <row r="262" spans="1:10" ht="12.95" customHeight="1">
      <c r="A262" s="5"/>
      <c r="B262" s="14" t="s">
        <v>418</v>
      </c>
      <c r="C262" s="15"/>
      <c r="D262" s="15"/>
      <c r="E262" s="15"/>
      <c r="F262" s="5"/>
      <c r="G262" s="16"/>
      <c r="H262" s="16"/>
      <c r="I262" s="17"/>
      <c r="J262" s="5"/>
    </row>
    <row r="263" spans="1:10" ht="12.95" customHeight="1">
      <c r="A263" s="18" t="s">
        <v>2110</v>
      </c>
      <c r="B263" s="19" t="s">
        <v>2111</v>
      </c>
      <c r="C263" s="15" t="s">
        <v>2112</v>
      </c>
      <c r="D263" s="15" t="s">
        <v>156</v>
      </c>
      <c r="E263" s="20">
        <v>5000000</v>
      </c>
      <c r="F263" s="21">
        <v>4892.6000000000004</v>
      </c>
      <c r="G263" s="22">
        <v>1.5900000000000001E-2</v>
      </c>
      <c r="H263" s="23">
        <v>6.9072999999999996E-2</v>
      </c>
      <c r="I263" s="24"/>
      <c r="J263" s="5"/>
    </row>
    <row r="264" spans="1:10" ht="12.95" customHeight="1">
      <c r="A264" s="18" t="s">
        <v>2113</v>
      </c>
      <c r="B264" s="19" t="s">
        <v>2114</v>
      </c>
      <c r="C264" s="15" t="s">
        <v>2115</v>
      </c>
      <c r="D264" s="15" t="s">
        <v>156</v>
      </c>
      <c r="E264" s="20">
        <v>5000000</v>
      </c>
      <c r="F264" s="21">
        <v>4866.16</v>
      </c>
      <c r="G264" s="22">
        <v>1.5800000000000002E-2</v>
      </c>
      <c r="H264" s="23">
        <v>6.9716E-2</v>
      </c>
      <c r="I264" s="24"/>
      <c r="J264" s="5"/>
    </row>
    <row r="265" spans="1:10" ht="12.95" customHeight="1">
      <c r="A265" s="18" t="s">
        <v>2116</v>
      </c>
      <c r="B265" s="19" t="s">
        <v>2117</v>
      </c>
      <c r="C265" s="15" t="s">
        <v>2118</v>
      </c>
      <c r="D265" s="15" t="s">
        <v>156</v>
      </c>
      <c r="E265" s="20">
        <v>2500000</v>
      </c>
      <c r="F265" s="21">
        <v>2462.9974999999999</v>
      </c>
      <c r="G265" s="22">
        <v>8.0000000000000002E-3</v>
      </c>
      <c r="H265" s="23">
        <v>6.7699999999999996E-2</v>
      </c>
      <c r="I265" s="24"/>
      <c r="J265" s="5"/>
    </row>
    <row r="266" spans="1:10" ht="12.95" customHeight="1">
      <c r="A266" s="18" t="s">
        <v>2119</v>
      </c>
      <c r="B266" s="19" t="s">
        <v>2120</v>
      </c>
      <c r="C266" s="15" t="s">
        <v>2121</v>
      </c>
      <c r="D266" s="15" t="s">
        <v>156</v>
      </c>
      <c r="E266" s="20">
        <v>2500000</v>
      </c>
      <c r="F266" s="21">
        <v>2459.2249999999999</v>
      </c>
      <c r="G266" s="22">
        <v>8.0000000000000002E-3</v>
      </c>
      <c r="H266" s="23">
        <v>6.8000000000000005E-2</v>
      </c>
      <c r="I266" s="24"/>
      <c r="J266" s="5"/>
    </row>
    <row r="267" spans="1:10" ht="12.95" customHeight="1">
      <c r="A267" s="18" t="s">
        <v>2122</v>
      </c>
      <c r="B267" s="19" t="s">
        <v>2123</v>
      </c>
      <c r="C267" s="15" t="s">
        <v>2124</v>
      </c>
      <c r="D267" s="15" t="s">
        <v>156</v>
      </c>
      <c r="E267" s="20">
        <v>2500000</v>
      </c>
      <c r="F267" s="21">
        <v>2449.5275000000001</v>
      </c>
      <c r="G267" s="22">
        <v>7.9000000000000008E-3</v>
      </c>
      <c r="H267" s="23">
        <v>6.9000000000000006E-2</v>
      </c>
      <c r="I267" s="24"/>
      <c r="J267" s="5"/>
    </row>
    <row r="268" spans="1:10" ht="12.95" customHeight="1">
      <c r="A268" s="18" t="s">
        <v>2125</v>
      </c>
      <c r="B268" s="19" t="s">
        <v>2126</v>
      </c>
      <c r="C268" s="15" t="s">
        <v>2127</v>
      </c>
      <c r="D268" s="15" t="s">
        <v>156</v>
      </c>
      <c r="E268" s="20">
        <v>2000000</v>
      </c>
      <c r="F268" s="21">
        <v>1951.5039999999999</v>
      </c>
      <c r="G268" s="22">
        <v>6.3E-3</v>
      </c>
      <c r="H268" s="23">
        <v>6.9773000000000002E-2</v>
      </c>
      <c r="I268" s="24"/>
      <c r="J268" s="5"/>
    </row>
    <row r="269" spans="1:10" ht="12.95" customHeight="1">
      <c r="A269" s="18" t="s">
        <v>2128</v>
      </c>
      <c r="B269" s="19" t="s">
        <v>2129</v>
      </c>
      <c r="C269" s="15" t="s">
        <v>2130</v>
      </c>
      <c r="D269" s="15" t="s">
        <v>156</v>
      </c>
      <c r="E269" s="20">
        <v>1500000</v>
      </c>
      <c r="F269" s="21">
        <v>1465.6875</v>
      </c>
      <c r="G269" s="22">
        <v>4.7999999999999996E-3</v>
      </c>
      <c r="H269" s="23">
        <v>6.9472000000000006E-2</v>
      </c>
      <c r="I269" s="24"/>
      <c r="J269" s="5"/>
    </row>
    <row r="270" spans="1:10" ht="12.95" customHeight="1">
      <c r="A270" s="18" t="s">
        <v>2131</v>
      </c>
      <c r="B270" s="19" t="s">
        <v>2132</v>
      </c>
      <c r="C270" s="15" t="s">
        <v>2133</v>
      </c>
      <c r="D270" s="15" t="s">
        <v>156</v>
      </c>
      <c r="E270" s="20">
        <v>1000000</v>
      </c>
      <c r="F270" s="21">
        <v>970.56700000000001</v>
      </c>
      <c r="G270" s="22">
        <v>3.0999999999999999E-3</v>
      </c>
      <c r="H270" s="23">
        <v>7.0055999999999993E-2</v>
      </c>
      <c r="I270" s="24"/>
      <c r="J270" s="5"/>
    </row>
    <row r="271" spans="1:10" ht="12.95" customHeight="1">
      <c r="A271" s="18" t="s">
        <v>2134</v>
      </c>
      <c r="B271" s="19" t="s">
        <v>2135</v>
      </c>
      <c r="C271" s="15" t="s">
        <v>2136</v>
      </c>
      <c r="D271" s="15" t="s">
        <v>156</v>
      </c>
      <c r="E271" s="20">
        <v>500000</v>
      </c>
      <c r="F271" s="21">
        <v>484.6635</v>
      </c>
      <c r="G271" s="22">
        <v>1.6000000000000001E-3</v>
      </c>
      <c r="H271" s="23">
        <v>7.0000000000000007E-2</v>
      </c>
      <c r="I271" s="24"/>
      <c r="J271" s="5"/>
    </row>
    <row r="272" spans="1:10" ht="12.95" customHeight="1">
      <c r="A272" s="5"/>
      <c r="B272" s="14" t="s">
        <v>160</v>
      </c>
      <c r="C272" s="15"/>
      <c r="D272" s="15"/>
      <c r="E272" s="15"/>
      <c r="F272" s="25">
        <v>22002.932000000001</v>
      </c>
      <c r="G272" s="26">
        <v>7.1400000000000005E-2</v>
      </c>
      <c r="H272" s="27"/>
      <c r="I272" s="28"/>
      <c r="J272" s="5"/>
    </row>
    <row r="273" spans="1:10" ht="12.95" customHeight="1">
      <c r="A273" s="5"/>
      <c r="B273" s="29" t="s">
        <v>163</v>
      </c>
      <c r="C273" s="30"/>
      <c r="D273" s="2"/>
      <c r="E273" s="30"/>
      <c r="F273" s="25">
        <v>41430.396999999997</v>
      </c>
      <c r="G273" s="26">
        <v>0.13439999999999999</v>
      </c>
      <c r="H273" s="27"/>
      <c r="I273" s="28"/>
      <c r="J273" s="5"/>
    </row>
    <row r="274" spans="1:10" ht="12.95" customHeight="1">
      <c r="A274" s="5"/>
      <c r="B274" s="14" t="s">
        <v>208</v>
      </c>
      <c r="C274" s="15"/>
      <c r="D274" s="15"/>
      <c r="E274" s="15"/>
      <c r="F274" s="15"/>
      <c r="G274" s="15"/>
      <c r="H274" s="16"/>
      <c r="I274" s="17"/>
      <c r="J274" s="5"/>
    </row>
    <row r="275" spans="1:10" ht="12.95" customHeight="1">
      <c r="A275" s="5"/>
      <c r="B275" s="14" t="s">
        <v>213</v>
      </c>
      <c r="C275" s="15"/>
      <c r="D275" s="15"/>
      <c r="E275" s="15"/>
      <c r="F275" s="5"/>
      <c r="G275" s="16"/>
      <c r="H275" s="16"/>
      <c r="I275" s="17"/>
      <c r="J275" s="5"/>
    </row>
    <row r="276" spans="1:10" ht="12.95" customHeight="1">
      <c r="A276" s="18" t="s">
        <v>2137</v>
      </c>
      <c r="B276" s="19" t="s">
        <v>2138</v>
      </c>
      <c r="C276" s="15" t="s">
        <v>2139</v>
      </c>
      <c r="D276" s="15"/>
      <c r="E276" s="20">
        <v>146877507.49599999</v>
      </c>
      <c r="F276" s="21">
        <v>20091.2274</v>
      </c>
      <c r="G276" s="22">
        <v>6.5199999999999994E-2</v>
      </c>
      <c r="H276" s="23"/>
      <c r="I276" s="24"/>
      <c r="J276" s="5"/>
    </row>
    <row r="277" spans="1:10" ht="12.95" customHeight="1">
      <c r="A277" s="18" t="s">
        <v>2140</v>
      </c>
      <c r="B277" s="19" t="s">
        <v>2141</v>
      </c>
      <c r="C277" s="15" t="s">
        <v>2142</v>
      </c>
      <c r="D277" s="15"/>
      <c r="E277" s="20">
        <v>1588778.6459999999</v>
      </c>
      <c r="F277" s="21">
        <v>20068.4287</v>
      </c>
      <c r="G277" s="22">
        <v>6.5100000000000005E-2</v>
      </c>
      <c r="H277" s="23"/>
      <c r="I277" s="24"/>
      <c r="J277" s="5"/>
    </row>
    <row r="278" spans="1:10" ht="12.95" customHeight="1">
      <c r="A278" s="5"/>
      <c r="B278" s="14" t="s">
        <v>160</v>
      </c>
      <c r="C278" s="15"/>
      <c r="D278" s="15"/>
      <c r="E278" s="15"/>
      <c r="F278" s="25">
        <v>40159.6561</v>
      </c>
      <c r="G278" s="26">
        <v>0.1303</v>
      </c>
      <c r="H278" s="27"/>
      <c r="I278" s="28"/>
      <c r="J278" s="5"/>
    </row>
    <row r="279" spans="1:10" ht="12.95" customHeight="1">
      <c r="A279" s="5"/>
      <c r="B279" s="29" t="s">
        <v>163</v>
      </c>
      <c r="C279" s="30"/>
      <c r="D279" s="2"/>
      <c r="E279" s="30"/>
      <c r="F279" s="25">
        <v>40159.6561</v>
      </c>
      <c r="G279" s="26">
        <v>0.1303</v>
      </c>
      <c r="H279" s="27"/>
      <c r="I279" s="28"/>
      <c r="J279" s="5"/>
    </row>
    <row r="280" spans="1:10" ht="12.95" customHeight="1">
      <c r="A280" s="5"/>
      <c r="B280" s="14" t="s">
        <v>164</v>
      </c>
      <c r="C280" s="15"/>
      <c r="D280" s="15"/>
      <c r="E280" s="15"/>
      <c r="F280" s="15"/>
      <c r="G280" s="15"/>
      <c r="H280" s="16"/>
      <c r="I280" s="17"/>
      <c r="J280" s="5"/>
    </row>
    <row r="281" spans="1:10" ht="12.95" customHeight="1">
      <c r="A281" s="18" t="s">
        <v>165</v>
      </c>
      <c r="B281" s="19" t="s">
        <v>166</v>
      </c>
      <c r="C281" s="15"/>
      <c r="D281" s="15"/>
      <c r="E281" s="20"/>
      <c r="F281" s="21">
        <v>10040.769</v>
      </c>
      <c r="G281" s="22">
        <v>3.2599999999999997E-2</v>
      </c>
      <c r="H281" s="23">
        <v>6.7996829688028088E-2</v>
      </c>
      <c r="I281" s="24"/>
      <c r="J281" s="5"/>
    </row>
    <row r="282" spans="1:10" ht="12.95" customHeight="1">
      <c r="A282" s="5"/>
      <c r="B282" s="14" t="s">
        <v>160</v>
      </c>
      <c r="C282" s="15"/>
      <c r="D282" s="15"/>
      <c r="E282" s="15"/>
      <c r="F282" s="25">
        <v>10040.769</v>
      </c>
      <c r="G282" s="26">
        <v>3.2599999999999997E-2</v>
      </c>
      <c r="H282" s="27"/>
      <c r="I282" s="28"/>
      <c r="J282" s="5"/>
    </row>
    <row r="283" spans="1:10" ht="12.95" customHeight="1">
      <c r="A283" s="5"/>
      <c r="B283" s="29" t="s">
        <v>163</v>
      </c>
      <c r="C283" s="30"/>
      <c r="D283" s="2"/>
      <c r="E283" s="30"/>
      <c r="F283" s="25">
        <v>10040.769</v>
      </c>
      <c r="G283" s="26">
        <v>3.2599999999999997E-2</v>
      </c>
      <c r="H283" s="27"/>
      <c r="I283" s="28"/>
      <c r="J283" s="5"/>
    </row>
    <row r="284" spans="1:10" ht="12.95" customHeight="1">
      <c r="A284" s="5"/>
      <c r="B284" s="29" t="s">
        <v>167</v>
      </c>
      <c r="C284" s="15"/>
      <c r="D284" s="2"/>
      <c r="E284" s="15"/>
      <c r="F284" s="31">
        <v>215367.97579999999</v>
      </c>
      <c r="G284" s="26">
        <v>0.69840000000000002</v>
      </c>
      <c r="H284" s="27"/>
      <c r="I284" s="28"/>
      <c r="J284" s="5"/>
    </row>
    <row r="285" spans="1:10" ht="12.95" customHeight="1">
      <c r="A285" s="5"/>
      <c r="B285" s="32" t="s">
        <v>168</v>
      </c>
      <c r="C285" s="33"/>
      <c r="D285" s="33"/>
      <c r="E285" s="33"/>
      <c r="F285" s="34">
        <v>308325.71000000002</v>
      </c>
      <c r="G285" s="35">
        <v>1</v>
      </c>
      <c r="H285" s="36"/>
      <c r="I285" s="37"/>
      <c r="J285" s="5"/>
    </row>
    <row r="286" spans="1:10" ht="12.95" customHeight="1">
      <c r="A286" s="5"/>
      <c r="B286" s="7"/>
      <c r="C286" s="5"/>
      <c r="D286" s="5"/>
      <c r="E286" s="5"/>
      <c r="F286" s="5"/>
      <c r="G286" s="5"/>
      <c r="H286" s="5"/>
      <c r="I286" s="5"/>
      <c r="J286" s="5"/>
    </row>
    <row r="287" spans="1:10" ht="12.95" customHeight="1">
      <c r="A287" s="5"/>
      <c r="B287" s="4" t="s">
        <v>169</v>
      </c>
      <c r="C287" s="5"/>
      <c r="D287" s="5"/>
      <c r="E287" s="5"/>
      <c r="F287" s="5"/>
      <c r="G287" s="5"/>
      <c r="H287" s="5"/>
      <c r="I287" s="5"/>
      <c r="J287" s="5"/>
    </row>
    <row r="288" spans="1:10" ht="12.95" customHeight="1">
      <c r="A288" s="5"/>
      <c r="B288" s="4" t="s">
        <v>207</v>
      </c>
      <c r="C288" s="5"/>
      <c r="D288" s="5"/>
      <c r="E288" s="5"/>
      <c r="F288" s="5"/>
      <c r="G288" s="5"/>
      <c r="H288" s="5"/>
      <c r="I288" s="5"/>
      <c r="J288" s="5"/>
    </row>
    <row r="289" spans="1:10" ht="12.95" customHeight="1">
      <c r="A289" s="5"/>
      <c r="B289" s="4" t="s">
        <v>685</v>
      </c>
      <c r="C289" s="5"/>
      <c r="D289" s="5"/>
      <c r="E289" s="5"/>
      <c r="F289" s="5"/>
      <c r="G289" s="5"/>
      <c r="H289" s="5"/>
      <c r="I289" s="5"/>
      <c r="J289" s="5"/>
    </row>
    <row r="290" spans="1:10" ht="12.95" customHeight="1">
      <c r="A290" s="5"/>
      <c r="B290" s="4" t="s">
        <v>170</v>
      </c>
      <c r="C290" s="5"/>
      <c r="D290" s="5"/>
      <c r="E290" s="5"/>
      <c r="F290" s="5"/>
      <c r="G290" s="5"/>
      <c r="H290" s="5"/>
      <c r="I290" s="5"/>
      <c r="J290" s="5"/>
    </row>
    <row r="291" spans="1:10" ht="26.1" customHeight="1">
      <c r="A291" s="5"/>
      <c r="B291" s="86" t="s">
        <v>171</v>
      </c>
      <c r="C291" s="86"/>
      <c r="D291" s="86"/>
      <c r="E291" s="86"/>
      <c r="F291" s="86"/>
      <c r="G291" s="86"/>
      <c r="H291" s="86"/>
      <c r="I291" s="86"/>
      <c r="J291" s="5"/>
    </row>
    <row r="292" spans="1:10" ht="12.95" customHeight="1">
      <c r="A292" s="5"/>
      <c r="B292" s="86"/>
      <c r="C292" s="86"/>
      <c r="D292" s="86"/>
      <c r="E292" s="86"/>
      <c r="F292" s="86"/>
      <c r="G292" s="86"/>
      <c r="H292" s="86"/>
      <c r="I292" s="86"/>
      <c r="J292" s="5"/>
    </row>
    <row r="293" spans="1:10" ht="12.95" customHeight="1">
      <c r="A293" s="5"/>
      <c r="B293" s="86"/>
      <c r="C293" s="86"/>
      <c r="D293" s="86"/>
      <c r="E293" s="86"/>
      <c r="F293" s="86"/>
      <c r="G293" s="86"/>
      <c r="H293" s="86"/>
      <c r="I293" s="86"/>
      <c r="J293" s="5"/>
    </row>
    <row r="294" spans="1:10" ht="12.95" customHeight="1">
      <c r="A294" s="5"/>
      <c r="B294" s="5"/>
      <c r="C294" s="87" t="s">
        <v>2143</v>
      </c>
      <c r="D294" s="87"/>
      <c r="E294" s="87"/>
      <c r="F294" s="87"/>
      <c r="G294" s="5"/>
      <c r="H294" s="5"/>
      <c r="I294" s="5"/>
      <c r="J294" s="5"/>
    </row>
    <row r="295" spans="1:10" ht="12.95" customHeight="1">
      <c r="A295" s="5"/>
      <c r="B295" s="38" t="s">
        <v>173</v>
      </c>
      <c r="C295" s="87" t="s">
        <v>174</v>
      </c>
      <c r="D295" s="87"/>
      <c r="E295" s="87"/>
      <c r="F295" s="87"/>
      <c r="G295" s="5"/>
      <c r="H295" s="5"/>
      <c r="I295" s="5"/>
      <c r="J295" s="5"/>
    </row>
    <row r="296" spans="1:10" ht="120.95" customHeight="1">
      <c r="A296" s="5"/>
      <c r="B296" s="39"/>
      <c r="C296" s="85"/>
      <c r="D296" s="85"/>
      <c r="E296" s="5"/>
      <c r="F296" s="5"/>
      <c r="G296" s="5"/>
      <c r="H296" s="5"/>
      <c r="I296" s="5"/>
      <c r="J296" s="5"/>
    </row>
  </sheetData>
  <mergeCells count="6">
    <mergeCell ref="C296:D296"/>
    <mergeCell ref="B291:I291"/>
    <mergeCell ref="B292:I292"/>
    <mergeCell ref="B293:I293"/>
    <mergeCell ref="C294:F294"/>
    <mergeCell ref="C295:F295"/>
  </mergeCells>
  <hyperlinks>
    <hyperlink ref="A1" location="AxisArbitrageFund" display="AXISEAF" xr:uid="{00000000-0004-0000-1100-000000000000}"/>
    <hyperlink ref="B1" location="AxisArbitrageFund" display="Axis Arbitrage Fund" xr:uid="{00000000-0004-0000-1100-000001000000}"/>
  </hyperlinks>
  <pageMargins left="0" right="0" top="0" bottom="0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J3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38</v>
      </c>
      <c r="B1" s="4" t="s">
        <v>39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209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2144</v>
      </c>
      <c r="B7" s="19" t="s">
        <v>14</v>
      </c>
      <c r="C7" s="15" t="s">
        <v>2145</v>
      </c>
      <c r="D7" s="15"/>
      <c r="E7" s="20">
        <v>67751</v>
      </c>
      <c r="F7" s="21">
        <v>307.83339999999998</v>
      </c>
      <c r="G7" s="22">
        <v>0.20530000000000001</v>
      </c>
      <c r="H7" s="40"/>
      <c r="I7" s="24"/>
      <c r="J7" s="5"/>
    </row>
    <row r="8" spans="1:10" ht="12.95" customHeight="1">
      <c r="A8" s="18" t="s">
        <v>2146</v>
      </c>
      <c r="B8" s="19" t="s">
        <v>2147</v>
      </c>
      <c r="C8" s="15" t="s">
        <v>2148</v>
      </c>
      <c r="D8" s="15"/>
      <c r="E8" s="20">
        <v>61348</v>
      </c>
      <c r="F8" s="21">
        <v>290.20670000000001</v>
      </c>
      <c r="G8" s="22">
        <v>0.19359999999999999</v>
      </c>
      <c r="H8" s="40"/>
      <c r="I8" s="24"/>
      <c r="J8" s="5"/>
    </row>
    <row r="9" spans="1:10" ht="12.95" customHeight="1">
      <c r="A9" s="18" t="s">
        <v>2149</v>
      </c>
      <c r="B9" s="19" t="s">
        <v>2150</v>
      </c>
      <c r="C9" s="15" t="s">
        <v>2151</v>
      </c>
      <c r="D9" s="15"/>
      <c r="E9" s="20">
        <v>158650</v>
      </c>
      <c r="F9" s="21">
        <v>246.55799999999999</v>
      </c>
      <c r="G9" s="22">
        <v>0.16450000000000001</v>
      </c>
      <c r="H9" s="40"/>
      <c r="I9" s="24"/>
      <c r="J9" s="5"/>
    </row>
    <row r="10" spans="1:10" ht="12.95" customHeight="1">
      <c r="A10" s="18" t="s">
        <v>2152</v>
      </c>
      <c r="B10" s="19" t="s">
        <v>19</v>
      </c>
      <c r="C10" s="15" t="s">
        <v>2153</v>
      </c>
      <c r="D10" s="15"/>
      <c r="E10" s="20">
        <v>265551</v>
      </c>
      <c r="F10" s="21">
        <v>228.26759999999999</v>
      </c>
      <c r="G10" s="22">
        <v>0.15229999999999999</v>
      </c>
      <c r="H10" s="40"/>
      <c r="I10" s="24"/>
      <c r="J10" s="5"/>
    </row>
    <row r="11" spans="1:10" ht="12.95" customHeight="1">
      <c r="A11" s="18" t="s">
        <v>2154</v>
      </c>
      <c r="B11" s="19" t="s">
        <v>91</v>
      </c>
      <c r="C11" s="15" t="s">
        <v>2155</v>
      </c>
      <c r="D11" s="15"/>
      <c r="E11" s="20">
        <v>84320</v>
      </c>
      <c r="F11" s="21">
        <v>177.2406</v>
      </c>
      <c r="G11" s="22">
        <v>0.1182</v>
      </c>
      <c r="H11" s="40"/>
      <c r="I11" s="24"/>
      <c r="J11" s="5"/>
    </row>
    <row r="12" spans="1:10" ht="12.95" customHeight="1">
      <c r="A12" s="18" t="s">
        <v>2156</v>
      </c>
      <c r="B12" s="19" t="s">
        <v>2157</v>
      </c>
      <c r="C12" s="15" t="s">
        <v>2158</v>
      </c>
      <c r="D12" s="15"/>
      <c r="E12" s="20">
        <v>39295</v>
      </c>
      <c r="F12" s="21">
        <v>130.4751</v>
      </c>
      <c r="G12" s="22">
        <v>8.6999999999999994E-2</v>
      </c>
      <c r="H12" s="40"/>
      <c r="I12" s="24"/>
      <c r="J12" s="5"/>
    </row>
    <row r="13" spans="1:10" ht="12.95" customHeight="1">
      <c r="A13" s="18" t="s">
        <v>2159</v>
      </c>
      <c r="B13" s="19" t="s">
        <v>67</v>
      </c>
      <c r="C13" s="15" t="s">
        <v>2160</v>
      </c>
      <c r="D13" s="15"/>
      <c r="E13" s="20">
        <v>64067</v>
      </c>
      <c r="F13" s="21">
        <v>62.997100000000003</v>
      </c>
      <c r="G13" s="22">
        <v>4.2000000000000003E-2</v>
      </c>
      <c r="H13" s="40"/>
      <c r="I13" s="24"/>
      <c r="J13" s="5"/>
    </row>
    <row r="14" spans="1:10" ht="12.95" customHeight="1">
      <c r="A14" s="5"/>
      <c r="B14" s="14" t="s">
        <v>160</v>
      </c>
      <c r="C14" s="15"/>
      <c r="D14" s="15"/>
      <c r="E14" s="15"/>
      <c r="F14" s="25">
        <v>1443.5786000000001</v>
      </c>
      <c r="G14" s="26">
        <v>0.96289999999999998</v>
      </c>
      <c r="H14" s="27"/>
      <c r="I14" s="28"/>
      <c r="J14" s="5"/>
    </row>
    <row r="15" spans="1:10" ht="12.95" customHeight="1">
      <c r="A15" s="5"/>
      <c r="B15" s="29" t="s">
        <v>163</v>
      </c>
      <c r="C15" s="30"/>
      <c r="D15" s="2"/>
      <c r="E15" s="30"/>
      <c r="F15" s="25">
        <v>1443.5786000000001</v>
      </c>
      <c r="G15" s="26">
        <v>0.96289999999999998</v>
      </c>
      <c r="H15" s="27"/>
      <c r="I15" s="28"/>
      <c r="J15" s="5"/>
    </row>
    <row r="16" spans="1:10" ht="12.95" customHeight="1">
      <c r="A16" s="5"/>
      <c r="B16" s="14" t="s">
        <v>164</v>
      </c>
      <c r="C16" s="15"/>
      <c r="D16" s="15"/>
      <c r="E16" s="15"/>
      <c r="F16" s="15"/>
      <c r="G16" s="15"/>
      <c r="H16" s="16"/>
      <c r="I16" s="17"/>
      <c r="J16" s="5"/>
    </row>
    <row r="17" spans="1:10" ht="12.95" customHeight="1">
      <c r="A17" s="18" t="s">
        <v>165</v>
      </c>
      <c r="B17" s="19" t="s">
        <v>166</v>
      </c>
      <c r="C17" s="15"/>
      <c r="D17" s="15"/>
      <c r="E17" s="20"/>
      <c r="F17" s="21">
        <v>56.648899999999998</v>
      </c>
      <c r="G17" s="22">
        <v>3.78E-2</v>
      </c>
      <c r="H17" s="23">
        <v>6.7996672621051885E-2</v>
      </c>
      <c r="I17" s="24"/>
      <c r="J17" s="5"/>
    </row>
    <row r="18" spans="1:10" ht="12.95" customHeight="1">
      <c r="A18" s="5"/>
      <c r="B18" s="14" t="s">
        <v>160</v>
      </c>
      <c r="C18" s="15"/>
      <c r="D18" s="15"/>
      <c r="E18" s="15"/>
      <c r="F18" s="25">
        <v>56.648899999999998</v>
      </c>
      <c r="G18" s="26">
        <v>3.78E-2</v>
      </c>
      <c r="H18" s="27"/>
      <c r="I18" s="28"/>
      <c r="J18" s="5"/>
    </row>
    <row r="19" spans="1:10" ht="12.95" customHeight="1">
      <c r="A19" s="5"/>
      <c r="B19" s="29" t="s">
        <v>163</v>
      </c>
      <c r="C19" s="30"/>
      <c r="D19" s="2"/>
      <c r="E19" s="30"/>
      <c r="F19" s="25">
        <v>56.648899999999998</v>
      </c>
      <c r="G19" s="26">
        <v>3.78E-2</v>
      </c>
      <c r="H19" s="27"/>
      <c r="I19" s="28"/>
      <c r="J19" s="5"/>
    </row>
    <row r="20" spans="1:10" ht="12.95" customHeight="1">
      <c r="A20" s="5"/>
      <c r="B20" s="29" t="s">
        <v>167</v>
      </c>
      <c r="C20" s="15"/>
      <c r="D20" s="2"/>
      <c r="E20" s="15"/>
      <c r="F20" s="31">
        <v>-0.97750000000000004</v>
      </c>
      <c r="G20" s="26">
        <v>-6.9999999999999999E-4</v>
      </c>
      <c r="H20" s="27"/>
      <c r="I20" s="28"/>
      <c r="J20" s="5"/>
    </row>
    <row r="21" spans="1:10" ht="12.95" customHeight="1">
      <c r="A21" s="5"/>
      <c r="B21" s="32" t="s">
        <v>168</v>
      </c>
      <c r="C21" s="33"/>
      <c r="D21" s="33"/>
      <c r="E21" s="33"/>
      <c r="F21" s="34">
        <v>1499.25</v>
      </c>
      <c r="G21" s="35">
        <v>1</v>
      </c>
      <c r="H21" s="36"/>
      <c r="I21" s="37"/>
      <c r="J21" s="5"/>
    </row>
    <row r="22" spans="1:10" ht="12.95" customHeight="1">
      <c r="A22" s="5"/>
      <c r="B22" s="7"/>
      <c r="C22" s="5"/>
      <c r="D22" s="5"/>
      <c r="E22" s="5"/>
      <c r="F22" s="5"/>
      <c r="G22" s="5"/>
      <c r="H22" s="5"/>
      <c r="I22" s="5"/>
      <c r="J22" s="5"/>
    </row>
    <row r="23" spans="1:10" ht="12.95" customHeight="1">
      <c r="A23" s="5"/>
      <c r="B23" s="4" t="s">
        <v>169</v>
      </c>
      <c r="C23" s="5"/>
      <c r="D23" s="5"/>
      <c r="E23" s="5"/>
      <c r="F23" s="5"/>
      <c r="G23" s="5"/>
      <c r="H23" s="5"/>
      <c r="I23" s="5"/>
      <c r="J23" s="5"/>
    </row>
    <row r="24" spans="1:10" ht="12.95" customHeight="1">
      <c r="A24" s="5"/>
      <c r="B24" s="4" t="s">
        <v>170</v>
      </c>
      <c r="C24" s="5"/>
      <c r="D24" s="5"/>
      <c r="E24" s="5"/>
      <c r="F24" s="5"/>
      <c r="G24" s="5"/>
      <c r="H24" s="5"/>
      <c r="I24" s="5"/>
      <c r="J24" s="5"/>
    </row>
    <row r="25" spans="1:10" ht="26.1" customHeight="1">
      <c r="A25" s="5"/>
      <c r="B25" s="86" t="s">
        <v>171</v>
      </c>
      <c r="C25" s="86"/>
      <c r="D25" s="86"/>
      <c r="E25" s="86"/>
      <c r="F25" s="86"/>
      <c r="G25" s="86"/>
      <c r="H25" s="86"/>
      <c r="I25" s="86"/>
      <c r="J25" s="5"/>
    </row>
    <row r="26" spans="1:10" ht="33" customHeight="1">
      <c r="A26" s="44"/>
      <c r="B26" s="88" t="s">
        <v>4259</v>
      </c>
      <c r="C26" s="88"/>
      <c r="D26" s="88"/>
      <c r="E26" s="88"/>
      <c r="F26" s="88"/>
      <c r="G26" s="88"/>
      <c r="H26" s="88"/>
      <c r="I26" s="44"/>
      <c r="J26" s="44"/>
    </row>
    <row r="27" spans="1:10" ht="12.95" customHeight="1">
      <c r="A27" s="5"/>
      <c r="B27" s="86"/>
      <c r="C27" s="86"/>
      <c r="D27" s="86"/>
      <c r="E27" s="86"/>
      <c r="F27" s="86"/>
      <c r="G27" s="86"/>
      <c r="H27" s="86"/>
      <c r="I27" s="86"/>
      <c r="J27" s="5"/>
    </row>
    <row r="28" spans="1:10" ht="12.95" customHeight="1">
      <c r="A28" s="5"/>
      <c r="B28" s="86"/>
      <c r="C28" s="86"/>
      <c r="D28" s="86"/>
      <c r="E28" s="86"/>
      <c r="F28" s="86"/>
      <c r="G28" s="86"/>
      <c r="H28" s="86"/>
      <c r="I28" s="86"/>
      <c r="J28" s="5"/>
    </row>
    <row r="29" spans="1:10" ht="12.95" customHeight="1">
      <c r="A29" s="5"/>
      <c r="B29" s="5"/>
      <c r="C29" s="87" t="s">
        <v>422</v>
      </c>
      <c r="D29" s="87"/>
      <c r="E29" s="87"/>
      <c r="F29" s="87"/>
      <c r="G29" s="5"/>
      <c r="H29" s="5"/>
      <c r="I29" s="5"/>
      <c r="J29" s="5"/>
    </row>
    <row r="30" spans="1:10" ht="12.95" customHeight="1">
      <c r="A30" s="5"/>
      <c r="B30" s="38" t="s">
        <v>173</v>
      </c>
      <c r="C30" s="87" t="s">
        <v>174</v>
      </c>
      <c r="D30" s="87"/>
      <c r="E30" s="87"/>
      <c r="F30" s="87"/>
      <c r="G30" s="5"/>
      <c r="H30" s="5"/>
      <c r="I30" s="5"/>
      <c r="J30" s="5"/>
    </row>
    <row r="31" spans="1:10" ht="120.95" customHeight="1">
      <c r="A31" s="5"/>
      <c r="B31" s="39"/>
      <c r="C31" s="85"/>
      <c r="D31" s="85"/>
      <c r="E31" s="5"/>
      <c r="F31" s="5"/>
      <c r="G31" s="5"/>
      <c r="H31" s="5"/>
      <c r="I31" s="5"/>
      <c r="J31" s="5"/>
    </row>
  </sheetData>
  <mergeCells count="7">
    <mergeCell ref="C31:D31"/>
    <mergeCell ref="B26:H26"/>
    <mergeCell ref="B25:I25"/>
    <mergeCell ref="B27:I27"/>
    <mergeCell ref="B28:I28"/>
    <mergeCell ref="C29:F29"/>
    <mergeCell ref="C30:F30"/>
  </mergeCells>
  <hyperlinks>
    <hyperlink ref="A1" location="AxisEquityETFsFoF" display="AXISEFOF" xr:uid="{00000000-0004-0000-1200-000000000000}"/>
    <hyperlink ref="B1" location="AxisEquityETFsFoF" display="Axis Equity ETFs FoF" xr:uid="{00000000-0004-0000-1200-000001000000}"/>
  </hyperlinks>
  <pageMargins left="0" right="0" top="0" bottom="0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J12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40</v>
      </c>
      <c r="B1" s="4" t="s">
        <v>41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121934</v>
      </c>
      <c r="F7" s="21">
        <v>9523.9598999999998</v>
      </c>
      <c r="G7" s="22">
        <v>5.6899999999999999E-2</v>
      </c>
      <c r="H7" s="40"/>
      <c r="I7" s="24"/>
      <c r="J7" s="5"/>
    </row>
    <row r="8" spans="1:10" ht="12.95" customHeight="1">
      <c r="A8" s="18" t="s">
        <v>268</v>
      </c>
      <c r="B8" s="19" t="s">
        <v>269</v>
      </c>
      <c r="C8" s="15" t="s">
        <v>270</v>
      </c>
      <c r="D8" s="15" t="s">
        <v>271</v>
      </c>
      <c r="E8" s="20">
        <v>920026</v>
      </c>
      <c r="F8" s="21">
        <v>8757.7275000000009</v>
      </c>
      <c r="G8" s="22">
        <v>5.2299999999999999E-2</v>
      </c>
      <c r="H8" s="40"/>
      <c r="I8" s="24"/>
      <c r="J8" s="5"/>
    </row>
    <row r="9" spans="1:10" ht="12.95" customHeight="1">
      <c r="A9" s="18" t="s">
        <v>282</v>
      </c>
      <c r="B9" s="19" t="s">
        <v>283</v>
      </c>
      <c r="C9" s="15" t="s">
        <v>284</v>
      </c>
      <c r="D9" s="15" t="s">
        <v>271</v>
      </c>
      <c r="E9" s="20">
        <v>526433</v>
      </c>
      <c r="F9" s="21">
        <v>8034.9468999999999</v>
      </c>
      <c r="G9" s="22">
        <v>4.8000000000000001E-2</v>
      </c>
      <c r="H9" s="40"/>
      <c r="I9" s="24"/>
      <c r="J9" s="5"/>
    </row>
    <row r="10" spans="1:10" ht="12.95" customHeight="1">
      <c r="A10" s="18" t="s">
        <v>766</v>
      </c>
      <c r="B10" s="19" t="s">
        <v>767</v>
      </c>
      <c r="C10" s="15" t="s">
        <v>768</v>
      </c>
      <c r="D10" s="15" t="s">
        <v>403</v>
      </c>
      <c r="E10" s="20">
        <v>194059</v>
      </c>
      <c r="F10" s="21">
        <v>7132.8325999999997</v>
      </c>
      <c r="G10" s="22">
        <v>4.2599999999999999E-2</v>
      </c>
      <c r="H10" s="40"/>
      <c r="I10" s="24"/>
      <c r="J10" s="5"/>
    </row>
    <row r="11" spans="1:10" ht="12.95" customHeight="1">
      <c r="A11" s="18" t="s">
        <v>260</v>
      </c>
      <c r="B11" s="19" t="s">
        <v>261</v>
      </c>
      <c r="C11" s="15" t="s">
        <v>262</v>
      </c>
      <c r="D11" s="15" t="s">
        <v>263</v>
      </c>
      <c r="E11" s="20">
        <v>161316</v>
      </c>
      <c r="F11" s="21">
        <v>5692.1963999999998</v>
      </c>
      <c r="G11" s="22">
        <v>3.4000000000000002E-2</v>
      </c>
      <c r="H11" s="40"/>
      <c r="I11" s="24"/>
      <c r="J11" s="5"/>
    </row>
    <row r="12" spans="1:10" ht="12.95" customHeight="1">
      <c r="A12" s="18" t="s">
        <v>248</v>
      </c>
      <c r="B12" s="19" t="s">
        <v>249</v>
      </c>
      <c r="C12" s="15" t="s">
        <v>250</v>
      </c>
      <c r="D12" s="15" t="s">
        <v>251</v>
      </c>
      <c r="E12" s="20">
        <v>240804</v>
      </c>
      <c r="F12" s="21">
        <v>5646.8537999999999</v>
      </c>
      <c r="G12" s="22">
        <v>3.3700000000000001E-2</v>
      </c>
      <c r="H12" s="40"/>
      <c r="I12" s="24"/>
      <c r="J12" s="5"/>
    </row>
    <row r="13" spans="1:10" ht="12.95" customHeight="1">
      <c r="A13" s="18" t="s">
        <v>285</v>
      </c>
      <c r="B13" s="19" t="s">
        <v>286</v>
      </c>
      <c r="C13" s="15" t="s">
        <v>287</v>
      </c>
      <c r="D13" s="15" t="s">
        <v>263</v>
      </c>
      <c r="E13" s="20">
        <v>330202</v>
      </c>
      <c r="F13" s="21">
        <v>4739.8846000000003</v>
      </c>
      <c r="G13" s="22">
        <v>2.8299999999999999E-2</v>
      </c>
      <c r="H13" s="40"/>
      <c r="I13" s="24"/>
      <c r="J13" s="5"/>
    </row>
    <row r="14" spans="1:10" ht="12.95" customHeight="1">
      <c r="A14" s="18" t="s">
        <v>829</v>
      </c>
      <c r="B14" s="19" t="s">
        <v>830</v>
      </c>
      <c r="C14" s="15" t="s">
        <v>831</v>
      </c>
      <c r="D14" s="15" t="s">
        <v>832</v>
      </c>
      <c r="E14" s="20">
        <v>126351</v>
      </c>
      <c r="F14" s="21">
        <v>4362.8999999999996</v>
      </c>
      <c r="G14" s="22">
        <v>2.6100000000000002E-2</v>
      </c>
      <c r="H14" s="40"/>
      <c r="I14" s="24"/>
      <c r="J14" s="5"/>
    </row>
    <row r="15" spans="1:10" ht="12.95" customHeight="1">
      <c r="A15" s="18" t="s">
        <v>719</v>
      </c>
      <c r="B15" s="19" t="s">
        <v>720</v>
      </c>
      <c r="C15" s="15" t="s">
        <v>721</v>
      </c>
      <c r="D15" s="15" t="s">
        <v>722</v>
      </c>
      <c r="E15" s="20">
        <v>125802</v>
      </c>
      <c r="F15" s="21">
        <v>3803.6864</v>
      </c>
      <c r="G15" s="22">
        <v>2.2700000000000001E-2</v>
      </c>
      <c r="H15" s="40"/>
      <c r="I15" s="24"/>
      <c r="J15" s="5"/>
    </row>
    <row r="16" spans="1:10" ht="12.95" customHeight="1">
      <c r="A16" s="18" t="s">
        <v>690</v>
      </c>
      <c r="B16" s="19" t="s">
        <v>691</v>
      </c>
      <c r="C16" s="15" t="s">
        <v>692</v>
      </c>
      <c r="D16" s="15" t="s">
        <v>271</v>
      </c>
      <c r="E16" s="20">
        <v>209794</v>
      </c>
      <c r="F16" s="21">
        <v>3641.3944999999999</v>
      </c>
      <c r="G16" s="22">
        <v>2.18E-2</v>
      </c>
      <c r="H16" s="40"/>
      <c r="I16" s="24"/>
      <c r="J16" s="5"/>
    </row>
    <row r="17" spans="1:10" ht="12.95" customHeight="1">
      <c r="A17" s="18" t="s">
        <v>842</v>
      </c>
      <c r="B17" s="19" t="s">
        <v>843</v>
      </c>
      <c r="C17" s="15" t="s">
        <v>844</v>
      </c>
      <c r="D17" s="15" t="s">
        <v>259</v>
      </c>
      <c r="E17" s="20">
        <v>279651</v>
      </c>
      <c r="F17" s="21">
        <v>2634.5920999999998</v>
      </c>
      <c r="G17" s="22">
        <v>1.5699999999999999E-2</v>
      </c>
      <c r="H17" s="40"/>
      <c r="I17" s="24"/>
      <c r="J17" s="5"/>
    </row>
    <row r="18" spans="1:10" ht="12.95" customHeight="1">
      <c r="A18" s="18" t="s">
        <v>749</v>
      </c>
      <c r="B18" s="19" t="s">
        <v>750</v>
      </c>
      <c r="C18" s="15" t="s">
        <v>751</v>
      </c>
      <c r="D18" s="15" t="s">
        <v>255</v>
      </c>
      <c r="E18" s="20">
        <v>170000</v>
      </c>
      <c r="F18" s="21">
        <v>2618.4250000000002</v>
      </c>
      <c r="G18" s="22">
        <v>1.5599999999999999E-2</v>
      </c>
      <c r="H18" s="40"/>
      <c r="I18" s="24"/>
      <c r="J18" s="5"/>
    </row>
    <row r="19" spans="1:10" ht="12.95" customHeight="1">
      <c r="A19" s="18" t="s">
        <v>278</v>
      </c>
      <c r="B19" s="19" t="s">
        <v>279</v>
      </c>
      <c r="C19" s="15" t="s">
        <v>280</v>
      </c>
      <c r="D19" s="15" t="s">
        <v>281</v>
      </c>
      <c r="E19" s="20">
        <v>396952</v>
      </c>
      <c r="F19" s="21">
        <v>2501.5915</v>
      </c>
      <c r="G19" s="22">
        <v>1.4999999999999999E-2</v>
      </c>
      <c r="H19" s="40"/>
      <c r="I19" s="24"/>
      <c r="J19" s="5"/>
    </row>
    <row r="20" spans="1:10" ht="12.95" customHeight="1">
      <c r="A20" s="18" t="s">
        <v>857</v>
      </c>
      <c r="B20" s="19" t="s">
        <v>858</v>
      </c>
      <c r="C20" s="15" t="s">
        <v>859</v>
      </c>
      <c r="D20" s="15" t="s">
        <v>259</v>
      </c>
      <c r="E20" s="20">
        <v>2276840</v>
      </c>
      <c r="F20" s="21">
        <v>2185.7664</v>
      </c>
      <c r="G20" s="22">
        <v>1.3100000000000001E-2</v>
      </c>
      <c r="H20" s="40"/>
      <c r="I20" s="24"/>
      <c r="J20" s="5"/>
    </row>
    <row r="21" spans="1:10" ht="12.95" customHeight="1">
      <c r="A21" s="18" t="s">
        <v>299</v>
      </c>
      <c r="B21" s="19" t="s">
        <v>300</v>
      </c>
      <c r="C21" s="15" t="s">
        <v>301</v>
      </c>
      <c r="D21" s="15" t="s">
        <v>302</v>
      </c>
      <c r="E21" s="20">
        <v>283834</v>
      </c>
      <c r="F21" s="21">
        <v>2137.5538999999999</v>
      </c>
      <c r="G21" s="22">
        <v>1.2800000000000001E-2</v>
      </c>
      <c r="H21" s="40"/>
      <c r="I21" s="24"/>
      <c r="J21" s="5"/>
    </row>
    <row r="22" spans="1:10" ht="12.95" customHeight="1">
      <c r="A22" s="18" t="s">
        <v>875</v>
      </c>
      <c r="B22" s="19" t="s">
        <v>876</v>
      </c>
      <c r="C22" s="15" t="s">
        <v>877</v>
      </c>
      <c r="D22" s="15" t="s">
        <v>403</v>
      </c>
      <c r="E22" s="20">
        <v>1387052</v>
      </c>
      <c r="F22" s="21">
        <v>2124.9636999999998</v>
      </c>
      <c r="G22" s="22">
        <v>1.2699999999999999E-2</v>
      </c>
      <c r="H22" s="40"/>
      <c r="I22" s="24"/>
      <c r="J22" s="5"/>
    </row>
    <row r="23" spans="1:10" ht="12.95" customHeight="1">
      <c r="A23" s="18" t="s">
        <v>353</v>
      </c>
      <c r="B23" s="19" t="s">
        <v>354</v>
      </c>
      <c r="C23" s="15" t="s">
        <v>355</v>
      </c>
      <c r="D23" s="15" t="s">
        <v>267</v>
      </c>
      <c r="E23" s="20">
        <v>8148</v>
      </c>
      <c r="F23" s="21">
        <v>2074.8881999999999</v>
      </c>
      <c r="G23" s="22">
        <v>1.24E-2</v>
      </c>
      <c r="H23" s="40"/>
      <c r="I23" s="24"/>
      <c r="J23" s="5"/>
    </row>
    <row r="24" spans="1:10" ht="12.95" customHeight="1">
      <c r="A24" s="18" t="s">
        <v>752</v>
      </c>
      <c r="B24" s="19" t="s">
        <v>753</v>
      </c>
      <c r="C24" s="15" t="s">
        <v>754</v>
      </c>
      <c r="D24" s="15" t="s">
        <v>755</v>
      </c>
      <c r="E24" s="20">
        <v>9000</v>
      </c>
      <c r="F24" s="21">
        <v>2025.6210000000001</v>
      </c>
      <c r="G24" s="22">
        <v>1.21E-2</v>
      </c>
      <c r="H24" s="40"/>
      <c r="I24" s="24"/>
      <c r="J24" s="5"/>
    </row>
    <row r="25" spans="1:10" ht="12.95" customHeight="1">
      <c r="A25" s="18" t="s">
        <v>854</v>
      </c>
      <c r="B25" s="19" t="s">
        <v>855</v>
      </c>
      <c r="C25" s="15" t="s">
        <v>856</v>
      </c>
      <c r="D25" s="15" t="s">
        <v>314</v>
      </c>
      <c r="E25" s="20">
        <v>143151</v>
      </c>
      <c r="F25" s="21">
        <v>2017.3554999999999</v>
      </c>
      <c r="G25" s="22">
        <v>1.21E-2</v>
      </c>
      <c r="H25" s="40"/>
      <c r="I25" s="24"/>
      <c r="J25" s="5"/>
    </row>
    <row r="26" spans="1:10" ht="12.95" customHeight="1">
      <c r="A26" s="18" t="s">
        <v>869</v>
      </c>
      <c r="B26" s="19" t="s">
        <v>870</v>
      </c>
      <c r="C26" s="15" t="s">
        <v>871</v>
      </c>
      <c r="D26" s="15" t="s">
        <v>832</v>
      </c>
      <c r="E26" s="20">
        <v>467639</v>
      </c>
      <c r="F26" s="21">
        <v>1975.3071</v>
      </c>
      <c r="G26" s="22">
        <v>1.18E-2</v>
      </c>
      <c r="H26" s="40"/>
      <c r="I26" s="24"/>
      <c r="J26" s="5"/>
    </row>
    <row r="27" spans="1:10" ht="12.95" customHeight="1">
      <c r="A27" s="18" t="s">
        <v>1617</v>
      </c>
      <c r="B27" s="19" t="s">
        <v>1618</v>
      </c>
      <c r="C27" s="15" t="s">
        <v>1619</v>
      </c>
      <c r="D27" s="15" t="s">
        <v>745</v>
      </c>
      <c r="E27" s="20">
        <v>108674</v>
      </c>
      <c r="F27" s="21">
        <v>1951.0243</v>
      </c>
      <c r="G27" s="22">
        <v>1.17E-2</v>
      </c>
      <c r="H27" s="40"/>
      <c r="I27" s="24"/>
      <c r="J27" s="5"/>
    </row>
    <row r="28" spans="1:10" ht="12.95" customHeight="1">
      <c r="A28" s="18" t="s">
        <v>839</v>
      </c>
      <c r="B28" s="19" t="s">
        <v>840</v>
      </c>
      <c r="C28" s="15" t="s">
        <v>841</v>
      </c>
      <c r="D28" s="15" t="s">
        <v>745</v>
      </c>
      <c r="E28" s="20">
        <v>51342</v>
      </c>
      <c r="F28" s="21">
        <v>1933.1033</v>
      </c>
      <c r="G28" s="22">
        <v>1.1599999999999999E-2</v>
      </c>
      <c r="H28" s="40"/>
      <c r="I28" s="24"/>
      <c r="J28" s="5"/>
    </row>
    <row r="29" spans="1:10" ht="12.95" customHeight="1">
      <c r="A29" s="18" t="s">
        <v>2161</v>
      </c>
      <c r="B29" s="19" t="s">
        <v>2162</v>
      </c>
      <c r="C29" s="15" t="s">
        <v>2163</v>
      </c>
      <c r="D29" s="15" t="s">
        <v>314</v>
      </c>
      <c r="E29" s="20">
        <v>39229</v>
      </c>
      <c r="F29" s="21">
        <v>1881.0698</v>
      </c>
      <c r="G29" s="22">
        <v>1.12E-2</v>
      </c>
      <c r="H29" s="40"/>
      <c r="I29" s="24"/>
      <c r="J29" s="5"/>
    </row>
    <row r="30" spans="1:10" ht="12.95" customHeight="1">
      <c r="A30" s="18" t="s">
        <v>775</v>
      </c>
      <c r="B30" s="19" t="s">
        <v>776</v>
      </c>
      <c r="C30" s="15" t="s">
        <v>777</v>
      </c>
      <c r="D30" s="15" t="s">
        <v>778</v>
      </c>
      <c r="E30" s="20">
        <v>35495</v>
      </c>
      <c r="F30" s="21">
        <v>1823.6443999999999</v>
      </c>
      <c r="G30" s="22">
        <v>1.09E-2</v>
      </c>
      <c r="H30" s="40"/>
      <c r="I30" s="24"/>
      <c r="J30" s="5"/>
    </row>
    <row r="31" spans="1:10" ht="12.95" customHeight="1">
      <c r="A31" s="18" t="s">
        <v>321</v>
      </c>
      <c r="B31" s="19" t="s">
        <v>322</v>
      </c>
      <c r="C31" s="15" t="s">
        <v>323</v>
      </c>
      <c r="D31" s="15" t="s">
        <v>324</v>
      </c>
      <c r="E31" s="20">
        <v>56779</v>
      </c>
      <c r="F31" s="21">
        <v>1794.8126</v>
      </c>
      <c r="G31" s="22">
        <v>1.0699999999999999E-2</v>
      </c>
      <c r="H31" s="40"/>
      <c r="I31" s="24"/>
      <c r="J31" s="5"/>
    </row>
    <row r="32" spans="1:10" ht="12.95" customHeight="1">
      <c r="A32" s="18" t="s">
        <v>860</v>
      </c>
      <c r="B32" s="19" t="s">
        <v>861</v>
      </c>
      <c r="C32" s="15" t="s">
        <v>862</v>
      </c>
      <c r="D32" s="15" t="s">
        <v>259</v>
      </c>
      <c r="E32" s="20">
        <v>2781040</v>
      </c>
      <c r="F32" s="21">
        <v>1792.3803</v>
      </c>
      <c r="G32" s="22">
        <v>1.0699999999999999E-2</v>
      </c>
      <c r="H32" s="40"/>
      <c r="I32" s="24"/>
      <c r="J32" s="5"/>
    </row>
    <row r="33" spans="1:10" ht="12.95" customHeight="1">
      <c r="A33" s="18" t="s">
        <v>331</v>
      </c>
      <c r="B33" s="19" t="s">
        <v>332</v>
      </c>
      <c r="C33" s="15" t="s">
        <v>333</v>
      </c>
      <c r="D33" s="15" t="s">
        <v>334</v>
      </c>
      <c r="E33" s="20">
        <v>290019</v>
      </c>
      <c r="F33" s="21">
        <v>1646.8729000000001</v>
      </c>
      <c r="G33" s="22">
        <v>9.7999999999999997E-3</v>
      </c>
      <c r="H33" s="40"/>
      <c r="I33" s="24"/>
      <c r="J33" s="5"/>
    </row>
    <row r="34" spans="1:10" ht="12.95" customHeight="1">
      <c r="A34" s="18" t="s">
        <v>2164</v>
      </c>
      <c r="B34" s="19" t="s">
        <v>2165</v>
      </c>
      <c r="C34" s="15" t="s">
        <v>2166</v>
      </c>
      <c r="D34" s="15" t="s">
        <v>314</v>
      </c>
      <c r="E34" s="20">
        <v>250374</v>
      </c>
      <c r="F34" s="21">
        <v>1619.4190000000001</v>
      </c>
      <c r="G34" s="22">
        <v>9.7000000000000003E-3</v>
      </c>
      <c r="H34" s="40"/>
      <c r="I34" s="24"/>
      <c r="J34" s="5"/>
    </row>
    <row r="35" spans="1:10" ht="12.95" customHeight="1">
      <c r="A35" s="18" t="s">
        <v>400</v>
      </c>
      <c r="B35" s="19" t="s">
        <v>401</v>
      </c>
      <c r="C35" s="15" t="s">
        <v>402</v>
      </c>
      <c r="D35" s="15" t="s">
        <v>403</v>
      </c>
      <c r="E35" s="20">
        <v>120586</v>
      </c>
      <c r="F35" s="21">
        <v>1614.1039000000001</v>
      </c>
      <c r="G35" s="22">
        <v>9.5999999999999992E-3</v>
      </c>
      <c r="H35" s="40"/>
      <c r="I35" s="24"/>
      <c r="J35" s="5"/>
    </row>
    <row r="36" spans="1:10" ht="12.95" customHeight="1">
      <c r="A36" s="18" t="s">
        <v>275</v>
      </c>
      <c r="B36" s="19" t="s">
        <v>276</v>
      </c>
      <c r="C36" s="15" t="s">
        <v>277</v>
      </c>
      <c r="D36" s="15" t="s">
        <v>271</v>
      </c>
      <c r="E36" s="20">
        <v>261000</v>
      </c>
      <c r="F36" s="21">
        <v>1562.2155</v>
      </c>
      <c r="G36" s="22">
        <v>9.2999999999999992E-3</v>
      </c>
      <c r="H36" s="40"/>
      <c r="I36" s="24"/>
      <c r="J36" s="5"/>
    </row>
    <row r="37" spans="1:10" ht="12.95" customHeight="1">
      <c r="A37" s="18" t="s">
        <v>2167</v>
      </c>
      <c r="B37" s="19" t="s">
        <v>2168</v>
      </c>
      <c r="C37" s="15" t="s">
        <v>2169</v>
      </c>
      <c r="D37" s="15" t="s">
        <v>745</v>
      </c>
      <c r="E37" s="20">
        <v>43000</v>
      </c>
      <c r="F37" s="21">
        <v>1550.537</v>
      </c>
      <c r="G37" s="22">
        <v>9.2999999999999992E-3</v>
      </c>
      <c r="H37" s="40"/>
      <c r="I37" s="24"/>
      <c r="J37" s="5"/>
    </row>
    <row r="38" spans="1:10" ht="12.95" customHeight="1">
      <c r="A38" s="18" t="s">
        <v>851</v>
      </c>
      <c r="B38" s="19" t="s">
        <v>852</v>
      </c>
      <c r="C38" s="15" t="s">
        <v>853</v>
      </c>
      <c r="D38" s="15" t="s">
        <v>259</v>
      </c>
      <c r="E38" s="20">
        <v>245448</v>
      </c>
      <c r="F38" s="21">
        <v>1471.338</v>
      </c>
      <c r="G38" s="22">
        <v>8.8000000000000005E-3</v>
      </c>
      <c r="H38" s="40"/>
      <c r="I38" s="24"/>
      <c r="J38" s="5"/>
    </row>
    <row r="39" spans="1:10" ht="12.95" customHeight="1">
      <c r="A39" s="18" t="s">
        <v>1587</v>
      </c>
      <c r="B39" s="19" t="s">
        <v>1588</v>
      </c>
      <c r="C39" s="15" t="s">
        <v>1589</v>
      </c>
      <c r="D39" s="15" t="s">
        <v>1590</v>
      </c>
      <c r="E39" s="20">
        <v>312168</v>
      </c>
      <c r="F39" s="21">
        <v>1465.4727</v>
      </c>
      <c r="G39" s="22">
        <v>8.8000000000000005E-3</v>
      </c>
      <c r="H39" s="40"/>
      <c r="I39" s="24"/>
      <c r="J39" s="5"/>
    </row>
    <row r="40" spans="1:10" ht="12.95" customHeight="1">
      <c r="A40" s="18" t="s">
        <v>2170</v>
      </c>
      <c r="B40" s="19" t="s">
        <v>2171</v>
      </c>
      <c r="C40" s="15" t="s">
        <v>2172</v>
      </c>
      <c r="D40" s="15" t="s">
        <v>263</v>
      </c>
      <c r="E40" s="20">
        <v>60000</v>
      </c>
      <c r="F40" s="21">
        <v>1425.96</v>
      </c>
      <c r="G40" s="22">
        <v>8.5000000000000006E-3</v>
      </c>
      <c r="H40" s="40"/>
      <c r="I40" s="24"/>
      <c r="J40" s="5"/>
    </row>
    <row r="41" spans="1:10" ht="12.95" customHeight="1">
      <c r="A41" s="18" t="s">
        <v>730</v>
      </c>
      <c r="B41" s="19" t="s">
        <v>731</v>
      </c>
      <c r="C41" s="15" t="s">
        <v>732</v>
      </c>
      <c r="D41" s="15" t="s">
        <v>281</v>
      </c>
      <c r="E41" s="20">
        <v>90612</v>
      </c>
      <c r="F41" s="21">
        <v>1408.337</v>
      </c>
      <c r="G41" s="22">
        <v>8.3999999999999995E-3</v>
      </c>
      <c r="H41" s="40"/>
      <c r="I41" s="24"/>
      <c r="J41" s="5"/>
    </row>
    <row r="42" spans="1:10" ht="12.95" customHeight="1">
      <c r="A42" s="18" t="s">
        <v>2173</v>
      </c>
      <c r="B42" s="19" t="s">
        <v>2174</v>
      </c>
      <c r="C42" s="15" t="s">
        <v>2175</v>
      </c>
      <c r="D42" s="15" t="s">
        <v>295</v>
      </c>
      <c r="E42" s="20">
        <v>96642</v>
      </c>
      <c r="F42" s="21">
        <v>1352.9396999999999</v>
      </c>
      <c r="G42" s="22">
        <v>8.0999999999999996E-3</v>
      </c>
      <c r="H42" s="40"/>
      <c r="I42" s="24"/>
      <c r="J42" s="5"/>
    </row>
    <row r="43" spans="1:10" ht="12.95" customHeight="1">
      <c r="A43" s="18" t="s">
        <v>878</v>
      </c>
      <c r="B43" s="19" t="s">
        <v>879</v>
      </c>
      <c r="C43" s="15" t="s">
        <v>880</v>
      </c>
      <c r="D43" s="15" t="s">
        <v>255</v>
      </c>
      <c r="E43" s="20">
        <v>164827</v>
      </c>
      <c r="F43" s="21">
        <v>1260.5969</v>
      </c>
      <c r="G43" s="22">
        <v>7.4999999999999997E-3</v>
      </c>
      <c r="H43" s="40"/>
      <c r="I43" s="24"/>
      <c r="J43" s="5"/>
    </row>
    <row r="44" spans="1:10" ht="12.95" customHeight="1">
      <c r="A44" s="18" t="s">
        <v>345</v>
      </c>
      <c r="B44" s="19" t="s">
        <v>346</v>
      </c>
      <c r="C44" s="15" t="s">
        <v>347</v>
      </c>
      <c r="D44" s="15" t="s">
        <v>348</v>
      </c>
      <c r="E44" s="20">
        <v>50000</v>
      </c>
      <c r="F44" s="21">
        <v>1232.8</v>
      </c>
      <c r="G44" s="22">
        <v>7.4000000000000003E-3</v>
      </c>
      <c r="H44" s="40"/>
      <c r="I44" s="24"/>
      <c r="J44" s="5"/>
    </row>
    <row r="45" spans="1:10" ht="12.95" customHeight="1">
      <c r="A45" s="18" t="s">
        <v>365</v>
      </c>
      <c r="B45" s="19" t="s">
        <v>366</v>
      </c>
      <c r="C45" s="15" t="s">
        <v>367</v>
      </c>
      <c r="D45" s="15" t="s">
        <v>314</v>
      </c>
      <c r="E45" s="20">
        <v>124669</v>
      </c>
      <c r="F45" s="21">
        <v>1207.3569</v>
      </c>
      <c r="G45" s="22">
        <v>7.1999999999999998E-3</v>
      </c>
      <c r="H45" s="40"/>
      <c r="I45" s="24"/>
      <c r="J45" s="5"/>
    </row>
    <row r="46" spans="1:10" ht="12.95" customHeight="1">
      <c r="A46" s="18" t="s">
        <v>863</v>
      </c>
      <c r="B46" s="19" t="s">
        <v>864</v>
      </c>
      <c r="C46" s="15" t="s">
        <v>865</v>
      </c>
      <c r="D46" s="15" t="s">
        <v>745</v>
      </c>
      <c r="E46" s="20">
        <v>80034</v>
      </c>
      <c r="F46" s="21">
        <v>1186.1839</v>
      </c>
      <c r="G46" s="22">
        <v>7.1000000000000004E-3</v>
      </c>
      <c r="H46" s="40"/>
      <c r="I46" s="24"/>
      <c r="J46" s="5"/>
    </row>
    <row r="47" spans="1:10" ht="12.95" customHeight="1">
      <c r="A47" s="18" t="s">
        <v>359</v>
      </c>
      <c r="B47" s="19" t="s">
        <v>360</v>
      </c>
      <c r="C47" s="15" t="s">
        <v>361</v>
      </c>
      <c r="D47" s="15" t="s">
        <v>255</v>
      </c>
      <c r="E47" s="20">
        <v>510804</v>
      </c>
      <c r="F47" s="21">
        <v>1180.9788000000001</v>
      </c>
      <c r="G47" s="22">
        <v>7.1000000000000004E-3</v>
      </c>
      <c r="H47" s="40"/>
      <c r="I47" s="24"/>
      <c r="J47" s="5"/>
    </row>
    <row r="48" spans="1:10" ht="12.95" customHeight="1">
      <c r="A48" s="18" t="s">
        <v>303</v>
      </c>
      <c r="B48" s="19" t="s">
        <v>304</v>
      </c>
      <c r="C48" s="15" t="s">
        <v>305</v>
      </c>
      <c r="D48" s="15" t="s">
        <v>306</v>
      </c>
      <c r="E48" s="20">
        <v>44257</v>
      </c>
      <c r="F48" s="21">
        <v>929.92809999999997</v>
      </c>
      <c r="G48" s="22">
        <v>5.5999999999999999E-3</v>
      </c>
      <c r="H48" s="40"/>
      <c r="I48" s="24"/>
      <c r="J48" s="5"/>
    </row>
    <row r="49" spans="1:10" ht="12.95" customHeight="1">
      <c r="A49" s="18" t="s">
        <v>795</v>
      </c>
      <c r="B49" s="19" t="s">
        <v>796</v>
      </c>
      <c r="C49" s="15" t="s">
        <v>797</v>
      </c>
      <c r="D49" s="15" t="s">
        <v>798</v>
      </c>
      <c r="E49" s="20">
        <v>93000</v>
      </c>
      <c r="F49" s="21">
        <v>922.18799999999999</v>
      </c>
      <c r="G49" s="22">
        <v>5.4999999999999997E-3</v>
      </c>
      <c r="H49" s="40"/>
      <c r="I49" s="24"/>
      <c r="J49" s="5"/>
    </row>
    <row r="50" spans="1:10" ht="12.95" customHeight="1">
      <c r="A50" s="18" t="s">
        <v>742</v>
      </c>
      <c r="B50" s="19" t="s">
        <v>743</v>
      </c>
      <c r="C50" s="15" t="s">
        <v>744</v>
      </c>
      <c r="D50" s="15" t="s">
        <v>745</v>
      </c>
      <c r="E50" s="20">
        <v>65000</v>
      </c>
      <c r="F50" s="21">
        <v>753.12249999999995</v>
      </c>
      <c r="G50" s="22">
        <v>4.4999999999999997E-3</v>
      </c>
      <c r="H50" s="40"/>
      <c r="I50" s="24"/>
      <c r="J50" s="5"/>
    </row>
    <row r="51" spans="1:10" ht="12.95" customHeight="1">
      <c r="A51" s="18" t="s">
        <v>2176</v>
      </c>
      <c r="B51" s="19" t="s">
        <v>2177</v>
      </c>
      <c r="C51" s="15" t="s">
        <v>2178</v>
      </c>
      <c r="D51" s="15" t="s">
        <v>255</v>
      </c>
      <c r="E51" s="20">
        <v>879320</v>
      </c>
      <c r="F51" s="21">
        <v>732.03390000000002</v>
      </c>
      <c r="G51" s="22">
        <v>4.4000000000000003E-3</v>
      </c>
      <c r="H51" s="40"/>
      <c r="I51" s="24"/>
      <c r="J51" s="5"/>
    </row>
    <row r="52" spans="1:10" ht="12.95" customHeight="1">
      <c r="A52" s="18" t="s">
        <v>809</v>
      </c>
      <c r="B52" s="19" t="s">
        <v>810</v>
      </c>
      <c r="C52" s="15" t="s">
        <v>811</v>
      </c>
      <c r="D52" s="15" t="s">
        <v>403</v>
      </c>
      <c r="E52" s="20">
        <v>15889</v>
      </c>
      <c r="F52" s="21">
        <v>661.82449999999994</v>
      </c>
      <c r="G52" s="22">
        <v>4.0000000000000001E-3</v>
      </c>
      <c r="H52" s="40"/>
      <c r="I52" s="24"/>
      <c r="J52" s="5"/>
    </row>
    <row r="53" spans="1:10" ht="12.95" customHeight="1">
      <c r="A53" s="18" t="s">
        <v>2179</v>
      </c>
      <c r="B53" s="19" t="s">
        <v>2180</v>
      </c>
      <c r="C53" s="15" t="s">
        <v>2181</v>
      </c>
      <c r="D53" s="15" t="s">
        <v>2182</v>
      </c>
      <c r="E53" s="20">
        <v>22528</v>
      </c>
      <c r="F53" s="21">
        <v>585.28869999999995</v>
      </c>
      <c r="G53" s="22">
        <v>3.5000000000000001E-3</v>
      </c>
      <c r="H53" s="40"/>
      <c r="I53" s="24"/>
      <c r="J53" s="5"/>
    </row>
    <row r="54" spans="1:10" ht="12.95" customHeight="1">
      <c r="A54" s="18" t="s">
        <v>2183</v>
      </c>
      <c r="B54" s="19" t="s">
        <v>2184</v>
      </c>
      <c r="C54" s="15" t="s">
        <v>2185</v>
      </c>
      <c r="D54" s="15" t="s">
        <v>271</v>
      </c>
      <c r="E54" s="20">
        <v>342760</v>
      </c>
      <c r="F54" s="21">
        <v>558.18470000000002</v>
      </c>
      <c r="G54" s="22">
        <v>3.3E-3</v>
      </c>
      <c r="H54" s="40"/>
      <c r="I54" s="24"/>
      <c r="J54" s="5"/>
    </row>
    <row r="55" spans="1:10" ht="12.95" customHeight="1">
      <c r="A55" s="18" t="s">
        <v>866</v>
      </c>
      <c r="B55" s="19" t="s">
        <v>867</v>
      </c>
      <c r="C55" s="15" t="s">
        <v>868</v>
      </c>
      <c r="D55" s="15" t="s">
        <v>403</v>
      </c>
      <c r="E55" s="20">
        <v>462981</v>
      </c>
      <c r="F55" s="21">
        <v>469.92570000000001</v>
      </c>
      <c r="G55" s="22">
        <v>2.8E-3</v>
      </c>
      <c r="H55" s="40"/>
      <c r="I55" s="24"/>
      <c r="J55" s="5"/>
    </row>
    <row r="56" spans="1:10" ht="12.95" customHeight="1">
      <c r="A56" s="18" t="s">
        <v>2186</v>
      </c>
      <c r="B56" s="19" t="s">
        <v>2187</v>
      </c>
      <c r="C56" s="15" t="s">
        <v>2188</v>
      </c>
      <c r="D56" s="15" t="s">
        <v>314</v>
      </c>
      <c r="E56" s="20">
        <v>10000</v>
      </c>
      <c r="F56" s="21">
        <v>376.67</v>
      </c>
      <c r="G56" s="22">
        <v>2.3E-3</v>
      </c>
      <c r="H56" s="40"/>
      <c r="I56" s="24"/>
      <c r="J56" s="5"/>
    </row>
    <row r="57" spans="1:10" ht="12.95" customHeight="1">
      <c r="A57" s="18" t="s">
        <v>2189</v>
      </c>
      <c r="B57" s="19" t="s">
        <v>2190</v>
      </c>
      <c r="C57" s="15" t="s">
        <v>2191</v>
      </c>
      <c r="D57" s="15" t="s">
        <v>2192</v>
      </c>
      <c r="E57" s="20">
        <v>45015</v>
      </c>
      <c r="F57" s="21">
        <v>372.58920000000001</v>
      </c>
      <c r="G57" s="22">
        <v>2.2000000000000001E-3</v>
      </c>
      <c r="H57" s="40"/>
      <c r="I57" s="24"/>
      <c r="J57" s="5"/>
    </row>
    <row r="58" spans="1:10" ht="12.95" customHeight="1">
      <c r="A58" s="5"/>
      <c r="B58" s="14" t="s">
        <v>160</v>
      </c>
      <c r="C58" s="15"/>
      <c r="D58" s="15"/>
      <c r="E58" s="15"/>
      <c r="F58" s="25">
        <v>122355.349</v>
      </c>
      <c r="G58" s="26">
        <v>0.73119999999999996</v>
      </c>
      <c r="H58" s="27"/>
      <c r="I58" s="28"/>
      <c r="J58" s="5"/>
    </row>
    <row r="59" spans="1:10" ht="12.95" customHeight="1">
      <c r="A59" s="5"/>
      <c r="B59" s="29" t="s">
        <v>408</v>
      </c>
      <c r="C59" s="2"/>
      <c r="D59" s="2"/>
      <c r="E59" s="2"/>
      <c r="F59" s="27" t="s">
        <v>162</v>
      </c>
      <c r="G59" s="27" t="s">
        <v>162</v>
      </c>
      <c r="H59" s="27"/>
      <c r="I59" s="28"/>
      <c r="J59" s="5"/>
    </row>
    <row r="60" spans="1:10" ht="12.95" customHeight="1">
      <c r="A60" s="5"/>
      <c r="B60" s="29" t="s">
        <v>160</v>
      </c>
      <c r="C60" s="2"/>
      <c r="D60" s="2"/>
      <c r="E60" s="2"/>
      <c r="F60" s="27" t="s">
        <v>162</v>
      </c>
      <c r="G60" s="27" t="s">
        <v>162</v>
      </c>
      <c r="H60" s="27"/>
      <c r="I60" s="28"/>
      <c r="J60" s="5"/>
    </row>
    <row r="61" spans="1:10" ht="12.95" customHeight="1">
      <c r="A61" s="5"/>
      <c r="B61" s="29" t="s">
        <v>163</v>
      </c>
      <c r="C61" s="30"/>
      <c r="D61" s="2"/>
      <c r="E61" s="30"/>
      <c r="F61" s="25">
        <v>122355.349</v>
      </c>
      <c r="G61" s="26">
        <v>0.73119999999999996</v>
      </c>
      <c r="H61" s="27"/>
      <c r="I61" s="28"/>
      <c r="J61" s="5"/>
    </row>
    <row r="62" spans="1:10" ht="12.95" customHeight="1">
      <c r="A62" s="5"/>
      <c r="B62" s="14" t="s">
        <v>409</v>
      </c>
      <c r="C62" s="15"/>
      <c r="D62" s="15"/>
      <c r="E62" s="15"/>
      <c r="F62" s="15"/>
      <c r="G62" s="15"/>
      <c r="H62" s="16"/>
      <c r="I62" s="17"/>
      <c r="J62" s="5"/>
    </row>
    <row r="63" spans="1:10" ht="12.95" customHeight="1">
      <c r="A63" s="5"/>
      <c r="B63" s="14" t="s">
        <v>410</v>
      </c>
      <c r="C63" s="15"/>
      <c r="D63" s="15"/>
      <c r="E63" s="15"/>
      <c r="F63" s="5"/>
      <c r="G63" s="16"/>
      <c r="H63" s="16"/>
      <c r="I63" s="17"/>
      <c r="J63" s="5"/>
    </row>
    <row r="64" spans="1:10" ht="12.95" customHeight="1">
      <c r="A64" s="18" t="s">
        <v>894</v>
      </c>
      <c r="B64" s="19" t="s">
        <v>895</v>
      </c>
      <c r="C64" s="15"/>
      <c r="D64" s="15"/>
      <c r="E64" s="20">
        <v>480000</v>
      </c>
      <c r="F64" s="21">
        <v>2883.36</v>
      </c>
      <c r="G64" s="22">
        <v>1.72E-2</v>
      </c>
      <c r="H64" s="40"/>
      <c r="I64" s="24"/>
      <c r="J64" s="5"/>
    </row>
    <row r="65" spans="1:10" ht="12.95" customHeight="1">
      <c r="A65" s="18" t="s">
        <v>411</v>
      </c>
      <c r="B65" s="19" t="s">
        <v>412</v>
      </c>
      <c r="C65" s="15"/>
      <c r="D65" s="15"/>
      <c r="E65" s="20">
        <v>1072500</v>
      </c>
      <c r="F65" s="21">
        <v>1392.6413</v>
      </c>
      <c r="G65" s="22">
        <v>8.3000000000000001E-3</v>
      </c>
      <c r="H65" s="40"/>
      <c r="I65" s="24"/>
      <c r="J65" s="5"/>
    </row>
    <row r="66" spans="1:10" ht="12.95" customHeight="1">
      <c r="A66" s="5"/>
      <c r="B66" s="14" t="s">
        <v>160</v>
      </c>
      <c r="C66" s="15"/>
      <c r="D66" s="15"/>
      <c r="E66" s="15"/>
      <c r="F66" s="25">
        <v>4276.0012999999999</v>
      </c>
      <c r="G66" s="26">
        <v>2.5600000000000001E-2</v>
      </c>
      <c r="H66" s="27"/>
      <c r="I66" s="28"/>
      <c r="J66" s="5"/>
    </row>
    <row r="67" spans="1:10" ht="12.95" customHeight="1">
      <c r="A67" s="5"/>
      <c r="B67" s="14" t="s">
        <v>953</v>
      </c>
      <c r="C67" s="15"/>
      <c r="D67" s="15"/>
      <c r="E67" s="15"/>
      <c r="F67" s="5"/>
      <c r="G67" s="16"/>
      <c r="H67" s="16"/>
      <c r="I67" s="17"/>
      <c r="J67" s="5"/>
    </row>
    <row r="68" spans="1:10" ht="12.95" customHeight="1">
      <c r="A68" s="18" t="s">
        <v>2193</v>
      </c>
      <c r="B68" s="19" t="s">
        <v>2194</v>
      </c>
      <c r="C68" s="15"/>
      <c r="D68" s="15"/>
      <c r="E68" s="20"/>
      <c r="F68" s="21">
        <v>-34.725999999999999</v>
      </c>
      <c r="G68" s="22">
        <v>-2.0000000000000001E-4</v>
      </c>
      <c r="H68" s="40"/>
      <c r="I68" s="24"/>
      <c r="J68" s="5"/>
    </row>
    <row r="69" spans="1:10" ht="12.95" customHeight="1">
      <c r="A69" s="5"/>
      <c r="B69" s="14" t="s">
        <v>160</v>
      </c>
      <c r="C69" s="15"/>
      <c r="D69" s="15"/>
      <c r="E69" s="15"/>
      <c r="F69" s="25">
        <v>-34.725999999999999</v>
      </c>
      <c r="G69" s="26">
        <v>-2.0000000000000001E-4</v>
      </c>
      <c r="H69" s="27"/>
      <c r="I69" s="28"/>
      <c r="J69" s="5"/>
    </row>
    <row r="70" spans="1:10" ht="12.95" customHeight="1">
      <c r="A70" s="5"/>
      <c r="B70" s="29" t="s">
        <v>163</v>
      </c>
      <c r="C70" s="30"/>
      <c r="D70" s="2"/>
      <c r="E70" s="30"/>
      <c r="F70" s="25">
        <v>4241.2753000000002</v>
      </c>
      <c r="G70" s="26">
        <v>2.53E-2</v>
      </c>
      <c r="H70" s="27"/>
      <c r="I70" s="28"/>
      <c r="J70" s="5"/>
    </row>
    <row r="71" spans="1:10" ht="12.95" customHeight="1">
      <c r="A71" s="5"/>
      <c r="B71" s="14" t="s">
        <v>151</v>
      </c>
      <c r="C71" s="15"/>
      <c r="D71" s="15"/>
      <c r="E71" s="15"/>
      <c r="F71" s="15"/>
      <c r="G71" s="15"/>
      <c r="H71" s="16"/>
      <c r="I71" s="17"/>
      <c r="J71" s="5"/>
    </row>
    <row r="72" spans="1:10" ht="12.95" customHeight="1">
      <c r="A72" s="5"/>
      <c r="B72" s="14" t="s">
        <v>152</v>
      </c>
      <c r="C72" s="15"/>
      <c r="D72" s="15"/>
      <c r="E72" s="15"/>
      <c r="F72" s="5"/>
      <c r="G72" s="16"/>
      <c r="H72" s="16"/>
      <c r="I72" s="17"/>
      <c r="J72" s="5"/>
    </row>
    <row r="73" spans="1:10" ht="12.95" customHeight="1">
      <c r="A73" s="18" t="s">
        <v>1655</v>
      </c>
      <c r="B73" s="19" t="s">
        <v>1656</v>
      </c>
      <c r="C73" s="15" t="s">
        <v>1657</v>
      </c>
      <c r="D73" s="15" t="s">
        <v>156</v>
      </c>
      <c r="E73" s="20">
        <v>4000000</v>
      </c>
      <c r="F73" s="21">
        <v>4003.1</v>
      </c>
      <c r="G73" s="22">
        <v>2.3900000000000001E-2</v>
      </c>
      <c r="H73" s="23">
        <v>7.3776999999999995E-2</v>
      </c>
      <c r="I73" s="24"/>
      <c r="J73" s="5"/>
    </row>
    <row r="74" spans="1:10" ht="12.95" customHeight="1">
      <c r="A74" s="18" t="s">
        <v>2195</v>
      </c>
      <c r="B74" s="19" t="s">
        <v>2196</v>
      </c>
      <c r="C74" s="15" t="s">
        <v>2197</v>
      </c>
      <c r="D74" s="15" t="s">
        <v>179</v>
      </c>
      <c r="E74" s="20">
        <v>342</v>
      </c>
      <c r="F74" s="21">
        <v>3731.5106999999998</v>
      </c>
      <c r="G74" s="22">
        <v>2.23E-2</v>
      </c>
      <c r="H74" s="23">
        <v>7.9835000000000003E-2</v>
      </c>
      <c r="I74" s="24"/>
      <c r="J74" s="5"/>
    </row>
    <row r="75" spans="1:10" ht="12.95" customHeight="1">
      <c r="A75" s="18" t="s">
        <v>442</v>
      </c>
      <c r="B75" s="19" t="s">
        <v>443</v>
      </c>
      <c r="C75" s="15" t="s">
        <v>444</v>
      </c>
      <c r="D75" s="15" t="s">
        <v>179</v>
      </c>
      <c r="E75" s="20">
        <v>2500</v>
      </c>
      <c r="F75" s="21">
        <v>2491.4875000000002</v>
      </c>
      <c r="G75" s="22">
        <v>1.49E-2</v>
      </c>
      <c r="H75" s="23">
        <v>7.7024999999999996E-2</v>
      </c>
      <c r="I75" s="24"/>
      <c r="J75" s="5"/>
    </row>
    <row r="76" spans="1:10" ht="12.95" customHeight="1">
      <c r="A76" s="18" t="s">
        <v>2198</v>
      </c>
      <c r="B76" s="19" t="s">
        <v>2199</v>
      </c>
      <c r="C76" s="15" t="s">
        <v>2200</v>
      </c>
      <c r="D76" s="15" t="s">
        <v>179</v>
      </c>
      <c r="E76" s="20">
        <v>250</v>
      </c>
      <c r="F76" s="21">
        <v>2477.66</v>
      </c>
      <c r="G76" s="22">
        <v>1.4800000000000001E-2</v>
      </c>
      <c r="H76" s="23">
        <v>7.9100000000000004E-2</v>
      </c>
      <c r="I76" s="24"/>
      <c r="J76" s="5"/>
    </row>
    <row r="77" spans="1:10" ht="12.95" customHeight="1">
      <c r="A77" s="18" t="s">
        <v>2201</v>
      </c>
      <c r="B77" s="19" t="s">
        <v>2202</v>
      </c>
      <c r="C77" s="15" t="s">
        <v>2203</v>
      </c>
      <c r="D77" s="15" t="s">
        <v>2204</v>
      </c>
      <c r="E77" s="20">
        <v>250</v>
      </c>
      <c r="F77" s="21">
        <v>2461.665</v>
      </c>
      <c r="G77" s="22">
        <v>1.47E-2</v>
      </c>
      <c r="H77" s="23">
        <v>7.8585000000000002E-2</v>
      </c>
      <c r="I77" s="24"/>
      <c r="J77" s="5"/>
    </row>
    <row r="78" spans="1:10" ht="12.95" customHeight="1">
      <c r="A78" s="18" t="s">
        <v>1661</v>
      </c>
      <c r="B78" s="19" t="s">
        <v>1662</v>
      </c>
      <c r="C78" s="15" t="s">
        <v>1663</v>
      </c>
      <c r="D78" s="15" t="s">
        <v>179</v>
      </c>
      <c r="E78" s="20">
        <v>250</v>
      </c>
      <c r="F78" s="21">
        <v>2391.04</v>
      </c>
      <c r="G78" s="22">
        <v>1.43E-2</v>
      </c>
      <c r="H78" s="23">
        <v>7.6270000000000004E-2</v>
      </c>
      <c r="I78" s="24"/>
      <c r="J78" s="5"/>
    </row>
    <row r="79" spans="1:10" ht="12.95" customHeight="1">
      <c r="A79" s="18" t="s">
        <v>1028</v>
      </c>
      <c r="B79" s="19" t="s">
        <v>1029</v>
      </c>
      <c r="C79" s="15" t="s">
        <v>1030</v>
      </c>
      <c r="D79" s="15" t="s">
        <v>179</v>
      </c>
      <c r="E79" s="20">
        <v>2500</v>
      </c>
      <c r="F79" s="21">
        <v>2386.6725000000001</v>
      </c>
      <c r="G79" s="22">
        <v>1.43E-2</v>
      </c>
      <c r="H79" s="23">
        <v>7.4700000000000003E-2</v>
      </c>
      <c r="I79" s="24"/>
      <c r="J79" s="5"/>
    </row>
    <row r="80" spans="1:10" ht="12.95" customHeight="1">
      <c r="A80" s="18" t="s">
        <v>1671</v>
      </c>
      <c r="B80" s="19" t="s">
        <v>1672</v>
      </c>
      <c r="C80" s="15" t="s">
        <v>1673</v>
      </c>
      <c r="D80" s="15" t="s">
        <v>156</v>
      </c>
      <c r="E80" s="20">
        <v>2500000</v>
      </c>
      <c r="F80" s="21">
        <v>1881.64</v>
      </c>
      <c r="G80" s="22">
        <v>1.12E-2</v>
      </c>
      <c r="H80" s="23">
        <v>7.4262999999999996E-2</v>
      </c>
      <c r="I80" s="24"/>
      <c r="J80" s="5"/>
    </row>
    <row r="81" spans="1:10" ht="12.95" customHeight="1">
      <c r="A81" s="18" t="s">
        <v>908</v>
      </c>
      <c r="B81" s="19" t="s">
        <v>909</v>
      </c>
      <c r="C81" s="15" t="s">
        <v>910</v>
      </c>
      <c r="D81" s="15" t="s">
        <v>179</v>
      </c>
      <c r="E81" s="20">
        <v>1500</v>
      </c>
      <c r="F81" s="21">
        <v>1502.922</v>
      </c>
      <c r="G81" s="22">
        <v>8.9999999999999993E-3</v>
      </c>
      <c r="H81" s="23">
        <v>7.5999999999999998E-2</v>
      </c>
      <c r="I81" s="24"/>
      <c r="J81" s="5"/>
    </row>
    <row r="82" spans="1:10" ht="12.95" customHeight="1">
      <c r="A82" s="18" t="s">
        <v>899</v>
      </c>
      <c r="B82" s="19" t="s">
        <v>900</v>
      </c>
      <c r="C82" s="15" t="s">
        <v>901</v>
      </c>
      <c r="D82" s="15" t="s">
        <v>156</v>
      </c>
      <c r="E82" s="20">
        <v>1500000</v>
      </c>
      <c r="F82" s="21">
        <v>1499.5545</v>
      </c>
      <c r="G82" s="22">
        <v>8.9999999999999993E-3</v>
      </c>
      <c r="H82" s="23">
        <v>7.3948E-2</v>
      </c>
      <c r="I82" s="24"/>
      <c r="J82" s="5"/>
    </row>
    <row r="83" spans="1:10" ht="12.95" customHeight="1">
      <c r="A83" s="18" t="s">
        <v>1164</v>
      </c>
      <c r="B83" s="19" t="s">
        <v>1165</v>
      </c>
      <c r="C83" s="15" t="s">
        <v>1166</v>
      </c>
      <c r="D83" s="15" t="s">
        <v>179</v>
      </c>
      <c r="E83" s="20">
        <v>15</v>
      </c>
      <c r="F83" s="21">
        <v>1499.2439999999999</v>
      </c>
      <c r="G83" s="22">
        <v>8.9999999999999993E-3</v>
      </c>
      <c r="H83" s="23">
        <v>7.8613000000000002E-2</v>
      </c>
      <c r="I83" s="24"/>
      <c r="J83" s="5"/>
    </row>
    <row r="84" spans="1:10" ht="12.95" customHeight="1">
      <c r="A84" s="18" t="s">
        <v>1688</v>
      </c>
      <c r="B84" s="19" t="s">
        <v>1689</v>
      </c>
      <c r="C84" s="15" t="s">
        <v>1690</v>
      </c>
      <c r="D84" s="15" t="s">
        <v>1691</v>
      </c>
      <c r="E84" s="20">
        <v>1500</v>
      </c>
      <c r="F84" s="21">
        <v>1497.4875</v>
      </c>
      <c r="G84" s="22">
        <v>8.8999999999999999E-3</v>
      </c>
      <c r="H84" s="23">
        <v>8.5374000000000005E-2</v>
      </c>
      <c r="I84" s="24"/>
      <c r="J84" s="5"/>
    </row>
    <row r="85" spans="1:10" ht="12.95" customHeight="1">
      <c r="A85" s="18" t="s">
        <v>1681</v>
      </c>
      <c r="B85" s="19" t="s">
        <v>1682</v>
      </c>
      <c r="C85" s="15" t="s">
        <v>1683</v>
      </c>
      <c r="D85" s="15" t="s">
        <v>179</v>
      </c>
      <c r="E85" s="20">
        <v>1500</v>
      </c>
      <c r="F85" s="21">
        <v>1488.066</v>
      </c>
      <c r="G85" s="22">
        <v>8.8999999999999999E-3</v>
      </c>
      <c r="H85" s="23">
        <v>7.8450000000000006E-2</v>
      </c>
      <c r="I85" s="24"/>
      <c r="J85" s="5"/>
    </row>
    <row r="86" spans="1:10" ht="12.95" customHeight="1">
      <c r="A86" s="18" t="s">
        <v>1664</v>
      </c>
      <c r="B86" s="19" t="s">
        <v>1665</v>
      </c>
      <c r="C86" s="15" t="s">
        <v>1666</v>
      </c>
      <c r="D86" s="15" t="s">
        <v>179</v>
      </c>
      <c r="E86" s="20">
        <v>100</v>
      </c>
      <c r="F86" s="21">
        <v>994.50099999999998</v>
      </c>
      <c r="G86" s="22">
        <v>5.8999999999999999E-3</v>
      </c>
      <c r="H86" s="23">
        <v>8.2100000000000006E-2</v>
      </c>
      <c r="I86" s="24"/>
      <c r="J86" s="5"/>
    </row>
    <row r="87" spans="1:10" ht="12.95" customHeight="1">
      <c r="A87" s="18" t="s">
        <v>902</v>
      </c>
      <c r="B87" s="19" t="s">
        <v>903</v>
      </c>
      <c r="C87" s="15" t="s">
        <v>904</v>
      </c>
      <c r="D87" s="15" t="s">
        <v>156</v>
      </c>
      <c r="E87" s="20">
        <v>1000000</v>
      </c>
      <c r="F87" s="21">
        <v>993.24300000000005</v>
      </c>
      <c r="G87" s="22">
        <v>5.8999999999999999E-3</v>
      </c>
      <c r="H87" s="23">
        <v>7.3802999999999994E-2</v>
      </c>
      <c r="I87" s="24"/>
      <c r="J87" s="5"/>
    </row>
    <row r="88" spans="1:10" ht="12.95" customHeight="1">
      <c r="A88" s="18" t="s">
        <v>1684</v>
      </c>
      <c r="B88" s="19" t="s">
        <v>1685</v>
      </c>
      <c r="C88" s="15" t="s">
        <v>1686</v>
      </c>
      <c r="D88" s="15" t="s">
        <v>1687</v>
      </c>
      <c r="E88" s="20">
        <v>1000</v>
      </c>
      <c r="F88" s="21">
        <v>990.36599999999999</v>
      </c>
      <c r="G88" s="22">
        <v>5.8999999999999999E-3</v>
      </c>
      <c r="H88" s="23">
        <v>0.10947999999999999</v>
      </c>
      <c r="I88" s="24"/>
      <c r="J88" s="5"/>
    </row>
    <row r="89" spans="1:10" ht="12.95" customHeight="1">
      <c r="A89" s="18" t="s">
        <v>2205</v>
      </c>
      <c r="B89" s="19" t="s">
        <v>2206</v>
      </c>
      <c r="C89" s="15" t="s">
        <v>2207</v>
      </c>
      <c r="D89" s="15" t="s">
        <v>1670</v>
      </c>
      <c r="E89" s="20">
        <v>100</v>
      </c>
      <c r="F89" s="21">
        <v>982.18100000000004</v>
      </c>
      <c r="G89" s="22">
        <v>5.8999999999999999E-3</v>
      </c>
      <c r="H89" s="23">
        <v>8.7300000000000003E-2</v>
      </c>
      <c r="I89" s="24"/>
      <c r="J89" s="5"/>
    </row>
    <row r="90" spans="1:10" ht="12.95" customHeight="1">
      <c r="A90" s="18" t="s">
        <v>1692</v>
      </c>
      <c r="B90" s="19" t="s">
        <v>1693</v>
      </c>
      <c r="C90" s="15" t="s">
        <v>1694</v>
      </c>
      <c r="D90" s="15" t="s">
        <v>1695</v>
      </c>
      <c r="E90" s="20">
        <v>1000</v>
      </c>
      <c r="F90" s="21">
        <v>745.99300000000005</v>
      </c>
      <c r="G90" s="22">
        <v>4.4999999999999997E-3</v>
      </c>
      <c r="H90" s="23">
        <v>9.8499000000000003E-2</v>
      </c>
      <c r="I90" s="24"/>
      <c r="J90" s="5"/>
    </row>
    <row r="91" spans="1:10" ht="12.95" customHeight="1">
      <c r="A91" s="18" t="s">
        <v>911</v>
      </c>
      <c r="B91" s="19" t="s">
        <v>912</v>
      </c>
      <c r="C91" s="15" t="s">
        <v>913</v>
      </c>
      <c r="D91" s="15" t="s">
        <v>156</v>
      </c>
      <c r="E91" s="20">
        <v>500000</v>
      </c>
      <c r="F91" s="21">
        <v>496.69099999999997</v>
      </c>
      <c r="G91" s="22">
        <v>3.0000000000000001E-3</v>
      </c>
      <c r="H91" s="23">
        <v>7.3640999999999998E-2</v>
      </c>
      <c r="I91" s="24"/>
      <c r="J91" s="5"/>
    </row>
    <row r="92" spans="1:10" ht="12.95" customHeight="1">
      <c r="A92" s="18" t="s">
        <v>2208</v>
      </c>
      <c r="B92" s="19" t="s">
        <v>2209</v>
      </c>
      <c r="C92" s="15" t="s">
        <v>2210</v>
      </c>
      <c r="D92" s="15" t="s">
        <v>1654</v>
      </c>
      <c r="E92" s="20">
        <v>50</v>
      </c>
      <c r="F92" s="21">
        <v>492.13850000000002</v>
      </c>
      <c r="G92" s="22">
        <v>2.8999999999999998E-3</v>
      </c>
      <c r="H92" s="23">
        <v>7.5459499999999999E-2</v>
      </c>
      <c r="I92" s="41">
        <v>8.1873931999999996E-2</v>
      </c>
      <c r="J92" s="5"/>
    </row>
    <row r="93" spans="1:10" ht="12.95" customHeight="1">
      <c r="A93" s="18" t="s">
        <v>986</v>
      </c>
      <c r="B93" s="19" t="s">
        <v>987</v>
      </c>
      <c r="C93" s="15" t="s">
        <v>988</v>
      </c>
      <c r="D93" s="15" t="s">
        <v>156</v>
      </c>
      <c r="E93" s="20">
        <v>427600</v>
      </c>
      <c r="F93" s="21">
        <v>427.0514</v>
      </c>
      <c r="G93" s="22">
        <v>2.5999999999999999E-3</v>
      </c>
      <c r="H93" s="23"/>
      <c r="I93" s="41"/>
      <c r="J93" s="5"/>
    </row>
    <row r="94" spans="1:10" ht="12.95" customHeight="1">
      <c r="A94" s="18" t="s">
        <v>1550</v>
      </c>
      <c r="B94" s="19" t="s">
        <v>1551</v>
      </c>
      <c r="C94" s="15" t="s">
        <v>1552</v>
      </c>
      <c r="D94" s="15" t="s">
        <v>179</v>
      </c>
      <c r="E94" s="20">
        <v>30</v>
      </c>
      <c r="F94" s="21">
        <v>296.51549999999997</v>
      </c>
      <c r="G94" s="22">
        <v>1.8E-3</v>
      </c>
      <c r="H94" s="23">
        <v>7.6175000000000007E-2</v>
      </c>
      <c r="I94" s="41"/>
      <c r="J94" s="5"/>
    </row>
    <row r="95" spans="1:10" ht="12.95" customHeight="1">
      <c r="A95" s="18" t="s">
        <v>1285</v>
      </c>
      <c r="B95" s="19" t="s">
        <v>1286</v>
      </c>
      <c r="C95" s="15" t="s">
        <v>1287</v>
      </c>
      <c r="D95" s="15" t="s">
        <v>156</v>
      </c>
      <c r="E95" s="20">
        <v>200000</v>
      </c>
      <c r="F95" s="21">
        <v>202.5496</v>
      </c>
      <c r="G95" s="22">
        <v>1.1999999999999999E-3</v>
      </c>
      <c r="H95" s="23">
        <v>7.6328999999999994E-2</v>
      </c>
      <c r="I95" s="41"/>
      <c r="J95" s="5"/>
    </row>
    <row r="96" spans="1:10" ht="12.95" customHeight="1">
      <c r="A96" s="18" t="s">
        <v>1499</v>
      </c>
      <c r="B96" s="19" t="s">
        <v>1500</v>
      </c>
      <c r="C96" s="15" t="s">
        <v>1501</v>
      </c>
      <c r="D96" s="15" t="s">
        <v>179</v>
      </c>
      <c r="E96" s="20">
        <v>10</v>
      </c>
      <c r="F96" s="21">
        <v>105.4194</v>
      </c>
      <c r="G96" s="22">
        <v>5.9999999999999995E-4</v>
      </c>
      <c r="H96" s="23">
        <v>7.6175000000000007E-2</v>
      </c>
      <c r="I96" s="41"/>
      <c r="J96" s="5"/>
    </row>
    <row r="97" spans="1:10" ht="12.95" customHeight="1">
      <c r="A97" s="18" t="s">
        <v>606</v>
      </c>
      <c r="B97" s="19" t="s">
        <v>607</v>
      </c>
      <c r="C97" s="15" t="s">
        <v>608</v>
      </c>
      <c r="D97" s="15" t="s">
        <v>156</v>
      </c>
      <c r="E97" s="20">
        <v>50000</v>
      </c>
      <c r="F97" s="21">
        <v>50.723199999999999</v>
      </c>
      <c r="G97" s="22">
        <v>2.9999999999999997E-4</v>
      </c>
      <c r="H97" s="23">
        <v>7.5500999999999999E-2</v>
      </c>
      <c r="I97" s="41"/>
      <c r="J97" s="5"/>
    </row>
    <row r="98" spans="1:10" ht="12.95" customHeight="1">
      <c r="A98" s="5"/>
      <c r="B98" s="14" t="s">
        <v>160</v>
      </c>
      <c r="C98" s="15"/>
      <c r="D98" s="15"/>
      <c r="E98" s="15"/>
      <c r="F98" s="25">
        <v>36089.422200000001</v>
      </c>
      <c r="G98" s="26">
        <v>0.2157</v>
      </c>
      <c r="H98" s="27"/>
      <c r="I98" s="28"/>
      <c r="J98" s="5"/>
    </row>
    <row r="99" spans="1:10" ht="12.95" customHeight="1">
      <c r="A99" s="5"/>
      <c r="B99" s="29" t="s">
        <v>161</v>
      </c>
      <c r="C99" s="2"/>
      <c r="D99" s="2"/>
      <c r="E99" s="2"/>
      <c r="F99" s="27" t="s">
        <v>162</v>
      </c>
      <c r="G99" s="27" t="s">
        <v>162</v>
      </c>
      <c r="H99" s="27"/>
      <c r="I99" s="28"/>
      <c r="J99" s="5"/>
    </row>
    <row r="100" spans="1:10" ht="12.95" customHeight="1">
      <c r="A100" s="5"/>
      <c r="B100" s="29" t="s">
        <v>160</v>
      </c>
      <c r="C100" s="2"/>
      <c r="D100" s="2"/>
      <c r="E100" s="2"/>
      <c r="F100" s="27" t="s">
        <v>162</v>
      </c>
      <c r="G100" s="27" t="s">
        <v>162</v>
      </c>
      <c r="H100" s="27"/>
      <c r="I100" s="28"/>
      <c r="J100" s="5"/>
    </row>
    <row r="101" spans="1:10" ht="12.95" customHeight="1">
      <c r="A101" s="5"/>
      <c r="B101" s="29" t="s">
        <v>163</v>
      </c>
      <c r="C101" s="30"/>
      <c r="D101" s="2"/>
      <c r="E101" s="30"/>
      <c r="F101" s="25">
        <v>36089.422200000001</v>
      </c>
      <c r="G101" s="26">
        <v>0.2157</v>
      </c>
      <c r="H101" s="27"/>
      <c r="I101" s="28"/>
      <c r="J101" s="5"/>
    </row>
    <row r="102" spans="1:10" ht="12.95" customHeight="1">
      <c r="A102" s="5"/>
      <c r="B102" s="14" t="s">
        <v>417</v>
      </c>
      <c r="C102" s="15"/>
      <c r="D102" s="15"/>
      <c r="E102" s="15"/>
      <c r="F102" s="15"/>
      <c r="G102" s="15"/>
      <c r="H102" s="16"/>
      <c r="I102" s="17"/>
      <c r="J102" s="5"/>
    </row>
    <row r="103" spans="1:10" ht="12.95" customHeight="1">
      <c r="A103" s="5"/>
      <c r="B103" s="14" t="s">
        <v>418</v>
      </c>
      <c r="C103" s="15"/>
      <c r="D103" s="15"/>
      <c r="E103" s="15"/>
      <c r="F103" s="5"/>
      <c r="G103" s="16"/>
      <c r="H103" s="16"/>
      <c r="I103" s="17"/>
      <c r="J103" s="5"/>
    </row>
    <row r="104" spans="1:10" ht="12.95" customHeight="1">
      <c r="A104" s="18" t="s">
        <v>419</v>
      </c>
      <c r="B104" s="19" t="s">
        <v>420</v>
      </c>
      <c r="C104" s="15" t="s">
        <v>421</v>
      </c>
      <c r="D104" s="15" t="s">
        <v>156</v>
      </c>
      <c r="E104" s="20">
        <v>2000000</v>
      </c>
      <c r="F104" s="21">
        <v>1980.6679999999999</v>
      </c>
      <c r="G104" s="22">
        <v>1.18E-2</v>
      </c>
      <c r="H104" s="23">
        <v>6.7213999999999996E-2</v>
      </c>
      <c r="I104" s="41"/>
      <c r="J104" s="5"/>
    </row>
    <row r="105" spans="1:10" ht="12.95" customHeight="1">
      <c r="A105" s="18" t="s">
        <v>1708</v>
      </c>
      <c r="B105" s="19" t="s">
        <v>1709</v>
      </c>
      <c r="C105" s="15" t="s">
        <v>1710</v>
      </c>
      <c r="D105" s="15" t="s">
        <v>156</v>
      </c>
      <c r="E105" s="20">
        <v>500000</v>
      </c>
      <c r="F105" s="21">
        <v>497.71600000000001</v>
      </c>
      <c r="G105" s="22">
        <v>3.0000000000000001E-3</v>
      </c>
      <c r="H105" s="23">
        <v>6.7000000000000004E-2</v>
      </c>
      <c r="I105" s="41"/>
      <c r="J105" s="5"/>
    </row>
    <row r="106" spans="1:10" ht="12.95" customHeight="1">
      <c r="A106" s="5"/>
      <c r="B106" s="14" t="s">
        <v>160</v>
      </c>
      <c r="C106" s="15"/>
      <c r="D106" s="15"/>
      <c r="E106" s="15"/>
      <c r="F106" s="25">
        <v>2478.384</v>
      </c>
      <c r="G106" s="26">
        <v>1.4800000000000001E-2</v>
      </c>
      <c r="H106" s="27"/>
      <c r="I106" s="28"/>
      <c r="J106" s="5"/>
    </row>
    <row r="107" spans="1:10" ht="12.95" customHeight="1">
      <c r="A107" s="5"/>
      <c r="B107" s="29" t="s">
        <v>163</v>
      </c>
      <c r="C107" s="30"/>
      <c r="D107" s="2"/>
      <c r="E107" s="30"/>
      <c r="F107" s="25">
        <v>2478.384</v>
      </c>
      <c r="G107" s="26">
        <v>1.4800000000000001E-2</v>
      </c>
      <c r="H107" s="27"/>
      <c r="I107" s="28"/>
      <c r="J107" s="5"/>
    </row>
    <row r="108" spans="1:10" ht="12.95" customHeight="1">
      <c r="A108" s="5"/>
      <c r="B108" s="14" t="s">
        <v>164</v>
      </c>
      <c r="C108" s="15"/>
      <c r="D108" s="15"/>
      <c r="E108" s="15"/>
      <c r="F108" s="15"/>
      <c r="G108" s="15"/>
      <c r="H108" s="16"/>
      <c r="I108" s="17"/>
      <c r="J108" s="5"/>
    </row>
    <row r="109" spans="1:10" ht="12.95" customHeight="1">
      <c r="A109" s="18" t="s">
        <v>165</v>
      </c>
      <c r="B109" s="19" t="s">
        <v>166</v>
      </c>
      <c r="C109" s="15"/>
      <c r="D109" s="15"/>
      <c r="E109" s="20"/>
      <c r="F109" s="21">
        <v>4317.7912999999999</v>
      </c>
      <c r="G109" s="22">
        <v>2.58E-2</v>
      </c>
      <c r="H109" s="23">
        <v>6.7996831514388276E-2</v>
      </c>
      <c r="I109" s="41"/>
      <c r="J109" s="5"/>
    </row>
    <row r="110" spans="1:10" ht="12.95" customHeight="1">
      <c r="A110" s="5"/>
      <c r="B110" s="14" t="s">
        <v>160</v>
      </c>
      <c r="C110" s="15"/>
      <c r="D110" s="15"/>
      <c r="E110" s="15"/>
      <c r="F110" s="25">
        <v>4317.7912999999999</v>
      </c>
      <c r="G110" s="26">
        <v>2.58E-2</v>
      </c>
      <c r="H110" s="27"/>
      <c r="I110" s="28"/>
      <c r="J110" s="5"/>
    </row>
    <row r="111" spans="1:10" ht="12.95" customHeight="1">
      <c r="A111" s="5"/>
      <c r="B111" s="29" t="s">
        <v>163</v>
      </c>
      <c r="C111" s="30"/>
      <c r="D111" s="2"/>
      <c r="E111" s="30"/>
      <c r="F111" s="25">
        <v>4317.7912999999999</v>
      </c>
      <c r="G111" s="26">
        <v>2.58E-2</v>
      </c>
      <c r="H111" s="27"/>
      <c r="I111" s="28"/>
      <c r="J111" s="5"/>
    </row>
    <row r="112" spans="1:10" ht="12.95" customHeight="1">
      <c r="A112" s="5"/>
      <c r="B112" s="29" t="s">
        <v>167</v>
      </c>
      <c r="C112" s="15"/>
      <c r="D112" s="2"/>
      <c r="E112" s="15"/>
      <c r="F112" s="31">
        <v>-2153.7217999999998</v>
      </c>
      <c r="G112" s="26">
        <v>-1.2800000000000001E-2</v>
      </c>
      <c r="H112" s="27"/>
      <c r="I112" s="28"/>
      <c r="J112" s="5"/>
    </row>
    <row r="113" spans="1:10" ht="12.95" customHeight="1">
      <c r="A113" s="5"/>
      <c r="B113" s="32" t="s">
        <v>168</v>
      </c>
      <c r="C113" s="33"/>
      <c r="D113" s="33"/>
      <c r="E113" s="33"/>
      <c r="F113" s="34">
        <v>167328.5</v>
      </c>
      <c r="G113" s="35">
        <v>1</v>
      </c>
      <c r="H113" s="36"/>
      <c r="I113" s="37"/>
      <c r="J113" s="5"/>
    </row>
    <row r="114" spans="1:10" ht="12.95" customHeight="1">
      <c r="A114" s="5"/>
      <c r="B114" s="7"/>
      <c r="C114" s="5"/>
      <c r="D114" s="5"/>
      <c r="E114" s="5"/>
      <c r="F114" s="5"/>
      <c r="G114" s="5"/>
      <c r="H114" s="5"/>
      <c r="I114" s="5"/>
      <c r="J114" s="5"/>
    </row>
    <row r="115" spans="1:10" ht="12.95" customHeight="1">
      <c r="A115" s="5"/>
      <c r="B115" s="4" t="s">
        <v>684</v>
      </c>
      <c r="C115" s="5"/>
      <c r="D115" s="5"/>
      <c r="E115" s="5"/>
      <c r="F115" s="5"/>
      <c r="G115" s="5"/>
      <c r="H115" s="5"/>
      <c r="I115" s="5"/>
      <c r="J115" s="5"/>
    </row>
    <row r="116" spans="1:10" ht="12.95" customHeight="1">
      <c r="A116" s="5"/>
      <c r="B116" s="4" t="s">
        <v>207</v>
      </c>
      <c r="C116" s="5"/>
      <c r="D116" s="5"/>
      <c r="E116" s="5"/>
      <c r="F116" s="5"/>
      <c r="G116" s="5"/>
      <c r="H116" s="5"/>
      <c r="I116" s="5"/>
      <c r="J116" s="5"/>
    </row>
    <row r="117" spans="1:10" ht="12.95" customHeight="1">
      <c r="A117" s="5"/>
      <c r="B117" s="4" t="s">
        <v>170</v>
      </c>
      <c r="C117" s="5"/>
      <c r="D117" s="5"/>
      <c r="E117" s="5"/>
      <c r="F117" s="5"/>
      <c r="G117" s="5"/>
      <c r="H117" s="5"/>
      <c r="I117" s="5"/>
      <c r="J117" s="5"/>
    </row>
    <row r="118" spans="1:10" ht="26.1" customHeight="1">
      <c r="A118" s="5"/>
      <c r="B118" s="86" t="s">
        <v>171</v>
      </c>
      <c r="C118" s="86"/>
      <c r="D118" s="86"/>
      <c r="E118" s="86"/>
      <c r="F118" s="86"/>
      <c r="G118" s="86"/>
      <c r="H118" s="86"/>
      <c r="I118" s="86"/>
      <c r="J118" s="5"/>
    </row>
    <row r="119" spans="1:10" ht="12.95" customHeight="1">
      <c r="A119" s="5"/>
      <c r="B119" s="86"/>
      <c r="C119" s="86"/>
      <c r="D119" s="86"/>
      <c r="E119" s="86"/>
      <c r="F119" s="86"/>
      <c r="G119" s="86"/>
      <c r="H119" s="86"/>
      <c r="I119" s="86"/>
      <c r="J119" s="5"/>
    </row>
    <row r="120" spans="1:10" ht="12.95" customHeight="1">
      <c r="A120" s="5"/>
      <c r="B120" s="86"/>
      <c r="C120" s="86"/>
      <c r="D120" s="86"/>
      <c r="E120" s="86"/>
      <c r="F120" s="86"/>
      <c r="G120" s="86"/>
      <c r="H120" s="86"/>
      <c r="I120" s="86"/>
      <c r="J120" s="5"/>
    </row>
    <row r="121" spans="1:10" ht="12.95" customHeight="1">
      <c r="A121" s="5"/>
      <c r="B121" s="5"/>
      <c r="C121" s="87" t="s">
        <v>2211</v>
      </c>
      <c r="D121" s="87"/>
      <c r="E121" s="87"/>
      <c r="F121" s="87"/>
      <c r="G121" s="5"/>
      <c r="H121" s="5"/>
      <c r="I121" s="5"/>
      <c r="J121" s="5"/>
    </row>
    <row r="122" spans="1:10" ht="12.95" customHeight="1">
      <c r="A122" s="5"/>
      <c r="B122" s="38" t="s">
        <v>173</v>
      </c>
      <c r="C122" s="87" t="s">
        <v>174</v>
      </c>
      <c r="D122" s="87"/>
      <c r="E122" s="87"/>
      <c r="F122" s="87"/>
      <c r="G122" s="5"/>
      <c r="H122" s="5"/>
      <c r="I122" s="5"/>
      <c r="J122" s="5"/>
    </row>
    <row r="123" spans="1:10" ht="120.95" customHeight="1">
      <c r="A123" s="5"/>
      <c r="B123" s="39"/>
      <c r="C123" s="85"/>
      <c r="D123" s="85"/>
      <c r="E123" s="5"/>
      <c r="F123" s="5"/>
      <c r="G123" s="5"/>
      <c r="H123" s="5"/>
      <c r="I123" s="5"/>
      <c r="J123" s="5"/>
    </row>
  </sheetData>
  <mergeCells count="6">
    <mergeCell ref="C123:D123"/>
    <mergeCell ref="B118:I118"/>
    <mergeCell ref="B119:I119"/>
    <mergeCell ref="B120:I120"/>
    <mergeCell ref="C121:F121"/>
    <mergeCell ref="C122:F122"/>
  </mergeCells>
  <hyperlinks>
    <hyperlink ref="A1" location="AxisEquityHybridFund" display="AXISEHF" xr:uid="{00000000-0004-0000-1300-000000000000}"/>
    <hyperlink ref="B1" location="AxisEquityHybridFund" display="Axis Equity Hybrid Fund" xr:uid="{00000000-0004-0000-1300-000001000000}"/>
  </hyperlinks>
  <pageMargins left="0" right="0" top="0" bottom="0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J7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42</v>
      </c>
      <c r="B1" s="4" t="s">
        <v>43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268</v>
      </c>
      <c r="B7" s="19" t="s">
        <v>269</v>
      </c>
      <c r="C7" s="15" t="s">
        <v>270</v>
      </c>
      <c r="D7" s="15" t="s">
        <v>271</v>
      </c>
      <c r="E7" s="20">
        <v>30424000</v>
      </c>
      <c r="F7" s="21">
        <v>289606.05599999998</v>
      </c>
      <c r="G7" s="22">
        <v>9.0800000000000006E-2</v>
      </c>
      <c r="H7" s="40"/>
      <c r="I7" s="24"/>
      <c r="J7" s="5"/>
    </row>
    <row r="8" spans="1:10" ht="12.95" customHeight="1">
      <c r="A8" s="18" t="s">
        <v>282</v>
      </c>
      <c r="B8" s="19" t="s">
        <v>283</v>
      </c>
      <c r="C8" s="15" t="s">
        <v>284</v>
      </c>
      <c r="D8" s="15" t="s">
        <v>271</v>
      </c>
      <c r="E8" s="20">
        <v>18286000</v>
      </c>
      <c r="F8" s="21">
        <v>279099.21799999999</v>
      </c>
      <c r="G8" s="22">
        <v>8.7499999999999994E-2</v>
      </c>
      <c r="H8" s="40"/>
      <c r="I8" s="24"/>
      <c r="J8" s="5"/>
    </row>
    <row r="9" spans="1:10" ht="12.95" customHeight="1">
      <c r="A9" s="18" t="s">
        <v>727</v>
      </c>
      <c r="B9" s="19" t="s">
        <v>728</v>
      </c>
      <c r="C9" s="15" t="s">
        <v>729</v>
      </c>
      <c r="D9" s="15" t="s">
        <v>255</v>
      </c>
      <c r="E9" s="20">
        <v>3509576</v>
      </c>
      <c r="F9" s="21">
        <v>274124.20740000001</v>
      </c>
      <c r="G9" s="22">
        <v>8.5999999999999993E-2</v>
      </c>
      <c r="H9" s="40"/>
      <c r="I9" s="24"/>
      <c r="J9" s="5"/>
    </row>
    <row r="10" spans="1:10" ht="12.95" customHeight="1">
      <c r="A10" s="18" t="s">
        <v>766</v>
      </c>
      <c r="B10" s="19" t="s">
        <v>767</v>
      </c>
      <c r="C10" s="15" t="s">
        <v>768</v>
      </c>
      <c r="D10" s="15" t="s">
        <v>403</v>
      </c>
      <c r="E10" s="20">
        <v>4993405</v>
      </c>
      <c r="F10" s="21">
        <v>183537.59419999999</v>
      </c>
      <c r="G10" s="22">
        <v>5.7599999999999998E-2</v>
      </c>
      <c r="H10" s="40"/>
      <c r="I10" s="24"/>
      <c r="J10" s="5"/>
    </row>
    <row r="11" spans="1:10" ht="12.95" customHeight="1">
      <c r="A11" s="18" t="s">
        <v>260</v>
      </c>
      <c r="B11" s="19" t="s">
        <v>261</v>
      </c>
      <c r="C11" s="15" t="s">
        <v>262</v>
      </c>
      <c r="D11" s="15" t="s">
        <v>263</v>
      </c>
      <c r="E11" s="20">
        <v>5115118</v>
      </c>
      <c r="F11" s="21">
        <v>180492.05369999999</v>
      </c>
      <c r="G11" s="22">
        <v>5.6599999999999998E-2</v>
      </c>
      <c r="H11" s="40"/>
      <c r="I11" s="24"/>
      <c r="J11" s="5"/>
    </row>
    <row r="12" spans="1:10" ht="12.95" customHeight="1">
      <c r="A12" s="18" t="s">
        <v>248</v>
      </c>
      <c r="B12" s="19" t="s">
        <v>249</v>
      </c>
      <c r="C12" s="15" t="s">
        <v>250</v>
      </c>
      <c r="D12" s="15" t="s">
        <v>251</v>
      </c>
      <c r="E12" s="20">
        <v>6344000</v>
      </c>
      <c r="F12" s="21">
        <v>148766.79999999999</v>
      </c>
      <c r="G12" s="22">
        <v>4.6699999999999998E-2</v>
      </c>
      <c r="H12" s="40"/>
      <c r="I12" s="24"/>
      <c r="J12" s="5"/>
    </row>
    <row r="13" spans="1:10" ht="12.95" customHeight="1">
      <c r="A13" s="18" t="s">
        <v>285</v>
      </c>
      <c r="B13" s="19" t="s">
        <v>286</v>
      </c>
      <c r="C13" s="15" t="s">
        <v>287</v>
      </c>
      <c r="D13" s="15" t="s">
        <v>263</v>
      </c>
      <c r="E13" s="20">
        <v>9855831</v>
      </c>
      <c r="F13" s="21">
        <v>141475.52609999999</v>
      </c>
      <c r="G13" s="22">
        <v>4.4400000000000002E-2</v>
      </c>
      <c r="H13" s="40"/>
      <c r="I13" s="24"/>
      <c r="J13" s="5"/>
    </row>
    <row r="14" spans="1:10" ht="12.95" customHeight="1">
      <c r="A14" s="18" t="s">
        <v>719</v>
      </c>
      <c r="B14" s="19" t="s">
        <v>720</v>
      </c>
      <c r="C14" s="15" t="s">
        <v>721</v>
      </c>
      <c r="D14" s="15" t="s">
        <v>722</v>
      </c>
      <c r="E14" s="20">
        <v>4676667</v>
      </c>
      <c r="F14" s="21">
        <v>141401.3651</v>
      </c>
      <c r="G14" s="22">
        <v>4.4299999999999999E-2</v>
      </c>
      <c r="H14" s="40"/>
      <c r="I14" s="24"/>
      <c r="J14" s="5"/>
    </row>
    <row r="15" spans="1:10" ht="12.95" customHeight="1">
      <c r="A15" s="18" t="s">
        <v>264</v>
      </c>
      <c r="B15" s="19" t="s">
        <v>265</v>
      </c>
      <c r="C15" s="15" t="s">
        <v>266</v>
      </c>
      <c r="D15" s="15" t="s">
        <v>267</v>
      </c>
      <c r="E15" s="20">
        <v>1163636</v>
      </c>
      <c r="F15" s="21">
        <v>96056.406300000002</v>
      </c>
      <c r="G15" s="22">
        <v>3.0099999999999998E-2</v>
      </c>
      <c r="H15" s="40"/>
      <c r="I15" s="24"/>
      <c r="J15" s="5"/>
    </row>
    <row r="16" spans="1:10" ht="12.95" customHeight="1">
      <c r="A16" s="18" t="s">
        <v>730</v>
      </c>
      <c r="B16" s="19" t="s">
        <v>731</v>
      </c>
      <c r="C16" s="15" t="s">
        <v>732</v>
      </c>
      <c r="D16" s="15" t="s">
        <v>281</v>
      </c>
      <c r="E16" s="20">
        <v>6178151</v>
      </c>
      <c r="F16" s="21">
        <v>96023.911900000006</v>
      </c>
      <c r="G16" s="22">
        <v>3.0099999999999998E-2</v>
      </c>
      <c r="H16" s="40"/>
      <c r="I16" s="24"/>
      <c r="J16" s="5"/>
    </row>
    <row r="17" spans="1:10" ht="12.95" customHeight="1">
      <c r="A17" s="18" t="s">
        <v>723</v>
      </c>
      <c r="B17" s="19" t="s">
        <v>724</v>
      </c>
      <c r="C17" s="15" t="s">
        <v>725</v>
      </c>
      <c r="D17" s="15" t="s">
        <v>726</v>
      </c>
      <c r="E17" s="20">
        <v>9358487</v>
      </c>
      <c r="F17" s="21">
        <v>86697.0236</v>
      </c>
      <c r="G17" s="22">
        <v>2.7199999999999998E-2</v>
      </c>
      <c r="H17" s="40"/>
      <c r="I17" s="24"/>
      <c r="J17" s="5"/>
    </row>
    <row r="18" spans="1:10" ht="12.95" customHeight="1">
      <c r="A18" s="18" t="s">
        <v>278</v>
      </c>
      <c r="B18" s="19" t="s">
        <v>279</v>
      </c>
      <c r="C18" s="15" t="s">
        <v>280</v>
      </c>
      <c r="D18" s="15" t="s">
        <v>281</v>
      </c>
      <c r="E18" s="20">
        <v>13168737</v>
      </c>
      <c r="F18" s="21">
        <v>82989.380600000004</v>
      </c>
      <c r="G18" s="22">
        <v>2.5999999999999999E-2</v>
      </c>
      <c r="H18" s="40"/>
      <c r="I18" s="24"/>
      <c r="J18" s="5"/>
    </row>
    <row r="19" spans="1:10" ht="12.95" customHeight="1">
      <c r="A19" s="18" t="s">
        <v>736</v>
      </c>
      <c r="B19" s="19" t="s">
        <v>737</v>
      </c>
      <c r="C19" s="15" t="s">
        <v>738</v>
      </c>
      <c r="D19" s="15" t="s">
        <v>324</v>
      </c>
      <c r="E19" s="20">
        <v>2443213</v>
      </c>
      <c r="F19" s="21">
        <v>76931.890899999999</v>
      </c>
      <c r="G19" s="22">
        <v>2.41E-2</v>
      </c>
      <c r="H19" s="40"/>
      <c r="I19" s="24"/>
      <c r="J19" s="5"/>
    </row>
    <row r="20" spans="1:10" ht="12.95" customHeight="1">
      <c r="A20" s="18" t="s">
        <v>752</v>
      </c>
      <c r="B20" s="19" t="s">
        <v>753</v>
      </c>
      <c r="C20" s="15" t="s">
        <v>754</v>
      </c>
      <c r="D20" s="15" t="s">
        <v>755</v>
      </c>
      <c r="E20" s="20">
        <v>339489</v>
      </c>
      <c r="F20" s="21">
        <v>76408.449699999997</v>
      </c>
      <c r="G20" s="22">
        <v>2.4E-2</v>
      </c>
      <c r="H20" s="40"/>
      <c r="I20" s="24"/>
      <c r="J20" s="5"/>
    </row>
    <row r="21" spans="1:10" ht="12.95" customHeight="1">
      <c r="A21" s="18" t="s">
        <v>742</v>
      </c>
      <c r="B21" s="19" t="s">
        <v>743</v>
      </c>
      <c r="C21" s="15" t="s">
        <v>744</v>
      </c>
      <c r="D21" s="15" t="s">
        <v>745</v>
      </c>
      <c r="E21" s="20">
        <v>6571046</v>
      </c>
      <c r="F21" s="21">
        <v>76135.424499999994</v>
      </c>
      <c r="G21" s="22">
        <v>2.3900000000000001E-2</v>
      </c>
      <c r="H21" s="40"/>
      <c r="I21" s="24"/>
      <c r="J21" s="5"/>
    </row>
    <row r="22" spans="1:10" ht="12.95" customHeight="1">
      <c r="A22" s="18" t="s">
        <v>690</v>
      </c>
      <c r="B22" s="19" t="s">
        <v>691</v>
      </c>
      <c r="C22" s="15" t="s">
        <v>692</v>
      </c>
      <c r="D22" s="15" t="s">
        <v>271</v>
      </c>
      <c r="E22" s="20">
        <v>4186000</v>
      </c>
      <c r="F22" s="21">
        <v>72656.402000000002</v>
      </c>
      <c r="G22" s="22">
        <v>2.2800000000000001E-2</v>
      </c>
      <c r="H22" s="40"/>
      <c r="I22" s="24"/>
      <c r="J22" s="5"/>
    </row>
    <row r="23" spans="1:10" ht="12.95" customHeight="1">
      <c r="A23" s="18" t="s">
        <v>848</v>
      </c>
      <c r="B23" s="19" t="s">
        <v>849</v>
      </c>
      <c r="C23" s="15" t="s">
        <v>850</v>
      </c>
      <c r="D23" s="15" t="s">
        <v>255</v>
      </c>
      <c r="E23" s="20">
        <v>5847254</v>
      </c>
      <c r="F23" s="21">
        <v>71193.241099999999</v>
      </c>
      <c r="G23" s="22">
        <v>2.23E-2</v>
      </c>
      <c r="H23" s="40"/>
      <c r="I23" s="24"/>
      <c r="J23" s="5"/>
    </row>
    <row r="24" spans="1:10" ht="12.95" customHeight="1">
      <c r="A24" s="18" t="s">
        <v>749</v>
      </c>
      <c r="B24" s="19" t="s">
        <v>750</v>
      </c>
      <c r="C24" s="15" t="s">
        <v>751</v>
      </c>
      <c r="D24" s="15" t="s">
        <v>255</v>
      </c>
      <c r="E24" s="20">
        <v>3809216</v>
      </c>
      <c r="F24" s="21">
        <v>58671.449399999998</v>
      </c>
      <c r="G24" s="22">
        <v>1.84E-2</v>
      </c>
      <c r="H24" s="40"/>
      <c r="I24" s="24"/>
      <c r="J24" s="5"/>
    </row>
    <row r="25" spans="1:10" ht="12.95" customHeight="1">
      <c r="A25" s="18" t="s">
        <v>733</v>
      </c>
      <c r="B25" s="19" t="s">
        <v>734</v>
      </c>
      <c r="C25" s="15" t="s">
        <v>735</v>
      </c>
      <c r="D25" s="15" t="s">
        <v>281</v>
      </c>
      <c r="E25" s="20">
        <v>544464</v>
      </c>
      <c r="F25" s="21">
        <v>57770.897199999999</v>
      </c>
      <c r="G25" s="22">
        <v>1.8100000000000002E-2</v>
      </c>
      <c r="H25" s="40"/>
      <c r="I25" s="24"/>
      <c r="J25" s="5"/>
    </row>
    <row r="26" spans="1:10" ht="12.95" customHeight="1">
      <c r="A26" s="18" t="s">
        <v>345</v>
      </c>
      <c r="B26" s="19" t="s">
        <v>346</v>
      </c>
      <c r="C26" s="15" t="s">
        <v>347</v>
      </c>
      <c r="D26" s="15" t="s">
        <v>348</v>
      </c>
      <c r="E26" s="20">
        <v>2242669</v>
      </c>
      <c r="F26" s="21">
        <v>55295.246899999998</v>
      </c>
      <c r="G26" s="22">
        <v>1.7299999999999999E-2</v>
      </c>
      <c r="H26" s="40"/>
      <c r="I26" s="24"/>
      <c r="J26" s="5"/>
    </row>
    <row r="27" spans="1:10" ht="12.95" customHeight="1">
      <c r="A27" s="18" t="s">
        <v>1776</v>
      </c>
      <c r="B27" s="19" t="s">
        <v>1777</v>
      </c>
      <c r="C27" s="15" t="s">
        <v>1778</v>
      </c>
      <c r="D27" s="15" t="s">
        <v>314</v>
      </c>
      <c r="E27" s="20">
        <v>1930647</v>
      </c>
      <c r="F27" s="21">
        <v>47098.133600000001</v>
      </c>
      <c r="G27" s="22">
        <v>1.4800000000000001E-2</v>
      </c>
      <c r="H27" s="40"/>
      <c r="I27" s="24"/>
      <c r="J27" s="5"/>
    </row>
    <row r="28" spans="1:10" ht="12.95" customHeight="1">
      <c r="A28" s="18" t="s">
        <v>809</v>
      </c>
      <c r="B28" s="19" t="s">
        <v>810</v>
      </c>
      <c r="C28" s="15" t="s">
        <v>811</v>
      </c>
      <c r="D28" s="15" t="s">
        <v>403</v>
      </c>
      <c r="E28" s="20">
        <v>1127297</v>
      </c>
      <c r="F28" s="21">
        <v>46955.301899999999</v>
      </c>
      <c r="G28" s="22">
        <v>1.47E-2</v>
      </c>
      <c r="H28" s="40"/>
      <c r="I28" s="24"/>
      <c r="J28" s="5"/>
    </row>
    <row r="29" spans="1:10" ht="12.95" customHeight="1">
      <c r="A29" s="18" t="s">
        <v>321</v>
      </c>
      <c r="B29" s="19" t="s">
        <v>322</v>
      </c>
      <c r="C29" s="15" t="s">
        <v>323</v>
      </c>
      <c r="D29" s="15" t="s">
        <v>324</v>
      </c>
      <c r="E29" s="20">
        <v>1448621</v>
      </c>
      <c r="F29" s="21">
        <v>45791.634100000003</v>
      </c>
      <c r="G29" s="22">
        <v>1.44E-2</v>
      </c>
      <c r="H29" s="40"/>
      <c r="I29" s="24"/>
      <c r="J29" s="5"/>
    </row>
    <row r="30" spans="1:10" ht="12.95" customHeight="1">
      <c r="A30" s="18" t="s">
        <v>775</v>
      </c>
      <c r="B30" s="19" t="s">
        <v>776</v>
      </c>
      <c r="C30" s="15" t="s">
        <v>777</v>
      </c>
      <c r="D30" s="15" t="s">
        <v>778</v>
      </c>
      <c r="E30" s="20">
        <v>838958</v>
      </c>
      <c r="F30" s="21">
        <v>43103.564599999998</v>
      </c>
      <c r="G30" s="22">
        <v>1.35E-2</v>
      </c>
      <c r="H30" s="40"/>
      <c r="I30" s="24"/>
      <c r="J30" s="5"/>
    </row>
    <row r="31" spans="1:10" ht="12.95" customHeight="1">
      <c r="A31" s="18" t="s">
        <v>763</v>
      </c>
      <c r="B31" s="19" t="s">
        <v>764</v>
      </c>
      <c r="C31" s="15" t="s">
        <v>765</v>
      </c>
      <c r="D31" s="15" t="s">
        <v>281</v>
      </c>
      <c r="E31" s="20">
        <v>835226</v>
      </c>
      <c r="F31" s="21">
        <v>42293.339</v>
      </c>
      <c r="G31" s="22">
        <v>1.3299999999999999E-2</v>
      </c>
      <c r="H31" s="40"/>
      <c r="I31" s="24"/>
      <c r="J31" s="5"/>
    </row>
    <row r="32" spans="1:10" ht="12.95" customHeight="1">
      <c r="A32" s="18" t="s">
        <v>381</v>
      </c>
      <c r="B32" s="19" t="s">
        <v>382</v>
      </c>
      <c r="C32" s="15" t="s">
        <v>383</v>
      </c>
      <c r="D32" s="15" t="s">
        <v>384</v>
      </c>
      <c r="E32" s="20">
        <v>1628722</v>
      </c>
      <c r="F32" s="21">
        <v>38783.128299999997</v>
      </c>
      <c r="G32" s="22">
        <v>1.2200000000000001E-2</v>
      </c>
      <c r="H32" s="40"/>
      <c r="I32" s="24"/>
      <c r="J32" s="5"/>
    </row>
    <row r="33" spans="1:10" ht="12.95" customHeight="1">
      <c r="A33" s="18" t="s">
        <v>1581</v>
      </c>
      <c r="B33" s="19" t="s">
        <v>1582</v>
      </c>
      <c r="C33" s="15" t="s">
        <v>1583</v>
      </c>
      <c r="D33" s="15" t="s">
        <v>281</v>
      </c>
      <c r="E33" s="20">
        <v>2268805</v>
      </c>
      <c r="F33" s="21">
        <v>34526.674500000001</v>
      </c>
      <c r="G33" s="22">
        <v>1.0800000000000001E-2</v>
      </c>
      <c r="H33" s="40"/>
      <c r="I33" s="24"/>
      <c r="J33" s="5"/>
    </row>
    <row r="34" spans="1:10" ht="12.95" customHeight="1">
      <c r="A34" s="18" t="s">
        <v>338</v>
      </c>
      <c r="B34" s="19" t="s">
        <v>339</v>
      </c>
      <c r="C34" s="15" t="s">
        <v>340</v>
      </c>
      <c r="D34" s="15" t="s">
        <v>334</v>
      </c>
      <c r="E34" s="20">
        <v>6258464</v>
      </c>
      <c r="F34" s="21">
        <v>33226.185400000002</v>
      </c>
      <c r="G34" s="22">
        <v>1.04E-2</v>
      </c>
      <c r="H34" s="40"/>
      <c r="I34" s="24"/>
      <c r="J34" s="5"/>
    </row>
    <row r="35" spans="1:10" ht="12.95" customHeight="1">
      <c r="A35" s="18" t="s">
        <v>359</v>
      </c>
      <c r="B35" s="19" t="s">
        <v>360</v>
      </c>
      <c r="C35" s="15" t="s">
        <v>361</v>
      </c>
      <c r="D35" s="15" t="s">
        <v>255</v>
      </c>
      <c r="E35" s="20">
        <v>13419700</v>
      </c>
      <c r="F35" s="21">
        <v>31026.346399999999</v>
      </c>
      <c r="G35" s="22">
        <v>9.7000000000000003E-3</v>
      </c>
      <c r="H35" s="40"/>
      <c r="I35" s="24"/>
      <c r="J35" s="5"/>
    </row>
    <row r="36" spans="1:10" ht="12.95" customHeight="1">
      <c r="A36" s="18" t="s">
        <v>275</v>
      </c>
      <c r="B36" s="19" t="s">
        <v>276</v>
      </c>
      <c r="C36" s="15" t="s">
        <v>277</v>
      </c>
      <c r="D36" s="15" t="s">
        <v>271</v>
      </c>
      <c r="E36" s="20">
        <v>4630000</v>
      </c>
      <c r="F36" s="21">
        <v>27712.865000000002</v>
      </c>
      <c r="G36" s="22">
        <v>8.6999999999999994E-3</v>
      </c>
      <c r="H36" s="40"/>
      <c r="I36" s="24"/>
      <c r="J36" s="5"/>
    </row>
    <row r="37" spans="1:10" ht="12.95" customHeight="1">
      <c r="A37" s="18" t="s">
        <v>866</v>
      </c>
      <c r="B37" s="19" t="s">
        <v>867</v>
      </c>
      <c r="C37" s="15" t="s">
        <v>868</v>
      </c>
      <c r="D37" s="15" t="s">
        <v>403</v>
      </c>
      <c r="E37" s="20">
        <v>18928000</v>
      </c>
      <c r="F37" s="21">
        <v>19211.919999999998</v>
      </c>
      <c r="G37" s="22">
        <v>6.0000000000000001E-3</v>
      </c>
      <c r="H37" s="40"/>
      <c r="I37" s="24"/>
      <c r="J37" s="5"/>
    </row>
    <row r="38" spans="1:10" ht="12.95" customHeight="1">
      <c r="A38" s="18" t="s">
        <v>795</v>
      </c>
      <c r="B38" s="19" t="s">
        <v>796</v>
      </c>
      <c r="C38" s="15" t="s">
        <v>797</v>
      </c>
      <c r="D38" s="15" t="s">
        <v>798</v>
      </c>
      <c r="E38" s="20">
        <v>1791288</v>
      </c>
      <c r="F38" s="21">
        <v>17762.411800000002</v>
      </c>
      <c r="G38" s="22">
        <v>5.5999999999999999E-3</v>
      </c>
      <c r="H38" s="40"/>
      <c r="I38" s="24"/>
      <c r="J38" s="5"/>
    </row>
    <row r="39" spans="1:10" ht="12.95" customHeight="1">
      <c r="A39" s="18" t="s">
        <v>805</v>
      </c>
      <c r="B39" s="19" t="s">
        <v>806</v>
      </c>
      <c r="C39" s="15" t="s">
        <v>807</v>
      </c>
      <c r="D39" s="15" t="s">
        <v>808</v>
      </c>
      <c r="E39" s="20">
        <v>3655738</v>
      </c>
      <c r="F39" s="21">
        <v>15028.7389</v>
      </c>
      <c r="G39" s="22">
        <v>4.7000000000000002E-3</v>
      </c>
      <c r="H39" s="40"/>
      <c r="I39" s="24"/>
      <c r="J39" s="5"/>
    </row>
    <row r="40" spans="1:10" ht="12.95" customHeight="1">
      <c r="A40" s="18" t="s">
        <v>772</v>
      </c>
      <c r="B40" s="19" t="s">
        <v>773</v>
      </c>
      <c r="C40" s="15" t="s">
        <v>774</v>
      </c>
      <c r="D40" s="15" t="s">
        <v>310</v>
      </c>
      <c r="E40" s="20">
        <v>1630553</v>
      </c>
      <c r="F40" s="21">
        <v>14298.319299999999</v>
      </c>
      <c r="G40" s="22">
        <v>4.4999999999999997E-3</v>
      </c>
      <c r="H40" s="40"/>
      <c r="I40" s="24"/>
      <c r="J40" s="5"/>
    </row>
    <row r="41" spans="1:10" ht="12.95" customHeight="1">
      <c r="A41" s="18" t="s">
        <v>1850</v>
      </c>
      <c r="B41" s="19" t="s">
        <v>1851</v>
      </c>
      <c r="C41" s="15" t="s">
        <v>1852</v>
      </c>
      <c r="D41" s="15" t="s">
        <v>1816</v>
      </c>
      <c r="E41" s="20">
        <v>323462</v>
      </c>
      <c r="F41" s="21">
        <v>13256.2814</v>
      </c>
      <c r="G41" s="22">
        <v>4.1999999999999997E-3</v>
      </c>
      <c r="H41" s="40"/>
      <c r="I41" s="24"/>
      <c r="J41" s="5"/>
    </row>
    <row r="42" spans="1:10" ht="12.95" customHeight="1">
      <c r="A42" s="18" t="s">
        <v>1813</v>
      </c>
      <c r="B42" s="19" t="s">
        <v>1814</v>
      </c>
      <c r="C42" s="15" t="s">
        <v>1815</v>
      </c>
      <c r="D42" s="15" t="s">
        <v>1816</v>
      </c>
      <c r="E42" s="20">
        <v>317176</v>
      </c>
      <c r="F42" s="21">
        <v>11648.2886</v>
      </c>
      <c r="G42" s="22">
        <v>3.7000000000000002E-3</v>
      </c>
      <c r="H42" s="40"/>
      <c r="I42" s="24"/>
      <c r="J42" s="5"/>
    </row>
    <row r="43" spans="1:10" ht="12.95" customHeight="1">
      <c r="A43" s="18" t="s">
        <v>839</v>
      </c>
      <c r="B43" s="19" t="s">
        <v>840</v>
      </c>
      <c r="C43" s="15" t="s">
        <v>841</v>
      </c>
      <c r="D43" s="15" t="s">
        <v>745</v>
      </c>
      <c r="E43" s="20">
        <v>282136</v>
      </c>
      <c r="F43" s="21">
        <v>10622.8436</v>
      </c>
      <c r="G43" s="22">
        <v>3.3E-3</v>
      </c>
      <c r="H43" s="40"/>
      <c r="I43" s="24"/>
      <c r="J43" s="5"/>
    </row>
    <row r="44" spans="1:10" ht="12.95" customHeight="1">
      <c r="A44" s="18" t="s">
        <v>829</v>
      </c>
      <c r="B44" s="19" t="s">
        <v>830</v>
      </c>
      <c r="C44" s="15" t="s">
        <v>831</v>
      </c>
      <c r="D44" s="15" t="s">
        <v>832</v>
      </c>
      <c r="E44" s="20">
        <v>219936</v>
      </c>
      <c r="F44" s="21">
        <v>7594.3900999999996</v>
      </c>
      <c r="G44" s="22">
        <v>2.3999999999999998E-3</v>
      </c>
      <c r="H44" s="40"/>
      <c r="I44" s="24"/>
      <c r="J44" s="5"/>
    </row>
    <row r="45" spans="1:10" ht="12.95" customHeight="1">
      <c r="A45" s="18" t="s">
        <v>887</v>
      </c>
      <c r="B45" s="19" t="s">
        <v>888</v>
      </c>
      <c r="C45" s="15" t="s">
        <v>889</v>
      </c>
      <c r="D45" s="15" t="s">
        <v>890</v>
      </c>
      <c r="E45" s="20">
        <v>876822</v>
      </c>
      <c r="F45" s="21">
        <v>4964.5662000000002</v>
      </c>
      <c r="G45" s="22">
        <v>1.6000000000000001E-3</v>
      </c>
      <c r="H45" s="40"/>
      <c r="I45" s="24"/>
      <c r="J45" s="5"/>
    </row>
    <row r="46" spans="1:10" ht="12.95" customHeight="1">
      <c r="A46" s="18" t="s">
        <v>1575</v>
      </c>
      <c r="B46" s="19" t="s">
        <v>1576</v>
      </c>
      <c r="C46" s="15" t="s">
        <v>1577</v>
      </c>
      <c r="D46" s="15" t="s">
        <v>745</v>
      </c>
      <c r="E46" s="20">
        <v>31507</v>
      </c>
      <c r="F46" s="21">
        <v>373.72030000000001</v>
      </c>
      <c r="G46" s="22">
        <v>1E-4</v>
      </c>
      <c r="H46" s="40"/>
      <c r="I46" s="24"/>
      <c r="J46" s="5"/>
    </row>
    <row r="47" spans="1:10" ht="12.95" customHeight="1">
      <c r="A47" s="5"/>
      <c r="B47" s="14" t="s">
        <v>160</v>
      </c>
      <c r="C47" s="15"/>
      <c r="D47" s="15"/>
      <c r="E47" s="15"/>
      <c r="F47" s="25">
        <v>3050611.1974999998</v>
      </c>
      <c r="G47" s="26">
        <v>0.95669999999999999</v>
      </c>
      <c r="H47" s="27"/>
      <c r="I47" s="28"/>
      <c r="J47" s="5"/>
    </row>
    <row r="48" spans="1:10" ht="12.95" customHeight="1">
      <c r="A48" s="5"/>
      <c r="B48" s="29" t="s">
        <v>408</v>
      </c>
      <c r="C48" s="2"/>
      <c r="D48" s="2"/>
      <c r="E48" s="2"/>
      <c r="F48" s="27" t="s">
        <v>162</v>
      </c>
      <c r="G48" s="27" t="s">
        <v>162</v>
      </c>
      <c r="H48" s="27"/>
      <c r="I48" s="28"/>
      <c r="J48" s="5"/>
    </row>
    <row r="49" spans="1:10" ht="12.95" customHeight="1">
      <c r="A49" s="5"/>
      <c r="B49" s="29" t="s">
        <v>160</v>
      </c>
      <c r="C49" s="2"/>
      <c r="D49" s="2"/>
      <c r="E49" s="2"/>
      <c r="F49" s="27" t="s">
        <v>162</v>
      </c>
      <c r="G49" s="27" t="s">
        <v>162</v>
      </c>
      <c r="H49" s="27"/>
      <c r="I49" s="28"/>
      <c r="J49" s="5"/>
    </row>
    <row r="50" spans="1:10" ht="12.95" customHeight="1">
      <c r="A50" s="5"/>
      <c r="B50" s="29" t="s">
        <v>163</v>
      </c>
      <c r="C50" s="30"/>
      <c r="D50" s="2"/>
      <c r="E50" s="30"/>
      <c r="F50" s="25">
        <v>3050611.1974999998</v>
      </c>
      <c r="G50" s="26">
        <v>0.95669999999999999</v>
      </c>
      <c r="H50" s="27"/>
      <c r="I50" s="28"/>
      <c r="J50" s="5"/>
    </row>
    <row r="51" spans="1:10" ht="12.95" customHeight="1">
      <c r="A51" s="5"/>
      <c r="B51" s="14" t="s">
        <v>417</v>
      </c>
      <c r="C51" s="15"/>
      <c r="D51" s="15"/>
      <c r="E51" s="15"/>
      <c r="F51" s="15"/>
      <c r="G51" s="15"/>
      <c r="H51" s="16"/>
      <c r="I51" s="17"/>
      <c r="J51" s="5"/>
    </row>
    <row r="52" spans="1:10" ht="12.95" customHeight="1">
      <c r="A52" s="5"/>
      <c r="B52" s="14" t="s">
        <v>418</v>
      </c>
      <c r="C52" s="15"/>
      <c r="D52" s="15"/>
      <c r="E52" s="15"/>
      <c r="F52" s="5"/>
      <c r="G52" s="16"/>
      <c r="H52" s="16"/>
      <c r="I52" s="17"/>
      <c r="J52" s="5"/>
    </row>
    <row r="53" spans="1:10" ht="12.95" customHeight="1">
      <c r="A53" s="18" t="s">
        <v>2116</v>
      </c>
      <c r="B53" s="19" t="s">
        <v>2117</v>
      </c>
      <c r="C53" s="15" t="s">
        <v>2118</v>
      </c>
      <c r="D53" s="15" t="s">
        <v>156</v>
      </c>
      <c r="E53" s="20">
        <v>8000000</v>
      </c>
      <c r="F53" s="21">
        <v>7881.5919999999996</v>
      </c>
      <c r="G53" s="22">
        <v>2.5000000000000001E-3</v>
      </c>
      <c r="H53" s="23">
        <v>6.7699999999999996E-2</v>
      </c>
      <c r="I53" s="24"/>
      <c r="J53" s="5"/>
    </row>
    <row r="54" spans="1:10" ht="12.95" customHeight="1">
      <c r="A54" s="18" t="s">
        <v>1711</v>
      </c>
      <c r="B54" s="19" t="s">
        <v>1712</v>
      </c>
      <c r="C54" s="15" t="s">
        <v>1713</v>
      </c>
      <c r="D54" s="15" t="s">
        <v>156</v>
      </c>
      <c r="E54" s="20">
        <v>7500000</v>
      </c>
      <c r="F54" s="21">
        <v>7307.16</v>
      </c>
      <c r="G54" s="22">
        <v>2.3E-3</v>
      </c>
      <c r="H54" s="23">
        <v>6.9800000000000001E-2</v>
      </c>
      <c r="I54" s="24"/>
      <c r="J54" s="5"/>
    </row>
    <row r="55" spans="1:10" ht="12.95" customHeight="1">
      <c r="A55" s="18" t="s">
        <v>2134</v>
      </c>
      <c r="B55" s="19" t="s">
        <v>2135</v>
      </c>
      <c r="C55" s="15" t="s">
        <v>2136</v>
      </c>
      <c r="D55" s="15" t="s">
        <v>156</v>
      </c>
      <c r="E55" s="20">
        <v>5000000</v>
      </c>
      <c r="F55" s="21">
        <v>4846.6350000000002</v>
      </c>
      <c r="G55" s="22">
        <v>1.5E-3</v>
      </c>
      <c r="H55" s="23">
        <v>7.0000000000000007E-2</v>
      </c>
      <c r="I55" s="24"/>
      <c r="J55" s="5"/>
    </row>
    <row r="56" spans="1:10" ht="12.95" customHeight="1">
      <c r="A56" s="18" t="s">
        <v>2212</v>
      </c>
      <c r="B56" s="19" t="s">
        <v>2213</v>
      </c>
      <c r="C56" s="15" t="s">
        <v>2214</v>
      </c>
      <c r="D56" s="15" t="s">
        <v>156</v>
      </c>
      <c r="E56" s="20">
        <v>4000000</v>
      </c>
      <c r="F56" s="21">
        <v>3887.76</v>
      </c>
      <c r="G56" s="22">
        <v>1.1999999999999999E-3</v>
      </c>
      <c r="H56" s="23">
        <v>6.9785E-2</v>
      </c>
      <c r="I56" s="24"/>
      <c r="J56" s="5"/>
    </row>
    <row r="57" spans="1:10" ht="12.95" customHeight="1">
      <c r="A57" s="18" t="s">
        <v>2110</v>
      </c>
      <c r="B57" s="19" t="s">
        <v>2111</v>
      </c>
      <c r="C57" s="15" t="s">
        <v>2112</v>
      </c>
      <c r="D57" s="15" t="s">
        <v>156</v>
      </c>
      <c r="E57" s="20">
        <v>3000000</v>
      </c>
      <c r="F57" s="21">
        <v>2935.56</v>
      </c>
      <c r="G57" s="22">
        <v>8.9999999999999998E-4</v>
      </c>
      <c r="H57" s="23">
        <v>6.9072999999999996E-2</v>
      </c>
      <c r="I57" s="24"/>
      <c r="J57" s="5"/>
    </row>
    <row r="58" spans="1:10" ht="12.95" customHeight="1">
      <c r="A58" s="5"/>
      <c r="B58" s="14" t="s">
        <v>160</v>
      </c>
      <c r="C58" s="15"/>
      <c r="D58" s="15"/>
      <c r="E58" s="15"/>
      <c r="F58" s="25">
        <v>26858.706999999999</v>
      </c>
      <c r="G58" s="26">
        <v>8.3999999999999995E-3</v>
      </c>
      <c r="H58" s="27"/>
      <c r="I58" s="28"/>
      <c r="J58" s="5"/>
    </row>
    <row r="59" spans="1:10" ht="12.95" customHeight="1">
      <c r="A59" s="5"/>
      <c r="B59" s="29" t="s">
        <v>163</v>
      </c>
      <c r="C59" s="30"/>
      <c r="D59" s="2"/>
      <c r="E59" s="30"/>
      <c r="F59" s="25">
        <v>26858.706999999999</v>
      </c>
      <c r="G59" s="26">
        <v>8.3999999999999995E-3</v>
      </c>
      <c r="H59" s="27"/>
      <c r="I59" s="28"/>
      <c r="J59" s="5"/>
    </row>
    <row r="60" spans="1:10" ht="12.95" customHeight="1">
      <c r="A60" s="5"/>
      <c r="B60" s="14" t="s">
        <v>208</v>
      </c>
      <c r="C60" s="15"/>
      <c r="D60" s="15"/>
      <c r="E60" s="15"/>
      <c r="F60" s="15"/>
      <c r="G60" s="15"/>
      <c r="H60" s="16"/>
      <c r="I60" s="17"/>
      <c r="J60" s="5"/>
    </row>
    <row r="61" spans="1:10" ht="12.95" customHeight="1">
      <c r="A61" s="5"/>
      <c r="B61" s="14" t="s">
        <v>209</v>
      </c>
      <c r="C61" s="15"/>
      <c r="D61" s="15"/>
      <c r="E61" s="15"/>
      <c r="F61" s="5"/>
      <c r="G61" s="16"/>
      <c r="H61" s="16"/>
      <c r="I61" s="17"/>
      <c r="J61" s="5"/>
    </row>
    <row r="62" spans="1:10" ht="12.95" customHeight="1">
      <c r="A62" s="18" t="s">
        <v>2154</v>
      </c>
      <c r="B62" s="19" t="s">
        <v>91</v>
      </c>
      <c r="C62" s="15" t="s">
        <v>2155</v>
      </c>
      <c r="D62" s="15"/>
      <c r="E62" s="20">
        <v>4950000</v>
      </c>
      <c r="F62" s="21">
        <v>10404.9</v>
      </c>
      <c r="G62" s="22">
        <v>3.3E-3</v>
      </c>
      <c r="H62" s="23"/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10404.9</v>
      </c>
      <c r="G63" s="26">
        <v>3.3E-3</v>
      </c>
      <c r="H63" s="27"/>
      <c r="I63" s="28"/>
      <c r="J63" s="5"/>
    </row>
    <row r="64" spans="1:10" ht="12.95" customHeight="1">
      <c r="A64" s="5"/>
      <c r="B64" s="29" t="s">
        <v>163</v>
      </c>
      <c r="C64" s="30"/>
      <c r="D64" s="2"/>
      <c r="E64" s="30"/>
      <c r="F64" s="25">
        <v>10404.9</v>
      </c>
      <c r="G64" s="26">
        <v>3.3E-3</v>
      </c>
      <c r="H64" s="27"/>
      <c r="I64" s="28"/>
      <c r="J64" s="5"/>
    </row>
    <row r="65" spans="1:10" ht="12.95" customHeight="1">
      <c r="A65" s="5"/>
      <c r="B65" s="14" t="s">
        <v>164</v>
      </c>
      <c r="C65" s="15"/>
      <c r="D65" s="15"/>
      <c r="E65" s="15"/>
      <c r="F65" s="15"/>
      <c r="G65" s="15"/>
      <c r="H65" s="16"/>
      <c r="I65" s="17"/>
      <c r="J65" s="5"/>
    </row>
    <row r="66" spans="1:10" ht="12.95" customHeight="1">
      <c r="A66" s="18" t="s">
        <v>165</v>
      </c>
      <c r="B66" s="19" t="s">
        <v>166</v>
      </c>
      <c r="C66" s="15"/>
      <c r="D66" s="15"/>
      <c r="E66" s="20"/>
      <c r="F66" s="21">
        <v>98671.636400000003</v>
      </c>
      <c r="G66" s="22">
        <v>3.09E-2</v>
      </c>
      <c r="H66" s="23">
        <v>6.7996829688028088E-2</v>
      </c>
      <c r="I66" s="24"/>
      <c r="J66" s="5"/>
    </row>
    <row r="67" spans="1:10" ht="12.95" customHeight="1">
      <c r="A67" s="5"/>
      <c r="B67" s="14" t="s">
        <v>160</v>
      </c>
      <c r="C67" s="15"/>
      <c r="D67" s="15"/>
      <c r="E67" s="15"/>
      <c r="F67" s="25">
        <v>98671.636400000003</v>
      </c>
      <c r="G67" s="26">
        <v>3.09E-2</v>
      </c>
      <c r="H67" s="27"/>
      <c r="I67" s="28"/>
      <c r="J67" s="5"/>
    </row>
    <row r="68" spans="1:10" ht="12.95" customHeight="1">
      <c r="A68" s="5"/>
      <c r="B68" s="29" t="s">
        <v>163</v>
      </c>
      <c r="C68" s="30"/>
      <c r="D68" s="2"/>
      <c r="E68" s="30"/>
      <c r="F68" s="25">
        <v>98671.636400000003</v>
      </c>
      <c r="G68" s="26">
        <v>3.09E-2</v>
      </c>
      <c r="H68" s="27"/>
      <c r="I68" s="28"/>
      <c r="J68" s="5"/>
    </row>
    <row r="69" spans="1:10" ht="12.95" customHeight="1">
      <c r="A69" s="5"/>
      <c r="B69" s="29" t="s">
        <v>167</v>
      </c>
      <c r="C69" s="15"/>
      <c r="D69" s="2"/>
      <c r="E69" s="15"/>
      <c r="F69" s="31">
        <v>1981.8690999999999</v>
      </c>
      <c r="G69" s="26">
        <v>6.9999999999999999E-4</v>
      </c>
      <c r="H69" s="27"/>
      <c r="I69" s="28"/>
      <c r="J69" s="5"/>
    </row>
    <row r="70" spans="1:10" ht="12.95" customHeight="1">
      <c r="A70" s="5"/>
      <c r="B70" s="32" t="s">
        <v>168</v>
      </c>
      <c r="C70" s="33"/>
      <c r="D70" s="33"/>
      <c r="E70" s="33"/>
      <c r="F70" s="34">
        <v>3188528.31</v>
      </c>
      <c r="G70" s="35">
        <v>1</v>
      </c>
      <c r="H70" s="36"/>
      <c r="I70" s="37"/>
      <c r="J70" s="5"/>
    </row>
    <row r="71" spans="1:10" ht="12.95" customHeight="1">
      <c r="A71" s="5"/>
      <c r="B71" s="7"/>
      <c r="C71" s="5"/>
      <c r="D71" s="5"/>
      <c r="E71" s="5"/>
      <c r="F71" s="5"/>
      <c r="G71" s="5"/>
      <c r="H71" s="5"/>
      <c r="I71" s="5"/>
      <c r="J71" s="5"/>
    </row>
    <row r="72" spans="1:10" ht="12.95" customHeight="1">
      <c r="A72" s="5"/>
      <c r="B72" s="4" t="s">
        <v>169</v>
      </c>
      <c r="C72" s="5"/>
      <c r="D72" s="5"/>
      <c r="E72" s="5"/>
      <c r="F72" s="5"/>
      <c r="G72" s="5"/>
      <c r="H72" s="5"/>
      <c r="I72" s="5"/>
      <c r="J72" s="5"/>
    </row>
    <row r="73" spans="1:10" ht="12.95" customHeight="1">
      <c r="A73" s="5"/>
      <c r="B73" s="4" t="s">
        <v>170</v>
      </c>
      <c r="C73" s="5"/>
      <c r="D73" s="5"/>
      <c r="E73" s="5"/>
      <c r="F73" s="5"/>
      <c r="G73" s="5"/>
      <c r="H73" s="5"/>
      <c r="I73" s="5"/>
      <c r="J73" s="5"/>
    </row>
    <row r="74" spans="1:10" ht="26.1" customHeight="1">
      <c r="A74" s="5"/>
      <c r="B74" s="86" t="s">
        <v>171</v>
      </c>
      <c r="C74" s="86"/>
      <c r="D74" s="86"/>
      <c r="E74" s="86"/>
      <c r="F74" s="86"/>
      <c r="G74" s="86"/>
      <c r="H74" s="86"/>
      <c r="I74" s="86"/>
      <c r="J74" s="5"/>
    </row>
    <row r="75" spans="1:10" ht="12.95" customHeight="1">
      <c r="A75" s="5"/>
      <c r="B75" s="86"/>
      <c r="C75" s="86"/>
      <c r="D75" s="86"/>
      <c r="E75" s="86"/>
      <c r="F75" s="86"/>
      <c r="G75" s="86"/>
      <c r="H75" s="86"/>
      <c r="I75" s="86"/>
      <c r="J75" s="5"/>
    </row>
    <row r="76" spans="1:10" ht="12.95" customHeight="1">
      <c r="A76" s="5"/>
      <c r="B76" s="86"/>
      <c r="C76" s="86"/>
      <c r="D76" s="86"/>
      <c r="E76" s="86"/>
      <c r="F76" s="86"/>
      <c r="G76" s="86"/>
      <c r="H76" s="86"/>
      <c r="I76" s="86"/>
      <c r="J76" s="5"/>
    </row>
    <row r="77" spans="1:10" ht="12.95" customHeight="1">
      <c r="A77" s="5"/>
      <c r="B77" s="5"/>
      <c r="C77" s="87" t="s">
        <v>2215</v>
      </c>
      <c r="D77" s="87"/>
      <c r="E77" s="87"/>
      <c r="F77" s="87"/>
      <c r="G77" s="5"/>
      <c r="H77" s="5"/>
      <c r="I77" s="5"/>
      <c r="J77" s="5"/>
    </row>
    <row r="78" spans="1:10" ht="12.95" customHeight="1">
      <c r="A78" s="5"/>
      <c r="B78" s="38" t="s">
        <v>173</v>
      </c>
      <c r="C78" s="87" t="s">
        <v>174</v>
      </c>
      <c r="D78" s="87"/>
      <c r="E78" s="87"/>
      <c r="F78" s="87"/>
      <c r="G78" s="5"/>
      <c r="H78" s="5"/>
      <c r="I78" s="5"/>
      <c r="J78" s="5"/>
    </row>
    <row r="79" spans="1:10" ht="120.95" customHeight="1">
      <c r="A79" s="5"/>
      <c r="B79" s="39"/>
      <c r="C79" s="85"/>
      <c r="D79" s="85"/>
      <c r="E79" s="5"/>
      <c r="F79" s="5"/>
      <c r="G79" s="5"/>
      <c r="H79" s="5"/>
      <c r="I79" s="5"/>
      <c r="J79" s="5"/>
    </row>
  </sheetData>
  <mergeCells count="6">
    <mergeCell ref="C79:D79"/>
    <mergeCell ref="B74:I74"/>
    <mergeCell ref="B75:I75"/>
    <mergeCell ref="B76:I76"/>
    <mergeCell ref="C77:F77"/>
    <mergeCell ref="C78:F78"/>
  </mergeCells>
  <hyperlinks>
    <hyperlink ref="A1" location="AxisBluechipFund" display="AXISEQF" xr:uid="{00000000-0004-0000-1400-000000000000}"/>
    <hyperlink ref="B1" location="AxisBluechipFund" display="Axis Bluechip Fund" xr:uid="{00000000-0004-0000-1400-000001000000}"/>
  </hyperlinks>
  <pageMargins left="0" right="0" top="0" bottom="0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J18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44</v>
      </c>
      <c r="B1" s="4" t="s">
        <v>45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282</v>
      </c>
      <c r="B7" s="19" t="s">
        <v>283</v>
      </c>
      <c r="C7" s="15" t="s">
        <v>284</v>
      </c>
      <c r="D7" s="15" t="s">
        <v>271</v>
      </c>
      <c r="E7" s="20">
        <v>347411</v>
      </c>
      <c r="F7" s="21">
        <v>5302.5340999999999</v>
      </c>
      <c r="G7" s="22">
        <v>6.0100000000000001E-2</v>
      </c>
      <c r="H7" s="40"/>
      <c r="I7" s="24"/>
      <c r="J7" s="5"/>
    </row>
    <row r="8" spans="1:10" ht="12.95" customHeight="1">
      <c r="A8" s="18" t="s">
        <v>248</v>
      </c>
      <c r="B8" s="19" t="s">
        <v>249</v>
      </c>
      <c r="C8" s="15" t="s">
        <v>250</v>
      </c>
      <c r="D8" s="15" t="s">
        <v>251</v>
      </c>
      <c r="E8" s="20">
        <v>197818</v>
      </c>
      <c r="F8" s="21">
        <v>4638.8320999999996</v>
      </c>
      <c r="G8" s="22">
        <v>5.2600000000000001E-2</v>
      </c>
      <c r="H8" s="40"/>
      <c r="I8" s="24"/>
      <c r="J8" s="5"/>
    </row>
    <row r="9" spans="1:10" ht="12.95" customHeight="1">
      <c r="A9" s="18" t="s">
        <v>268</v>
      </c>
      <c r="B9" s="19" t="s">
        <v>269</v>
      </c>
      <c r="C9" s="15" t="s">
        <v>270</v>
      </c>
      <c r="D9" s="15" t="s">
        <v>271</v>
      </c>
      <c r="E9" s="20">
        <v>414504</v>
      </c>
      <c r="F9" s="21">
        <v>3945.6635999999999</v>
      </c>
      <c r="G9" s="22">
        <v>4.4699999999999997E-2</v>
      </c>
      <c r="H9" s="40"/>
      <c r="I9" s="24"/>
      <c r="J9" s="5"/>
    </row>
    <row r="10" spans="1:10" ht="12.95" customHeight="1">
      <c r="A10" s="18" t="s">
        <v>693</v>
      </c>
      <c r="B10" s="19" t="s">
        <v>694</v>
      </c>
      <c r="C10" s="15" t="s">
        <v>695</v>
      </c>
      <c r="D10" s="15" t="s">
        <v>271</v>
      </c>
      <c r="E10" s="20">
        <v>242500</v>
      </c>
      <c r="F10" s="21">
        <v>3464.9612999999999</v>
      </c>
      <c r="G10" s="22">
        <v>3.9300000000000002E-2</v>
      </c>
      <c r="H10" s="40"/>
      <c r="I10" s="24"/>
      <c r="J10" s="5"/>
    </row>
    <row r="11" spans="1:10" ht="12.95" customHeight="1">
      <c r="A11" s="18" t="s">
        <v>260</v>
      </c>
      <c r="B11" s="19" t="s">
        <v>261</v>
      </c>
      <c r="C11" s="15" t="s">
        <v>262</v>
      </c>
      <c r="D11" s="15" t="s">
        <v>263</v>
      </c>
      <c r="E11" s="20">
        <v>59313</v>
      </c>
      <c r="F11" s="21">
        <v>2092.9185000000002</v>
      </c>
      <c r="G11" s="22">
        <v>2.3699999999999999E-2</v>
      </c>
      <c r="H11" s="40"/>
      <c r="I11" s="24"/>
      <c r="J11" s="5"/>
    </row>
    <row r="12" spans="1:10" ht="12.95" customHeight="1">
      <c r="A12" s="18" t="s">
        <v>285</v>
      </c>
      <c r="B12" s="19" t="s">
        <v>286</v>
      </c>
      <c r="C12" s="15" t="s">
        <v>287</v>
      </c>
      <c r="D12" s="15" t="s">
        <v>263</v>
      </c>
      <c r="E12" s="20">
        <v>143041</v>
      </c>
      <c r="F12" s="21">
        <v>2053.2820000000002</v>
      </c>
      <c r="G12" s="22">
        <v>2.3300000000000001E-2</v>
      </c>
      <c r="H12" s="40"/>
      <c r="I12" s="24"/>
      <c r="J12" s="5"/>
    </row>
    <row r="13" spans="1:10" ht="12.95" customHeight="1">
      <c r="A13" s="18" t="s">
        <v>278</v>
      </c>
      <c r="B13" s="19" t="s">
        <v>279</v>
      </c>
      <c r="C13" s="15" t="s">
        <v>280</v>
      </c>
      <c r="D13" s="15" t="s">
        <v>281</v>
      </c>
      <c r="E13" s="20">
        <v>314625</v>
      </c>
      <c r="F13" s="21">
        <v>1982.7668000000001</v>
      </c>
      <c r="G13" s="22">
        <v>2.2499999999999999E-2</v>
      </c>
      <c r="H13" s="40"/>
      <c r="I13" s="24"/>
      <c r="J13" s="5"/>
    </row>
    <row r="14" spans="1:10" ht="12.95" customHeight="1">
      <c r="A14" s="18" t="s">
        <v>727</v>
      </c>
      <c r="B14" s="19" t="s">
        <v>728</v>
      </c>
      <c r="C14" s="15" t="s">
        <v>729</v>
      </c>
      <c r="D14" s="15" t="s">
        <v>255</v>
      </c>
      <c r="E14" s="20">
        <v>22679</v>
      </c>
      <c r="F14" s="21">
        <v>1771.4</v>
      </c>
      <c r="G14" s="22">
        <v>2.01E-2</v>
      </c>
      <c r="H14" s="40"/>
      <c r="I14" s="24"/>
      <c r="J14" s="5"/>
    </row>
    <row r="15" spans="1:10" ht="12.95" customHeight="1">
      <c r="A15" s="18" t="s">
        <v>730</v>
      </c>
      <c r="B15" s="19" t="s">
        <v>731</v>
      </c>
      <c r="C15" s="15" t="s">
        <v>732</v>
      </c>
      <c r="D15" s="15" t="s">
        <v>281</v>
      </c>
      <c r="E15" s="20">
        <v>103900</v>
      </c>
      <c r="F15" s="21">
        <v>1614.8658</v>
      </c>
      <c r="G15" s="22">
        <v>1.83E-2</v>
      </c>
      <c r="H15" s="40"/>
      <c r="I15" s="24"/>
      <c r="J15" s="5"/>
    </row>
    <row r="16" spans="1:10" ht="12.95" customHeight="1">
      <c r="A16" s="18" t="s">
        <v>719</v>
      </c>
      <c r="B16" s="19" t="s">
        <v>720</v>
      </c>
      <c r="C16" s="15" t="s">
        <v>721</v>
      </c>
      <c r="D16" s="15" t="s">
        <v>722</v>
      </c>
      <c r="E16" s="20">
        <v>53068</v>
      </c>
      <c r="F16" s="21">
        <v>1604.5374999999999</v>
      </c>
      <c r="G16" s="22">
        <v>1.8200000000000001E-2</v>
      </c>
      <c r="H16" s="40"/>
      <c r="I16" s="24"/>
      <c r="J16" s="5"/>
    </row>
    <row r="17" spans="1:10" ht="12.95" customHeight="1">
      <c r="A17" s="18" t="s">
        <v>345</v>
      </c>
      <c r="B17" s="19" t="s">
        <v>346</v>
      </c>
      <c r="C17" s="15" t="s">
        <v>347</v>
      </c>
      <c r="D17" s="15" t="s">
        <v>348</v>
      </c>
      <c r="E17" s="20">
        <v>57300</v>
      </c>
      <c r="F17" s="21">
        <v>1412.7888</v>
      </c>
      <c r="G17" s="22">
        <v>1.6E-2</v>
      </c>
      <c r="H17" s="40"/>
      <c r="I17" s="24"/>
      <c r="J17" s="5"/>
    </row>
    <row r="18" spans="1:10" ht="12.95" customHeight="1">
      <c r="A18" s="18" t="s">
        <v>746</v>
      </c>
      <c r="B18" s="19" t="s">
        <v>747</v>
      </c>
      <c r="C18" s="15" t="s">
        <v>748</v>
      </c>
      <c r="D18" s="15" t="s">
        <v>344</v>
      </c>
      <c r="E18" s="20">
        <v>1089000</v>
      </c>
      <c r="F18" s="21">
        <v>1403.721</v>
      </c>
      <c r="G18" s="22">
        <v>1.5900000000000001E-2</v>
      </c>
      <c r="H18" s="40"/>
      <c r="I18" s="24"/>
      <c r="J18" s="5"/>
    </row>
    <row r="19" spans="1:10" ht="12.95" customHeight="1">
      <c r="A19" s="18" t="s">
        <v>2173</v>
      </c>
      <c r="B19" s="19" t="s">
        <v>2174</v>
      </c>
      <c r="C19" s="15" t="s">
        <v>2175</v>
      </c>
      <c r="D19" s="15" t="s">
        <v>295</v>
      </c>
      <c r="E19" s="20">
        <v>96614</v>
      </c>
      <c r="F19" s="21">
        <v>1352.5477000000001</v>
      </c>
      <c r="G19" s="22">
        <v>1.5299999999999999E-2</v>
      </c>
      <c r="H19" s="40"/>
      <c r="I19" s="24"/>
      <c r="J19" s="5"/>
    </row>
    <row r="20" spans="1:10" ht="12.95" customHeight="1">
      <c r="A20" s="18" t="s">
        <v>275</v>
      </c>
      <c r="B20" s="19" t="s">
        <v>276</v>
      </c>
      <c r="C20" s="15" t="s">
        <v>277</v>
      </c>
      <c r="D20" s="15" t="s">
        <v>271</v>
      </c>
      <c r="E20" s="20">
        <v>221500</v>
      </c>
      <c r="F20" s="21">
        <v>1325.7882999999999</v>
      </c>
      <c r="G20" s="22">
        <v>1.4999999999999999E-2</v>
      </c>
      <c r="H20" s="40"/>
      <c r="I20" s="24"/>
      <c r="J20" s="5"/>
    </row>
    <row r="21" spans="1:10" ht="12.95" customHeight="1">
      <c r="A21" s="18" t="s">
        <v>848</v>
      </c>
      <c r="B21" s="19" t="s">
        <v>849</v>
      </c>
      <c r="C21" s="15" t="s">
        <v>850</v>
      </c>
      <c r="D21" s="15" t="s">
        <v>255</v>
      </c>
      <c r="E21" s="20">
        <v>103903</v>
      </c>
      <c r="F21" s="21">
        <v>1265.0709999999999</v>
      </c>
      <c r="G21" s="22">
        <v>1.43E-2</v>
      </c>
      <c r="H21" s="40"/>
      <c r="I21" s="24"/>
      <c r="J21" s="5"/>
    </row>
    <row r="22" spans="1:10" ht="12.95" customHeight="1">
      <c r="A22" s="18" t="s">
        <v>1715</v>
      </c>
      <c r="B22" s="19" t="s">
        <v>1716</v>
      </c>
      <c r="C22" s="15" t="s">
        <v>1717</v>
      </c>
      <c r="D22" s="15" t="s">
        <v>726</v>
      </c>
      <c r="E22" s="20">
        <v>656200</v>
      </c>
      <c r="F22" s="21">
        <v>1257.9354000000001</v>
      </c>
      <c r="G22" s="22">
        <v>1.43E-2</v>
      </c>
      <c r="H22" s="40"/>
      <c r="I22" s="24"/>
      <c r="J22" s="5"/>
    </row>
    <row r="23" spans="1:10" ht="12.95" customHeight="1">
      <c r="A23" s="18" t="s">
        <v>690</v>
      </c>
      <c r="B23" s="19" t="s">
        <v>691</v>
      </c>
      <c r="C23" s="15" t="s">
        <v>692</v>
      </c>
      <c r="D23" s="15" t="s">
        <v>271</v>
      </c>
      <c r="E23" s="20">
        <v>65600</v>
      </c>
      <c r="F23" s="21">
        <v>1138.6192000000001</v>
      </c>
      <c r="G23" s="22">
        <v>1.29E-2</v>
      </c>
      <c r="H23" s="40"/>
      <c r="I23" s="24"/>
      <c r="J23" s="5"/>
    </row>
    <row r="24" spans="1:10" ht="12.95" customHeight="1">
      <c r="A24" s="18" t="s">
        <v>264</v>
      </c>
      <c r="B24" s="19" t="s">
        <v>265</v>
      </c>
      <c r="C24" s="15" t="s">
        <v>266</v>
      </c>
      <c r="D24" s="15" t="s">
        <v>267</v>
      </c>
      <c r="E24" s="20">
        <v>11879</v>
      </c>
      <c r="F24" s="21">
        <v>980.59360000000004</v>
      </c>
      <c r="G24" s="22">
        <v>1.11E-2</v>
      </c>
      <c r="H24" s="40"/>
      <c r="I24" s="24"/>
      <c r="J24" s="5"/>
    </row>
    <row r="25" spans="1:10" ht="12.95" customHeight="1">
      <c r="A25" s="18" t="s">
        <v>338</v>
      </c>
      <c r="B25" s="19" t="s">
        <v>339</v>
      </c>
      <c r="C25" s="15" t="s">
        <v>340</v>
      </c>
      <c r="D25" s="15" t="s">
        <v>334</v>
      </c>
      <c r="E25" s="20">
        <v>160000</v>
      </c>
      <c r="F25" s="21">
        <v>849.44</v>
      </c>
      <c r="G25" s="22">
        <v>9.5999999999999992E-3</v>
      </c>
      <c r="H25" s="40"/>
      <c r="I25" s="24"/>
      <c r="J25" s="5"/>
    </row>
    <row r="26" spans="1:10" ht="12.95" customHeight="1">
      <c r="A26" s="18" t="s">
        <v>723</v>
      </c>
      <c r="B26" s="19" t="s">
        <v>724</v>
      </c>
      <c r="C26" s="15" t="s">
        <v>725</v>
      </c>
      <c r="D26" s="15" t="s">
        <v>726</v>
      </c>
      <c r="E26" s="20">
        <v>90584</v>
      </c>
      <c r="F26" s="21">
        <v>839.17020000000002</v>
      </c>
      <c r="G26" s="22">
        <v>9.4999999999999998E-3</v>
      </c>
      <c r="H26" s="40"/>
      <c r="I26" s="24"/>
      <c r="J26" s="5"/>
    </row>
    <row r="27" spans="1:10" ht="12.95" customHeight="1">
      <c r="A27" s="18" t="s">
        <v>2216</v>
      </c>
      <c r="B27" s="19" t="s">
        <v>2217</v>
      </c>
      <c r="C27" s="15" t="s">
        <v>2218</v>
      </c>
      <c r="D27" s="15" t="s">
        <v>755</v>
      </c>
      <c r="E27" s="20">
        <v>80000</v>
      </c>
      <c r="F27" s="21">
        <v>834.16</v>
      </c>
      <c r="G27" s="22">
        <v>9.4999999999999998E-3</v>
      </c>
      <c r="H27" s="40"/>
      <c r="I27" s="24"/>
      <c r="J27" s="5"/>
    </row>
    <row r="28" spans="1:10" ht="12.95" customHeight="1">
      <c r="A28" s="18" t="s">
        <v>1718</v>
      </c>
      <c r="B28" s="19" t="s">
        <v>1719</v>
      </c>
      <c r="C28" s="15" t="s">
        <v>1720</v>
      </c>
      <c r="D28" s="15" t="s">
        <v>255</v>
      </c>
      <c r="E28" s="20">
        <v>552000</v>
      </c>
      <c r="F28" s="21">
        <v>827.17200000000003</v>
      </c>
      <c r="G28" s="22">
        <v>9.4000000000000004E-3</v>
      </c>
      <c r="H28" s="40"/>
      <c r="I28" s="24"/>
      <c r="J28" s="5"/>
    </row>
    <row r="29" spans="1:10" ht="12.95" customHeight="1">
      <c r="A29" s="18" t="s">
        <v>866</v>
      </c>
      <c r="B29" s="19" t="s">
        <v>867</v>
      </c>
      <c r="C29" s="15" t="s">
        <v>868</v>
      </c>
      <c r="D29" s="15" t="s">
        <v>403</v>
      </c>
      <c r="E29" s="20">
        <v>800000</v>
      </c>
      <c r="F29" s="21">
        <v>812</v>
      </c>
      <c r="G29" s="22">
        <v>9.1999999999999998E-3</v>
      </c>
      <c r="H29" s="40"/>
      <c r="I29" s="24"/>
      <c r="J29" s="5"/>
    </row>
    <row r="30" spans="1:10" ht="12.95" customHeight="1">
      <c r="A30" s="18" t="s">
        <v>1733</v>
      </c>
      <c r="B30" s="19" t="s">
        <v>1734</v>
      </c>
      <c r="C30" s="15" t="s">
        <v>1735</v>
      </c>
      <c r="D30" s="15" t="s">
        <v>267</v>
      </c>
      <c r="E30" s="20">
        <v>40375</v>
      </c>
      <c r="F30" s="21">
        <v>784.24400000000003</v>
      </c>
      <c r="G30" s="22">
        <v>8.8999999999999999E-3</v>
      </c>
      <c r="H30" s="40"/>
      <c r="I30" s="24"/>
      <c r="J30" s="5"/>
    </row>
    <row r="31" spans="1:10" ht="12.95" customHeight="1">
      <c r="A31" s="18" t="s">
        <v>1572</v>
      </c>
      <c r="B31" s="19" t="s">
        <v>1573</v>
      </c>
      <c r="C31" s="15" t="s">
        <v>1574</v>
      </c>
      <c r="D31" s="15" t="s">
        <v>263</v>
      </c>
      <c r="E31" s="20">
        <v>12924</v>
      </c>
      <c r="F31" s="21">
        <v>749.16549999999995</v>
      </c>
      <c r="G31" s="22">
        <v>8.5000000000000006E-3</v>
      </c>
      <c r="H31" s="40"/>
      <c r="I31" s="24"/>
      <c r="J31" s="5"/>
    </row>
    <row r="32" spans="1:10" ht="12.95" customHeight="1">
      <c r="A32" s="18" t="s">
        <v>842</v>
      </c>
      <c r="B32" s="19" t="s">
        <v>843</v>
      </c>
      <c r="C32" s="15" t="s">
        <v>844</v>
      </c>
      <c r="D32" s="15" t="s">
        <v>259</v>
      </c>
      <c r="E32" s="20">
        <v>79093</v>
      </c>
      <c r="F32" s="21">
        <v>745.13520000000005</v>
      </c>
      <c r="G32" s="22">
        <v>8.3999999999999995E-3</v>
      </c>
      <c r="H32" s="40"/>
      <c r="I32" s="24"/>
      <c r="J32" s="5"/>
    </row>
    <row r="33" spans="1:10" ht="12.95" customHeight="1">
      <c r="A33" s="18" t="s">
        <v>1617</v>
      </c>
      <c r="B33" s="19" t="s">
        <v>1618</v>
      </c>
      <c r="C33" s="15" t="s">
        <v>1619</v>
      </c>
      <c r="D33" s="15" t="s">
        <v>745</v>
      </c>
      <c r="E33" s="20">
        <v>40080</v>
      </c>
      <c r="F33" s="21">
        <v>719.55619999999999</v>
      </c>
      <c r="G33" s="22">
        <v>8.2000000000000007E-3</v>
      </c>
      <c r="H33" s="40"/>
      <c r="I33" s="24"/>
      <c r="J33" s="5"/>
    </row>
    <row r="34" spans="1:10" ht="12.95" customHeight="1">
      <c r="A34" s="18" t="s">
        <v>256</v>
      </c>
      <c r="B34" s="19" t="s">
        <v>257</v>
      </c>
      <c r="C34" s="15" t="s">
        <v>258</v>
      </c>
      <c r="D34" s="15" t="s">
        <v>259</v>
      </c>
      <c r="E34" s="20">
        <v>119147</v>
      </c>
      <c r="F34" s="21">
        <v>695.10360000000003</v>
      </c>
      <c r="G34" s="22">
        <v>7.9000000000000008E-3</v>
      </c>
      <c r="H34" s="40"/>
      <c r="I34" s="24"/>
      <c r="J34" s="5"/>
    </row>
    <row r="35" spans="1:10" ht="12.95" customHeight="1">
      <c r="A35" s="18" t="s">
        <v>736</v>
      </c>
      <c r="B35" s="19" t="s">
        <v>737</v>
      </c>
      <c r="C35" s="15" t="s">
        <v>738</v>
      </c>
      <c r="D35" s="15" t="s">
        <v>324</v>
      </c>
      <c r="E35" s="20">
        <v>22000</v>
      </c>
      <c r="F35" s="21">
        <v>692.73599999999999</v>
      </c>
      <c r="G35" s="22">
        <v>7.9000000000000008E-3</v>
      </c>
      <c r="H35" s="40"/>
      <c r="I35" s="24"/>
      <c r="J35" s="5"/>
    </row>
    <row r="36" spans="1:10" ht="12.95" customHeight="1">
      <c r="A36" s="18" t="s">
        <v>1569</v>
      </c>
      <c r="B36" s="19" t="s">
        <v>1570</v>
      </c>
      <c r="C36" s="15" t="s">
        <v>1571</v>
      </c>
      <c r="D36" s="15" t="s">
        <v>267</v>
      </c>
      <c r="E36" s="20">
        <v>156600</v>
      </c>
      <c r="F36" s="21">
        <v>665.23680000000002</v>
      </c>
      <c r="G36" s="22">
        <v>7.4999999999999997E-3</v>
      </c>
      <c r="H36" s="40"/>
      <c r="I36" s="24"/>
      <c r="J36" s="5"/>
    </row>
    <row r="37" spans="1:10" ht="12.95" customHeight="1">
      <c r="A37" s="18" t="s">
        <v>887</v>
      </c>
      <c r="B37" s="19" t="s">
        <v>888</v>
      </c>
      <c r="C37" s="15" t="s">
        <v>889</v>
      </c>
      <c r="D37" s="15" t="s">
        <v>890</v>
      </c>
      <c r="E37" s="20">
        <v>116500</v>
      </c>
      <c r="F37" s="21">
        <v>659.62300000000005</v>
      </c>
      <c r="G37" s="22">
        <v>7.4999999999999997E-3</v>
      </c>
      <c r="H37" s="40"/>
      <c r="I37" s="24"/>
      <c r="J37" s="5"/>
    </row>
    <row r="38" spans="1:10" ht="12.95" customHeight="1">
      <c r="A38" s="18" t="s">
        <v>1767</v>
      </c>
      <c r="B38" s="19" t="s">
        <v>1768</v>
      </c>
      <c r="C38" s="15" t="s">
        <v>1769</v>
      </c>
      <c r="D38" s="15" t="s">
        <v>314</v>
      </c>
      <c r="E38" s="20">
        <v>100100</v>
      </c>
      <c r="F38" s="21">
        <v>612.71209999999996</v>
      </c>
      <c r="G38" s="22">
        <v>6.8999999999999999E-3</v>
      </c>
      <c r="H38" s="40"/>
      <c r="I38" s="24"/>
      <c r="J38" s="5"/>
    </row>
    <row r="39" spans="1:10" ht="12.95" customHeight="1">
      <c r="A39" s="18" t="s">
        <v>1841</v>
      </c>
      <c r="B39" s="19" t="s">
        <v>1842</v>
      </c>
      <c r="C39" s="15" t="s">
        <v>1843</v>
      </c>
      <c r="D39" s="15" t="s">
        <v>295</v>
      </c>
      <c r="E39" s="20">
        <v>10806</v>
      </c>
      <c r="F39" s="21">
        <v>577.37</v>
      </c>
      <c r="G39" s="22">
        <v>6.4999999999999997E-3</v>
      </c>
      <c r="H39" s="40"/>
      <c r="I39" s="24"/>
      <c r="J39" s="5"/>
    </row>
    <row r="40" spans="1:10" ht="12.95" customHeight="1">
      <c r="A40" s="18" t="s">
        <v>742</v>
      </c>
      <c r="B40" s="19" t="s">
        <v>743</v>
      </c>
      <c r="C40" s="15" t="s">
        <v>744</v>
      </c>
      <c r="D40" s="15" t="s">
        <v>745</v>
      </c>
      <c r="E40" s="20">
        <v>49000</v>
      </c>
      <c r="F40" s="21">
        <v>567.73850000000004</v>
      </c>
      <c r="G40" s="22">
        <v>6.4000000000000003E-3</v>
      </c>
      <c r="H40" s="40"/>
      <c r="I40" s="24"/>
      <c r="J40" s="5"/>
    </row>
    <row r="41" spans="1:10" ht="12.95" customHeight="1">
      <c r="A41" s="18" t="s">
        <v>752</v>
      </c>
      <c r="B41" s="19" t="s">
        <v>753</v>
      </c>
      <c r="C41" s="15" t="s">
        <v>754</v>
      </c>
      <c r="D41" s="15" t="s">
        <v>755</v>
      </c>
      <c r="E41" s="20">
        <v>2494</v>
      </c>
      <c r="F41" s="21">
        <v>561.32209999999998</v>
      </c>
      <c r="G41" s="22">
        <v>6.4000000000000003E-3</v>
      </c>
      <c r="H41" s="40"/>
      <c r="I41" s="24"/>
      <c r="J41" s="5"/>
    </row>
    <row r="42" spans="1:10" ht="12.95" customHeight="1">
      <c r="A42" s="18" t="s">
        <v>1578</v>
      </c>
      <c r="B42" s="19" t="s">
        <v>1579</v>
      </c>
      <c r="C42" s="15" t="s">
        <v>1580</v>
      </c>
      <c r="D42" s="15" t="s">
        <v>890</v>
      </c>
      <c r="E42" s="20">
        <v>42692</v>
      </c>
      <c r="F42" s="21">
        <v>557.30139999999994</v>
      </c>
      <c r="G42" s="22">
        <v>6.3E-3</v>
      </c>
      <c r="H42" s="40"/>
      <c r="I42" s="24"/>
      <c r="J42" s="5"/>
    </row>
    <row r="43" spans="1:10" ht="12.95" customHeight="1">
      <c r="A43" s="18" t="s">
        <v>1755</v>
      </c>
      <c r="B43" s="19" t="s">
        <v>1756</v>
      </c>
      <c r="C43" s="15" t="s">
        <v>1757</v>
      </c>
      <c r="D43" s="15" t="s">
        <v>745</v>
      </c>
      <c r="E43" s="20">
        <v>150000</v>
      </c>
      <c r="F43" s="21">
        <v>532.125</v>
      </c>
      <c r="G43" s="22">
        <v>6.0000000000000001E-3</v>
      </c>
      <c r="H43" s="40"/>
      <c r="I43" s="24"/>
      <c r="J43" s="5"/>
    </row>
    <row r="44" spans="1:10" ht="12.95" customHeight="1">
      <c r="A44" s="18" t="s">
        <v>795</v>
      </c>
      <c r="B44" s="19" t="s">
        <v>796</v>
      </c>
      <c r="C44" s="15" t="s">
        <v>797</v>
      </c>
      <c r="D44" s="15" t="s">
        <v>798</v>
      </c>
      <c r="E44" s="20">
        <v>53000</v>
      </c>
      <c r="F44" s="21">
        <v>525.548</v>
      </c>
      <c r="G44" s="22">
        <v>6.0000000000000001E-3</v>
      </c>
      <c r="H44" s="40"/>
      <c r="I44" s="24"/>
      <c r="J44" s="5"/>
    </row>
    <row r="45" spans="1:10" ht="12.95" customHeight="1">
      <c r="A45" s="18" t="s">
        <v>335</v>
      </c>
      <c r="B45" s="19" t="s">
        <v>336</v>
      </c>
      <c r="C45" s="15" t="s">
        <v>337</v>
      </c>
      <c r="D45" s="15" t="s">
        <v>263</v>
      </c>
      <c r="E45" s="20">
        <v>41200</v>
      </c>
      <c r="F45" s="21">
        <v>503.79360000000003</v>
      </c>
      <c r="G45" s="22">
        <v>5.7000000000000002E-3</v>
      </c>
      <c r="H45" s="40"/>
      <c r="I45" s="24"/>
      <c r="J45" s="5"/>
    </row>
    <row r="46" spans="1:10" ht="12.95" customHeight="1">
      <c r="A46" s="18" t="s">
        <v>2189</v>
      </c>
      <c r="B46" s="19" t="s">
        <v>2190</v>
      </c>
      <c r="C46" s="15" t="s">
        <v>2191</v>
      </c>
      <c r="D46" s="15" t="s">
        <v>2192</v>
      </c>
      <c r="E46" s="20">
        <v>60000</v>
      </c>
      <c r="F46" s="21">
        <v>496.62</v>
      </c>
      <c r="G46" s="22">
        <v>5.5999999999999999E-3</v>
      </c>
      <c r="H46" s="40"/>
      <c r="I46" s="24"/>
      <c r="J46" s="5"/>
    </row>
    <row r="47" spans="1:10" ht="12.95" customHeight="1">
      <c r="A47" s="18" t="s">
        <v>1724</v>
      </c>
      <c r="B47" s="19" t="s">
        <v>1725</v>
      </c>
      <c r="C47" s="15" t="s">
        <v>1726</v>
      </c>
      <c r="D47" s="15" t="s">
        <v>263</v>
      </c>
      <c r="E47" s="20">
        <v>100000</v>
      </c>
      <c r="F47" s="21">
        <v>483.35</v>
      </c>
      <c r="G47" s="22">
        <v>5.4999999999999997E-3</v>
      </c>
      <c r="H47" s="40"/>
      <c r="I47" s="24"/>
      <c r="J47" s="5"/>
    </row>
    <row r="48" spans="1:10" ht="12.95" customHeight="1">
      <c r="A48" s="18" t="s">
        <v>1610</v>
      </c>
      <c r="B48" s="19" t="s">
        <v>1611</v>
      </c>
      <c r="C48" s="15" t="s">
        <v>1612</v>
      </c>
      <c r="D48" s="15" t="s">
        <v>890</v>
      </c>
      <c r="E48" s="20">
        <v>72600</v>
      </c>
      <c r="F48" s="21">
        <v>462.75240000000002</v>
      </c>
      <c r="G48" s="22">
        <v>5.1999999999999998E-3</v>
      </c>
      <c r="H48" s="40"/>
      <c r="I48" s="24"/>
      <c r="J48" s="5"/>
    </row>
    <row r="49" spans="1:10" ht="12.95" customHeight="1">
      <c r="A49" s="18" t="s">
        <v>733</v>
      </c>
      <c r="B49" s="19" t="s">
        <v>734</v>
      </c>
      <c r="C49" s="15" t="s">
        <v>735</v>
      </c>
      <c r="D49" s="15" t="s">
        <v>281</v>
      </c>
      <c r="E49" s="20">
        <v>4300</v>
      </c>
      <c r="F49" s="21">
        <v>456.25580000000002</v>
      </c>
      <c r="G49" s="22">
        <v>5.1999999999999998E-3</v>
      </c>
      <c r="H49" s="40"/>
      <c r="I49" s="24"/>
      <c r="J49" s="5"/>
    </row>
    <row r="50" spans="1:10" ht="12.95" customHeight="1">
      <c r="A50" s="18" t="s">
        <v>2219</v>
      </c>
      <c r="B50" s="19" t="s">
        <v>2220</v>
      </c>
      <c r="C50" s="15" t="s">
        <v>2221</v>
      </c>
      <c r="D50" s="15" t="s">
        <v>259</v>
      </c>
      <c r="E50" s="20">
        <v>9500</v>
      </c>
      <c r="F50" s="21">
        <v>440.36779999999999</v>
      </c>
      <c r="G50" s="22">
        <v>5.0000000000000001E-3</v>
      </c>
      <c r="H50" s="40"/>
      <c r="I50" s="24"/>
      <c r="J50" s="5"/>
    </row>
    <row r="51" spans="1:10" ht="12.95" customHeight="1">
      <c r="A51" s="18" t="s">
        <v>1773</v>
      </c>
      <c r="B51" s="19" t="s">
        <v>1774</v>
      </c>
      <c r="C51" s="15" t="s">
        <v>1775</v>
      </c>
      <c r="D51" s="15" t="s">
        <v>832</v>
      </c>
      <c r="E51" s="20">
        <v>67600</v>
      </c>
      <c r="F51" s="21">
        <v>416.58499999999998</v>
      </c>
      <c r="G51" s="22">
        <v>4.7000000000000002E-3</v>
      </c>
      <c r="H51" s="40"/>
      <c r="I51" s="24"/>
      <c r="J51" s="5"/>
    </row>
    <row r="52" spans="1:10" ht="12.95" customHeight="1">
      <c r="A52" s="18" t="s">
        <v>397</v>
      </c>
      <c r="B52" s="19" t="s">
        <v>398</v>
      </c>
      <c r="C52" s="15" t="s">
        <v>399</v>
      </c>
      <c r="D52" s="15" t="s">
        <v>259</v>
      </c>
      <c r="E52" s="20">
        <v>120000</v>
      </c>
      <c r="F52" s="21">
        <v>399.6</v>
      </c>
      <c r="G52" s="22">
        <v>4.4999999999999997E-3</v>
      </c>
      <c r="H52" s="40"/>
      <c r="I52" s="24"/>
      <c r="J52" s="5"/>
    </row>
    <row r="53" spans="1:10" ht="12.95" customHeight="1">
      <c r="A53" s="18" t="s">
        <v>359</v>
      </c>
      <c r="B53" s="19" t="s">
        <v>360</v>
      </c>
      <c r="C53" s="15" t="s">
        <v>361</v>
      </c>
      <c r="D53" s="15" t="s">
        <v>255</v>
      </c>
      <c r="E53" s="20">
        <v>167318</v>
      </c>
      <c r="F53" s="21">
        <v>386.83920000000001</v>
      </c>
      <c r="G53" s="22">
        <v>4.4000000000000003E-3</v>
      </c>
      <c r="H53" s="40"/>
      <c r="I53" s="24"/>
      <c r="J53" s="5"/>
    </row>
    <row r="54" spans="1:10" ht="12.95" customHeight="1">
      <c r="A54" s="18" t="s">
        <v>1826</v>
      </c>
      <c r="B54" s="19" t="s">
        <v>1827</v>
      </c>
      <c r="C54" s="15" t="s">
        <v>1828</v>
      </c>
      <c r="D54" s="15" t="s">
        <v>1816</v>
      </c>
      <c r="E54" s="20">
        <v>294000</v>
      </c>
      <c r="F54" s="21">
        <v>385.14</v>
      </c>
      <c r="G54" s="22">
        <v>4.4000000000000003E-3</v>
      </c>
      <c r="H54" s="40"/>
      <c r="I54" s="24"/>
      <c r="J54" s="5"/>
    </row>
    <row r="55" spans="1:10" ht="12.95" customHeight="1">
      <c r="A55" s="18" t="s">
        <v>1584</v>
      </c>
      <c r="B55" s="19" t="s">
        <v>1585</v>
      </c>
      <c r="C55" s="15" t="s">
        <v>1586</v>
      </c>
      <c r="D55" s="15" t="s">
        <v>263</v>
      </c>
      <c r="E55" s="20">
        <v>7287</v>
      </c>
      <c r="F55" s="21">
        <v>371.96129999999999</v>
      </c>
      <c r="G55" s="22">
        <v>4.1999999999999997E-3</v>
      </c>
      <c r="H55" s="40"/>
      <c r="I55" s="24"/>
      <c r="J55" s="5"/>
    </row>
    <row r="56" spans="1:10" ht="12.95" customHeight="1">
      <c r="A56" s="18" t="s">
        <v>1601</v>
      </c>
      <c r="B56" s="19" t="s">
        <v>1602</v>
      </c>
      <c r="C56" s="15" t="s">
        <v>1603</v>
      </c>
      <c r="D56" s="15" t="s">
        <v>267</v>
      </c>
      <c r="E56" s="20">
        <v>18000</v>
      </c>
      <c r="F56" s="21">
        <v>362.20499999999998</v>
      </c>
      <c r="G56" s="22">
        <v>4.1000000000000003E-3</v>
      </c>
      <c r="H56" s="40"/>
      <c r="I56" s="24"/>
      <c r="J56" s="5"/>
    </row>
    <row r="57" spans="1:10" ht="12.95" customHeight="1">
      <c r="A57" s="18" t="s">
        <v>374</v>
      </c>
      <c r="B57" s="19" t="s">
        <v>375</v>
      </c>
      <c r="C57" s="15" t="s">
        <v>376</v>
      </c>
      <c r="D57" s="15" t="s">
        <v>310</v>
      </c>
      <c r="E57" s="20">
        <v>63600</v>
      </c>
      <c r="F57" s="21">
        <v>357.20940000000002</v>
      </c>
      <c r="G57" s="22">
        <v>4.0000000000000001E-3</v>
      </c>
      <c r="H57" s="40"/>
      <c r="I57" s="24"/>
      <c r="J57" s="5"/>
    </row>
    <row r="58" spans="1:10" ht="12.95" customHeight="1">
      <c r="A58" s="18" t="s">
        <v>1746</v>
      </c>
      <c r="B58" s="19" t="s">
        <v>1747</v>
      </c>
      <c r="C58" s="15" t="s">
        <v>1748</v>
      </c>
      <c r="D58" s="15" t="s">
        <v>271</v>
      </c>
      <c r="E58" s="20">
        <v>94500</v>
      </c>
      <c r="F58" s="21">
        <v>355.55630000000002</v>
      </c>
      <c r="G58" s="22">
        <v>4.0000000000000001E-3</v>
      </c>
      <c r="H58" s="40"/>
      <c r="I58" s="24"/>
      <c r="J58" s="5"/>
    </row>
    <row r="59" spans="1:10" ht="12.95" customHeight="1">
      <c r="A59" s="18" t="s">
        <v>1838</v>
      </c>
      <c r="B59" s="19" t="s">
        <v>1839</v>
      </c>
      <c r="C59" s="15" t="s">
        <v>1840</v>
      </c>
      <c r="D59" s="15" t="s">
        <v>324</v>
      </c>
      <c r="E59" s="20">
        <v>108000</v>
      </c>
      <c r="F59" s="21">
        <v>334.63799999999998</v>
      </c>
      <c r="G59" s="22">
        <v>3.8E-3</v>
      </c>
      <c r="H59" s="40"/>
      <c r="I59" s="24"/>
      <c r="J59" s="5"/>
    </row>
    <row r="60" spans="1:10" ht="12.95" customHeight="1">
      <c r="A60" s="18" t="s">
        <v>815</v>
      </c>
      <c r="B60" s="19" t="s">
        <v>816</v>
      </c>
      <c r="C60" s="15" t="s">
        <v>817</v>
      </c>
      <c r="D60" s="15" t="s">
        <v>788</v>
      </c>
      <c r="E60" s="20">
        <v>30560</v>
      </c>
      <c r="F60" s="21">
        <v>307.81560000000002</v>
      </c>
      <c r="G60" s="22">
        <v>3.5000000000000001E-3</v>
      </c>
      <c r="H60" s="40"/>
      <c r="I60" s="24"/>
      <c r="J60" s="5"/>
    </row>
    <row r="61" spans="1:10" ht="12.95" customHeight="1">
      <c r="A61" s="18" t="s">
        <v>2222</v>
      </c>
      <c r="B61" s="19" t="s">
        <v>2223</v>
      </c>
      <c r="C61" s="15" t="s">
        <v>2224</v>
      </c>
      <c r="D61" s="15" t="s">
        <v>306</v>
      </c>
      <c r="E61" s="20">
        <v>33262</v>
      </c>
      <c r="F61" s="21">
        <v>298.85910000000001</v>
      </c>
      <c r="G61" s="22">
        <v>3.3999999999999998E-3</v>
      </c>
      <c r="H61" s="40"/>
      <c r="I61" s="24"/>
      <c r="J61" s="5"/>
    </row>
    <row r="62" spans="1:10" ht="12.95" customHeight="1">
      <c r="A62" s="18" t="s">
        <v>296</v>
      </c>
      <c r="B62" s="19" t="s">
        <v>297</v>
      </c>
      <c r="C62" s="15" t="s">
        <v>298</v>
      </c>
      <c r="D62" s="15" t="s">
        <v>259</v>
      </c>
      <c r="E62" s="20">
        <v>53268</v>
      </c>
      <c r="F62" s="21">
        <v>256.08589999999998</v>
      </c>
      <c r="G62" s="22">
        <v>2.8999999999999998E-3</v>
      </c>
      <c r="H62" s="40"/>
      <c r="I62" s="24"/>
      <c r="J62" s="5"/>
    </row>
    <row r="63" spans="1:10" ht="12.95" customHeight="1">
      <c r="A63" s="18" t="s">
        <v>385</v>
      </c>
      <c r="B63" s="19" t="s">
        <v>386</v>
      </c>
      <c r="C63" s="15" t="s">
        <v>387</v>
      </c>
      <c r="D63" s="15" t="s">
        <v>255</v>
      </c>
      <c r="E63" s="20">
        <v>80000</v>
      </c>
      <c r="F63" s="21">
        <v>241.08</v>
      </c>
      <c r="G63" s="22">
        <v>2.7000000000000001E-3</v>
      </c>
      <c r="H63" s="40"/>
      <c r="I63" s="24"/>
      <c r="J63" s="5"/>
    </row>
    <row r="64" spans="1:10" ht="12.95" customHeight="1">
      <c r="A64" s="18" t="s">
        <v>2179</v>
      </c>
      <c r="B64" s="19" t="s">
        <v>2180</v>
      </c>
      <c r="C64" s="15" t="s">
        <v>2181</v>
      </c>
      <c r="D64" s="15" t="s">
        <v>2182</v>
      </c>
      <c r="E64" s="20">
        <v>8770</v>
      </c>
      <c r="F64" s="21">
        <v>227.84899999999999</v>
      </c>
      <c r="G64" s="22">
        <v>2.5999999999999999E-3</v>
      </c>
      <c r="H64" s="40"/>
      <c r="I64" s="24"/>
      <c r="J64" s="5"/>
    </row>
    <row r="65" spans="1:10" ht="12.95" customHeight="1">
      <c r="A65" s="18" t="s">
        <v>1591</v>
      </c>
      <c r="B65" s="19" t="s">
        <v>1592</v>
      </c>
      <c r="C65" s="15" t="s">
        <v>1593</v>
      </c>
      <c r="D65" s="15" t="s">
        <v>1594</v>
      </c>
      <c r="E65" s="20">
        <v>84000</v>
      </c>
      <c r="F65" s="21">
        <v>222.22200000000001</v>
      </c>
      <c r="G65" s="22">
        <v>2.5000000000000001E-3</v>
      </c>
      <c r="H65" s="40"/>
      <c r="I65" s="24"/>
      <c r="J65" s="5"/>
    </row>
    <row r="66" spans="1:10" ht="12.95" customHeight="1">
      <c r="A66" s="18" t="s">
        <v>775</v>
      </c>
      <c r="B66" s="19" t="s">
        <v>776</v>
      </c>
      <c r="C66" s="15" t="s">
        <v>777</v>
      </c>
      <c r="D66" s="15" t="s">
        <v>778</v>
      </c>
      <c r="E66" s="20">
        <v>4125</v>
      </c>
      <c r="F66" s="21">
        <v>211.93219999999999</v>
      </c>
      <c r="G66" s="22">
        <v>2.3999999999999998E-3</v>
      </c>
      <c r="H66" s="40"/>
      <c r="I66" s="24"/>
      <c r="J66" s="5"/>
    </row>
    <row r="67" spans="1:10" ht="12.95" customHeight="1">
      <c r="A67" s="18" t="s">
        <v>252</v>
      </c>
      <c r="B67" s="19" t="s">
        <v>253</v>
      </c>
      <c r="C67" s="15" t="s">
        <v>254</v>
      </c>
      <c r="D67" s="15" t="s">
        <v>255</v>
      </c>
      <c r="E67" s="20">
        <v>15000</v>
      </c>
      <c r="F67" s="21">
        <v>197.32499999999999</v>
      </c>
      <c r="G67" s="22">
        <v>2.2000000000000001E-3</v>
      </c>
      <c r="H67" s="40"/>
      <c r="I67" s="24"/>
      <c r="J67" s="5"/>
    </row>
    <row r="68" spans="1:10" ht="12.95" customHeight="1">
      <c r="A68" s="18" t="s">
        <v>1776</v>
      </c>
      <c r="B68" s="19" t="s">
        <v>1777</v>
      </c>
      <c r="C68" s="15" t="s">
        <v>1778</v>
      </c>
      <c r="D68" s="15" t="s">
        <v>314</v>
      </c>
      <c r="E68" s="20">
        <v>8000</v>
      </c>
      <c r="F68" s="21">
        <v>195.16</v>
      </c>
      <c r="G68" s="22">
        <v>2.2000000000000001E-3</v>
      </c>
      <c r="H68" s="40"/>
      <c r="I68" s="24"/>
      <c r="J68" s="5"/>
    </row>
    <row r="69" spans="1:10" ht="12.95" customHeight="1">
      <c r="A69" s="18" t="s">
        <v>708</v>
      </c>
      <c r="B69" s="19" t="s">
        <v>709</v>
      </c>
      <c r="C69" s="15" t="s">
        <v>710</v>
      </c>
      <c r="D69" s="15" t="s">
        <v>271</v>
      </c>
      <c r="E69" s="20">
        <v>224000</v>
      </c>
      <c r="F69" s="21">
        <v>179.648</v>
      </c>
      <c r="G69" s="22">
        <v>2E-3</v>
      </c>
      <c r="H69" s="40"/>
      <c r="I69" s="24"/>
      <c r="J69" s="5"/>
    </row>
    <row r="70" spans="1:10" ht="12.95" customHeight="1">
      <c r="A70" s="18" t="s">
        <v>1607</v>
      </c>
      <c r="B70" s="19" t="s">
        <v>1608</v>
      </c>
      <c r="C70" s="15" t="s">
        <v>1609</v>
      </c>
      <c r="D70" s="15" t="s">
        <v>407</v>
      </c>
      <c r="E70" s="20">
        <v>157500</v>
      </c>
      <c r="F70" s="21">
        <v>153.09</v>
      </c>
      <c r="G70" s="22">
        <v>1.6999999999999999E-3</v>
      </c>
      <c r="H70" s="40"/>
      <c r="I70" s="24"/>
      <c r="J70" s="5"/>
    </row>
    <row r="71" spans="1:10" ht="12.95" customHeight="1">
      <c r="A71" s="18" t="s">
        <v>1727</v>
      </c>
      <c r="B71" s="19" t="s">
        <v>1728</v>
      </c>
      <c r="C71" s="15" t="s">
        <v>1729</v>
      </c>
      <c r="D71" s="15" t="s">
        <v>745</v>
      </c>
      <c r="E71" s="20">
        <v>2500</v>
      </c>
      <c r="F71" s="21">
        <v>139.67500000000001</v>
      </c>
      <c r="G71" s="22">
        <v>1.6000000000000001E-3</v>
      </c>
      <c r="H71" s="40"/>
      <c r="I71" s="24"/>
      <c r="J71" s="5"/>
    </row>
    <row r="72" spans="1:10" ht="12.95" customHeight="1">
      <c r="A72" s="18" t="s">
        <v>2225</v>
      </c>
      <c r="B72" s="19" t="s">
        <v>2226</v>
      </c>
      <c r="C72" s="15" t="s">
        <v>2227</v>
      </c>
      <c r="D72" s="15" t="s">
        <v>745</v>
      </c>
      <c r="E72" s="20">
        <v>19800</v>
      </c>
      <c r="F72" s="21">
        <v>121.77</v>
      </c>
      <c r="G72" s="22">
        <v>1.4E-3</v>
      </c>
      <c r="H72" s="40"/>
      <c r="I72" s="24"/>
      <c r="J72" s="5"/>
    </row>
    <row r="73" spans="1:10" ht="12.95" customHeight="1">
      <c r="A73" s="18" t="s">
        <v>756</v>
      </c>
      <c r="B73" s="19" t="s">
        <v>757</v>
      </c>
      <c r="C73" s="15" t="s">
        <v>758</v>
      </c>
      <c r="D73" s="15" t="s">
        <v>344</v>
      </c>
      <c r="E73" s="20">
        <v>12150</v>
      </c>
      <c r="F73" s="21">
        <v>94.721400000000003</v>
      </c>
      <c r="G73" s="22">
        <v>1.1000000000000001E-3</v>
      </c>
      <c r="H73" s="40"/>
      <c r="I73" s="24"/>
      <c r="J73" s="5"/>
    </row>
    <row r="74" spans="1:10" ht="12.95" customHeight="1">
      <c r="A74" s="18" t="s">
        <v>749</v>
      </c>
      <c r="B74" s="19" t="s">
        <v>750</v>
      </c>
      <c r="C74" s="15" t="s">
        <v>751</v>
      </c>
      <c r="D74" s="15" t="s">
        <v>255</v>
      </c>
      <c r="E74" s="20">
        <v>4000</v>
      </c>
      <c r="F74" s="21">
        <v>61.61</v>
      </c>
      <c r="G74" s="22">
        <v>6.9999999999999999E-4</v>
      </c>
      <c r="H74" s="40"/>
      <c r="I74" s="24"/>
      <c r="J74" s="5"/>
    </row>
    <row r="75" spans="1:10" ht="12.95" customHeight="1">
      <c r="A75" s="18" t="s">
        <v>805</v>
      </c>
      <c r="B75" s="19" t="s">
        <v>806</v>
      </c>
      <c r="C75" s="15" t="s">
        <v>807</v>
      </c>
      <c r="D75" s="15" t="s">
        <v>808</v>
      </c>
      <c r="E75" s="20">
        <v>14000</v>
      </c>
      <c r="F75" s="21">
        <v>57.554000000000002</v>
      </c>
      <c r="G75" s="22">
        <v>6.9999999999999999E-4</v>
      </c>
      <c r="H75" s="40"/>
      <c r="I75" s="24"/>
      <c r="J75" s="5"/>
    </row>
    <row r="76" spans="1:10" ht="12.95" customHeight="1">
      <c r="A76" s="18" t="s">
        <v>341</v>
      </c>
      <c r="B76" s="19" t="s">
        <v>342</v>
      </c>
      <c r="C76" s="15" t="s">
        <v>343</v>
      </c>
      <c r="D76" s="15" t="s">
        <v>344</v>
      </c>
      <c r="E76" s="20">
        <v>7500</v>
      </c>
      <c r="F76" s="21">
        <v>52.601300000000002</v>
      </c>
      <c r="G76" s="22">
        <v>5.9999999999999995E-4</v>
      </c>
      <c r="H76" s="40"/>
      <c r="I76" s="24"/>
      <c r="J76" s="5"/>
    </row>
    <row r="77" spans="1:10" ht="12.95" customHeight="1">
      <c r="A77" s="18" t="s">
        <v>1742</v>
      </c>
      <c r="B77" s="19" t="s">
        <v>1743</v>
      </c>
      <c r="C77" s="15" t="s">
        <v>1744</v>
      </c>
      <c r="D77" s="15" t="s">
        <v>1745</v>
      </c>
      <c r="E77" s="20">
        <v>27000</v>
      </c>
      <c r="F77" s="21">
        <v>39.9465</v>
      </c>
      <c r="G77" s="22">
        <v>5.0000000000000001E-4</v>
      </c>
      <c r="H77" s="40"/>
      <c r="I77" s="24"/>
      <c r="J77" s="5"/>
    </row>
    <row r="78" spans="1:10" ht="12.95" customHeight="1">
      <c r="A78" s="18" t="s">
        <v>1835</v>
      </c>
      <c r="B78" s="19" t="s">
        <v>1836</v>
      </c>
      <c r="C78" s="15" t="s">
        <v>1837</v>
      </c>
      <c r="D78" s="15" t="s">
        <v>259</v>
      </c>
      <c r="E78" s="20">
        <v>14400</v>
      </c>
      <c r="F78" s="21">
        <v>37.526400000000002</v>
      </c>
      <c r="G78" s="22">
        <v>4.0000000000000002E-4</v>
      </c>
      <c r="H78" s="40"/>
      <c r="I78" s="24"/>
      <c r="J78" s="5"/>
    </row>
    <row r="79" spans="1:10" ht="12.95" customHeight="1">
      <c r="A79" s="18" t="s">
        <v>2228</v>
      </c>
      <c r="B79" s="19" t="s">
        <v>2229</v>
      </c>
      <c r="C79" s="15" t="s">
        <v>2230</v>
      </c>
      <c r="D79" s="15" t="s">
        <v>890</v>
      </c>
      <c r="E79" s="20">
        <v>2500</v>
      </c>
      <c r="F79" s="21">
        <v>32.738799999999998</v>
      </c>
      <c r="G79" s="22">
        <v>4.0000000000000002E-4</v>
      </c>
      <c r="H79" s="40"/>
      <c r="I79" s="24"/>
      <c r="J79" s="5"/>
    </row>
    <row r="80" spans="1:10" ht="12.95" customHeight="1">
      <c r="A80" s="18" t="s">
        <v>1860</v>
      </c>
      <c r="B80" s="19" t="s">
        <v>1861</v>
      </c>
      <c r="C80" s="15" t="s">
        <v>1862</v>
      </c>
      <c r="D80" s="15" t="s">
        <v>788</v>
      </c>
      <c r="E80" s="20">
        <v>2000</v>
      </c>
      <c r="F80" s="21">
        <v>31.14</v>
      </c>
      <c r="G80" s="22">
        <v>4.0000000000000002E-4</v>
      </c>
      <c r="H80" s="40"/>
      <c r="I80" s="24"/>
      <c r="J80" s="5"/>
    </row>
    <row r="81" spans="1:10" ht="12.95" customHeight="1">
      <c r="A81" s="18" t="s">
        <v>1730</v>
      </c>
      <c r="B81" s="19" t="s">
        <v>1731</v>
      </c>
      <c r="C81" s="15" t="s">
        <v>1732</v>
      </c>
      <c r="D81" s="15" t="s">
        <v>745</v>
      </c>
      <c r="E81" s="20">
        <v>10000</v>
      </c>
      <c r="F81" s="21">
        <v>27.22</v>
      </c>
      <c r="G81" s="22">
        <v>2.9999999999999997E-4</v>
      </c>
      <c r="H81" s="40"/>
      <c r="I81" s="24"/>
      <c r="J81" s="5"/>
    </row>
    <row r="82" spans="1:10" ht="12.95" customHeight="1">
      <c r="A82" s="18" t="s">
        <v>1749</v>
      </c>
      <c r="B82" s="19" t="s">
        <v>1750</v>
      </c>
      <c r="C82" s="15" t="s">
        <v>1751</v>
      </c>
      <c r="D82" s="15" t="s">
        <v>267</v>
      </c>
      <c r="E82" s="20">
        <v>11600</v>
      </c>
      <c r="F82" s="21">
        <v>27.051200000000001</v>
      </c>
      <c r="G82" s="22">
        <v>2.9999999999999997E-4</v>
      </c>
      <c r="H82" s="40"/>
      <c r="I82" s="24"/>
      <c r="J82" s="5"/>
    </row>
    <row r="83" spans="1:10" ht="12.95" customHeight="1">
      <c r="A83" s="18" t="s">
        <v>802</v>
      </c>
      <c r="B83" s="19" t="s">
        <v>803</v>
      </c>
      <c r="C83" s="15" t="s">
        <v>804</v>
      </c>
      <c r="D83" s="15" t="s">
        <v>324</v>
      </c>
      <c r="E83" s="20">
        <v>1500</v>
      </c>
      <c r="F83" s="21">
        <v>20.834299999999999</v>
      </c>
      <c r="G83" s="22">
        <v>2.0000000000000001E-4</v>
      </c>
      <c r="H83" s="40"/>
      <c r="I83" s="24"/>
      <c r="J83" s="5"/>
    </row>
    <row r="84" spans="1:10" ht="12.95" customHeight="1">
      <c r="A84" s="18" t="s">
        <v>404</v>
      </c>
      <c r="B84" s="19" t="s">
        <v>405</v>
      </c>
      <c r="C84" s="15" t="s">
        <v>406</v>
      </c>
      <c r="D84" s="15" t="s">
        <v>407</v>
      </c>
      <c r="E84" s="20">
        <v>4200</v>
      </c>
      <c r="F84" s="21">
        <v>20.691299999999998</v>
      </c>
      <c r="G84" s="22">
        <v>2.0000000000000001E-4</v>
      </c>
      <c r="H84" s="40"/>
      <c r="I84" s="24"/>
      <c r="J84" s="5"/>
    </row>
    <row r="85" spans="1:10" ht="12.95" customHeight="1">
      <c r="A85" s="5"/>
      <c r="B85" s="14" t="s">
        <v>160</v>
      </c>
      <c r="C85" s="15"/>
      <c r="D85" s="15"/>
      <c r="E85" s="15"/>
      <c r="F85" s="25">
        <v>61884.7065</v>
      </c>
      <c r="G85" s="26">
        <v>0.70140000000000002</v>
      </c>
      <c r="H85" s="27"/>
      <c r="I85" s="28"/>
      <c r="J85" s="5"/>
    </row>
    <row r="86" spans="1:10" ht="12.95" customHeight="1">
      <c r="A86" s="5"/>
      <c r="B86" s="29" t="s">
        <v>408</v>
      </c>
      <c r="C86" s="2"/>
      <c r="D86" s="2"/>
      <c r="E86" s="2"/>
      <c r="F86" s="27" t="s">
        <v>162</v>
      </c>
      <c r="G86" s="27" t="s">
        <v>162</v>
      </c>
      <c r="H86" s="27"/>
      <c r="I86" s="28"/>
      <c r="J86" s="5"/>
    </row>
    <row r="87" spans="1:10" ht="12.95" customHeight="1">
      <c r="A87" s="5"/>
      <c r="B87" s="29" t="s">
        <v>160</v>
      </c>
      <c r="C87" s="2"/>
      <c r="D87" s="2"/>
      <c r="E87" s="2"/>
      <c r="F87" s="27" t="s">
        <v>162</v>
      </c>
      <c r="G87" s="27" t="s">
        <v>162</v>
      </c>
      <c r="H87" s="27"/>
      <c r="I87" s="28"/>
      <c r="J87" s="5"/>
    </row>
    <row r="88" spans="1:10" ht="12.95" customHeight="1">
      <c r="A88" s="5"/>
      <c r="B88" s="29" t="s">
        <v>163</v>
      </c>
      <c r="C88" s="30"/>
      <c r="D88" s="2"/>
      <c r="E88" s="30"/>
      <c r="F88" s="25">
        <v>61884.7065</v>
      </c>
      <c r="G88" s="26">
        <v>0.70140000000000002</v>
      </c>
      <c r="H88" s="27"/>
      <c r="I88" s="28"/>
      <c r="J88" s="5"/>
    </row>
    <row r="89" spans="1:10" ht="12.95" customHeight="1">
      <c r="A89" s="5"/>
      <c r="B89" s="14" t="s">
        <v>409</v>
      </c>
      <c r="C89" s="15"/>
      <c r="D89" s="15"/>
      <c r="E89" s="15"/>
      <c r="F89" s="15"/>
      <c r="G89" s="15"/>
      <c r="H89" s="16"/>
      <c r="I89" s="17"/>
      <c r="J89" s="5"/>
    </row>
    <row r="90" spans="1:10" ht="12.95" customHeight="1">
      <c r="A90" s="5"/>
      <c r="B90" s="14" t="s">
        <v>410</v>
      </c>
      <c r="C90" s="15"/>
      <c r="D90" s="15"/>
      <c r="E90" s="15"/>
      <c r="F90" s="5"/>
      <c r="G90" s="16"/>
      <c r="H90" s="16"/>
      <c r="I90" s="17"/>
      <c r="J90" s="5"/>
    </row>
    <row r="91" spans="1:10" ht="12.95" customHeight="1">
      <c r="A91" s="18" t="s">
        <v>2231</v>
      </c>
      <c r="B91" s="19" t="s">
        <v>2232</v>
      </c>
      <c r="C91" s="15"/>
      <c r="D91" s="15"/>
      <c r="E91" s="20">
        <v>-1200</v>
      </c>
      <c r="F91" s="21">
        <v>-14.727</v>
      </c>
      <c r="G91" s="22">
        <v>-2.0000000000000001E-4</v>
      </c>
      <c r="H91" s="40"/>
      <c r="I91" s="24"/>
      <c r="J91" s="5"/>
    </row>
    <row r="92" spans="1:10" ht="12.95" customHeight="1">
      <c r="A92" s="18" t="s">
        <v>2233</v>
      </c>
      <c r="B92" s="19" t="s">
        <v>2234</v>
      </c>
      <c r="C92" s="15"/>
      <c r="D92" s="15"/>
      <c r="E92" s="20">
        <v>-1200</v>
      </c>
      <c r="F92" s="21">
        <v>-17.0778</v>
      </c>
      <c r="G92" s="22">
        <v>-2.0000000000000001E-4</v>
      </c>
      <c r="H92" s="40"/>
      <c r="I92" s="24"/>
      <c r="J92" s="5"/>
    </row>
    <row r="93" spans="1:10" ht="12.95" customHeight="1">
      <c r="A93" s="18" t="s">
        <v>1914</v>
      </c>
      <c r="B93" s="19" t="s">
        <v>1915</v>
      </c>
      <c r="C93" s="15"/>
      <c r="D93" s="15"/>
      <c r="E93" s="20">
        <v>-3600</v>
      </c>
      <c r="F93" s="21">
        <v>-20.3292</v>
      </c>
      <c r="G93" s="22">
        <v>-2.0000000000000001E-4</v>
      </c>
      <c r="H93" s="40"/>
      <c r="I93" s="24"/>
      <c r="J93" s="5"/>
    </row>
    <row r="94" spans="1:10" ht="12.95" customHeight="1">
      <c r="A94" s="18" t="s">
        <v>413</v>
      </c>
      <c r="B94" s="19" t="s">
        <v>414</v>
      </c>
      <c r="C94" s="15"/>
      <c r="D94" s="15"/>
      <c r="E94" s="20">
        <v>-4200</v>
      </c>
      <c r="F94" s="21">
        <v>-20.737500000000001</v>
      </c>
      <c r="G94" s="22">
        <v>-2.0000000000000001E-4</v>
      </c>
      <c r="H94" s="40"/>
      <c r="I94" s="24"/>
      <c r="J94" s="5"/>
    </row>
    <row r="95" spans="1:10" ht="12.95" customHeight="1">
      <c r="A95" s="18" t="s">
        <v>1946</v>
      </c>
      <c r="B95" s="19" t="s">
        <v>1947</v>
      </c>
      <c r="C95" s="15"/>
      <c r="D95" s="15"/>
      <c r="E95" s="20">
        <v>-1500</v>
      </c>
      <c r="F95" s="21">
        <v>-20.971499999999999</v>
      </c>
      <c r="G95" s="22">
        <v>-2.0000000000000001E-4</v>
      </c>
      <c r="H95" s="40"/>
      <c r="I95" s="24"/>
      <c r="J95" s="5"/>
    </row>
    <row r="96" spans="1:10" ht="12.95" customHeight="1">
      <c r="A96" s="18" t="s">
        <v>2044</v>
      </c>
      <c r="B96" s="19" t="s">
        <v>2045</v>
      </c>
      <c r="C96" s="15"/>
      <c r="D96" s="15"/>
      <c r="E96" s="20">
        <v>-11600</v>
      </c>
      <c r="F96" s="21">
        <v>-27.225200000000001</v>
      </c>
      <c r="G96" s="22">
        <v>-2.9999999999999997E-4</v>
      </c>
      <c r="H96" s="40"/>
      <c r="I96" s="24"/>
      <c r="J96" s="5"/>
    </row>
    <row r="97" spans="1:10" ht="12.95" customHeight="1">
      <c r="A97" s="18" t="s">
        <v>2066</v>
      </c>
      <c r="B97" s="19" t="s">
        <v>2067</v>
      </c>
      <c r="C97" s="15"/>
      <c r="D97" s="15"/>
      <c r="E97" s="20">
        <v>-10000</v>
      </c>
      <c r="F97" s="21">
        <v>-27.335000000000001</v>
      </c>
      <c r="G97" s="22">
        <v>-2.9999999999999997E-4</v>
      </c>
      <c r="H97" s="40"/>
      <c r="I97" s="24"/>
      <c r="J97" s="5"/>
    </row>
    <row r="98" spans="1:10" ht="12.95" customHeight="1">
      <c r="A98" s="18" t="s">
        <v>2070</v>
      </c>
      <c r="B98" s="19" t="s">
        <v>2071</v>
      </c>
      <c r="C98" s="15"/>
      <c r="D98" s="15"/>
      <c r="E98" s="20">
        <v>-3000</v>
      </c>
      <c r="F98" s="21">
        <v>-29.954999999999998</v>
      </c>
      <c r="G98" s="22">
        <v>-2.9999999999999997E-4</v>
      </c>
      <c r="H98" s="40"/>
      <c r="I98" s="24"/>
      <c r="J98" s="5"/>
    </row>
    <row r="99" spans="1:10" ht="12.95" customHeight="1">
      <c r="A99" s="18" t="s">
        <v>1926</v>
      </c>
      <c r="B99" s="19" t="s">
        <v>1927</v>
      </c>
      <c r="C99" s="15"/>
      <c r="D99" s="15"/>
      <c r="E99" s="20">
        <v>-2000</v>
      </c>
      <c r="F99" s="21">
        <v>-31.285</v>
      </c>
      <c r="G99" s="22">
        <v>-4.0000000000000002E-4</v>
      </c>
      <c r="H99" s="40"/>
      <c r="I99" s="24"/>
      <c r="J99" s="5"/>
    </row>
    <row r="100" spans="1:10" ht="12.95" customHeight="1">
      <c r="A100" s="18" t="s">
        <v>2235</v>
      </c>
      <c r="B100" s="19" t="s">
        <v>2236</v>
      </c>
      <c r="C100" s="15"/>
      <c r="D100" s="15"/>
      <c r="E100" s="20">
        <v>-2500</v>
      </c>
      <c r="F100" s="21">
        <v>-32.8063</v>
      </c>
      <c r="G100" s="22">
        <v>-4.0000000000000002E-4</v>
      </c>
      <c r="H100" s="40"/>
      <c r="I100" s="24"/>
      <c r="J100" s="5"/>
    </row>
    <row r="101" spans="1:10" ht="12.95" customHeight="1">
      <c r="A101" s="18" t="s">
        <v>1952</v>
      </c>
      <c r="B101" s="19" t="s">
        <v>1953</v>
      </c>
      <c r="C101" s="15"/>
      <c r="D101" s="15"/>
      <c r="E101" s="20">
        <v>-14400</v>
      </c>
      <c r="F101" s="21">
        <v>-37.756799999999998</v>
      </c>
      <c r="G101" s="22">
        <v>-4.0000000000000002E-4</v>
      </c>
      <c r="H101" s="40"/>
      <c r="I101" s="24"/>
      <c r="J101" s="5"/>
    </row>
    <row r="102" spans="1:10" ht="12.95" customHeight="1">
      <c r="A102" s="18" t="s">
        <v>2052</v>
      </c>
      <c r="B102" s="19" t="s">
        <v>2053</v>
      </c>
      <c r="C102" s="15"/>
      <c r="D102" s="15"/>
      <c r="E102" s="20">
        <v>-27000</v>
      </c>
      <c r="F102" s="21">
        <v>-40.122</v>
      </c>
      <c r="G102" s="22">
        <v>-5.0000000000000001E-4</v>
      </c>
      <c r="H102" s="40"/>
      <c r="I102" s="24"/>
      <c r="J102" s="5"/>
    </row>
    <row r="103" spans="1:10" ht="12.95" customHeight="1">
      <c r="A103" s="18" t="s">
        <v>1627</v>
      </c>
      <c r="B103" s="19" t="s">
        <v>1628</v>
      </c>
      <c r="C103" s="15"/>
      <c r="D103" s="15"/>
      <c r="E103" s="20">
        <v>-7500</v>
      </c>
      <c r="F103" s="21">
        <v>-52.942500000000003</v>
      </c>
      <c r="G103" s="22">
        <v>-5.9999999999999995E-4</v>
      </c>
      <c r="H103" s="40"/>
      <c r="I103" s="24"/>
      <c r="J103" s="5"/>
    </row>
    <row r="104" spans="1:10" ht="12.95" customHeight="1">
      <c r="A104" s="18" t="s">
        <v>2034</v>
      </c>
      <c r="B104" s="19" t="s">
        <v>2035</v>
      </c>
      <c r="C104" s="15"/>
      <c r="D104" s="15"/>
      <c r="E104" s="20">
        <v>-14000</v>
      </c>
      <c r="F104" s="21">
        <v>-57.792000000000002</v>
      </c>
      <c r="G104" s="22">
        <v>-6.9999999999999999E-4</v>
      </c>
      <c r="H104" s="40"/>
      <c r="I104" s="24"/>
      <c r="J104" s="5"/>
    </row>
    <row r="105" spans="1:10" ht="12.95" customHeight="1">
      <c r="A105" s="18" t="s">
        <v>2032</v>
      </c>
      <c r="B105" s="19" t="s">
        <v>2033</v>
      </c>
      <c r="C105" s="15"/>
      <c r="D105" s="15"/>
      <c r="E105" s="20">
        <v>-4000</v>
      </c>
      <c r="F105" s="21">
        <v>-62.031999999999996</v>
      </c>
      <c r="G105" s="22">
        <v>-6.9999999999999999E-4</v>
      </c>
      <c r="H105" s="40"/>
      <c r="I105" s="24"/>
      <c r="J105" s="5"/>
    </row>
    <row r="106" spans="1:10" ht="12.95" customHeight="1">
      <c r="A106" s="18" t="s">
        <v>2237</v>
      </c>
      <c r="B106" s="19" t="s">
        <v>2238</v>
      </c>
      <c r="C106" s="15"/>
      <c r="D106" s="15"/>
      <c r="E106" s="20">
        <v>-12150</v>
      </c>
      <c r="F106" s="21">
        <v>-95.055499999999995</v>
      </c>
      <c r="G106" s="22">
        <v>-1.1000000000000001E-3</v>
      </c>
      <c r="H106" s="40"/>
      <c r="I106" s="24"/>
      <c r="J106" s="5"/>
    </row>
    <row r="107" spans="1:10" ht="12.95" customHeight="1">
      <c r="A107" s="18" t="s">
        <v>2239</v>
      </c>
      <c r="B107" s="19" t="s">
        <v>2240</v>
      </c>
      <c r="C107" s="15"/>
      <c r="D107" s="15"/>
      <c r="E107" s="20">
        <v>-19800</v>
      </c>
      <c r="F107" s="21">
        <v>-122.5917</v>
      </c>
      <c r="G107" s="22">
        <v>-1.4E-3</v>
      </c>
      <c r="H107" s="40"/>
      <c r="I107" s="24"/>
      <c r="J107" s="5"/>
    </row>
    <row r="108" spans="1:10" ht="12.95" customHeight="1">
      <c r="A108" s="18" t="s">
        <v>2072</v>
      </c>
      <c r="B108" s="19" t="s">
        <v>2073</v>
      </c>
      <c r="C108" s="15"/>
      <c r="D108" s="15"/>
      <c r="E108" s="20">
        <v>-2500</v>
      </c>
      <c r="F108" s="21">
        <v>-140.54499999999999</v>
      </c>
      <c r="G108" s="22">
        <v>-1.6000000000000001E-3</v>
      </c>
      <c r="H108" s="40"/>
      <c r="I108" s="24"/>
      <c r="J108" s="5"/>
    </row>
    <row r="109" spans="1:10" ht="12.95" customHeight="1">
      <c r="A109" s="18" t="s">
        <v>1639</v>
      </c>
      <c r="B109" s="19" t="s">
        <v>1640</v>
      </c>
      <c r="C109" s="15"/>
      <c r="D109" s="15"/>
      <c r="E109" s="20">
        <v>-157500</v>
      </c>
      <c r="F109" s="21">
        <v>-154.1138</v>
      </c>
      <c r="G109" s="22">
        <v>-1.6999999999999999E-3</v>
      </c>
      <c r="H109" s="40"/>
      <c r="I109" s="24"/>
      <c r="J109" s="5"/>
    </row>
    <row r="110" spans="1:10" ht="12.95" customHeight="1">
      <c r="A110" s="18" t="s">
        <v>2241</v>
      </c>
      <c r="B110" s="19" t="s">
        <v>2242</v>
      </c>
      <c r="C110" s="15"/>
      <c r="D110" s="15"/>
      <c r="E110" s="20">
        <v>-224000</v>
      </c>
      <c r="F110" s="21">
        <v>-180.65600000000001</v>
      </c>
      <c r="G110" s="22">
        <v>-2E-3</v>
      </c>
      <c r="H110" s="40"/>
      <c r="I110" s="24"/>
      <c r="J110" s="5"/>
    </row>
    <row r="111" spans="1:10" ht="12.95" customHeight="1">
      <c r="A111" s="18" t="s">
        <v>2008</v>
      </c>
      <c r="B111" s="19" t="s">
        <v>2009</v>
      </c>
      <c r="C111" s="15"/>
      <c r="D111" s="15"/>
      <c r="E111" s="20">
        <v>-8000</v>
      </c>
      <c r="F111" s="21">
        <v>-196.51599999999999</v>
      </c>
      <c r="G111" s="22">
        <v>-2.2000000000000001E-3</v>
      </c>
      <c r="H111" s="40"/>
      <c r="I111" s="24"/>
      <c r="J111" s="5"/>
    </row>
    <row r="112" spans="1:10" ht="12.95" customHeight="1">
      <c r="A112" s="18" t="s">
        <v>1623</v>
      </c>
      <c r="B112" s="19" t="s">
        <v>1624</v>
      </c>
      <c r="C112" s="15"/>
      <c r="D112" s="15"/>
      <c r="E112" s="20">
        <v>-21000</v>
      </c>
      <c r="F112" s="21">
        <v>-212.80350000000001</v>
      </c>
      <c r="G112" s="22">
        <v>-2.3999999999999998E-3</v>
      </c>
      <c r="H112" s="40"/>
      <c r="I112" s="24"/>
      <c r="J112" s="5"/>
    </row>
    <row r="113" spans="1:10" ht="12.95" customHeight="1">
      <c r="A113" s="18" t="s">
        <v>2060</v>
      </c>
      <c r="B113" s="19" t="s">
        <v>2061</v>
      </c>
      <c r="C113" s="15"/>
      <c r="D113" s="15"/>
      <c r="E113" s="20">
        <v>-4125</v>
      </c>
      <c r="F113" s="21">
        <v>-212.8768</v>
      </c>
      <c r="G113" s="22">
        <v>-2.3999999999999998E-3</v>
      </c>
      <c r="H113" s="40"/>
      <c r="I113" s="24"/>
      <c r="J113" s="5"/>
    </row>
    <row r="114" spans="1:10" ht="12.95" customHeight="1">
      <c r="A114" s="18" t="s">
        <v>415</v>
      </c>
      <c r="B114" s="19" t="s">
        <v>416</v>
      </c>
      <c r="C114" s="15"/>
      <c r="D114" s="15"/>
      <c r="E114" s="20">
        <v>-84000</v>
      </c>
      <c r="F114" s="21">
        <v>-223.06200000000001</v>
      </c>
      <c r="G114" s="22">
        <v>-2.5000000000000001E-3</v>
      </c>
      <c r="H114" s="40"/>
      <c r="I114" s="24"/>
      <c r="J114" s="5"/>
    </row>
    <row r="115" spans="1:10" ht="12.95" customHeight="1">
      <c r="A115" s="18" t="s">
        <v>2243</v>
      </c>
      <c r="B115" s="19" t="s">
        <v>2244</v>
      </c>
      <c r="C115" s="15"/>
      <c r="D115" s="15"/>
      <c r="E115" s="20">
        <v>-46500</v>
      </c>
      <c r="F115" s="21">
        <v>-264.32929999999999</v>
      </c>
      <c r="G115" s="22">
        <v>-3.0000000000000001E-3</v>
      </c>
      <c r="H115" s="40"/>
      <c r="I115" s="24"/>
      <c r="J115" s="5"/>
    </row>
    <row r="116" spans="1:10" ht="12.95" customHeight="1">
      <c r="A116" s="18" t="s">
        <v>1940</v>
      </c>
      <c r="B116" s="19" t="s">
        <v>1941</v>
      </c>
      <c r="C116" s="15"/>
      <c r="D116" s="15"/>
      <c r="E116" s="20">
        <v>-21000</v>
      </c>
      <c r="F116" s="21">
        <v>-328.4085</v>
      </c>
      <c r="G116" s="22">
        <v>-3.7000000000000002E-3</v>
      </c>
      <c r="H116" s="40"/>
      <c r="I116" s="24"/>
      <c r="J116" s="5"/>
    </row>
    <row r="117" spans="1:10" ht="12.95" customHeight="1">
      <c r="A117" s="18" t="s">
        <v>1948</v>
      </c>
      <c r="B117" s="19" t="s">
        <v>1949</v>
      </c>
      <c r="C117" s="15"/>
      <c r="D117" s="15"/>
      <c r="E117" s="20">
        <v>-108000</v>
      </c>
      <c r="F117" s="21">
        <v>-336.58199999999999</v>
      </c>
      <c r="G117" s="22">
        <v>-3.8E-3</v>
      </c>
      <c r="H117" s="40"/>
      <c r="I117" s="24"/>
      <c r="J117" s="5"/>
    </row>
    <row r="118" spans="1:10" ht="12.95" customHeight="1">
      <c r="A118" s="18" t="s">
        <v>2050</v>
      </c>
      <c r="B118" s="19" t="s">
        <v>2051</v>
      </c>
      <c r="C118" s="15"/>
      <c r="D118" s="15"/>
      <c r="E118" s="20">
        <v>-94500</v>
      </c>
      <c r="F118" s="21">
        <v>-357.91879999999998</v>
      </c>
      <c r="G118" s="22">
        <v>-4.1000000000000003E-3</v>
      </c>
      <c r="H118" s="40"/>
      <c r="I118" s="24"/>
      <c r="J118" s="5"/>
    </row>
    <row r="119" spans="1:10" ht="12.95" customHeight="1">
      <c r="A119" s="18" t="s">
        <v>1625</v>
      </c>
      <c r="B119" s="19" t="s">
        <v>1626</v>
      </c>
      <c r="C119" s="15"/>
      <c r="D119" s="15"/>
      <c r="E119" s="20">
        <v>-18000</v>
      </c>
      <c r="F119" s="21">
        <v>-364.58100000000002</v>
      </c>
      <c r="G119" s="22">
        <v>-4.1000000000000003E-3</v>
      </c>
      <c r="H119" s="40"/>
      <c r="I119" s="24"/>
      <c r="J119" s="5"/>
    </row>
    <row r="120" spans="1:10" ht="12.95" customHeight="1">
      <c r="A120" s="18" t="s">
        <v>1966</v>
      </c>
      <c r="B120" s="19" t="s">
        <v>1967</v>
      </c>
      <c r="C120" s="15"/>
      <c r="D120" s="15"/>
      <c r="E120" s="20">
        <v>-294000</v>
      </c>
      <c r="F120" s="21">
        <v>-387.786</v>
      </c>
      <c r="G120" s="22">
        <v>-4.4000000000000003E-3</v>
      </c>
      <c r="H120" s="40"/>
      <c r="I120" s="24"/>
      <c r="J120" s="5"/>
    </row>
    <row r="121" spans="1:10" ht="12.95" customHeight="1">
      <c r="A121" s="18" t="s">
        <v>2010</v>
      </c>
      <c r="B121" s="19" t="s">
        <v>2011</v>
      </c>
      <c r="C121" s="15"/>
      <c r="D121" s="15"/>
      <c r="E121" s="20">
        <v>-67600</v>
      </c>
      <c r="F121" s="21">
        <v>-419.3904</v>
      </c>
      <c r="G121" s="22">
        <v>-4.7999999999999996E-3</v>
      </c>
      <c r="H121" s="40"/>
      <c r="I121" s="24"/>
      <c r="J121" s="5"/>
    </row>
    <row r="122" spans="1:10" ht="12.95" customHeight="1">
      <c r="A122" s="18" t="s">
        <v>1637</v>
      </c>
      <c r="B122" s="19" t="s">
        <v>1638</v>
      </c>
      <c r="C122" s="15"/>
      <c r="D122" s="15"/>
      <c r="E122" s="20">
        <v>-72600</v>
      </c>
      <c r="F122" s="21">
        <v>-464.6037</v>
      </c>
      <c r="G122" s="22">
        <v>-5.3E-3</v>
      </c>
      <c r="H122" s="40"/>
      <c r="I122" s="24"/>
      <c r="J122" s="5"/>
    </row>
    <row r="123" spans="1:10" ht="12.95" customHeight="1">
      <c r="A123" s="18" t="s">
        <v>2036</v>
      </c>
      <c r="B123" s="19" t="s">
        <v>2037</v>
      </c>
      <c r="C123" s="15"/>
      <c r="D123" s="15"/>
      <c r="E123" s="20">
        <v>-150000</v>
      </c>
      <c r="F123" s="21">
        <v>-535.875</v>
      </c>
      <c r="G123" s="22">
        <v>-6.1000000000000004E-3</v>
      </c>
      <c r="H123" s="40"/>
      <c r="I123" s="24"/>
      <c r="J123" s="5"/>
    </row>
    <row r="124" spans="1:10" ht="12.95" customHeight="1">
      <c r="A124" s="18" t="s">
        <v>2062</v>
      </c>
      <c r="B124" s="19" t="s">
        <v>2063</v>
      </c>
      <c r="C124" s="15"/>
      <c r="D124" s="15"/>
      <c r="E124" s="20">
        <v>-49000</v>
      </c>
      <c r="F124" s="21">
        <v>-570.33550000000002</v>
      </c>
      <c r="G124" s="22">
        <v>-6.4999999999999997E-3</v>
      </c>
      <c r="H124" s="40"/>
      <c r="I124" s="24"/>
      <c r="J124" s="5"/>
    </row>
    <row r="125" spans="1:10" ht="12.95" customHeight="1">
      <c r="A125" s="18" t="s">
        <v>2016</v>
      </c>
      <c r="B125" s="19" t="s">
        <v>2017</v>
      </c>
      <c r="C125" s="15"/>
      <c r="D125" s="15"/>
      <c r="E125" s="20">
        <v>-100100</v>
      </c>
      <c r="F125" s="21">
        <v>-615.86530000000005</v>
      </c>
      <c r="G125" s="22">
        <v>-7.0000000000000001E-3</v>
      </c>
      <c r="H125" s="40"/>
      <c r="I125" s="24"/>
      <c r="J125" s="5"/>
    </row>
    <row r="126" spans="1:10" ht="12.95" customHeight="1">
      <c r="A126" s="18" t="s">
        <v>1649</v>
      </c>
      <c r="B126" s="19" t="s">
        <v>1650</v>
      </c>
      <c r="C126" s="15"/>
      <c r="D126" s="15"/>
      <c r="E126" s="20">
        <v>-156600</v>
      </c>
      <c r="F126" s="21">
        <v>-669.46500000000003</v>
      </c>
      <c r="G126" s="22">
        <v>-7.6E-3</v>
      </c>
      <c r="H126" s="40"/>
      <c r="I126" s="24"/>
      <c r="J126" s="5"/>
    </row>
    <row r="127" spans="1:10" ht="12.95" customHeight="1">
      <c r="A127" s="18" t="s">
        <v>894</v>
      </c>
      <c r="B127" s="19" t="s">
        <v>895</v>
      </c>
      <c r="C127" s="15"/>
      <c r="D127" s="15"/>
      <c r="E127" s="20">
        <v>-121500</v>
      </c>
      <c r="F127" s="21">
        <v>-729.85050000000001</v>
      </c>
      <c r="G127" s="22">
        <v>-8.3000000000000001E-3</v>
      </c>
      <c r="H127" s="40"/>
      <c r="I127" s="24"/>
      <c r="J127" s="5"/>
    </row>
    <row r="128" spans="1:10" ht="12.95" customHeight="1">
      <c r="A128" s="18" t="s">
        <v>2058</v>
      </c>
      <c r="B128" s="19" t="s">
        <v>2059</v>
      </c>
      <c r="C128" s="15"/>
      <c r="D128" s="15"/>
      <c r="E128" s="20">
        <v>-40375</v>
      </c>
      <c r="F128" s="21">
        <v>-787.05010000000004</v>
      </c>
      <c r="G128" s="22">
        <v>-8.8999999999999999E-3</v>
      </c>
      <c r="H128" s="40"/>
      <c r="I128" s="24"/>
      <c r="J128" s="5"/>
    </row>
    <row r="129" spans="1:10" ht="12.95" customHeight="1">
      <c r="A129" s="18" t="s">
        <v>2078</v>
      </c>
      <c r="B129" s="19" t="s">
        <v>2079</v>
      </c>
      <c r="C129" s="15"/>
      <c r="D129" s="15"/>
      <c r="E129" s="20">
        <v>-552000</v>
      </c>
      <c r="F129" s="21">
        <v>-833.24400000000003</v>
      </c>
      <c r="G129" s="22">
        <v>-9.4000000000000004E-3</v>
      </c>
      <c r="H129" s="40"/>
      <c r="I129" s="24"/>
      <c r="J129" s="5"/>
    </row>
    <row r="130" spans="1:10" ht="12.95" customHeight="1">
      <c r="A130" s="18" t="s">
        <v>2028</v>
      </c>
      <c r="B130" s="19" t="s">
        <v>2029</v>
      </c>
      <c r="C130" s="15"/>
      <c r="D130" s="15"/>
      <c r="E130" s="20">
        <v>-149625</v>
      </c>
      <c r="F130" s="21">
        <v>-947.50030000000004</v>
      </c>
      <c r="G130" s="22">
        <v>-1.0699999999999999E-2</v>
      </c>
      <c r="H130" s="40"/>
      <c r="I130" s="24"/>
      <c r="J130" s="5"/>
    </row>
    <row r="131" spans="1:10" ht="12.95" customHeight="1">
      <c r="A131" s="18" t="s">
        <v>2018</v>
      </c>
      <c r="B131" s="19" t="s">
        <v>2019</v>
      </c>
      <c r="C131" s="15"/>
      <c r="D131" s="15"/>
      <c r="E131" s="20">
        <v>-27125</v>
      </c>
      <c r="F131" s="21">
        <v>-956.8886</v>
      </c>
      <c r="G131" s="22">
        <v>-1.0800000000000001E-2</v>
      </c>
      <c r="H131" s="40"/>
      <c r="I131" s="24"/>
      <c r="J131" s="5"/>
    </row>
    <row r="132" spans="1:10" ht="12.95" customHeight="1">
      <c r="A132" s="18" t="s">
        <v>1643</v>
      </c>
      <c r="B132" s="19" t="s">
        <v>1644</v>
      </c>
      <c r="C132" s="15"/>
      <c r="D132" s="15"/>
      <c r="E132" s="20">
        <v>-116900</v>
      </c>
      <c r="F132" s="21">
        <v>-1117.9731999999999</v>
      </c>
      <c r="G132" s="22">
        <v>-1.2699999999999999E-2</v>
      </c>
      <c r="H132" s="40"/>
      <c r="I132" s="24"/>
      <c r="J132" s="5"/>
    </row>
    <row r="133" spans="1:10" ht="12.95" customHeight="1">
      <c r="A133" s="18" t="s">
        <v>2064</v>
      </c>
      <c r="B133" s="19" t="s">
        <v>2065</v>
      </c>
      <c r="C133" s="15"/>
      <c r="D133" s="15"/>
      <c r="E133" s="20">
        <v>-65600</v>
      </c>
      <c r="F133" s="21">
        <v>-1145.1792</v>
      </c>
      <c r="G133" s="22">
        <v>-1.2999999999999999E-2</v>
      </c>
      <c r="H133" s="40"/>
      <c r="I133" s="24"/>
      <c r="J133" s="5"/>
    </row>
    <row r="134" spans="1:10" ht="12.95" customHeight="1">
      <c r="A134" s="18" t="s">
        <v>2086</v>
      </c>
      <c r="B134" s="19" t="s">
        <v>2087</v>
      </c>
      <c r="C134" s="15"/>
      <c r="D134" s="15"/>
      <c r="E134" s="20">
        <v>-656200</v>
      </c>
      <c r="F134" s="21">
        <v>-1264.8254999999999</v>
      </c>
      <c r="G134" s="22">
        <v>-1.43E-2</v>
      </c>
      <c r="H134" s="40"/>
      <c r="I134" s="24"/>
      <c r="J134" s="5"/>
    </row>
    <row r="135" spans="1:10" ht="12.95" customHeight="1">
      <c r="A135" s="18" t="s">
        <v>411</v>
      </c>
      <c r="B135" s="19" t="s">
        <v>412</v>
      </c>
      <c r="C135" s="15"/>
      <c r="D135" s="15"/>
      <c r="E135" s="20">
        <v>-1089000</v>
      </c>
      <c r="F135" s="21">
        <v>-1414.0664999999999</v>
      </c>
      <c r="G135" s="22">
        <v>-1.6E-2</v>
      </c>
      <c r="H135" s="40"/>
      <c r="I135" s="24"/>
      <c r="J135" s="5"/>
    </row>
    <row r="136" spans="1:10" ht="12.95" customHeight="1">
      <c r="A136" s="18" t="s">
        <v>2245</v>
      </c>
      <c r="B136" s="19" t="s">
        <v>2246</v>
      </c>
      <c r="C136" s="15"/>
      <c r="D136" s="15"/>
      <c r="E136" s="20">
        <v>-57300</v>
      </c>
      <c r="F136" s="21">
        <v>-1415.1380999999999</v>
      </c>
      <c r="G136" s="22">
        <v>-1.6E-2</v>
      </c>
      <c r="H136" s="40"/>
      <c r="I136" s="24"/>
      <c r="J136" s="5"/>
    </row>
    <row r="137" spans="1:10" ht="12.95" customHeight="1">
      <c r="A137" s="18" t="s">
        <v>2088</v>
      </c>
      <c r="B137" s="19" t="s">
        <v>2089</v>
      </c>
      <c r="C137" s="15"/>
      <c r="D137" s="15"/>
      <c r="E137" s="20">
        <v>-116500</v>
      </c>
      <c r="F137" s="21">
        <v>-2747.07</v>
      </c>
      <c r="G137" s="22">
        <v>-3.1099999999999999E-2</v>
      </c>
      <c r="H137" s="40"/>
      <c r="I137" s="24"/>
      <c r="J137" s="5"/>
    </row>
    <row r="138" spans="1:10" ht="12.95" customHeight="1">
      <c r="A138" s="18" t="s">
        <v>1629</v>
      </c>
      <c r="B138" s="19" t="s">
        <v>1630</v>
      </c>
      <c r="C138" s="15"/>
      <c r="D138" s="15"/>
      <c r="E138" s="20">
        <v>-242500</v>
      </c>
      <c r="F138" s="21">
        <v>-3486.9074999999998</v>
      </c>
      <c r="G138" s="22">
        <v>-3.95E-2</v>
      </c>
      <c r="H138" s="40"/>
      <c r="I138" s="24"/>
      <c r="J138" s="5"/>
    </row>
    <row r="139" spans="1:10" ht="12.95" customHeight="1">
      <c r="A139" s="18" t="s">
        <v>1645</v>
      </c>
      <c r="B139" s="19" t="s">
        <v>1646</v>
      </c>
      <c r="C139" s="15"/>
      <c r="D139" s="15"/>
      <c r="E139" s="20">
        <v>-232650</v>
      </c>
      <c r="F139" s="21">
        <v>-3575.1325999999999</v>
      </c>
      <c r="G139" s="22">
        <v>-4.0500000000000001E-2</v>
      </c>
      <c r="H139" s="40"/>
      <c r="I139" s="24"/>
      <c r="J139" s="5"/>
    </row>
    <row r="140" spans="1:10" ht="12.95" customHeight="1">
      <c r="A140" s="5"/>
      <c r="B140" s="14" t="s">
        <v>160</v>
      </c>
      <c r="C140" s="15"/>
      <c r="D140" s="15"/>
      <c r="E140" s="15"/>
      <c r="F140" s="25">
        <v>-27767.2814</v>
      </c>
      <c r="G140" s="26">
        <v>-0.31469999999999998</v>
      </c>
      <c r="H140" s="27"/>
      <c r="I140" s="28"/>
      <c r="J140" s="5"/>
    </row>
    <row r="141" spans="1:10" ht="12.95" customHeight="1">
      <c r="A141" s="5"/>
      <c r="B141" s="29" t="s">
        <v>163</v>
      </c>
      <c r="C141" s="30"/>
      <c r="D141" s="2"/>
      <c r="E141" s="30"/>
      <c r="F141" s="25">
        <v>-27767.2814</v>
      </c>
      <c r="G141" s="26">
        <v>-0.31469999999999998</v>
      </c>
      <c r="H141" s="27"/>
      <c r="I141" s="28"/>
      <c r="J141" s="5"/>
    </row>
    <row r="142" spans="1:10" ht="12.95" customHeight="1">
      <c r="A142" s="5"/>
      <c r="B142" s="14" t="s">
        <v>151</v>
      </c>
      <c r="C142" s="15"/>
      <c r="D142" s="15"/>
      <c r="E142" s="15"/>
      <c r="F142" s="15"/>
      <c r="G142" s="15"/>
      <c r="H142" s="16"/>
      <c r="I142" s="17"/>
      <c r="J142" s="5"/>
    </row>
    <row r="143" spans="1:10" ht="12.95" customHeight="1">
      <c r="A143" s="5"/>
      <c r="B143" s="14" t="s">
        <v>152</v>
      </c>
      <c r="C143" s="15"/>
      <c r="D143" s="15"/>
      <c r="E143" s="15"/>
      <c r="F143" s="5"/>
      <c r="G143" s="16"/>
      <c r="H143" s="16"/>
      <c r="I143" s="17"/>
      <c r="J143" s="5"/>
    </row>
    <row r="144" spans="1:10" ht="12.95" customHeight="1">
      <c r="A144" s="18" t="s">
        <v>896</v>
      </c>
      <c r="B144" s="19" t="s">
        <v>897</v>
      </c>
      <c r="C144" s="15" t="s">
        <v>898</v>
      </c>
      <c r="D144" s="15" t="s">
        <v>156</v>
      </c>
      <c r="E144" s="20">
        <v>5000000</v>
      </c>
      <c r="F144" s="21">
        <v>5021.3599999999997</v>
      </c>
      <c r="G144" s="22">
        <v>5.6899999999999999E-2</v>
      </c>
      <c r="H144" s="23">
        <v>7.3730000000000004E-2</v>
      </c>
      <c r="I144" s="24"/>
      <c r="J144" s="5"/>
    </row>
    <row r="145" spans="1:10" ht="12.95" customHeight="1">
      <c r="A145" s="18" t="s">
        <v>899</v>
      </c>
      <c r="B145" s="19" t="s">
        <v>900</v>
      </c>
      <c r="C145" s="15" t="s">
        <v>901</v>
      </c>
      <c r="D145" s="15" t="s">
        <v>156</v>
      </c>
      <c r="E145" s="20">
        <v>2300000</v>
      </c>
      <c r="F145" s="21">
        <v>2299.3168999999998</v>
      </c>
      <c r="G145" s="22">
        <v>2.6100000000000002E-2</v>
      </c>
      <c r="H145" s="23">
        <v>7.3948E-2</v>
      </c>
      <c r="I145" s="24"/>
      <c r="J145" s="5"/>
    </row>
    <row r="146" spans="1:10" ht="12.95" customHeight="1">
      <c r="A146" s="18" t="s">
        <v>1022</v>
      </c>
      <c r="B146" s="19" t="s">
        <v>1023</v>
      </c>
      <c r="C146" s="15" t="s">
        <v>1024</v>
      </c>
      <c r="D146" s="15" t="s">
        <v>156</v>
      </c>
      <c r="E146" s="20">
        <v>2000000</v>
      </c>
      <c r="F146" s="21">
        <v>1974.15</v>
      </c>
      <c r="G146" s="22">
        <v>2.24E-2</v>
      </c>
      <c r="H146" s="23">
        <v>7.4629000000000001E-2</v>
      </c>
      <c r="I146" s="24"/>
      <c r="J146" s="5"/>
    </row>
    <row r="147" spans="1:10" ht="12.95" customHeight="1">
      <c r="A147" s="18" t="s">
        <v>977</v>
      </c>
      <c r="B147" s="19" t="s">
        <v>978</v>
      </c>
      <c r="C147" s="15" t="s">
        <v>979</v>
      </c>
      <c r="D147" s="15" t="s">
        <v>156</v>
      </c>
      <c r="E147" s="20">
        <v>1000000</v>
      </c>
      <c r="F147" s="21">
        <v>996.01199999999994</v>
      </c>
      <c r="G147" s="22">
        <v>1.1299999999999999E-2</v>
      </c>
      <c r="H147" s="23">
        <v>7.3778999999999997E-2</v>
      </c>
      <c r="I147" s="24"/>
      <c r="J147" s="5"/>
    </row>
    <row r="148" spans="1:10" ht="12.95" customHeight="1">
      <c r="A148" s="18" t="s">
        <v>911</v>
      </c>
      <c r="B148" s="19" t="s">
        <v>912</v>
      </c>
      <c r="C148" s="15" t="s">
        <v>913</v>
      </c>
      <c r="D148" s="15" t="s">
        <v>156</v>
      </c>
      <c r="E148" s="20">
        <v>1000000</v>
      </c>
      <c r="F148" s="21">
        <v>993.38199999999995</v>
      </c>
      <c r="G148" s="22">
        <v>1.1299999999999999E-2</v>
      </c>
      <c r="H148" s="23">
        <v>7.3640999999999998E-2</v>
      </c>
      <c r="I148" s="24"/>
      <c r="J148" s="5"/>
    </row>
    <row r="149" spans="1:10" ht="12.95" customHeight="1">
      <c r="A149" s="18" t="s">
        <v>917</v>
      </c>
      <c r="B149" s="19" t="s">
        <v>918</v>
      </c>
      <c r="C149" s="15" t="s">
        <v>919</v>
      </c>
      <c r="D149" s="15" t="s">
        <v>156</v>
      </c>
      <c r="E149" s="20">
        <v>1000000</v>
      </c>
      <c r="F149" s="21">
        <v>933.96299999999997</v>
      </c>
      <c r="G149" s="22">
        <v>1.06E-2</v>
      </c>
      <c r="H149" s="23">
        <v>7.3524000000000006E-2</v>
      </c>
      <c r="I149" s="24"/>
      <c r="J149" s="5"/>
    </row>
    <row r="150" spans="1:10" ht="12.95" customHeight="1">
      <c r="A150" s="18" t="s">
        <v>1671</v>
      </c>
      <c r="B150" s="19" t="s">
        <v>1672</v>
      </c>
      <c r="C150" s="15" t="s">
        <v>1673</v>
      </c>
      <c r="D150" s="15" t="s">
        <v>156</v>
      </c>
      <c r="E150" s="20">
        <v>1000000</v>
      </c>
      <c r="F150" s="21">
        <v>752.65599999999995</v>
      </c>
      <c r="G150" s="22">
        <v>8.5000000000000006E-3</v>
      </c>
      <c r="H150" s="23">
        <v>7.4262999999999996E-2</v>
      </c>
      <c r="I150" s="24"/>
      <c r="J150" s="5"/>
    </row>
    <row r="151" spans="1:10" ht="12.95" customHeight="1">
      <c r="A151" s="18" t="s">
        <v>923</v>
      </c>
      <c r="B151" s="19" t="s">
        <v>924</v>
      </c>
      <c r="C151" s="15" t="s">
        <v>925</v>
      </c>
      <c r="D151" s="15" t="s">
        <v>156</v>
      </c>
      <c r="E151" s="20">
        <v>500000</v>
      </c>
      <c r="F151" s="21">
        <v>510.33</v>
      </c>
      <c r="G151" s="22">
        <v>5.7999999999999996E-3</v>
      </c>
      <c r="H151" s="23">
        <v>7.3994000000000004E-2</v>
      </c>
      <c r="I151" s="24"/>
      <c r="J151" s="5"/>
    </row>
    <row r="152" spans="1:10" ht="12.95" customHeight="1">
      <c r="A152" s="18" t="s">
        <v>1434</v>
      </c>
      <c r="B152" s="19" t="s">
        <v>1435</v>
      </c>
      <c r="C152" s="15" t="s">
        <v>1436</v>
      </c>
      <c r="D152" s="15" t="s">
        <v>179</v>
      </c>
      <c r="E152" s="20">
        <v>50</v>
      </c>
      <c r="F152" s="21">
        <v>501.39699999999999</v>
      </c>
      <c r="G152" s="22">
        <v>5.7000000000000002E-3</v>
      </c>
      <c r="H152" s="23">
        <v>7.6175000000000007E-2</v>
      </c>
      <c r="I152" s="24"/>
      <c r="J152" s="5"/>
    </row>
    <row r="153" spans="1:10" ht="12.95" customHeight="1">
      <c r="A153" s="18" t="s">
        <v>2247</v>
      </c>
      <c r="B153" s="19" t="s">
        <v>2248</v>
      </c>
      <c r="C153" s="15" t="s">
        <v>2249</v>
      </c>
      <c r="D153" s="15" t="s">
        <v>2250</v>
      </c>
      <c r="E153" s="20">
        <v>500</v>
      </c>
      <c r="F153" s="21">
        <v>500.71749999999997</v>
      </c>
      <c r="G153" s="22">
        <v>5.7000000000000002E-3</v>
      </c>
      <c r="H153" s="23">
        <v>7.7100000000000002E-2</v>
      </c>
      <c r="I153" s="24"/>
      <c r="J153" s="5"/>
    </row>
    <row r="154" spans="1:10" ht="12.95" customHeight="1">
      <c r="A154" s="18" t="s">
        <v>1655</v>
      </c>
      <c r="B154" s="19" t="s">
        <v>1656</v>
      </c>
      <c r="C154" s="15" t="s">
        <v>1657</v>
      </c>
      <c r="D154" s="15" t="s">
        <v>156</v>
      </c>
      <c r="E154" s="20">
        <v>500000</v>
      </c>
      <c r="F154" s="21">
        <v>500.38749999999999</v>
      </c>
      <c r="G154" s="22">
        <v>5.7000000000000002E-3</v>
      </c>
      <c r="H154" s="23">
        <v>7.3776999999999995E-2</v>
      </c>
      <c r="I154" s="24"/>
      <c r="J154" s="5"/>
    </row>
    <row r="155" spans="1:10" ht="12.95" customHeight="1">
      <c r="A155" s="18" t="s">
        <v>914</v>
      </c>
      <c r="B155" s="19" t="s">
        <v>915</v>
      </c>
      <c r="C155" s="15" t="s">
        <v>916</v>
      </c>
      <c r="D155" s="15" t="s">
        <v>156</v>
      </c>
      <c r="E155" s="20">
        <v>500000</v>
      </c>
      <c r="F155" s="21">
        <v>489.35700000000003</v>
      </c>
      <c r="G155" s="22">
        <v>5.4999999999999997E-3</v>
      </c>
      <c r="H155" s="23">
        <v>7.5534000000000004E-2</v>
      </c>
      <c r="I155" s="24"/>
      <c r="J155" s="5"/>
    </row>
    <row r="156" spans="1:10" ht="12.95" customHeight="1">
      <c r="A156" s="18" t="s">
        <v>905</v>
      </c>
      <c r="B156" s="19" t="s">
        <v>906</v>
      </c>
      <c r="C156" s="15" t="s">
        <v>907</v>
      </c>
      <c r="D156" s="15" t="s">
        <v>179</v>
      </c>
      <c r="E156" s="20">
        <v>25</v>
      </c>
      <c r="F156" s="21">
        <v>250.2225</v>
      </c>
      <c r="G156" s="22">
        <v>2.8E-3</v>
      </c>
      <c r="H156" s="23">
        <v>7.7299999999999994E-2</v>
      </c>
      <c r="I156" s="24"/>
      <c r="J156" s="5"/>
    </row>
    <row r="157" spans="1:10" ht="12.95" customHeight="1">
      <c r="A157" s="18" t="s">
        <v>2251</v>
      </c>
      <c r="B157" s="19" t="s">
        <v>2252</v>
      </c>
      <c r="C157" s="15" t="s">
        <v>2253</v>
      </c>
      <c r="D157" s="15" t="s">
        <v>179</v>
      </c>
      <c r="E157" s="20">
        <v>20</v>
      </c>
      <c r="F157" s="21">
        <v>200.46719999999999</v>
      </c>
      <c r="G157" s="22">
        <v>2.3E-3</v>
      </c>
      <c r="H157" s="23">
        <v>7.6399999999999996E-2</v>
      </c>
      <c r="I157" s="24"/>
      <c r="J157" s="5"/>
    </row>
    <row r="158" spans="1:10" ht="12.95" customHeight="1">
      <c r="A158" s="18" t="s">
        <v>920</v>
      </c>
      <c r="B158" s="19" t="s">
        <v>921</v>
      </c>
      <c r="C158" s="15" t="s">
        <v>922</v>
      </c>
      <c r="D158" s="15" t="s">
        <v>156</v>
      </c>
      <c r="E158" s="20">
        <v>200000</v>
      </c>
      <c r="F158" s="21">
        <v>183.61199999999999</v>
      </c>
      <c r="G158" s="22">
        <v>2.0999999999999999E-3</v>
      </c>
      <c r="H158" s="23">
        <v>7.4206999999999995E-2</v>
      </c>
      <c r="I158" s="24"/>
      <c r="J158" s="5"/>
    </row>
    <row r="159" spans="1:10" ht="12.95" customHeight="1">
      <c r="A159" s="18" t="s">
        <v>1559</v>
      </c>
      <c r="B159" s="19" t="s">
        <v>1560</v>
      </c>
      <c r="C159" s="15" t="s">
        <v>1561</v>
      </c>
      <c r="D159" s="15" t="s">
        <v>179</v>
      </c>
      <c r="E159" s="20">
        <v>10</v>
      </c>
      <c r="F159" s="21">
        <v>103.1323</v>
      </c>
      <c r="G159" s="22">
        <v>1.1999999999999999E-3</v>
      </c>
      <c r="H159" s="23">
        <v>7.5449000000000002E-2</v>
      </c>
      <c r="I159" s="24"/>
      <c r="J159" s="5"/>
    </row>
    <row r="160" spans="1:10" ht="12.95" customHeight="1">
      <c r="A160" s="18" t="s">
        <v>2254</v>
      </c>
      <c r="B160" s="19" t="s">
        <v>2255</v>
      </c>
      <c r="C160" s="15" t="s">
        <v>2256</v>
      </c>
      <c r="D160" s="15" t="s">
        <v>156</v>
      </c>
      <c r="E160" s="20">
        <v>40800</v>
      </c>
      <c r="F160" s="21">
        <v>42.4495</v>
      </c>
      <c r="G160" s="22">
        <v>5.0000000000000001E-4</v>
      </c>
      <c r="H160" s="23">
        <v>7.5247999999999995E-2</v>
      </c>
      <c r="I160" s="24"/>
      <c r="J160" s="5"/>
    </row>
    <row r="161" spans="1:10" ht="12.95" customHeight="1">
      <c r="A161" s="5"/>
      <c r="B161" s="14" t="s">
        <v>160</v>
      </c>
      <c r="C161" s="15"/>
      <c r="D161" s="15"/>
      <c r="E161" s="15"/>
      <c r="F161" s="25">
        <v>16252.912399999999</v>
      </c>
      <c r="G161" s="26">
        <v>0.1842</v>
      </c>
      <c r="H161" s="27"/>
      <c r="I161" s="28"/>
      <c r="J161" s="5"/>
    </row>
    <row r="162" spans="1:10" ht="12.95" customHeight="1">
      <c r="A162" s="5"/>
      <c r="B162" s="29" t="s">
        <v>161</v>
      </c>
      <c r="C162" s="2"/>
      <c r="D162" s="2"/>
      <c r="E162" s="2"/>
      <c r="F162" s="27" t="s">
        <v>162</v>
      </c>
      <c r="G162" s="27" t="s">
        <v>162</v>
      </c>
      <c r="H162" s="27"/>
      <c r="I162" s="28"/>
      <c r="J162" s="5"/>
    </row>
    <row r="163" spans="1:10" ht="12.95" customHeight="1">
      <c r="A163" s="5"/>
      <c r="B163" s="29" t="s">
        <v>160</v>
      </c>
      <c r="C163" s="2"/>
      <c r="D163" s="2"/>
      <c r="E163" s="2"/>
      <c r="F163" s="27" t="s">
        <v>162</v>
      </c>
      <c r="G163" s="27" t="s">
        <v>162</v>
      </c>
      <c r="H163" s="27"/>
      <c r="I163" s="28"/>
      <c r="J163" s="5"/>
    </row>
    <row r="164" spans="1:10" ht="12.95" customHeight="1">
      <c r="A164" s="5"/>
      <c r="B164" s="29" t="s">
        <v>163</v>
      </c>
      <c r="C164" s="30"/>
      <c r="D164" s="2"/>
      <c r="E164" s="30"/>
      <c r="F164" s="25">
        <v>16252.912399999999</v>
      </c>
      <c r="G164" s="26">
        <v>0.1842</v>
      </c>
      <c r="H164" s="27"/>
      <c r="I164" s="28"/>
      <c r="J164" s="5"/>
    </row>
    <row r="165" spans="1:10" ht="12.95" customHeight="1">
      <c r="A165" s="5"/>
      <c r="B165" s="14" t="s">
        <v>417</v>
      </c>
      <c r="C165" s="15"/>
      <c r="D165" s="15"/>
      <c r="E165" s="15"/>
      <c r="F165" s="15"/>
      <c r="G165" s="15"/>
      <c r="H165" s="16"/>
      <c r="I165" s="17"/>
      <c r="J165" s="5"/>
    </row>
    <row r="166" spans="1:10" ht="12.95" customHeight="1">
      <c r="A166" s="5"/>
      <c r="B166" s="14" t="s">
        <v>418</v>
      </c>
      <c r="C166" s="15"/>
      <c r="D166" s="15"/>
      <c r="E166" s="15"/>
      <c r="F166" s="5"/>
      <c r="G166" s="16"/>
      <c r="H166" s="16"/>
      <c r="I166" s="17"/>
      <c r="J166" s="5"/>
    </row>
    <row r="167" spans="1:10" ht="12.95" customHeight="1">
      <c r="A167" s="18" t="s">
        <v>1702</v>
      </c>
      <c r="B167" s="19" t="s">
        <v>1703</v>
      </c>
      <c r="C167" s="15" t="s">
        <v>1704</v>
      </c>
      <c r="D167" s="15" t="s">
        <v>156</v>
      </c>
      <c r="E167" s="20">
        <v>2000000</v>
      </c>
      <c r="F167" s="21">
        <v>1975.6479999999999</v>
      </c>
      <c r="G167" s="22">
        <v>2.24E-2</v>
      </c>
      <c r="H167" s="23">
        <v>6.7150000000000001E-2</v>
      </c>
      <c r="I167" s="24"/>
      <c r="J167" s="5"/>
    </row>
    <row r="168" spans="1:10" ht="12.95" customHeight="1">
      <c r="A168" s="18" t="s">
        <v>1705</v>
      </c>
      <c r="B168" s="19" t="s">
        <v>1706</v>
      </c>
      <c r="C168" s="15" t="s">
        <v>1707</v>
      </c>
      <c r="D168" s="15" t="s">
        <v>156</v>
      </c>
      <c r="E168" s="20">
        <v>2000000</v>
      </c>
      <c r="F168" s="21">
        <v>1967.8679999999999</v>
      </c>
      <c r="G168" s="22">
        <v>2.23E-2</v>
      </c>
      <c r="H168" s="23">
        <v>6.7727999999999997E-2</v>
      </c>
      <c r="I168" s="24"/>
      <c r="J168" s="5"/>
    </row>
    <row r="169" spans="1:10" ht="12.95" customHeight="1">
      <c r="A169" s="18" t="s">
        <v>2116</v>
      </c>
      <c r="B169" s="19" t="s">
        <v>2117</v>
      </c>
      <c r="C169" s="15" t="s">
        <v>2118</v>
      </c>
      <c r="D169" s="15" t="s">
        <v>156</v>
      </c>
      <c r="E169" s="20">
        <v>1500000</v>
      </c>
      <c r="F169" s="21">
        <v>1477.7985000000001</v>
      </c>
      <c r="G169" s="22">
        <v>1.6799999999999999E-2</v>
      </c>
      <c r="H169" s="23">
        <v>6.7699999999999996E-2</v>
      </c>
      <c r="I169" s="24"/>
      <c r="J169" s="5"/>
    </row>
    <row r="170" spans="1:10" ht="12.95" customHeight="1">
      <c r="A170" s="18" t="s">
        <v>1711</v>
      </c>
      <c r="B170" s="19" t="s">
        <v>1712</v>
      </c>
      <c r="C170" s="15" t="s">
        <v>1713</v>
      </c>
      <c r="D170" s="15" t="s">
        <v>156</v>
      </c>
      <c r="E170" s="20">
        <v>1500000</v>
      </c>
      <c r="F170" s="21">
        <v>1461.432</v>
      </c>
      <c r="G170" s="22">
        <v>1.66E-2</v>
      </c>
      <c r="H170" s="23">
        <v>6.9800000000000001E-2</v>
      </c>
      <c r="I170" s="24"/>
      <c r="J170" s="5"/>
    </row>
    <row r="171" spans="1:10" ht="12.95" customHeight="1">
      <c r="A171" s="18" t="s">
        <v>2110</v>
      </c>
      <c r="B171" s="19" t="s">
        <v>2111</v>
      </c>
      <c r="C171" s="15" t="s">
        <v>2112</v>
      </c>
      <c r="D171" s="15" t="s">
        <v>156</v>
      </c>
      <c r="E171" s="20">
        <v>1000000</v>
      </c>
      <c r="F171" s="21">
        <v>978.52</v>
      </c>
      <c r="G171" s="22">
        <v>1.11E-2</v>
      </c>
      <c r="H171" s="23">
        <v>6.9072999999999996E-2</v>
      </c>
      <c r="I171" s="24"/>
      <c r="J171" s="5"/>
    </row>
    <row r="172" spans="1:10" ht="12.95" customHeight="1">
      <c r="A172" s="5"/>
      <c r="B172" s="14" t="s">
        <v>160</v>
      </c>
      <c r="C172" s="15"/>
      <c r="D172" s="15"/>
      <c r="E172" s="15"/>
      <c r="F172" s="25">
        <v>7861.2664999999997</v>
      </c>
      <c r="G172" s="26">
        <v>8.9099999999999999E-2</v>
      </c>
      <c r="H172" s="27"/>
      <c r="I172" s="28"/>
      <c r="J172" s="5"/>
    </row>
    <row r="173" spans="1:10" ht="12.95" customHeight="1">
      <c r="A173" s="5"/>
      <c r="B173" s="29" t="s">
        <v>163</v>
      </c>
      <c r="C173" s="30"/>
      <c r="D173" s="2"/>
      <c r="E173" s="30"/>
      <c r="F173" s="25">
        <v>7861.2664999999997</v>
      </c>
      <c r="G173" s="26">
        <v>8.9099999999999999E-2</v>
      </c>
      <c r="H173" s="27"/>
      <c r="I173" s="28"/>
      <c r="J173" s="5"/>
    </row>
    <row r="174" spans="1:10" ht="12.95" customHeight="1">
      <c r="A174" s="5"/>
      <c r="B174" s="14" t="s">
        <v>164</v>
      </c>
      <c r="C174" s="15"/>
      <c r="D174" s="15"/>
      <c r="E174" s="15"/>
      <c r="F174" s="15"/>
      <c r="G174" s="15"/>
      <c r="H174" s="16"/>
      <c r="I174" s="17"/>
      <c r="J174" s="5"/>
    </row>
    <row r="175" spans="1:10" ht="12.95" customHeight="1">
      <c r="A175" s="18" t="s">
        <v>165</v>
      </c>
      <c r="B175" s="19" t="s">
        <v>166</v>
      </c>
      <c r="C175" s="15"/>
      <c r="D175" s="15"/>
      <c r="E175" s="20"/>
      <c r="F175" s="21">
        <v>1793.7417</v>
      </c>
      <c r="G175" s="22">
        <v>2.0299999999999999E-2</v>
      </c>
      <c r="H175" s="23">
        <v>6.7996829688028088E-2</v>
      </c>
      <c r="I175" s="24"/>
      <c r="J175" s="5"/>
    </row>
    <row r="176" spans="1:10" ht="12.95" customHeight="1">
      <c r="A176" s="5"/>
      <c r="B176" s="14" t="s">
        <v>160</v>
      </c>
      <c r="C176" s="15"/>
      <c r="D176" s="15"/>
      <c r="E176" s="15"/>
      <c r="F176" s="25">
        <v>1793.7417</v>
      </c>
      <c r="G176" s="26">
        <v>2.0299999999999999E-2</v>
      </c>
      <c r="H176" s="27"/>
      <c r="I176" s="28"/>
      <c r="J176" s="5"/>
    </row>
    <row r="177" spans="1:10" ht="12.95" customHeight="1">
      <c r="A177" s="5"/>
      <c r="B177" s="29" t="s">
        <v>163</v>
      </c>
      <c r="C177" s="30"/>
      <c r="D177" s="2"/>
      <c r="E177" s="30"/>
      <c r="F177" s="25">
        <v>1793.7417</v>
      </c>
      <c r="G177" s="26">
        <v>2.0299999999999999E-2</v>
      </c>
      <c r="H177" s="27"/>
      <c r="I177" s="28"/>
      <c r="J177" s="5"/>
    </row>
    <row r="178" spans="1:10" ht="12.95" customHeight="1">
      <c r="A178" s="5"/>
      <c r="B178" s="29" t="s">
        <v>167</v>
      </c>
      <c r="C178" s="15"/>
      <c r="D178" s="2"/>
      <c r="E178" s="15"/>
      <c r="F178" s="31">
        <v>28199.8943</v>
      </c>
      <c r="G178" s="26">
        <v>0.31969999999999998</v>
      </c>
      <c r="H178" s="27"/>
      <c r="I178" s="28"/>
      <c r="J178" s="5"/>
    </row>
    <row r="179" spans="1:10" ht="12.95" customHeight="1">
      <c r="A179" s="5"/>
      <c r="B179" s="32" t="s">
        <v>168</v>
      </c>
      <c r="C179" s="33"/>
      <c r="D179" s="33"/>
      <c r="E179" s="33"/>
      <c r="F179" s="34">
        <v>88225.24</v>
      </c>
      <c r="G179" s="35">
        <v>1</v>
      </c>
      <c r="H179" s="36"/>
      <c r="I179" s="37"/>
      <c r="J179" s="5"/>
    </row>
    <row r="180" spans="1:10" ht="12.95" customHeight="1">
      <c r="A180" s="5"/>
      <c r="B180" s="7"/>
      <c r="C180" s="5"/>
      <c r="D180" s="5"/>
      <c r="E180" s="5"/>
      <c r="F180" s="5"/>
      <c r="G180" s="5"/>
      <c r="H180" s="5"/>
      <c r="I180" s="5"/>
      <c r="J180" s="5"/>
    </row>
    <row r="181" spans="1:10" ht="12.95" customHeight="1">
      <c r="A181" s="5"/>
      <c r="B181" s="4" t="s">
        <v>169</v>
      </c>
      <c r="C181" s="5"/>
      <c r="D181" s="5"/>
      <c r="E181" s="5"/>
      <c r="F181" s="5"/>
      <c r="G181" s="5"/>
      <c r="H181" s="5"/>
      <c r="I181" s="5"/>
      <c r="J181" s="5"/>
    </row>
    <row r="182" spans="1:10" ht="12.95" customHeight="1">
      <c r="A182" s="5"/>
      <c r="B182" s="4" t="s">
        <v>207</v>
      </c>
      <c r="C182" s="5"/>
      <c r="D182" s="5"/>
      <c r="E182" s="5"/>
      <c r="F182" s="5"/>
      <c r="G182" s="5"/>
      <c r="H182" s="5"/>
      <c r="I182" s="5"/>
      <c r="J182" s="5"/>
    </row>
    <row r="183" spans="1:10" ht="12.95" customHeight="1">
      <c r="A183" s="5"/>
      <c r="B183" s="4" t="s">
        <v>170</v>
      </c>
      <c r="C183" s="5"/>
      <c r="D183" s="5"/>
      <c r="E183" s="5"/>
      <c r="F183" s="5"/>
      <c r="G183" s="5"/>
      <c r="H183" s="5"/>
      <c r="I183" s="5"/>
      <c r="J183" s="5"/>
    </row>
    <row r="184" spans="1:10" ht="26.1" customHeight="1">
      <c r="A184" s="5"/>
      <c r="B184" s="86" t="s">
        <v>171</v>
      </c>
      <c r="C184" s="86"/>
      <c r="D184" s="86"/>
      <c r="E184" s="86"/>
      <c r="F184" s="86"/>
      <c r="G184" s="86"/>
      <c r="H184" s="86"/>
      <c r="I184" s="86"/>
      <c r="J184" s="5"/>
    </row>
    <row r="185" spans="1:10" ht="12.95" customHeight="1">
      <c r="A185" s="5"/>
      <c r="B185" s="86"/>
      <c r="C185" s="86"/>
      <c r="D185" s="86"/>
      <c r="E185" s="86"/>
      <c r="F185" s="86"/>
      <c r="G185" s="86"/>
      <c r="H185" s="86"/>
      <c r="I185" s="86"/>
      <c r="J185" s="5"/>
    </row>
    <row r="186" spans="1:10" ht="12.95" customHeight="1">
      <c r="A186" s="5"/>
      <c r="B186" s="86"/>
      <c r="C186" s="86"/>
      <c r="D186" s="86"/>
      <c r="E186" s="86"/>
      <c r="F186" s="86"/>
      <c r="G186" s="86"/>
      <c r="H186" s="86"/>
      <c r="I186" s="86"/>
      <c r="J186" s="5"/>
    </row>
    <row r="187" spans="1:10" ht="12.95" customHeight="1">
      <c r="A187" s="5"/>
      <c r="B187" s="5"/>
      <c r="C187" s="87" t="s">
        <v>2257</v>
      </c>
      <c r="D187" s="87"/>
      <c r="E187" s="87"/>
      <c r="F187" s="87"/>
      <c r="G187" s="5"/>
      <c r="H187" s="5"/>
      <c r="I187" s="5"/>
      <c r="J187" s="5"/>
    </row>
    <row r="188" spans="1:10" ht="12.95" customHeight="1">
      <c r="A188" s="5"/>
      <c r="B188" s="38" t="s">
        <v>173</v>
      </c>
      <c r="C188" s="87" t="s">
        <v>174</v>
      </c>
      <c r="D188" s="87"/>
      <c r="E188" s="87"/>
      <c r="F188" s="87"/>
      <c r="G188" s="5"/>
      <c r="H188" s="5"/>
      <c r="I188" s="5"/>
      <c r="J188" s="5"/>
    </row>
    <row r="189" spans="1:10" ht="120.95" customHeight="1">
      <c r="A189" s="5"/>
      <c r="B189" s="39"/>
      <c r="C189" s="85"/>
      <c r="D189" s="85"/>
      <c r="E189" s="5"/>
      <c r="F189" s="5"/>
      <c r="G189" s="5"/>
      <c r="H189" s="5"/>
      <c r="I189" s="5"/>
      <c r="J189" s="5"/>
    </row>
  </sheetData>
  <mergeCells count="6">
    <mergeCell ref="C189:D189"/>
    <mergeCell ref="B184:I184"/>
    <mergeCell ref="B185:I185"/>
    <mergeCell ref="B186:I186"/>
    <mergeCell ref="C187:F187"/>
    <mergeCell ref="C188:F188"/>
  </mergeCells>
  <hyperlinks>
    <hyperlink ref="A1" location="AxisEquitySaverFund" display="AXISESF" xr:uid="{00000000-0004-0000-1500-000000000000}"/>
    <hyperlink ref="B1" location="AxisEquitySaverFund" display="Axis Equity Saver Fund" xr:uid="{00000000-0004-0000-1500-000001000000}"/>
  </hyperlinks>
  <pageMargins left="0" right="0" top="0" bottom="0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K10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  <col min="11" max="11" width="111.140625" bestFit="1" customWidth="1"/>
  </cols>
  <sheetData>
    <row r="1" spans="1:11" ht="15.95" customHeight="1">
      <c r="A1" s="46" t="s">
        <v>46</v>
      </c>
      <c r="B1" s="47" t="s">
        <v>47</v>
      </c>
      <c r="C1" s="48"/>
      <c r="D1" s="48"/>
      <c r="E1" s="48"/>
      <c r="F1" s="48"/>
      <c r="G1" s="48"/>
      <c r="H1" s="48"/>
      <c r="I1" s="48"/>
      <c r="J1" s="48"/>
      <c r="K1" s="48"/>
    </row>
    <row r="2" spans="1:11" ht="12.95" customHeight="1">
      <c r="A2" s="48"/>
      <c r="B2" s="49"/>
      <c r="C2" s="48"/>
      <c r="D2" s="48"/>
      <c r="E2" s="48"/>
      <c r="F2" s="48"/>
      <c r="G2" s="48"/>
      <c r="H2" s="48"/>
      <c r="I2" s="48"/>
      <c r="J2" s="48"/>
      <c r="K2" s="48"/>
    </row>
    <row r="3" spans="1:11" ht="12.95" customHeight="1" thickBot="1">
      <c r="A3" s="50" t="s">
        <v>140</v>
      </c>
      <c r="B3" s="51" t="s">
        <v>141</v>
      </c>
      <c r="C3" s="48"/>
      <c r="D3" s="48"/>
      <c r="E3" s="48"/>
      <c r="F3" s="48"/>
      <c r="G3" s="48"/>
      <c r="H3" s="48"/>
      <c r="I3" s="48"/>
      <c r="J3" s="48"/>
      <c r="K3" s="48"/>
    </row>
    <row r="4" spans="1:11" ht="27.95" customHeight="1">
      <c r="A4" s="48"/>
      <c r="B4" s="52" t="s">
        <v>142</v>
      </c>
      <c r="C4" s="53" t="s">
        <v>143</v>
      </c>
      <c r="D4" s="54" t="s">
        <v>245</v>
      </c>
      <c r="E4" s="54" t="s">
        <v>145</v>
      </c>
      <c r="F4" s="54" t="s">
        <v>146</v>
      </c>
      <c r="G4" s="54" t="s">
        <v>147</v>
      </c>
      <c r="H4" s="54" t="s">
        <v>148</v>
      </c>
      <c r="I4" s="54" t="s">
        <v>149</v>
      </c>
      <c r="J4" s="54" t="s">
        <v>4238</v>
      </c>
      <c r="K4" s="55" t="s">
        <v>4239</v>
      </c>
    </row>
    <row r="5" spans="1:11" ht="12.95" customHeight="1">
      <c r="A5" s="48"/>
      <c r="B5" s="56" t="s">
        <v>246</v>
      </c>
      <c r="C5" s="57"/>
      <c r="D5" s="57"/>
      <c r="E5" s="57"/>
      <c r="F5" s="57"/>
      <c r="G5" s="57"/>
      <c r="H5" s="58"/>
      <c r="I5" s="58"/>
      <c r="J5" s="58"/>
      <c r="K5" s="59"/>
    </row>
    <row r="6" spans="1:11" ht="12.95" customHeight="1">
      <c r="A6" s="48"/>
      <c r="B6" s="56" t="s">
        <v>247</v>
      </c>
      <c r="C6" s="57"/>
      <c r="D6" s="57"/>
      <c r="E6" s="57"/>
      <c r="F6" s="48"/>
      <c r="G6" s="58"/>
      <c r="H6" s="58"/>
      <c r="I6" s="58"/>
      <c r="J6" s="58"/>
      <c r="K6" s="59"/>
    </row>
    <row r="7" spans="1:11" ht="12.95" customHeight="1">
      <c r="A7" s="60" t="s">
        <v>2258</v>
      </c>
      <c r="B7" s="61" t="s">
        <v>2259</v>
      </c>
      <c r="C7" s="57" t="s">
        <v>2260</v>
      </c>
      <c r="D7" s="57" t="s">
        <v>291</v>
      </c>
      <c r="E7" s="62">
        <v>1143831</v>
      </c>
      <c r="F7" s="63">
        <v>8447.1918999999998</v>
      </c>
      <c r="G7" s="64">
        <v>6.1699999999999998E-2</v>
      </c>
      <c r="H7" s="65"/>
      <c r="I7" s="65"/>
      <c r="J7" s="65">
        <v>54</v>
      </c>
      <c r="K7" s="66" t="s">
        <v>4240</v>
      </c>
    </row>
    <row r="8" spans="1:11" ht="12.95" customHeight="1">
      <c r="A8" s="60" t="s">
        <v>727</v>
      </c>
      <c r="B8" s="61" t="s">
        <v>728</v>
      </c>
      <c r="C8" s="57" t="s">
        <v>729</v>
      </c>
      <c r="D8" s="57" t="s">
        <v>255</v>
      </c>
      <c r="E8" s="62">
        <v>105556</v>
      </c>
      <c r="F8" s="63">
        <v>8244.7152999999998</v>
      </c>
      <c r="G8" s="64">
        <v>6.0199999999999997E-2</v>
      </c>
      <c r="H8" s="65"/>
      <c r="I8" s="65"/>
      <c r="J8" s="65">
        <v>66</v>
      </c>
      <c r="K8" s="66" t="s">
        <v>4241</v>
      </c>
    </row>
    <row r="9" spans="1:11" ht="12.95" customHeight="1">
      <c r="A9" s="60" t="s">
        <v>260</v>
      </c>
      <c r="B9" s="61" t="s">
        <v>261</v>
      </c>
      <c r="C9" s="57" t="s">
        <v>262</v>
      </c>
      <c r="D9" s="57" t="s">
        <v>263</v>
      </c>
      <c r="E9" s="62">
        <v>206298</v>
      </c>
      <c r="F9" s="63">
        <v>7279.4312</v>
      </c>
      <c r="G9" s="64">
        <v>5.3199999999999997E-2</v>
      </c>
      <c r="H9" s="65"/>
      <c r="I9" s="65"/>
      <c r="J9" s="65">
        <v>76</v>
      </c>
      <c r="K9" s="66" t="s">
        <v>4261</v>
      </c>
    </row>
    <row r="10" spans="1:11" ht="12.95" customHeight="1">
      <c r="A10" s="60" t="s">
        <v>752</v>
      </c>
      <c r="B10" s="61" t="s">
        <v>753</v>
      </c>
      <c r="C10" s="57" t="s">
        <v>754</v>
      </c>
      <c r="D10" s="57" t="s">
        <v>755</v>
      </c>
      <c r="E10" s="62">
        <v>29129</v>
      </c>
      <c r="F10" s="63">
        <v>6556.0348999999997</v>
      </c>
      <c r="G10" s="64">
        <v>4.7899999999999998E-2</v>
      </c>
      <c r="H10" s="65"/>
      <c r="I10" s="65"/>
      <c r="J10" s="65">
        <v>56</v>
      </c>
      <c r="K10" s="66" t="s">
        <v>4262</v>
      </c>
    </row>
    <row r="11" spans="1:11" ht="12.95" customHeight="1">
      <c r="A11" s="60" t="s">
        <v>285</v>
      </c>
      <c r="B11" s="61" t="s">
        <v>286</v>
      </c>
      <c r="C11" s="57" t="s">
        <v>287</v>
      </c>
      <c r="D11" s="57" t="s">
        <v>263</v>
      </c>
      <c r="E11" s="62">
        <v>400000</v>
      </c>
      <c r="F11" s="63">
        <v>5741.8</v>
      </c>
      <c r="G11" s="64">
        <v>4.19E-2</v>
      </c>
      <c r="H11" s="65"/>
      <c r="I11" s="65"/>
      <c r="J11" s="65">
        <v>76</v>
      </c>
      <c r="K11" s="66" t="s">
        <v>4242</v>
      </c>
    </row>
    <row r="12" spans="1:11" ht="12.95" customHeight="1">
      <c r="A12" s="60" t="s">
        <v>268</v>
      </c>
      <c r="B12" s="61" t="s">
        <v>269</v>
      </c>
      <c r="C12" s="57" t="s">
        <v>270</v>
      </c>
      <c r="D12" s="57" t="s">
        <v>271</v>
      </c>
      <c r="E12" s="62">
        <v>475000</v>
      </c>
      <c r="F12" s="63">
        <v>4521.5249999999996</v>
      </c>
      <c r="G12" s="64">
        <v>3.3000000000000002E-2</v>
      </c>
      <c r="H12" s="65"/>
      <c r="I12" s="65"/>
      <c r="J12" s="65">
        <v>64</v>
      </c>
      <c r="K12" s="66" t="s">
        <v>4263</v>
      </c>
    </row>
    <row r="13" spans="1:11" ht="12.95" customHeight="1">
      <c r="A13" s="60" t="s">
        <v>766</v>
      </c>
      <c r="B13" s="61" t="s">
        <v>767</v>
      </c>
      <c r="C13" s="57" t="s">
        <v>768</v>
      </c>
      <c r="D13" s="57" t="s">
        <v>403</v>
      </c>
      <c r="E13" s="62">
        <v>122299</v>
      </c>
      <c r="F13" s="63">
        <v>4495.2219999999998</v>
      </c>
      <c r="G13" s="64">
        <v>3.2800000000000003E-2</v>
      </c>
      <c r="H13" s="65"/>
      <c r="I13" s="65"/>
      <c r="J13" s="65">
        <v>51</v>
      </c>
      <c r="K13" s="66" t="s">
        <v>4243</v>
      </c>
    </row>
    <row r="14" spans="1:11" ht="12.95" customHeight="1">
      <c r="A14" s="60" t="s">
        <v>282</v>
      </c>
      <c r="B14" s="61" t="s">
        <v>283</v>
      </c>
      <c r="C14" s="57" t="s">
        <v>284</v>
      </c>
      <c r="D14" s="57" t="s">
        <v>271</v>
      </c>
      <c r="E14" s="62">
        <v>287724</v>
      </c>
      <c r="F14" s="63">
        <v>4391.5313999999998</v>
      </c>
      <c r="G14" s="64">
        <v>3.2099999999999997E-2</v>
      </c>
      <c r="H14" s="65"/>
      <c r="I14" s="65"/>
      <c r="J14" s="65">
        <v>72</v>
      </c>
      <c r="K14" s="66" t="s">
        <v>4244</v>
      </c>
    </row>
    <row r="15" spans="1:11" ht="12.95" customHeight="1">
      <c r="A15" s="60" t="s">
        <v>782</v>
      </c>
      <c r="B15" s="61" t="s">
        <v>783</v>
      </c>
      <c r="C15" s="57" t="s">
        <v>784</v>
      </c>
      <c r="D15" s="57" t="s">
        <v>403</v>
      </c>
      <c r="E15" s="62">
        <v>151969</v>
      </c>
      <c r="F15" s="63">
        <v>3161.1831999999999</v>
      </c>
      <c r="G15" s="64">
        <v>2.3099999999999999E-2</v>
      </c>
      <c r="H15" s="65"/>
      <c r="I15" s="65"/>
      <c r="J15" s="65">
        <v>59</v>
      </c>
      <c r="K15" s="66" t="s">
        <v>4264</v>
      </c>
    </row>
    <row r="16" spans="1:11" ht="12.95" customHeight="1">
      <c r="A16" s="60" t="s">
        <v>335</v>
      </c>
      <c r="B16" s="61" t="s">
        <v>336</v>
      </c>
      <c r="C16" s="57" t="s">
        <v>337</v>
      </c>
      <c r="D16" s="57" t="s">
        <v>263</v>
      </c>
      <c r="E16" s="62">
        <v>255000</v>
      </c>
      <c r="F16" s="63">
        <v>3118.14</v>
      </c>
      <c r="G16" s="64">
        <v>2.2800000000000001E-2</v>
      </c>
      <c r="H16" s="65"/>
      <c r="I16" s="65"/>
      <c r="J16" s="65">
        <v>76</v>
      </c>
      <c r="K16" s="66" t="s">
        <v>4265</v>
      </c>
    </row>
    <row r="17" spans="1:11" ht="12.95" customHeight="1">
      <c r="A17" s="60" t="s">
        <v>2219</v>
      </c>
      <c r="B17" s="61" t="s">
        <v>2220</v>
      </c>
      <c r="C17" s="57" t="s">
        <v>2221</v>
      </c>
      <c r="D17" s="57" t="s">
        <v>259</v>
      </c>
      <c r="E17" s="62">
        <v>65000</v>
      </c>
      <c r="F17" s="63">
        <v>3013.0425</v>
      </c>
      <c r="G17" s="64">
        <v>2.1999999999999999E-2</v>
      </c>
      <c r="H17" s="65"/>
      <c r="I17" s="65"/>
      <c r="J17" s="65">
        <v>49</v>
      </c>
      <c r="K17" s="66" t="s">
        <v>4266</v>
      </c>
    </row>
    <row r="18" spans="1:11" ht="12.95" customHeight="1">
      <c r="A18" s="60" t="s">
        <v>736</v>
      </c>
      <c r="B18" s="61" t="s">
        <v>737</v>
      </c>
      <c r="C18" s="57" t="s">
        <v>738</v>
      </c>
      <c r="D18" s="57" t="s">
        <v>324</v>
      </c>
      <c r="E18" s="62">
        <v>95005</v>
      </c>
      <c r="F18" s="63">
        <v>2991.5174000000002</v>
      </c>
      <c r="G18" s="64">
        <v>2.18E-2</v>
      </c>
      <c r="H18" s="65"/>
      <c r="I18" s="65"/>
      <c r="J18" s="65">
        <v>57</v>
      </c>
      <c r="K18" s="66" t="s">
        <v>4267</v>
      </c>
    </row>
    <row r="19" spans="1:11" ht="12.95" customHeight="1">
      <c r="A19" s="60" t="s">
        <v>2261</v>
      </c>
      <c r="B19" s="61" t="s">
        <v>2262</v>
      </c>
      <c r="C19" s="57" t="s">
        <v>2263</v>
      </c>
      <c r="D19" s="57" t="s">
        <v>403</v>
      </c>
      <c r="E19" s="62">
        <v>226983</v>
      </c>
      <c r="F19" s="63">
        <v>2879.6197999999999</v>
      </c>
      <c r="G19" s="64">
        <v>2.1000000000000001E-2</v>
      </c>
      <c r="H19" s="65"/>
      <c r="I19" s="65"/>
      <c r="J19" s="65">
        <v>43</v>
      </c>
      <c r="K19" s="66" t="s">
        <v>4245</v>
      </c>
    </row>
    <row r="20" spans="1:11" ht="12.95" customHeight="1">
      <c r="A20" s="60" t="s">
        <v>690</v>
      </c>
      <c r="B20" s="61" t="s">
        <v>691</v>
      </c>
      <c r="C20" s="57" t="s">
        <v>692</v>
      </c>
      <c r="D20" s="57" t="s">
        <v>271</v>
      </c>
      <c r="E20" s="62">
        <v>161000</v>
      </c>
      <c r="F20" s="63">
        <v>2794.4769999999999</v>
      </c>
      <c r="G20" s="64">
        <v>2.0400000000000001E-2</v>
      </c>
      <c r="H20" s="65"/>
      <c r="I20" s="65"/>
      <c r="J20" s="65">
        <v>73</v>
      </c>
      <c r="K20" s="66" t="s">
        <v>4246</v>
      </c>
    </row>
    <row r="21" spans="1:11" ht="12.95" customHeight="1">
      <c r="A21" s="60" t="s">
        <v>278</v>
      </c>
      <c r="B21" s="61" t="s">
        <v>279</v>
      </c>
      <c r="C21" s="57" t="s">
        <v>280</v>
      </c>
      <c r="D21" s="57" t="s">
        <v>281</v>
      </c>
      <c r="E21" s="62">
        <v>401180</v>
      </c>
      <c r="F21" s="63">
        <v>2528.2363999999998</v>
      </c>
      <c r="G21" s="64">
        <v>1.8499999999999999E-2</v>
      </c>
      <c r="H21" s="65"/>
      <c r="I21" s="65"/>
      <c r="J21" s="65">
        <v>56</v>
      </c>
      <c r="K21" s="66" t="s">
        <v>4278</v>
      </c>
    </row>
    <row r="22" spans="1:11" ht="12.95" customHeight="1">
      <c r="A22" s="60" t="s">
        <v>1584</v>
      </c>
      <c r="B22" s="61" t="s">
        <v>1585</v>
      </c>
      <c r="C22" s="57" t="s">
        <v>1586</v>
      </c>
      <c r="D22" s="57" t="s">
        <v>263</v>
      </c>
      <c r="E22" s="62">
        <v>47419</v>
      </c>
      <c r="F22" s="63">
        <v>2420.4791</v>
      </c>
      <c r="G22" s="64">
        <v>1.77E-2</v>
      </c>
      <c r="H22" s="65"/>
      <c r="I22" s="65"/>
      <c r="J22" s="65">
        <v>55</v>
      </c>
      <c r="K22" s="66" t="s">
        <v>4268</v>
      </c>
    </row>
    <row r="23" spans="1:11" ht="12.95" customHeight="1">
      <c r="A23" s="60" t="s">
        <v>264</v>
      </c>
      <c r="B23" s="61" t="s">
        <v>265</v>
      </c>
      <c r="C23" s="57" t="s">
        <v>266</v>
      </c>
      <c r="D23" s="57" t="s">
        <v>267</v>
      </c>
      <c r="E23" s="62">
        <v>28841</v>
      </c>
      <c r="F23" s="63">
        <v>2380.7813000000001</v>
      </c>
      <c r="G23" s="64">
        <v>1.7399999999999999E-2</v>
      </c>
      <c r="H23" s="65"/>
      <c r="I23" s="65"/>
      <c r="J23" s="65">
        <v>59</v>
      </c>
      <c r="K23" s="66" t="s">
        <v>4247</v>
      </c>
    </row>
    <row r="24" spans="1:11" ht="12.95" customHeight="1">
      <c r="A24" s="60" t="s">
        <v>2170</v>
      </c>
      <c r="B24" s="61" t="s">
        <v>2171</v>
      </c>
      <c r="C24" s="57" t="s">
        <v>2172</v>
      </c>
      <c r="D24" s="57" t="s">
        <v>263</v>
      </c>
      <c r="E24" s="62">
        <v>79649</v>
      </c>
      <c r="F24" s="63">
        <v>1892.9381000000001</v>
      </c>
      <c r="G24" s="64">
        <v>1.38E-2</v>
      </c>
      <c r="H24" s="65"/>
      <c r="I24" s="65"/>
      <c r="J24" s="65">
        <v>66</v>
      </c>
      <c r="K24" s="66" t="s">
        <v>4269</v>
      </c>
    </row>
    <row r="25" spans="1:11" ht="12.95" customHeight="1">
      <c r="A25" s="60" t="s">
        <v>256</v>
      </c>
      <c r="B25" s="61" t="s">
        <v>257</v>
      </c>
      <c r="C25" s="57" t="s">
        <v>258</v>
      </c>
      <c r="D25" s="57" t="s">
        <v>259</v>
      </c>
      <c r="E25" s="62">
        <v>313638</v>
      </c>
      <c r="F25" s="63">
        <v>1829.7641000000001</v>
      </c>
      <c r="G25" s="64">
        <v>1.34E-2</v>
      </c>
      <c r="H25" s="65"/>
      <c r="I25" s="65"/>
      <c r="J25" s="65">
        <v>55</v>
      </c>
      <c r="K25" s="66" t="s">
        <v>4270</v>
      </c>
    </row>
    <row r="26" spans="1:11" ht="12.95" customHeight="1">
      <c r="A26" s="60" t="s">
        <v>2264</v>
      </c>
      <c r="B26" s="61" t="s">
        <v>2265</v>
      </c>
      <c r="C26" s="57" t="s">
        <v>2266</v>
      </c>
      <c r="D26" s="57" t="s">
        <v>778</v>
      </c>
      <c r="E26" s="62">
        <v>177688</v>
      </c>
      <c r="F26" s="63">
        <v>1827.2545</v>
      </c>
      <c r="G26" s="64">
        <v>1.3299999999999999E-2</v>
      </c>
      <c r="H26" s="65"/>
      <c r="I26" s="65"/>
      <c r="J26" s="65">
        <v>49</v>
      </c>
      <c r="K26" s="66" t="s">
        <v>4271</v>
      </c>
    </row>
    <row r="27" spans="1:11" ht="12.95" customHeight="1">
      <c r="A27" s="60" t="s">
        <v>1727</v>
      </c>
      <c r="B27" s="61" t="s">
        <v>1728</v>
      </c>
      <c r="C27" s="57" t="s">
        <v>1729</v>
      </c>
      <c r="D27" s="57" t="s">
        <v>745</v>
      </c>
      <c r="E27" s="62">
        <v>30000</v>
      </c>
      <c r="F27" s="63">
        <v>1676.1</v>
      </c>
      <c r="G27" s="64">
        <v>1.2200000000000001E-2</v>
      </c>
      <c r="H27" s="65"/>
      <c r="I27" s="65"/>
      <c r="J27" s="65">
        <v>66</v>
      </c>
      <c r="K27" s="66" t="s">
        <v>4248</v>
      </c>
    </row>
    <row r="28" spans="1:11" ht="12.95" customHeight="1">
      <c r="A28" s="60" t="s">
        <v>1841</v>
      </c>
      <c r="B28" s="61" t="s">
        <v>1842</v>
      </c>
      <c r="C28" s="57" t="s">
        <v>1843</v>
      </c>
      <c r="D28" s="57" t="s">
        <v>295</v>
      </c>
      <c r="E28" s="62">
        <v>30676</v>
      </c>
      <c r="F28" s="63">
        <v>1639.0340000000001</v>
      </c>
      <c r="G28" s="64">
        <v>1.2E-2</v>
      </c>
      <c r="H28" s="65"/>
      <c r="I28" s="65"/>
      <c r="J28" s="65">
        <v>50</v>
      </c>
      <c r="K28" s="66" t="s">
        <v>4272</v>
      </c>
    </row>
    <row r="29" spans="1:11" ht="12.95" customHeight="1">
      <c r="A29" s="60" t="s">
        <v>2267</v>
      </c>
      <c r="B29" s="61" t="s">
        <v>2268</v>
      </c>
      <c r="C29" s="57" t="s">
        <v>2269</v>
      </c>
      <c r="D29" s="57" t="s">
        <v>263</v>
      </c>
      <c r="E29" s="62">
        <v>21443</v>
      </c>
      <c r="F29" s="63">
        <v>1549.7177999999999</v>
      </c>
      <c r="G29" s="64">
        <v>1.1299999999999999E-2</v>
      </c>
      <c r="H29" s="65"/>
      <c r="I29" s="65"/>
      <c r="J29" s="65">
        <v>57</v>
      </c>
      <c r="K29" s="66" t="s">
        <v>4273</v>
      </c>
    </row>
    <row r="30" spans="1:11" ht="12.95" customHeight="1">
      <c r="A30" s="60" t="s">
        <v>772</v>
      </c>
      <c r="B30" s="61" t="s">
        <v>773</v>
      </c>
      <c r="C30" s="57" t="s">
        <v>774</v>
      </c>
      <c r="D30" s="57" t="s">
        <v>310</v>
      </c>
      <c r="E30" s="62">
        <v>170000</v>
      </c>
      <c r="F30" s="63">
        <v>1490.73</v>
      </c>
      <c r="G30" s="64">
        <v>1.09E-2</v>
      </c>
      <c r="H30" s="65"/>
      <c r="I30" s="65"/>
      <c r="J30" s="65">
        <v>63</v>
      </c>
      <c r="K30" s="66" t="s">
        <v>4249</v>
      </c>
    </row>
    <row r="31" spans="1:11" ht="12.95" customHeight="1">
      <c r="A31" s="60" t="s">
        <v>733</v>
      </c>
      <c r="B31" s="61" t="s">
        <v>734</v>
      </c>
      <c r="C31" s="57" t="s">
        <v>735</v>
      </c>
      <c r="D31" s="57" t="s">
        <v>281</v>
      </c>
      <c r="E31" s="62">
        <v>13661</v>
      </c>
      <c r="F31" s="63">
        <v>1449.5141000000001</v>
      </c>
      <c r="G31" s="64">
        <v>1.06E-2</v>
      </c>
      <c r="H31" s="65"/>
      <c r="I31" s="65"/>
      <c r="J31" s="65">
        <v>50</v>
      </c>
      <c r="K31" s="66" t="s">
        <v>4274</v>
      </c>
    </row>
    <row r="32" spans="1:11" ht="12.95" customHeight="1">
      <c r="A32" s="60" t="s">
        <v>779</v>
      </c>
      <c r="B32" s="61" t="s">
        <v>780</v>
      </c>
      <c r="C32" s="57" t="s">
        <v>781</v>
      </c>
      <c r="D32" s="57" t="s">
        <v>281</v>
      </c>
      <c r="E32" s="62">
        <v>42000</v>
      </c>
      <c r="F32" s="63">
        <v>1447.7190000000001</v>
      </c>
      <c r="G32" s="64">
        <v>1.06E-2</v>
      </c>
      <c r="H32" s="65"/>
      <c r="I32" s="65"/>
      <c r="J32" s="65">
        <v>55</v>
      </c>
      <c r="K32" s="66" t="s">
        <v>4250</v>
      </c>
    </row>
    <row r="33" spans="1:11" ht="12.95" customHeight="1">
      <c r="A33" s="60" t="s">
        <v>866</v>
      </c>
      <c r="B33" s="61" t="s">
        <v>867</v>
      </c>
      <c r="C33" s="57" t="s">
        <v>868</v>
      </c>
      <c r="D33" s="57" t="s">
        <v>403</v>
      </c>
      <c r="E33" s="62">
        <v>1402911</v>
      </c>
      <c r="F33" s="63">
        <v>1423.9547</v>
      </c>
      <c r="G33" s="64">
        <v>1.04E-2</v>
      </c>
      <c r="H33" s="65"/>
      <c r="I33" s="65"/>
      <c r="J33" s="65">
        <v>49</v>
      </c>
      <c r="K33" s="66" t="s">
        <v>4251</v>
      </c>
    </row>
    <row r="34" spans="1:11" ht="12.95" customHeight="1">
      <c r="A34" s="60" t="s">
        <v>730</v>
      </c>
      <c r="B34" s="61" t="s">
        <v>731</v>
      </c>
      <c r="C34" s="57" t="s">
        <v>732</v>
      </c>
      <c r="D34" s="57" t="s">
        <v>281</v>
      </c>
      <c r="E34" s="62">
        <v>90000</v>
      </c>
      <c r="F34" s="63">
        <v>1398.825</v>
      </c>
      <c r="G34" s="64">
        <v>1.0200000000000001E-2</v>
      </c>
      <c r="H34" s="65"/>
      <c r="I34" s="65"/>
      <c r="J34" s="65">
        <v>61</v>
      </c>
      <c r="K34" s="66" t="s">
        <v>4252</v>
      </c>
    </row>
    <row r="35" spans="1:11" ht="12.95" customHeight="1">
      <c r="A35" s="60" t="s">
        <v>809</v>
      </c>
      <c r="B35" s="61" t="s">
        <v>810</v>
      </c>
      <c r="C35" s="57" t="s">
        <v>811</v>
      </c>
      <c r="D35" s="57" t="s">
        <v>403</v>
      </c>
      <c r="E35" s="62">
        <v>33086</v>
      </c>
      <c r="F35" s="63">
        <v>1378.1312</v>
      </c>
      <c r="G35" s="64">
        <v>1.01E-2</v>
      </c>
      <c r="H35" s="65"/>
      <c r="I35" s="65"/>
      <c r="J35" s="65">
        <v>66</v>
      </c>
      <c r="K35" s="66" t="s">
        <v>4253</v>
      </c>
    </row>
    <row r="36" spans="1:11" ht="12.95" customHeight="1">
      <c r="A36" s="60" t="s">
        <v>887</v>
      </c>
      <c r="B36" s="61" t="s">
        <v>888</v>
      </c>
      <c r="C36" s="57" t="s">
        <v>889</v>
      </c>
      <c r="D36" s="57" t="s">
        <v>890</v>
      </c>
      <c r="E36" s="62">
        <v>240000</v>
      </c>
      <c r="F36" s="63">
        <v>1358.88</v>
      </c>
      <c r="G36" s="64">
        <v>9.9000000000000008E-3</v>
      </c>
      <c r="H36" s="65"/>
      <c r="I36" s="65"/>
      <c r="J36" s="65">
        <v>63</v>
      </c>
      <c r="K36" s="66" t="s">
        <v>4254</v>
      </c>
    </row>
    <row r="37" spans="1:11" ht="12.95" customHeight="1">
      <c r="A37" s="60" t="s">
        <v>1581</v>
      </c>
      <c r="B37" s="61" t="s">
        <v>1582</v>
      </c>
      <c r="C37" s="57" t="s">
        <v>1583</v>
      </c>
      <c r="D37" s="57" t="s">
        <v>281</v>
      </c>
      <c r="E37" s="62">
        <v>85960</v>
      </c>
      <c r="F37" s="63">
        <v>1308.1393</v>
      </c>
      <c r="G37" s="64">
        <v>9.5999999999999992E-3</v>
      </c>
      <c r="H37" s="65"/>
      <c r="I37" s="65"/>
      <c r="J37" s="65">
        <v>52</v>
      </c>
      <c r="K37" s="66" t="s">
        <v>4275</v>
      </c>
    </row>
    <row r="38" spans="1:11" ht="12.95" customHeight="1">
      <c r="A38" s="60" t="s">
        <v>1850</v>
      </c>
      <c r="B38" s="61" t="s">
        <v>1851</v>
      </c>
      <c r="C38" s="57" t="s">
        <v>1852</v>
      </c>
      <c r="D38" s="57" t="s">
        <v>1816</v>
      </c>
      <c r="E38" s="62">
        <v>31340</v>
      </c>
      <c r="F38" s="63">
        <v>1284.3915999999999</v>
      </c>
      <c r="G38" s="64">
        <v>9.4000000000000004E-3</v>
      </c>
      <c r="H38" s="65"/>
      <c r="I38" s="65"/>
      <c r="J38" s="65">
        <v>57</v>
      </c>
      <c r="K38" s="66" t="s">
        <v>4255</v>
      </c>
    </row>
    <row r="39" spans="1:11" ht="12.95" customHeight="1">
      <c r="A39" s="60" t="s">
        <v>400</v>
      </c>
      <c r="B39" s="61" t="s">
        <v>401</v>
      </c>
      <c r="C39" s="57" t="s">
        <v>402</v>
      </c>
      <c r="D39" s="57" t="s">
        <v>403</v>
      </c>
      <c r="E39" s="62">
        <v>95481</v>
      </c>
      <c r="F39" s="63">
        <v>1278.0608999999999</v>
      </c>
      <c r="G39" s="64">
        <v>9.2999999999999992E-3</v>
      </c>
      <c r="H39" s="65"/>
      <c r="I39" s="65"/>
      <c r="J39" s="65">
        <v>43</v>
      </c>
      <c r="K39" s="66" t="s">
        <v>4256</v>
      </c>
    </row>
    <row r="40" spans="1:11" ht="12.95" customHeight="1">
      <c r="A40" s="60" t="s">
        <v>252</v>
      </c>
      <c r="B40" s="61" t="s">
        <v>253</v>
      </c>
      <c r="C40" s="57" t="s">
        <v>254</v>
      </c>
      <c r="D40" s="57" t="s">
        <v>255</v>
      </c>
      <c r="E40" s="62">
        <v>75000</v>
      </c>
      <c r="F40" s="63">
        <v>986.625</v>
      </c>
      <c r="G40" s="64">
        <v>7.1999999999999998E-3</v>
      </c>
      <c r="H40" s="65"/>
      <c r="I40" s="65"/>
      <c r="J40" s="65">
        <v>67</v>
      </c>
      <c r="K40" s="66" t="s">
        <v>4276</v>
      </c>
    </row>
    <row r="41" spans="1:11" ht="12.95" customHeight="1">
      <c r="A41" s="60" t="s">
        <v>2270</v>
      </c>
      <c r="B41" s="61" t="s">
        <v>2271</v>
      </c>
      <c r="C41" s="57" t="s">
        <v>2272</v>
      </c>
      <c r="D41" s="57" t="s">
        <v>2273</v>
      </c>
      <c r="E41" s="62">
        <v>221533</v>
      </c>
      <c r="F41" s="63">
        <v>798.62649999999996</v>
      </c>
      <c r="G41" s="64">
        <v>5.7999999999999996E-3</v>
      </c>
      <c r="H41" s="65"/>
      <c r="I41" s="65"/>
      <c r="J41" s="65">
        <v>52</v>
      </c>
      <c r="K41" s="66" t="s">
        <v>4257</v>
      </c>
    </row>
    <row r="42" spans="1:11" ht="12.95" customHeight="1">
      <c r="A42" s="60" t="s">
        <v>2274</v>
      </c>
      <c r="B42" s="61" t="s">
        <v>2275</v>
      </c>
      <c r="C42" s="57" t="s">
        <v>2276</v>
      </c>
      <c r="D42" s="57" t="s">
        <v>324</v>
      </c>
      <c r="E42" s="62">
        <v>83302</v>
      </c>
      <c r="F42" s="63">
        <v>733.01589999999999</v>
      </c>
      <c r="G42" s="64">
        <v>5.4000000000000003E-3</v>
      </c>
      <c r="H42" s="65"/>
      <c r="I42" s="65"/>
      <c r="J42" s="65">
        <v>53</v>
      </c>
      <c r="K42" s="66" t="s">
        <v>4258</v>
      </c>
    </row>
    <row r="43" spans="1:11" ht="12.95" customHeight="1">
      <c r="A43" s="60" t="s">
        <v>863</v>
      </c>
      <c r="B43" s="61" t="s">
        <v>864</v>
      </c>
      <c r="C43" s="57" t="s">
        <v>865</v>
      </c>
      <c r="D43" s="57" t="s">
        <v>745</v>
      </c>
      <c r="E43" s="62">
        <v>45000</v>
      </c>
      <c r="F43" s="63">
        <v>666.94500000000005</v>
      </c>
      <c r="G43" s="64">
        <v>4.8999999999999998E-3</v>
      </c>
      <c r="H43" s="65"/>
      <c r="I43" s="65"/>
      <c r="J43" s="65">
        <v>61</v>
      </c>
      <c r="K43" s="66" t="s">
        <v>4279</v>
      </c>
    </row>
    <row r="44" spans="1:11" ht="12.95" customHeight="1">
      <c r="A44" s="60" t="s">
        <v>1617</v>
      </c>
      <c r="B44" s="61" t="s">
        <v>1618</v>
      </c>
      <c r="C44" s="57" t="s">
        <v>1619</v>
      </c>
      <c r="D44" s="57" t="s">
        <v>745</v>
      </c>
      <c r="E44" s="62">
        <v>35954</v>
      </c>
      <c r="F44" s="63">
        <v>645.48220000000003</v>
      </c>
      <c r="G44" s="64">
        <v>4.7000000000000002E-3</v>
      </c>
      <c r="H44" s="65"/>
      <c r="I44" s="65"/>
      <c r="J44" s="65">
        <v>46</v>
      </c>
      <c r="K44" s="66" t="s">
        <v>4318</v>
      </c>
    </row>
    <row r="45" spans="1:11" ht="12.95" customHeight="1">
      <c r="A45" s="60" t="s">
        <v>397</v>
      </c>
      <c r="B45" s="61" t="s">
        <v>398</v>
      </c>
      <c r="C45" s="57" t="s">
        <v>399</v>
      </c>
      <c r="D45" s="57" t="s">
        <v>259</v>
      </c>
      <c r="E45" s="62">
        <v>170000</v>
      </c>
      <c r="F45" s="63">
        <v>566.1</v>
      </c>
      <c r="G45" s="64">
        <v>4.1000000000000003E-3</v>
      </c>
      <c r="H45" s="65"/>
      <c r="I45" s="65"/>
      <c r="J45" s="65">
        <v>44</v>
      </c>
      <c r="K45" s="66" t="s">
        <v>4280</v>
      </c>
    </row>
    <row r="46" spans="1:11" ht="12.95" customHeight="1">
      <c r="A46" s="60" t="s">
        <v>2179</v>
      </c>
      <c r="B46" s="61" t="s">
        <v>2180</v>
      </c>
      <c r="C46" s="57" t="s">
        <v>2181</v>
      </c>
      <c r="D46" s="57" t="s">
        <v>2182</v>
      </c>
      <c r="E46" s="62">
        <v>15469</v>
      </c>
      <c r="F46" s="63">
        <v>401.89240000000001</v>
      </c>
      <c r="G46" s="64">
        <v>2.8999999999999998E-3</v>
      </c>
      <c r="H46" s="65"/>
      <c r="I46" s="65"/>
      <c r="J46" s="65">
        <v>57</v>
      </c>
      <c r="K46" s="66" t="s">
        <v>4277</v>
      </c>
    </row>
    <row r="47" spans="1:11" ht="12.95" customHeight="1">
      <c r="A47" s="48"/>
      <c r="B47" s="56" t="s">
        <v>160</v>
      </c>
      <c r="C47" s="57"/>
      <c r="D47" s="57"/>
      <c r="E47" s="57"/>
      <c r="F47" s="67">
        <v>103996.7696</v>
      </c>
      <c r="G47" s="68">
        <v>0.75939999999999996</v>
      </c>
      <c r="H47" s="69"/>
      <c r="I47" s="69"/>
      <c r="J47" s="69"/>
      <c r="K47" s="70"/>
    </row>
    <row r="48" spans="1:11" ht="12.95" customHeight="1">
      <c r="A48" s="48"/>
      <c r="B48" s="71" t="s">
        <v>408</v>
      </c>
      <c r="C48" s="72"/>
      <c r="D48" s="72"/>
      <c r="E48" s="72"/>
      <c r="F48" s="69" t="s">
        <v>162</v>
      </c>
      <c r="G48" s="69" t="s">
        <v>162</v>
      </c>
      <c r="H48" s="69"/>
      <c r="I48" s="69"/>
      <c r="J48" s="69"/>
      <c r="K48" s="70"/>
    </row>
    <row r="49" spans="1:11" ht="12.95" customHeight="1">
      <c r="A49" s="48"/>
      <c r="B49" s="71" t="s">
        <v>160</v>
      </c>
      <c r="C49" s="72"/>
      <c r="D49" s="72"/>
      <c r="E49" s="72"/>
      <c r="F49" s="69" t="s">
        <v>162</v>
      </c>
      <c r="G49" s="69" t="s">
        <v>162</v>
      </c>
      <c r="H49" s="69"/>
      <c r="I49" s="69"/>
      <c r="J49" s="69"/>
      <c r="K49" s="70"/>
    </row>
    <row r="50" spans="1:11" ht="12.95" customHeight="1">
      <c r="A50" s="48"/>
      <c r="B50" s="71" t="s">
        <v>163</v>
      </c>
      <c r="C50" s="73"/>
      <c r="D50" s="72"/>
      <c r="E50" s="73"/>
      <c r="F50" s="67">
        <v>103996.7696</v>
      </c>
      <c r="G50" s="68">
        <v>0.75939999999999996</v>
      </c>
      <c r="H50" s="69"/>
      <c r="I50" s="69"/>
      <c r="J50" s="69"/>
      <c r="K50" s="70"/>
    </row>
    <row r="51" spans="1:11" ht="12.95" customHeight="1">
      <c r="A51" s="48"/>
      <c r="B51" s="56" t="s">
        <v>2277</v>
      </c>
      <c r="C51" s="57"/>
      <c r="D51" s="57"/>
      <c r="E51" s="57"/>
      <c r="F51" s="57"/>
      <c r="G51" s="57"/>
      <c r="H51" s="58"/>
      <c r="I51" s="58"/>
      <c r="J51" s="58"/>
      <c r="K51" s="74"/>
    </row>
    <row r="52" spans="1:11" ht="12.95" customHeight="1">
      <c r="A52" s="48"/>
      <c r="B52" s="56" t="s">
        <v>247</v>
      </c>
      <c r="C52" s="57"/>
      <c r="D52" s="57"/>
      <c r="E52" s="57"/>
      <c r="F52" s="48"/>
      <c r="G52" s="58"/>
      <c r="H52" s="58"/>
      <c r="I52" s="58"/>
      <c r="J52" s="58"/>
      <c r="K52" s="74"/>
    </row>
    <row r="53" spans="1:11" ht="12.95" customHeight="1">
      <c r="A53" s="60" t="s">
        <v>2278</v>
      </c>
      <c r="B53" s="61" t="s">
        <v>2279</v>
      </c>
      <c r="C53" s="57" t="s">
        <v>2280</v>
      </c>
      <c r="D53" s="57" t="s">
        <v>2281</v>
      </c>
      <c r="E53" s="62">
        <v>10168</v>
      </c>
      <c r="F53" s="63">
        <v>2666.6152999999999</v>
      </c>
      <c r="G53" s="64">
        <v>1.95E-2</v>
      </c>
      <c r="H53" s="65"/>
      <c r="I53" s="65"/>
      <c r="J53" s="65"/>
      <c r="K53" s="66" t="s">
        <v>4286</v>
      </c>
    </row>
    <row r="54" spans="1:11" ht="12.95" customHeight="1">
      <c r="A54" s="60" t="s">
        <v>2282</v>
      </c>
      <c r="B54" s="61" t="s">
        <v>2283</v>
      </c>
      <c r="C54" s="57" t="s">
        <v>2284</v>
      </c>
      <c r="D54" s="57" t="s">
        <v>2285</v>
      </c>
      <c r="E54" s="62">
        <v>19797</v>
      </c>
      <c r="F54" s="63">
        <v>2151.73</v>
      </c>
      <c r="G54" s="64">
        <v>1.5699999999999999E-2</v>
      </c>
      <c r="H54" s="65"/>
      <c r="I54" s="65"/>
      <c r="J54" s="65"/>
      <c r="K54" s="66" t="s">
        <v>4287</v>
      </c>
    </row>
    <row r="55" spans="1:11" ht="12.95" customHeight="1">
      <c r="A55" s="60" t="s">
        <v>2286</v>
      </c>
      <c r="B55" s="61" t="s">
        <v>2287</v>
      </c>
      <c r="C55" s="57" t="s">
        <v>2288</v>
      </c>
      <c r="D55" s="57" t="s">
        <v>2289</v>
      </c>
      <c r="E55" s="62">
        <v>46487</v>
      </c>
      <c r="F55" s="63">
        <v>1311.5743</v>
      </c>
      <c r="G55" s="64">
        <v>9.5999999999999992E-3</v>
      </c>
      <c r="H55" s="65"/>
      <c r="I55" s="65"/>
      <c r="J55" s="65"/>
      <c r="K55" s="66" t="s">
        <v>4288</v>
      </c>
    </row>
    <row r="56" spans="1:11" ht="12.95" customHeight="1">
      <c r="A56" s="60" t="s">
        <v>2290</v>
      </c>
      <c r="B56" s="61" t="s">
        <v>2291</v>
      </c>
      <c r="C56" s="57" t="s">
        <v>2292</v>
      </c>
      <c r="D56" s="57" t="s">
        <v>2293</v>
      </c>
      <c r="E56" s="62">
        <v>186048</v>
      </c>
      <c r="F56" s="63">
        <v>1243.9484</v>
      </c>
      <c r="G56" s="64">
        <v>9.1000000000000004E-3</v>
      </c>
      <c r="H56" s="65"/>
      <c r="I56" s="65"/>
      <c r="J56" s="65"/>
      <c r="K56" s="66" t="s">
        <v>4289</v>
      </c>
    </row>
    <row r="57" spans="1:11" ht="12.95" customHeight="1">
      <c r="A57" s="60" t="s">
        <v>2294</v>
      </c>
      <c r="B57" s="61" t="s">
        <v>2295</v>
      </c>
      <c r="C57" s="57" t="s">
        <v>2296</v>
      </c>
      <c r="D57" s="57" t="s">
        <v>2297</v>
      </c>
      <c r="E57" s="62">
        <v>2896</v>
      </c>
      <c r="F57" s="63">
        <v>1226.4929</v>
      </c>
      <c r="G57" s="64">
        <v>8.9999999999999993E-3</v>
      </c>
      <c r="H57" s="65"/>
      <c r="I57" s="65"/>
      <c r="J57" s="65"/>
      <c r="K57" s="66" t="s">
        <v>4290</v>
      </c>
    </row>
    <row r="58" spans="1:11" ht="12.95" customHeight="1">
      <c r="A58" s="60" t="s">
        <v>2298</v>
      </c>
      <c r="B58" s="61" t="s">
        <v>2299</v>
      </c>
      <c r="C58" s="57" t="s">
        <v>2300</v>
      </c>
      <c r="D58" s="57" t="s">
        <v>2301</v>
      </c>
      <c r="E58" s="62">
        <v>458</v>
      </c>
      <c r="F58" s="63">
        <v>1173.152</v>
      </c>
      <c r="G58" s="64">
        <v>8.6E-3</v>
      </c>
      <c r="H58" s="65"/>
      <c r="I58" s="65"/>
      <c r="J58" s="65"/>
      <c r="K58" s="66" t="s">
        <v>4291</v>
      </c>
    </row>
    <row r="59" spans="1:11" ht="12.95" customHeight="1">
      <c r="A59" s="60" t="s">
        <v>2302</v>
      </c>
      <c r="B59" s="61" t="s">
        <v>2303</v>
      </c>
      <c r="C59" s="57" t="s">
        <v>2304</v>
      </c>
      <c r="D59" s="57" t="s">
        <v>2305</v>
      </c>
      <c r="E59" s="62">
        <v>35286</v>
      </c>
      <c r="F59" s="63">
        <v>1049.7239999999999</v>
      </c>
      <c r="G59" s="64">
        <v>7.7000000000000002E-3</v>
      </c>
      <c r="H59" s="65"/>
      <c r="I59" s="65"/>
      <c r="J59" s="65"/>
      <c r="K59" s="66" t="s">
        <v>4292</v>
      </c>
    </row>
    <row r="60" spans="1:11" ht="12.95" customHeight="1">
      <c r="A60" s="60" t="s">
        <v>2306</v>
      </c>
      <c r="B60" s="61" t="s">
        <v>2307</v>
      </c>
      <c r="C60" s="57" t="s">
        <v>2308</v>
      </c>
      <c r="D60" s="57" t="s">
        <v>2309</v>
      </c>
      <c r="E60" s="62">
        <v>24620</v>
      </c>
      <c r="F60" s="63">
        <v>1016.7785</v>
      </c>
      <c r="G60" s="64">
        <v>7.4000000000000003E-3</v>
      </c>
      <c r="H60" s="65"/>
      <c r="I60" s="65"/>
      <c r="J60" s="65"/>
      <c r="K60" s="66" t="s">
        <v>4293</v>
      </c>
    </row>
    <row r="61" spans="1:11" ht="12.95" customHeight="1">
      <c r="A61" s="60" t="s">
        <v>2310</v>
      </c>
      <c r="B61" s="61" t="s">
        <v>2311</v>
      </c>
      <c r="C61" s="57" t="s">
        <v>2312</v>
      </c>
      <c r="D61" s="57" t="s">
        <v>2313</v>
      </c>
      <c r="E61" s="62">
        <v>3070</v>
      </c>
      <c r="F61" s="63">
        <v>1009.5232</v>
      </c>
      <c r="G61" s="64">
        <v>7.4000000000000003E-3</v>
      </c>
      <c r="H61" s="65"/>
      <c r="I61" s="65"/>
      <c r="J61" s="65"/>
      <c r="K61" s="66" t="s">
        <v>4294</v>
      </c>
    </row>
    <row r="62" spans="1:11" ht="12.95" customHeight="1">
      <c r="A62" s="60" t="s">
        <v>2314</v>
      </c>
      <c r="B62" s="61" t="s">
        <v>2315</v>
      </c>
      <c r="C62" s="57" t="s">
        <v>2316</v>
      </c>
      <c r="D62" s="57" t="s">
        <v>2317</v>
      </c>
      <c r="E62" s="62">
        <v>8923</v>
      </c>
      <c r="F62" s="63">
        <v>1007.1879</v>
      </c>
      <c r="G62" s="64">
        <v>7.4000000000000003E-3</v>
      </c>
      <c r="H62" s="65"/>
      <c r="I62" s="65"/>
      <c r="J62" s="65"/>
      <c r="K62" s="66" t="s">
        <v>4295</v>
      </c>
    </row>
    <row r="63" spans="1:11" ht="12.95" customHeight="1">
      <c r="A63" s="60" t="s">
        <v>2318</v>
      </c>
      <c r="B63" s="61" t="s">
        <v>2319</v>
      </c>
      <c r="C63" s="57" t="s">
        <v>2320</v>
      </c>
      <c r="D63" s="57" t="s">
        <v>2321</v>
      </c>
      <c r="E63" s="62">
        <v>2027</v>
      </c>
      <c r="F63" s="63">
        <v>991.05949999999996</v>
      </c>
      <c r="G63" s="64">
        <v>7.1999999999999998E-3</v>
      </c>
      <c r="H63" s="65"/>
      <c r="I63" s="65"/>
      <c r="J63" s="65"/>
      <c r="K63" s="66" t="s">
        <v>4296</v>
      </c>
    </row>
    <row r="64" spans="1:11" ht="12.95" customHeight="1">
      <c r="A64" s="60" t="s">
        <v>2322</v>
      </c>
      <c r="B64" s="61" t="s">
        <v>2323</v>
      </c>
      <c r="C64" s="57" t="s">
        <v>2324</v>
      </c>
      <c r="D64" s="57" t="s">
        <v>2313</v>
      </c>
      <c r="E64" s="62">
        <v>4932</v>
      </c>
      <c r="F64" s="63">
        <v>942.21770000000004</v>
      </c>
      <c r="G64" s="64">
        <v>6.8999999999999999E-3</v>
      </c>
      <c r="H64" s="65"/>
      <c r="I64" s="65"/>
      <c r="J64" s="65"/>
      <c r="K64" s="66" t="s">
        <v>4297</v>
      </c>
    </row>
    <row r="65" spans="1:11" ht="12.95" customHeight="1">
      <c r="A65" s="60" t="s">
        <v>2325</v>
      </c>
      <c r="B65" s="61" t="s">
        <v>2326</v>
      </c>
      <c r="C65" s="57" t="s">
        <v>2327</v>
      </c>
      <c r="D65" s="57" t="s">
        <v>2328</v>
      </c>
      <c r="E65" s="62">
        <v>12932</v>
      </c>
      <c r="F65" s="63">
        <v>933.39819999999997</v>
      </c>
      <c r="G65" s="64">
        <v>6.7999999999999996E-3</v>
      </c>
      <c r="H65" s="65"/>
      <c r="I65" s="65"/>
      <c r="J65" s="65"/>
      <c r="K65" s="66" t="s">
        <v>4298</v>
      </c>
    </row>
    <row r="66" spans="1:11" ht="12.95" customHeight="1">
      <c r="A66" s="60" t="s">
        <v>2329</v>
      </c>
      <c r="B66" s="61" t="s">
        <v>2330</v>
      </c>
      <c r="C66" s="57" t="s">
        <v>2331</v>
      </c>
      <c r="D66" s="57" t="s">
        <v>2332</v>
      </c>
      <c r="E66" s="62">
        <v>2569</v>
      </c>
      <c r="F66" s="63">
        <v>929.08180000000004</v>
      </c>
      <c r="G66" s="64">
        <v>6.7999999999999996E-3</v>
      </c>
      <c r="H66" s="65"/>
      <c r="I66" s="65"/>
      <c r="J66" s="65"/>
      <c r="K66" s="66" t="s">
        <v>4299</v>
      </c>
    </row>
    <row r="67" spans="1:11" ht="12.95" customHeight="1">
      <c r="A67" s="60" t="s">
        <v>2333</v>
      </c>
      <c r="B67" s="61" t="s">
        <v>2334</v>
      </c>
      <c r="C67" s="57" t="s">
        <v>2335</v>
      </c>
      <c r="D67" s="57" t="s">
        <v>2297</v>
      </c>
      <c r="E67" s="62">
        <v>2110</v>
      </c>
      <c r="F67" s="63">
        <v>895.43449999999996</v>
      </c>
      <c r="G67" s="64">
        <v>6.4999999999999997E-3</v>
      </c>
      <c r="H67" s="65"/>
      <c r="I67" s="65"/>
      <c r="J67" s="65"/>
      <c r="K67" s="66" t="s">
        <v>4300</v>
      </c>
    </row>
    <row r="68" spans="1:11" ht="12.95" customHeight="1">
      <c r="A68" s="60" t="s">
        <v>2336</v>
      </c>
      <c r="B68" s="61" t="s">
        <v>2337</v>
      </c>
      <c r="C68" s="57" t="s">
        <v>2338</v>
      </c>
      <c r="D68" s="57" t="s">
        <v>2339</v>
      </c>
      <c r="E68" s="62">
        <v>2051</v>
      </c>
      <c r="F68" s="63">
        <v>862.27049999999997</v>
      </c>
      <c r="G68" s="64">
        <v>6.3E-3</v>
      </c>
      <c r="H68" s="65"/>
      <c r="I68" s="65"/>
      <c r="J68" s="65"/>
      <c r="K68" s="66" t="s">
        <v>4301</v>
      </c>
    </row>
    <row r="69" spans="1:11" ht="12.95" customHeight="1">
      <c r="A69" s="60" t="s">
        <v>2340</v>
      </c>
      <c r="B69" s="61" t="s">
        <v>2341</v>
      </c>
      <c r="C69" s="57" t="s">
        <v>2342</v>
      </c>
      <c r="D69" s="57" t="s">
        <v>2343</v>
      </c>
      <c r="E69" s="62">
        <v>125000</v>
      </c>
      <c r="F69" s="63">
        <v>846.53129999999999</v>
      </c>
      <c r="G69" s="64">
        <v>6.1999999999999998E-3</v>
      </c>
      <c r="H69" s="65"/>
      <c r="I69" s="65"/>
      <c r="J69" s="65"/>
      <c r="K69" s="66" t="s">
        <v>4302</v>
      </c>
    </row>
    <row r="70" spans="1:11" ht="12.95" customHeight="1">
      <c r="A70" s="60" t="s">
        <v>2344</v>
      </c>
      <c r="B70" s="61" t="s">
        <v>2345</v>
      </c>
      <c r="C70" s="57" t="s">
        <v>2346</v>
      </c>
      <c r="D70" s="57" t="s">
        <v>2347</v>
      </c>
      <c r="E70" s="62">
        <v>193542</v>
      </c>
      <c r="F70" s="63">
        <v>827.87339999999995</v>
      </c>
      <c r="G70" s="64">
        <v>6.0000000000000001E-3</v>
      </c>
      <c r="H70" s="65"/>
      <c r="I70" s="65"/>
      <c r="J70" s="65"/>
      <c r="K70" s="66" t="s">
        <v>4303</v>
      </c>
    </row>
    <row r="71" spans="1:11" ht="12.95" customHeight="1">
      <c r="A71" s="60" t="s">
        <v>2348</v>
      </c>
      <c r="B71" s="61" t="s">
        <v>2349</v>
      </c>
      <c r="C71" s="57" t="s">
        <v>2350</v>
      </c>
      <c r="D71" s="57" t="s">
        <v>2293</v>
      </c>
      <c r="E71" s="62">
        <v>9618</v>
      </c>
      <c r="F71" s="63">
        <v>786.70929999999998</v>
      </c>
      <c r="G71" s="64">
        <v>5.7000000000000002E-3</v>
      </c>
      <c r="H71" s="65"/>
      <c r="I71" s="65"/>
      <c r="J71" s="65"/>
      <c r="K71" s="66" t="s">
        <v>4304</v>
      </c>
    </row>
    <row r="72" spans="1:11" ht="12.95" customHeight="1">
      <c r="A72" s="60" t="s">
        <v>2351</v>
      </c>
      <c r="B72" s="61" t="s">
        <v>2352</v>
      </c>
      <c r="C72" s="57" t="s">
        <v>2353</v>
      </c>
      <c r="D72" s="57" t="s">
        <v>2354</v>
      </c>
      <c r="E72" s="62">
        <v>7567</v>
      </c>
      <c r="F72" s="63">
        <v>782.04240000000004</v>
      </c>
      <c r="G72" s="64">
        <v>5.7000000000000002E-3</v>
      </c>
      <c r="H72" s="65"/>
      <c r="I72" s="65"/>
      <c r="J72" s="65"/>
      <c r="K72" s="66" t="s">
        <v>4305</v>
      </c>
    </row>
    <row r="73" spans="1:11" ht="12.95" customHeight="1">
      <c r="A73" s="60" t="s">
        <v>2355</v>
      </c>
      <c r="B73" s="61" t="s">
        <v>2356</v>
      </c>
      <c r="C73" s="57" t="s">
        <v>2357</v>
      </c>
      <c r="D73" s="57" t="s">
        <v>2317</v>
      </c>
      <c r="E73" s="62">
        <v>27488</v>
      </c>
      <c r="F73" s="63">
        <v>774.65530000000001</v>
      </c>
      <c r="G73" s="64">
        <v>5.7000000000000002E-3</v>
      </c>
      <c r="H73" s="65"/>
      <c r="I73" s="65"/>
      <c r="J73" s="65"/>
      <c r="K73" s="66" t="s">
        <v>4306</v>
      </c>
    </row>
    <row r="74" spans="1:11" ht="12.95" customHeight="1">
      <c r="A74" s="60" t="s">
        <v>2358</v>
      </c>
      <c r="B74" s="61" t="s">
        <v>2359</v>
      </c>
      <c r="C74" s="57" t="s">
        <v>2360</v>
      </c>
      <c r="D74" s="57" t="s">
        <v>2297</v>
      </c>
      <c r="E74" s="62">
        <v>4400</v>
      </c>
      <c r="F74" s="63">
        <v>741.07010000000002</v>
      </c>
      <c r="G74" s="64">
        <v>5.4000000000000003E-3</v>
      </c>
      <c r="H74" s="65"/>
      <c r="I74" s="65"/>
      <c r="J74" s="65"/>
      <c r="K74" s="66" t="s">
        <v>4307</v>
      </c>
    </row>
    <row r="75" spans="1:11" ht="12.95" customHeight="1">
      <c r="A75" s="60" t="s">
        <v>2361</v>
      </c>
      <c r="B75" s="61" t="s">
        <v>2362</v>
      </c>
      <c r="C75" s="57" t="s">
        <v>2363</v>
      </c>
      <c r="D75" s="57" t="s">
        <v>2364</v>
      </c>
      <c r="E75" s="62">
        <v>7482</v>
      </c>
      <c r="F75" s="63">
        <v>703.28359999999998</v>
      </c>
      <c r="G75" s="64">
        <v>5.1000000000000004E-3</v>
      </c>
      <c r="H75" s="65"/>
      <c r="I75" s="65"/>
      <c r="J75" s="65"/>
      <c r="K75" s="66" t="s">
        <v>4308</v>
      </c>
    </row>
    <row r="76" spans="1:11" ht="12.95" customHeight="1">
      <c r="A76" s="60" t="s">
        <v>2365</v>
      </c>
      <c r="B76" s="61" t="s">
        <v>2366</v>
      </c>
      <c r="C76" s="57" t="s">
        <v>2367</v>
      </c>
      <c r="D76" s="57" t="s">
        <v>2328</v>
      </c>
      <c r="E76" s="62">
        <v>5100</v>
      </c>
      <c r="F76" s="63">
        <v>673.55970000000002</v>
      </c>
      <c r="G76" s="64">
        <v>4.8999999999999998E-3</v>
      </c>
      <c r="H76" s="65"/>
      <c r="I76" s="65"/>
      <c r="J76" s="65"/>
      <c r="K76" s="66" t="s">
        <v>4309</v>
      </c>
    </row>
    <row r="77" spans="1:11" ht="12.95" customHeight="1">
      <c r="A77" s="60" t="s">
        <v>2368</v>
      </c>
      <c r="B77" s="61" t="s">
        <v>2369</v>
      </c>
      <c r="C77" s="57" t="s">
        <v>2370</v>
      </c>
      <c r="D77" s="57" t="s">
        <v>2371</v>
      </c>
      <c r="E77" s="62">
        <v>3802</v>
      </c>
      <c r="F77" s="63">
        <v>656.33069999999998</v>
      </c>
      <c r="G77" s="64">
        <v>4.7999999999999996E-3</v>
      </c>
      <c r="H77" s="65"/>
      <c r="I77" s="65"/>
      <c r="J77" s="65"/>
      <c r="K77" s="66" t="s">
        <v>4317</v>
      </c>
    </row>
    <row r="78" spans="1:11" ht="12.95" customHeight="1">
      <c r="A78" s="60" t="s">
        <v>2372</v>
      </c>
      <c r="B78" s="61" t="s">
        <v>2373</v>
      </c>
      <c r="C78" s="57" t="s">
        <v>2374</v>
      </c>
      <c r="D78" s="57" t="s">
        <v>2273</v>
      </c>
      <c r="E78" s="62">
        <v>11115</v>
      </c>
      <c r="F78" s="63">
        <v>654.7663</v>
      </c>
      <c r="G78" s="64">
        <v>4.7999999999999996E-3</v>
      </c>
      <c r="H78" s="65"/>
      <c r="I78" s="65"/>
      <c r="J78" s="65"/>
      <c r="K78" s="66" t="s">
        <v>4310</v>
      </c>
    </row>
    <row r="79" spans="1:11" ht="12.95" customHeight="1">
      <c r="A79" s="60" t="s">
        <v>2375</v>
      </c>
      <c r="B79" s="61" t="s">
        <v>2376</v>
      </c>
      <c r="C79" s="57" t="s">
        <v>2377</v>
      </c>
      <c r="D79" s="57" t="s">
        <v>2378</v>
      </c>
      <c r="E79" s="62">
        <v>22995</v>
      </c>
      <c r="F79" s="63">
        <v>572.32560000000001</v>
      </c>
      <c r="G79" s="64">
        <v>4.1999999999999997E-3</v>
      </c>
      <c r="H79" s="65"/>
      <c r="I79" s="65"/>
      <c r="J79" s="65"/>
      <c r="K79" s="66" t="s">
        <v>4311</v>
      </c>
    </row>
    <row r="80" spans="1:11" ht="12.95" customHeight="1">
      <c r="A80" s="60" t="s">
        <v>2379</v>
      </c>
      <c r="B80" s="61" t="s">
        <v>2380</v>
      </c>
      <c r="C80" s="57" t="s">
        <v>2381</v>
      </c>
      <c r="D80" s="57" t="s">
        <v>2382</v>
      </c>
      <c r="E80" s="62">
        <v>6838</v>
      </c>
      <c r="F80" s="63">
        <v>529.89790000000005</v>
      </c>
      <c r="G80" s="64">
        <v>3.8999999999999998E-3</v>
      </c>
      <c r="H80" s="65"/>
      <c r="I80" s="65"/>
      <c r="J80" s="65"/>
      <c r="K80" s="66" t="s">
        <v>4312</v>
      </c>
    </row>
    <row r="81" spans="1:11" ht="12.95" customHeight="1">
      <c r="A81" s="60" t="s">
        <v>2383</v>
      </c>
      <c r="B81" s="61" t="s">
        <v>2384</v>
      </c>
      <c r="C81" s="57" t="s">
        <v>2385</v>
      </c>
      <c r="D81" s="57" t="s">
        <v>2386</v>
      </c>
      <c r="E81" s="62">
        <v>1321</v>
      </c>
      <c r="F81" s="63">
        <v>423.08980000000003</v>
      </c>
      <c r="G81" s="64">
        <v>3.0999999999999999E-3</v>
      </c>
      <c r="H81" s="65"/>
      <c r="I81" s="65"/>
      <c r="J81" s="65"/>
      <c r="K81" s="66" t="s">
        <v>4313</v>
      </c>
    </row>
    <row r="82" spans="1:11" ht="12.95" customHeight="1">
      <c r="A82" s="60" t="s">
        <v>2387</v>
      </c>
      <c r="B82" s="61" t="s">
        <v>2388</v>
      </c>
      <c r="C82" s="57" t="s">
        <v>2389</v>
      </c>
      <c r="D82" s="57" t="s">
        <v>2371</v>
      </c>
      <c r="E82" s="62">
        <v>143100</v>
      </c>
      <c r="F82" s="63">
        <v>324.88279999999997</v>
      </c>
      <c r="G82" s="64">
        <v>2.3999999999999998E-3</v>
      </c>
      <c r="H82" s="65"/>
      <c r="I82" s="65"/>
      <c r="J82" s="65"/>
      <c r="K82" s="66" t="s">
        <v>4314</v>
      </c>
    </row>
    <row r="83" spans="1:11" ht="12.95" customHeight="1">
      <c r="A83" s="60" t="s">
        <v>2390</v>
      </c>
      <c r="B83" s="61" t="s">
        <v>2391</v>
      </c>
      <c r="C83" s="57" t="s">
        <v>2392</v>
      </c>
      <c r="D83" s="57" t="s">
        <v>2393</v>
      </c>
      <c r="E83" s="62">
        <v>2829</v>
      </c>
      <c r="F83" s="63">
        <v>273.99450000000002</v>
      </c>
      <c r="G83" s="64">
        <v>2E-3</v>
      </c>
      <c r="H83" s="65"/>
      <c r="I83" s="65"/>
      <c r="J83" s="65"/>
      <c r="K83" s="66" t="s">
        <v>4315</v>
      </c>
    </row>
    <row r="84" spans="1:11" ht="12.95" customHeight="1">
      <c r="A84" s="60" t="s">
        <v>2394</v>
      </c>
      <c r="B84" s="61" t="s">
        <v>2395</v>
      </c>
      <c r="C84" s="57" t="s">
        <v>2396</v>
      </c>
      <c r="D84" s="57" t="s">
        <v>2397</v>
      </c>
      <c r="E84" s="62">
        <v>46310</v>
      </c>
      <c r="F84" s="63">
        <v>240.40100000000001</v>
      </c>
      <c r="G84" s="64">
        <v>1.8E-3</v>
      </c>
      <c r="H84" s="65"/>
      <c r="I84" s="65"/>
      <c r="J84" s="65"/>
      <c r="K84" s="66" t="s">
        <v>4316</v>
      </c>
    </row>
    <row r="85" spans="1:11" ht="12.95" customHeight="1">
      <c r="A85" s="48"/>
      <c r="B85" s="56" t="s">
        <v>160</v>
      </c>
      <c r="C85" s="57"/>
      <c r="D85" s="57"/>
      <c r="E85" s="57"/>
      <c r="F85" s="67">
        <v>29221.602299999999</v>
      </c>
      <c r="G85" s="68">
        <v>0.21340000000000001</v>
      </c>
      <c r="H85" s="69"/>
      <c r="I85" s="69"/>
      <c r="J85" s="69"/>
      <c r="K85" s="70"/>
    </row>
    <row r="86" spans="1:11" ht="12.95" customHeight="1">
      <c r="A86" s="48"/>
      <c r="B86" s="71" t="s">
        <v>408</v>
      </c>
      <c r="C86" s="72"/>
      <c r="D86" s="72"/>
      <c r="E86" s="72"/>
      <c r="F86" s="69" t="s">
        <v>162</v>
      </c>
      <c r="G86" s="69" t="s">
        <v>162</v>
      </c>
      <c r="H86" s="69"/>
      <c r="I86" s="69"/>
      <c r="J86" s="69"/>
      <c r="K86" s="70"/>
    </row>
    <row r="87" spans="1:11" ht="12.95" customHeight="1">
      <c r="A87" s="48"/>
      <c r="B87" s="71" t="s">
        <v>160</v>
      </c>
      <c r="C87" s="72"/>
      <c r="D87" s="72"/>
      <c r="E87" s="72"/>
      <c r="F87" s="69" t="s">
        <v>162</v>
      </c>
      <c r="G87" s="69" t="s">
        <v>162</v>
      </c>
      <c r="H87" s="69"/>
      <c r="I87" s="69"/>
      <c r="J87" s="69"/>
      <c r="K87" s="70"/>
    </row>
    <row r="88" spans="1:11" ht="12.95" customHeight="1">
      <c r="A88" s="48"/>
      <c r="B88" s="71" t="s">
        <v>163</v>
      </c>
      <c r="C88" s="73"/>
      <c r="D88" s="72"/>
      <c r="E88" s="73"/>
      <c r="F88" s="67">
        <v>29221.602299999999</v>
      </c>
      <c r="G88" s="68">
        <v>0.21340000000000001</v>
      </c>
      <c r="H88" s="69"/>
      <c r="I88" s="69"/>
      <c r="J88" s="69"/>
      <c r="K88" s="70"/>
    </row>
    <row r="89" spans="1:11" ht="12.95" customHeight="1">
      <c r="A89" s="48"/>
      <c r="B89" s="56" t="s">
        <v>164</v>
      </c>
      <c r="C89" s="57"/>
      <c r="D89" s="57"/>
      <c r="E89" s="57"/>
      <c r="F89" s="57"/>
      <c r="G89" s="57"/>
      <c r="H89" s="58"/>
      <c r="I89" s="58"/>
      <c r="J89" s="58"/>
      <c r="K89" s="74"/>
    </row>
    <row r="90" spans="1:11" ht="12.95" customHeight="1">
      <c r="A90" s="60" t="s">
        <v>165</v>
      </c>
      <c r="B90" s="61" t="s">
        <v>166</v>
      </c>
      <c r="C90" s="57"/>
      <c r="D90" s="57"/>
      <c r="E90" s="62"/>
      <c r="F90" s="63">
        <v>3911.6026000000002</v>
      </c>
      <c r="G90" s="64">
        <v>2.86E-2</v>
      </c>
      <c r="H90" s="76">
        <v>6.7996829688028088E-2</v>
      </c>
      <c r="I90" s="76"/>
      <c r="J90" s="76"/>
      <c r="K90" s="75"/>
    </row>
    <row r="91" spans="1:11" ht="12.95" customHeight="1">
      <c r="A91" s="48"/>
      <c r="B91" s="56" t="s">
        <v>160</v>
      </c>
      <c r="C91" s="57"/>
      <c r="D91" s="57"/>
      <c r="E91" s="57"/>
      <c r="F91" s="67">
        <v>3911.6026000000002</v>
      </c>
      <c r="G91" s="68">
        <v>2.86E-2</v>
      </c>
      <c r="H91" s="69"/>
      <c r="I91" s="69"/>
      <c r="J91" s="69"/>
      <c r="K91" s="70"/>
    </row>
    <row r="92" spans="1:11" ht="12.95" customHeight="1">
      <c r="A92" s="48"/>
      <c r="B92" s="71" t="s">
        <v>163</v>
      </c>
      <c r="C92" s="73"/>
      <c r="D92" s="72"/>
      <c r="E92" s="73"/>
      <c r="F92" s="67">
        <v>3911.6026000000002</v>
      </c>
      <c r="G92" s="68">
        <v>2.86E-2</v>
      </c>
      <c r="H92" s="69"/>
      <c r="I92" s="69"/>
      <c r="J92" s="69"/>
      <c r="K92" s="70"/>
    </row>
    <row r="93" spans="1:11" ht="12.95" customHeight="1">
      <c r="A93" s="48"/>
      <c r="B93" s="71" t="s">
        <v>167</v>
      </c>
      <c r="C93" s="57"/>
      <c r="D93" s="72"/>
      <c r="E93" s="57"/>
      <c r="F93" s="77">
        <v>-183.52449999999999</v>
      </c>
      <c r="G93" s="68">
        <v>-1.4E-3</v>
      </c>
      <c r="H93" s="69"/>
      <c r="I93" s="69"/>
      <c r="J93" s="69"/>
      <c r="K93" s="70"/>
    </row>
    <row r="94" spans="1:11" ht="12.95" customHeight="1" thickBot="1">
      <c r="A94" s="48"/>
      <c r="B94" s="78" t="s">
        <v>168</v>
      </c>
      <c r="C94" s="79"/>
      <c r="D94" s="79"/>
      <c r="E94" s="79"/>
      <c r="F94" s="80">
        <v>136946.45000000001</v>
      </c>
      <c r="G94" s="81">
        <v>1</v>
      </c>
      <c r="H94" s="82"/>
      <c r="I94" s="82"/>
      <c r="J94" s="82"/>
      <c r="K94" s="83"/>
    </row>
    <row r="95" spans="1:11" ht="12.95" customHeight="1">
      <c r="A95" s="48"/>
      <c r="B95" s="50"/>
      <c r="C95" s="48"/>
      <c r="D95" s="48"/>
      <c r="E95" s="48"/>
      <c r="F95" s="48"/>
      <c r="G95" s="48"/>
      <c r="H95" s="48"/>
      <c r="I95" s="48"/>
      <c r="J95" s="48"/>
      <c r="K95" s="48"/>
    </row>
    <row r="96" spans="1:11" ht="12.95" customHeight="1">
      <c r="A96" s="48"/>
      <c r="B96" s="47" t="s">
        <v>169</v>
      </c>
      <c r="C96" s="48"/>
      <c r="D96" s="48"/>
      <c r="E96" s="48"/>
      <c r="F96" s="48"/>
      <c r="G96" s="48"/>
      <c r="H96" s="48"/>
      <c r="I96" s="48"/>
      <c r="J96" s="48"/>
      <c r="K96" s="48"/>
    </row>
    <row r="97" spans="1:11" ht="12.95" customHeight="1">
      <c r="A97" s="48"/>
      <c r="B97" s="47" t="s">
        <v>170</v>
      </c>
      <c r="C97" s="48"/>
      <c r="D97" s="48"/>
      <c r="E97" s="48"/>
      <c r="F97" s="48"/>
      <c r="G97" s="48"/>
      <c r="H97" s="48"/>
      <c r="I97" s="48"/>
      <c r="J97" s="48"/>
      <c r="K97" s="48"/>
    </row>
    <row r="98" spans="1:11" ht="12.95" customHeight="1">
      <c r="A98" s="48"/>
      <c r="B98" s="43" t="s">
        <v>4319</v>
      </c>
      <c r="C98" s="48"/>
      <c r="D98" s="48"/>
      <c r="E98" s="48"/>
      <c r="F98" s="48"/>
      <c r="G98" s="48"/>
      <c r="H98" s="48"/>
      <c r="I98" s="48"/>
      <c r="J98" s="48"/>
      <c r="K98" s="48"/>
    </row>
    <row r="99" spans="1:11" ht="12.95" customHeight="1">
      <c r="A99" s="48"/>
      <c r="B99" s="43" t="s">
        <v>4320</v>
      </c>
      <c r="C99" s="48"/>
      <c r="D99" s="48"/>
      <c r="E99" s="48"/>
      <c r="F99" s="48"/>
      <c r="G99" s="48"/>
      <c r="H99" s="48"/>
      <c r="I99" s="48"/>
      <c r="J99" s="48"/>
      <c r="K99" s="48"/>
    </row>
    <row r="100" spans="1:11" ht="26.1" customHeight="1">
      <c r="A100" s="48"/>
      <c r="B100" s="92" t="s">
        <v>171</v>
      </c>
      <c r="C100" s="92"/>
      <c r="D100" s="92"/>
      <c r="E100" s="92"/>
      <c r="F100" s="92"/>
      <c r="G100" s="92"/>
      <c r="H100" s="92"/>
      <c r="I100" s="92"/>
      <c r="J100" s="48"/>
      <c r="K100" s="48"/>
    </row>
    <row r="101" spans="1:11" ht="12.95" customHeight="1">
      <c r="A101" s="48"/>
      <c r="B101" s="92" t="s">
        <v>4284</v>
      </c>
      <c r="C101" s="92"/>
      <c r="D101" s="92"/>
      <c r="E101" s="92"/>
      <c r="F101" s="92"/>
      <c r="G101" s="92"/>
      <c r="H101" s="92"/>
      <c r="I101" s="92"/>
      <c r="J101" s="48"/>
      <c r="K101" s="48"/>
    </row>
    <row r="102" spans="1:11" ht="12.95" customHeight="1">
      <c r="A102" s="48"/>
      <c r="B102" s="43" t="s">
        <v>4285</v>
      </c>
      <c r="C102" s="47"/>
      <c r="D102" s="47"/>
      <c r="E102" s="47"/>
      <c r="F102" s="47"/>
      <c r="G102" s="47"/>
      <c r="H102" s="47"/>
      <c r="I102" s="47"/>
      <c r="J102" s="48"/>
      <c r="K102" s="48"/>
    </row>
    <row r="103" spans="1:11" ht="12.95" customHeight="1">
      <c r="A103" s="48"/>
      <c r="B103" s="47"/>
      <c r="C103" s="47"/>
      <c r="D103" s="47"/>
      <c r="E103" s="47"/>
      <c r="F103" s="47"/>
      <c r="G103" s="47"/>
      <c r="H103" s="47"/>
      <c r="I103" s="47"/>
      <c r="J103" s="48"/>
      <c r="K103" s="48"/>
    </row>
    <row r="104" spans="1:11" ht="12.95" customHeight="1">
      <c r="A104" s="48"/>
      <c r="B104" s="92"/>
      <c r="C104" s="92"/>
      <c r="D104" s="92"/>
      <c r="E104" s="92"/>
      <c r="F104" s="92"/>
      <c r="G104" s="92"/>
      <c r="H104" s="92"/>
      <c r="I104" s="92"/>
      <c r="J104" s="48"/>
      <c r="K104" s="48"/>
    </row>
    <row r="105" spans="1:11" ht="12.95" customHeight="1">
      <c r="A105" s="48"/>
      <c r="B105" s="48"/>
      <c r="C105" s="90" t="s">
        <v>2398</v>
      </c>
      <c r="D105" s="90"/>
      <c r="E105" s="90"/>
      <c r="F105" s="90"/>
      <c r="G105" s="48"/>
      <c r="H105" s="48"/>
      <c r="I105" s="48"/>
      <c r="J105" s="48"/>
      <c r="K105" s="48"/>
    </row>
    <row r="106" spans="1:11" ht="12.95" customHeight="1">
      <c r="A106" s="48"/>
      <c r="B106" s="84" t="s">
        <v>173</v>
      </c>
      <c r="C106" s="90" t="s">
        <v>174</v>
      </c>
      <c r="D106" s="90"/>
      <c r="E106" s="90"/>
      <c r="F106" s="90"/>
      <c r="G106" s="48"/>
      <c r="H106" s="48"/>
      <c r="I106" s="48"/>
      <c r="J106" s="48"/>
      <c r="K106" s="48"/>
    </row>
    <row r="107" spans="1:11" ht="120.95" customHeight="1">
      <c r="A107" s="48"/>
      <c r="B107" s="48"/>
      <c r="C107" s="91"/>
      <c r="D107" s="91"/>
      <c r="E107" s="48"/>
      <c r="F107" s="48"/>
      <c r="G107" s="48"/>
      <c r="H107" s="48"/>
      <c r="I107" s="48"/>
      <c r="J107" s="48"/>
      <c r="K107" s="48"/>
    </row>
  </sheetData>
  <mergeCells count="6">
    <mergeCell ref="C106:F106"/>
    <mergeCell ref="C107:D107"/>
    <mergeCell ref="B100:I100"/>
    <mergeCell ref="B101:I101"/>
    <mergeCell ref="B104:I104"/>
    <mergeCell ref="C105:F105"/>
  </mergeCells>
  <hyperlinks>
    <hyperlink ref="A1" location="AxisESGEquityFund" display="AXISESG" xr:uid="{E63606F5-1DBB-4900-8209-268ED76CEF02}"/>
    <hyperlink ref="B1" location="AxisESGEquityFund" display="Axis ESG Equity Fund" xr:uid="{BD8D417C-6F55-4BAC-AE64-08E965872EE2}"/>
  </hyperlinks>
  <pageMargins left="0" right="0" top="0" bottom="0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48</v>
      </c>
      <c r="B1" s="4" t="s">
        <v>49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2399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18" t="s">
        <v>2400</v>
      </c>
      <c r="B6" s="19" t="s">
        <v>2401</v>
      </c>
      <c r="C6" s="15"/>
      <c r="D6" s="15"/>
      <c r="E6" s="20">
        <v>5225.9744000000001</v>
      </c>
      <c r="F6" s="21">
        <v>3707.1786999999999</v>
      </c>
      <c r="G6" s="22">
        <v>0.97519999999999996</v>
      </c>
      <c r="H6" s="23"/>
      <c r="I6" s="24"/>
      <c r="J6" s="5"/>
    </row>
    <row r="7" spans="1:10" ht="12.95" customHeight="1">
      <c r="A7" s="5"/>
      <c r="B7" s="14" t="s">
        <v>160</v>
      </c>
      <c r="C7" s="15"/>
      <c r="D7" s="15"/>
      <c r="E7" s="15"/>
      <c r="F7" s="25">
        <v>3707.1786999999999</v>
      </c>
      <c r="G7" s="26">
        <v>0.97519999999999996</v>
      </c>
      <c r="H7" s="27"/>
      <c r="I7" s="28"/>
      <c r="J7" s="5"/>
    </row>
    <row r="8" spans="1:10" ht="12.95" customHeight="1">
      <c r="A8" s="5"/>
      <c r="B8" s="29" t="s">
        <v>163</v>
      </c>
      <c r="C8" s="30"/>
      <c r="D8" s="2"/>
      <c r="E8" s="30"/>
      <c r="F8" s="25">
        <v>3707.1786999999999</v>
      </c>
      <c r="G8" s="26">
        <v>0.97519999999999996</v>
      </c>
      <c r="H8" s="27"/>
      <c r="I8" s="28"/>
      <c r="J8" s="5"/>
    </row>
    <row r="9" spans="1:10" ht="12.95" customHeight="1">
      <c r="A9" s="5"/>
      <c r="B9" s="14" t="s">
        <v>164</v>
      </c>
      <c r="C9" s="15"/>
      <c r="D9" s="15"/>
      <c r="E9" s="15"/>
      <c r="F9" s="15"/>
      <c r="G9" s="15"/>
      <c r="H9" s="16"/>
      <c r="I9" s="17"/>
      <c r="J9" s="5"/>
    </row>
    <row r="10" spans="1:10" ht="12.95" customHeight="1">
      <c r="A10" s="18" t="s">
        <v>165</v>
      </c>
      <c r="B10" s="19" t="s">
        <v>166</v>
      </c>
      <c r="C10" s="15"/>
      <c r="D10" s="15"/>
      <c r="E10" s="42"/>
      <c r="F10" s="21">
        <v>7.4272</v>
      </c>
      <c r="G10" s="22">
        <v>2E-3</v>
      </c>
      <c r="H10" s="23">
        <v>6.7997364811565306E-2</v>
      </c>
      <c r="I10" s="24"/>
      <c r="J10" s="5"/>
    </row>
    <row r="11" spans="1:10" ht="12.95" customHeight="1">
      <c r="A11" s="5"/>
      <c r="B11" s="14" t="s">
        <v>160</v>
      </c>
      <c r="C11" s="15"/>
      <c r="D11" s="15"/>
      <c r="E11" s="15"/>
      <c r="F11" s="25">
        <v>7.4272</v>
      </c>
      <c r="G11" s="26">
        <v>2E-3</v>
      </c>
      <c r="H11" s="27"/>
      <c r="I11" s="28"/>
      <c r="J11" s="5"/>
    </row>
    <row r="12" spans="1:10" ht="12.95" customHeight="1">
      <c r="A12" s="5"/>
      <c r="B12" s="29" t="s">
        <v>163</v>
      </c>
      <c r="C12" s="30"/>
      <c r="D12" s="2"/>
      <c r="E12" s="30"/>
      <c r="F12" s="25">
        <v>7.4272</v>
      </c>
      <c r="G12" s="26">
        <v>2E-3</v>
      </c>
      <c r="H12" s="27"/>
      <c r="I12" s="28"/>
      <c r="J12" s="5"/>
    </row>
    <row r="13" spans="1:10" ht="12.95" customHeight="1">
      <c r="A13" s="5"/>
      <c r="B13" s="29" t="s">
        <v>167</v>
      </c>
      <c r="C13" s="15"/>
      <c r="D13" s="2"/>
      <c r="E13" s="15"/>
      <c r="F13" s="31">
        <v>86.774100000000004</v>
      </c>
      <c r="G13" s="26">
        <v>2.2800000000000001E-2</v>
      </c>
      <c r="H13" s="27"/>
      <c r="I13" s="28"/>
      <c r="J13" s="5"/>
    </row>
    <row r="14" spans="1:10" ht="12.95" customHeight="1">
      <c r="A14" s="5"/>
      <c r="B14" s="32" t="s">
        <v>168</v>
      </c>
      <c r="C14" s="33"/>
      <c r="D14" s="33"/>
      <c r="E14" s="33"/>
      <c r="F14" s="34">
        <v>3801.38</v>
      </c>
      <c r="G14" s="35">
        <v>1</v>
      </c>
      <c r="H14" s="36"/>
      <c r="I14" s="37"/>
      <c r="J14" s="5"/>
    </row>
    <row r="15" spans="1:10" ht="12.95" customHeight="1">
      <c r="A15" s="5"/>
      <c r="B15" s="7"/>
      <c r="C15" s="5"/>
      <c r="D15" s="5"/>
      <c r="E15" s="5"/>
      <c r="F15" s="5"/>
      <c r="G15" s="5"/>
      <c r="H15" s="5"/>
      <c r="I15" s="5"/>
      <c r="J15" s="5"/>
    </row>
    <row r="16" spans="1:10" ht="12.95" customHeight="1">
      <c r="A16" s="5"/>
      <c r="B16" s="4" t="s">
        <v>169</v>
      </c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170</v>
      </c>
      <c r="C17" s="5"/>
      <c r="D17" s="5"/>
      <c r="E17" s="5"/>
      <c r="F17" s="5"/>
      <c r="G17" s="5"/>
      <c r="H17" s="5"/>
      <c r="I17" s="5"/>
      <c r="J17" s="5"/>
    </row>
    <row r="18" spans="1:10" ht="26.1" customHeight="1">
      <c r="A18" s="5"/>
      <c r="B18" s="86" t="s">
        <v>171</v>
      </c>
      <c r="C18" s="86"/>
      <c r="D18" s="86"/>
      <c r="E18" s="86"/>
      <c r="F18" s="86"/>
      <c r="G18" s="86"/>
      <c r="H18" s="86"/>
      <c r="I18" s="86"/>
      <c r="J18" s="5"/>
    </row>
    <row r="19" spans="1:10" ht="12.95" customHeight="1">
      <c r="A19" s="5"/>
      <c r="B19" s="86"/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9" t="s">
        <v>2402</v>
      </c>
      <c r="C20" s="89"/>
      <c r="D20" s="89"/>
      <c r="E20" s="89"/>
      <c r="F20" s="5"/>
      <c r="G20" s="5"/>
      <c r="H20" s="5"/>
      <c r="I20" s="5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2403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7">
    <mergeCell ref="C23:F23"/>
    <mergeCell ref="C24:D24"/>
    <mergeCell ref="B18:I18"/>
    <mergeCell ref="B19:I19"/>
    <mergeCell ref="B20:E20"/>
    <mergeCell ref="B21:I21"/>
    <mergeCell ref="C22:F22"/>
  </mergeCells>
  <hyperlinks>
    <hyperlink ref="A1" location="AxisSilverETF" display="AXISETS" xr:uid="{00000000-0004-0000-1700-000000000000}"/>
    <hyperlink ref="B1" location="AxisSilverETF" display="Axis Silver ETF" xr:uid="{00000000-0004-0000-1700-000001000000}"/>
  </hyperlinks>
  <pageMargins left="0" right="0" top="0" bottom="0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J6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50</v>
      </c>
      <c r="B1" s="4" t="s">
        <v>51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1727374</v>
      </c>
      <c r="F7" s="21">
        <v>134920.86470000001</v>
      </c>
      <c r="G7" s="22">
        <v>9.3799999999999994E-2</v>
      </c>
      <c r="H7" s="40"/>
      <c r="I7" s="24"/>
      <c r="J7" s="5"/>
    </row>
    <row r="8" spans="1:10" ht="12.95" customHeight="1">
      <c r="A8" s="18" t="s">
        <v>766</v>
      </c>
      <c r="B8" s="19" t="s">
        <v>767</v>
      </c>
      <c r="C8" s="15" t="s">
        <v>768</v>
      </c>
      <c r="D8" s="15" t="s">
        <v>403</v>
      </c>
      <c r="E8" s="20">
        <v>3432452</v>
      </c>
      <c r="F8" s="21">
        <v>126163.20570000001</v>
      </c>
      <c r="G8" s="22">
        <v>8.7800000000000003E-2</v>
      </c>
      <c r="H8" s="40"/>
      <c r="I8" s="24"/>
      <c r="J8" s="5"/>
    </row>
    <row r="9" spans="1:10" ht="12.95" customHeight="1">
      <c r="A9" s="18" t="s">
        <v>260</v>
      </c>
      <c r="B9" s="19" t="s">
        <v>261</v>
      </c>
      <c r="C9" s="15" t="s">
        <v>262</v>
      </c>
      <c r="D9" s="15" t="s">
        <v>263</v>
      </c>
      <c r="E9" s="20">
        <v>3032172</v>
      </c>
      <c r="F9" s="21">
        <v>106993.2212</v>
      </c>
      <c r="G9" s="22">
        <v>7.4399999999999994E-2</v>
      </c>
      <c r="H9" s="40"/>
      <c r="I9" s="24"/>
      <c r="J9" s="5"/>
    </row>
    <row r="10" spans="1:10" ht="12.95" customHeight="1">
      <c r="A10" s="18" t="s">
        <v>1776</v>
      </c>
      <c r="B10" s="19" t="s">
        <v>1777</v>
      </c>
      <c r="C10" s="15" t="s">
        <v>1778</v>
      </c>
      <c r="D10" s="15" t="s">
        <v>314</v>
      </c>
      <c r="E10" s="20">
        <v>3859472</v>
      </c>
      <c r="F10" s="21">
        <v>94151.819399999993</v>
      </c>
      <c r="G10" s="22">
        <v>6.5500000000000003E-2</v>
      </c>
      <c r="H10" s="40"/>
      <c r="I10" s="24"/>
      <c r="J10" s="5"/>
    </row>
    <row r="11" spans="1:10" ht="12.95" customHeight="1">
      <c r="A11" s="18" t="s">
        <v>839</v>
      </c>
      <c r="B11" s="19" t="s">
        <v>840</v>
      </c>
      <c r="C11" s="15" t="s">
        <v>841</v>
      </c>
      <c r="D11" s="15" t="s">
        <v>745</v>
      </c>
      <c r="E11" s="20">
        <v>2139049</v>
      </c>
      <c r="F11" s="21">
        <v>80538.403399999996</v>
      </c>
      <c r="G11" s="22">
        <v>5.6000000000000001E-2</v>
      </c>
      <c r="H11" s="40"/>
      <c r="I11" s="24"/>
      <c r="J11" s="5"/>
    </row>
    <row r="12" spans="1:10" ht="12.95" customHeight="1">
      <c r="A12" s="18" t="s">
        <v>809</v>
      </c>
      <c r="B12" s="19" t="s">
        <v>810</v>
      </c>
      <c r="C12" s="15" t="s">
        <v>811</v>
      </c>
      <c r="D12" s="15" t="s">
        <v>403</v>
      </c>
      <c r="E12" s="20">
        <v>1797742</v>
      </c>
      <c r="F12" s="21">
        <v>74881.347500000003</v>
      </c>
      <c r="G12" s="22">
        <v>5.21E-2</v>
      </c>
      <c r="H12" s="40"/>
      <c r="I12" s="24"/>
      <c r="J12" s="5"/>
    </row>
    <row r="13" spans="1:10" ht="12.95" customHeight="1">
      <c r="A13" s="18" t="s">
        <v>749</v>
      </c>
      <c r="B13" s="19" t="s">
        <v>750</v>
      </c>
      <c r="C13" s="15" t="s">
        <v>751</v>
      </c>
      <c r="D13" s="15" t="s">
        <v>255</v>
      </c>
      <c r="E13" s="20">
        <v>3894424</v>
      </c>
      <c r="F13" s="21">
        <v>59983.865700000002</v>
      </c>
      <c r="G13" s="22">
        <v>4.1700000000000001E-2</v>
      </c>
      <c r="H13" s="40"/>
      <c r="I13" s="24"/>
      <c r="J13" s="5"/>
    </row>
    <row r="14" spans="1:10" ht="12.95" customHeight="1">
      <c r="A14" s="18" t="s">
        <v>353</v>
      </c>
      <c r="B14" s="19" t="s">
        <v>354</v>
      </c>
      <c r="C14" s="15" t="s">
        <v>355</v>
      </c>
      <c r="D14" s="15" t="s">
        <v>267</v>
      </c>
      <c r="E14" s="20">
        <v>215283</v>
      </c>
      <c r="F14" s="21">
        <v>54821.815999999999</v>
      </c>
      <c r="G14" s="22">
        <v>3.8100000000000002E-2</v>
      </c>
      <c r="H14" s="40"/>
      <c r="I14" s="24"/>
      <c r="J14" s="5"/>
    </row>
    <row r="15" spans="1:10" ht="12.95" customHeight="1">
      <c r="A15" s="18" t="s">
        <v>248</v>
      </c>
      <c r="B15" s="19" t="s">
        <v>249</v>
      </c>
      <c r="C15" s="15" t="s">
        <v>250</v>
      </c>
      <c r="D15" s="15" t="s">
        <v>251</v>
      </c>
      <c r="E15" s="20">
        <v>2232716</v>
      </c>
      <c r="F15" s="21">
        <v>52357.190199999997</v>
      </c>
      <c r="G15" s="22">
        <v>3.6400000000000002E-2</v>
      </c>
      <c r="H15" s="40"/>
      <c r="I15" s="24"/>
      <c r="J15" s="5"/>
    </row>
    <row r="16" spans="1:10" ht="12.95" customHeight="1">
      <c r="A16" s="18" t="s">
        <v>2258</v>
      </c>
      <c r="B16" s="19" t="s">
        <v>2259</v>
      </c>
      <c r="C16" s="15" t="s">
        <v>2260</v>
      </c>
      <c r="D16" s="15" t="s">
        <v>291</v>
      </c>
      <c r="E16" s="20">
        <v>7023691</v>
      </c>
      <c r="F16" s="21">
        <v>51869.957999999999</v>
      </c>
      <c r="G16" s="22">
        <v>3.61E-2</v>
      </c>
      <c r="H16" s="40"/>
      <c r="I16" s="24"/>
      <c r="J16" s="5"/>
    </row>
    <row r="17" spans="1:10" ht="12.95" customHeight="1">
      <c r="A17" s="18" t="s">
        <v>318</v>
      </c>
      <c r="B17" s="19" t="s">
        <v>319</v>
      </c>
      <c r="C17" s="15" t="s">
        <v>320</v>
      </c>
      <c r="D17" s="15" t="s">
        <v>263</v>
      </c>
      <c r="E17" s="20">
        <v>984297</v>
      </c>
      <c r="F17" s="21">
        <v>51280.397299999997</v>
      </c>
      <c r="G17" s="22">
        <v>3.5700000000000003E-2</v>
      </c>
      <c r="H17" s="40"/>
      <c r="I17" s="24"/>
      <c r="J17" s="5"/>
    </row>
    <row r="18" spans="1:10" ht="12.95" customHeight="1">
      <c r="A18" s="18" t="s">
        <v>829</v>
      </c>
      <c r="B18" s="19" t="s">
        <v>830</v>
      </c>
      <c r="C18" s="15" t="s">
        <v>831</v>
      </c>
      <c r="D18" s="15" t="s">
        <v>832</v>
      </c>
      <c r="E18" s="20">
        <v>1412225</v>
      </c>
      <c r="F18" s="21">
        <v>48764.129300000001</v>
      </c>
      <c r="G18" s="22">
        <v>3.39E-2</v>
      </c>
      <c r="H18" s="40"/>
      <c r="I18" s="24"/>
      <c r="J18" s="5"/>
    </row>
    <row r="19" spans="1:10" ht="12.95" customHeight="1">
      <c r="A19" s="18" t="s">
        <v>268</v>
      </c>
      <c r="B19" s="19" t="s">
        <v>269</v>
      </c>
      <c r="C19" s="15" t="s">
        <v>270</v>
      </c>
      <c r="D19" s="15" t="s">
        <v>271</v>
      </c>
      <c r="E19" s="20">
        <v>4407268</v>
      </c>
      <c r="F19" s="21">
        <v>41952.784099999997</v>
      </c>
      <c r="G19" s="22">
        <v>2.92E-2</v>
      </c>
      <c r="H19" s="40"/>
      <c r="I19" s="24"/>
      <c r="J19" s="5"/>
    </row>
    <row r="20" spans="1:10" ht="12.95" customHeight="1">
      <c r="A20" s="18" t="s">
        <v>256</v>
      </c>
      <c r="B20" s="19" t="s">
        <v>257</v>
      </c>
      <c r="C20" s="15" t="s">
        <v>258</v>
      </c>
      <c r="D20" s="15" t="s">
        <v>259</v>
      </c>
      <c r="E20" s="20">
        <v>7157592</v>
      </c>
      <c r="F20" s="21">
        <v>41757.3917</v>
      </c>
      <c r="G20" s="22">
        <v>2.9000000000000001E-2</v>
      </c>
      <c r="H20" s="40"/>
      <c r="I20" s="24"/>
      <c r="J20" s="5"/>
    </row>
    <row r="21" spans="1:10" ht="12.95" customHeight="1">
      <c r="A21" s="18" t="s">
        <v>690</v>
      </c>
      <c r="B21" s="19" t="s">
        <v>691</v>
      </c>
      <c r="C21" s="15" t="s">
        <v>692</v>
      </c>
      <c r="D21" s="15" t="s">
        <v>271</v>
      </c>
      <c r="E21" s="20">
        <v>2381649</v>
      </c>
      <c r="F21" s="21">
        <v>41338.2817</v>
      </c>
      <c r="G21" s="22">
        <v>2.8799999999999999E-2</v>
      </c>
      <c r="H21" s="40"/>
      <c r="I21" s="24"/>
      <c r="J21" s="5"/>
    </row>
    <row r="22" spans="1:10" ht="12.95" customHeight="1">
      <c r="A22" s="18" t="s">
        <v>321</v>
      </c>
      <c r="B22" s="19" t="s">
        <v>322</v>
      </c>
      <c r="C22" s="15" t="s">
        <v>323</v>
      </c>
      <c r="D22" s="15" t="s">
        <v>324</v>
      </c>
      <c r="E22" s="20">
        <v>1220144</v>
      </c>
      <c r="F22" s="21">
        <v>38569.361900000004</v>
      </c>
      <c r="G22" s="22">
        <v>2.6800000000000001E-2</v>
      </c>
      <c r="H22" s="40"/>
      <c r="I22" s="24"/>
      <c r="J22" s="5"/>
    </row>
    <row r="23" spans="1:10" ht="12.95" customHeight="1">
      <c r="A23" s="18" t="s">
        <v>282</v>
      </c>
      <c r="B23" s="19" t="s">
        <v>283</v>
      </c>
      <c r="C23" s="15" t="s">
        <v>284</v>
      </c>
      <c r="D23" s="15" t="s">
        <v>271</v>
      </c>
      <c r="E23" s="20">
        <v>2093292</v>
      </c>
      <c r="F23" s="21">
        <v>31949.915799999999</v>
      </c>
      <c r="G23" s="22">
        <v>2.2200000000000001E-2</v>
      </c>
      <c r="H23" s="40"/>
      <c r="I23" s="24"/>
      <c r="J23" s="5"/>
    </row>
    <row r="24" spans="1:10" ht="12.95" customHeight="1">
      <c r="A24" s="18" t="s">
        <v>775</v>
      </c>
      <c r="B24" s="19" t="s">
        <v>776</v>
      </c>
      <c r="C24" s="15" t="s">
        <v>777</v>
      </c>
      <c r="D24" s="15" t="s">
        <v>778</v>
      </c>
      <c r="E24" s="20">
        <v>593270</v>
      </c>
      <c r="F24" s="21">
        <v>30480.7294</v>
      </c>
      <c r="G24" s="22">
        <v>2.12E-2</v>
      </c>
      <c r="H24" s="40"/>
      <c r="I24" s="24"/>
      <c r="J24" s="5"/>
    </row>
    <row r="25" spans="1:10" ht="12.95" customHeight="1">
      <c r="A25" s="18" t="s">
        <v>848</v>
      </c>
      <c r="B25" s="19" t="s">
        <v>849</v>
      </c>
      <c r="C25" s="15" t="s">
        <v>850</v>
      </c>
      <c r="D25" s="15" t="s">
        <v>255</v>
      </c>
      <c r="E25" s="20">
        <v>2086069</v>
      </c>
      <c r="F25" s="21">
        <v>25398.933099999998</v>
      </c>
      <c r="G25" s="22">
        <v>1.77E-2</v>
      </c>
      <c r="H25" s="40"/>
      <c r="I25" s="24"/>
      <c r="J25" s="5"/>
    </row>
    <row r="26" spans="1:10" ht="12.95" customHeight="1">
      <c r="A26" s="18" t="s">
        <v>359</v>
      </c>
      <c r="B26" s="19" t="s">
        <v>360</v>
      </c>
      <c r="C26" s="15" t="s">
        <v>361</v>
      </c>
      <c r="D26" s="15" t="s">
        <v>255</v>
      </c>
      <c r="E26" s="20">
        <v>6052716</v>
      </c>
      <c r="F26" s="21">
        <v>13993.8794</v>
      </c>
      <c r="G26" s="22">
        <v>9.7000000000000003E-3</v>
      </c>
      <c r="H26" s="40"/>
      <c r="I26" s="24"/>
      <c r="J26" s="5"/>
    </row>
    <row r="27" spans="1:10" ht="12.95" customHeight="1">
      <c r="A27" s="18" t="s">
        <v>338</v>
      </c>
      <c r="B27" s="19" t="s">
        <v>339</v>
      </c>
      <c r="C27" s="15" t="s">
        <v>340</v>
      </c>
      <c r="D27" s="15" t="s">
        <v>334</v>
      </c>
      <c r="E27" s="20">
        <v>1000000</v>
      </c>
      <c r="F27" s="21">
        <v>5309</v>
      </c>
      <c r="G27" s="22">
        <v>3.7000000000000002E-3</v>
      </c>
      <c r="H27" s="40"/>
      <c r="I27" s="24"/>
      <c r="J27" s="5"/>
    </row>
    <row r="28" spans="1:10" ht="12.95" customHeight="1">
      <c r="A28" s="18" t="s">
        <v>763</v>
      </c>
      <c r="B28" s="19" t="s">
        <v>764</v>
      </c>
      <c r="C28" s="15" t="s">
        <v>765</v>
      </c>
      <c r="D28" s="15" t="s">
        <v>281</v>
      </c>
      <c r="E28" s="20">
        <v>100000</v>
      </c>
      <c r="F28" s="21">
        <v>5063.7</v>
      </c>
      <c r="G28" s="22">
        <v>3.5000000000000001E-3</v>
      </c>
      <c r="H28" s="40"/>
      <c r="I28" s="24"/>
      <c r="J28" s="5"/>
    </row>
    <row r="29" spans="1:10" ht="12.95" customHeight="1">
      <c r="A29" s="18" t="s">
        <v>2404</v>
      </c>
      <c r="B29" s="19" t="s">
        <v>2405</v>
      </c>
      <c r="C29" s="15" t="s">
        <v>2406</v>
      </c>
      <c r="D29" s="15" t="s">
        <v>314</v>
      </c>
      <c r="E29" s="20">
        <v>8321</v>
      </c>
      <c r="F29" s="21">
        <v>495.41570000000002</v>
      </c>
      <c r="G29" s="22">
        <v>2.9999999999999997E-4</v>
      </c>
      <c r="H29" s="40"/>
      <c r="I29" s="24"/>
      <c r="J29" s="5"/>
    </row>
    <row r="30" spans="1:10" ht="12.95" customHeight="1">
      <c r="A30" s="5"/>
      <c r="B30" s="14" t="s">
        <v>160</v>
      </c>
      <c r="C30" s="15"/>
      <c r="D30" s="15"/>
      <c r="E30" s="15"/>
      <c r="F30" s="25">
        <v>1213035.6111999999</v>
      </c>
      <c r="G30" s="26">
        <v>0.84370000000000001</v>
      </c>
      <c r="H30" s="27"/>
      <c r="I30" s="28"/>
      <c r="J30" s="5"/>
    </row>
    <row r="31" spans="1:10" ht="12.95" customHeight="1">
      <c r="A31" s="5"/>
      <c r="B31" s="29" t="s">
        <v>408</v>
      </c>
      <c r="C31" s="2"/>
      <c r="D31" s="2"/>
      <c r="E31" s="2"/>
      <c r="F31" s="27" t="s">
        <v>162</v>
      </c>
      <c r="G31" s="27" t="s">
        <v>162</v>
      </c>
      <c r="H31" s="27"/>
      <c r="I31" s="28"/>
      <c r="J31" s="5"/>
    </row>
    <row r="32" spans="1:10" ht="12.95" customHeight="1">
      <c r="A32" s="5"/>
      <c r="B32" s="29" t="s">
        <v>160</v>
      </c>
      <c r="C32" s="2"/>
      <c r="D32" s="2"/>
      <c r="E32" s="2"/>
      <c r="F32" s="27" t="s">
        <v>162</v>
      </c>
      <c r="G32" s="27" t="s">
        <v>162</v>
      </c>
      <c r="H32" s="27"/>
      <c r="I32" s="28"/>
      <c r="J32" s="5"/>
    </row>
    <row r="33" spans="1:10" ht="12.95" customHeight="1">
      <c r="A33" s="5"/>
      <c r="B33" s="29" t="s">
        <v>163</v>
      </c>
      <c r="C33" s="30"/>
      <c r="D33" s="2"/>
      <c r="E33" s="30"/>
      <c r="F33" s="25">
        <v>1213035.6111999999</v>
      </c>
      <c r="G33" s="26">
        <v>0.84370000000000001</v>
      </c>
      <c r="H33" s="27"/>
      <c r="I33" s="28"/>
      <c r="J33" s="5"/>
    </row>
    <row r="34" spans="1:10" ht="12.95" customHeight="1">
      <c r="A34" s="5"/>
      <c r="B34" s="14" t="s">
        <v>409</v>
      </c>
      <c r="C34" s="15"/>
      <c r="D34" s="15"/>
      <c r="E34" s="15"/>
      <c r="F34" s="15"/>
      <c r="G34" s="15"/>
      <c r="H34" s="16"/>
      <c r="I34" s="17"/>
      <c r="J34" s="5"/>
    </row>
    <row r="35" spans="1:10" ht="12.95" customHeight="1">
      <c r="A35" s="5"/>
      <c r="B35" s="14" t="s">
        <v>410</v>
      </c>
      <c r="C35" s="15"/>
      <c r="D35" s="15"/>
      <c r="E35" s="15"/>
      <c r="F35" s="5"/>
      <c r="G35" s="16"/>
      <c r="H35" s="16"/>
      <c r="I35" s="17"/>
      <c r="J35" s="5"/>
    </row>
    <row r="36" spans="1:10" ht="12.95" customHeight="1">
      <c r="A36" s="18" t="s">
        <v>2080</v>
      </c>
      <c r="B36" s="19" t="s">
        <v>2081</v>
      </c>
      <c r="C36" s="15"/>
      <c r="D36" s="15"/>
      <c r="E36" s="20">
        <v>929500</v>
      </c>
      <c r="F36" s="21">
        <v>47221.853300000002</v>
      </c>
      <c r="G36" s="22">
        <v>3.2800000000000003E-2</v>
      </c>
      <c r="H36" s="40"/>
      <c r="I36" s="24"/>
      <c r="J36" s="5"/>
    </row>
    <row r="37" spans="1:10" ht="12.95" customHeight="1">
      <c r="A37" s="18" t="s">
        <v>1643</v>
      </c>
      <c r="B37" s="19" t="s">
        <v>1644</v>
      </c>
      <c r="C37" s="15"/>
      <c r="D37" s="15"/>
      <c r="E37" s="20">
        <v>3915800</v>
      </c>
      <c r="F37" s="21">
        <v>37448.753299999997</v>
      </c>
      <c r="G37" s="22">
        <v>2.5999999999999999E-2</v>
      </c>
      <c r="H37" s="40"/>
      <c r="I37" s="24"/>
      <c r="J37" s="5"/>
    </row>
    <row r="38" spans="1:10" ht="12.95" customHeight="1">
      <c r="A38" s="18" t="s">
        <v>2407</v>
      </c>
      <c r="B38" s="19" t="s">
        <v>2408</v>
      </c>
      <c r="C38" s="15"/>
      <c r="D38" s="15"/>
      <c r="E38" s="20">
        <v>2236250</v>
      </c>
      <c r="F38" s="21">
        <v>27356.046300000002</v>
      </c>
      <c r="G38" s="22">
        <v>1.9E-2</v>
      </c>
      <c r="H38" s="40"/>
      <c r="I38" s="24"/>
      <c r="J38" s="5"/>
    </row>
    <row r="39" spans="1:10" ht="12.95" customHeight="1">
      <c r="A39" s="18" t="s">
        <v>2042</v>
      </c>
      <c r="B39" s="19" t="s">
        <v>2043</v>
      </c>
      <c r="C39" s="15"/>
      <c r="D39" s="15"/>
      <c r="E39" s="20">
        <v>4537500</v>
      </c>
      <c r="F39" s="21">
        <v>24243.862499999999</v>
      </c>
      <c r="G39" s="22">
        <v>1.6899999999999998E-2</v>
      </c>
      <c r="H39" s="40"/>
      <c r="I39" s="24"/>
      <c r="J39" s="5"/>
    </row>
    <row r="40" spans="1:10" ht="12.95" customHeight="1">
      <c r="A40" s="18" t="s">
        <v>2084</v>
      </c>
      <c r="B40" s="19" t="s">
        <v>2085</v>
      </c>
      <c r="C40" s="15"/>
      <c r="D40" s="15"/>
      <c r="E40" s="20">
        <v>635000</v>
      </c>
      <c r="F40" s="21">
        <v>22015.767500000002</v>
      </c>
      <c r="G40" s="22">
        <v>1.5299999999999999E-2</v>
      </c>
      <c r="H40" s="40"/>
      <c r="I40" s="24"/>
      <c r="J40" s="5"/>
    </row>
    <row r="41" spans="1:10" ht="12.95" customHeight="1">
      <c r="A41" s="18" t="s">
        <v>1922</v>
      </c>
      <c r="B41" s="19" t="s">
        <v>1923</v>
      </c>
      <c r="C41" s="15"/>
      <c r="D41" s="15"/>
      <c r="E41" s="20">
        <v>686400</v>
      </c>
      <c r="F41" s="21">
        <v>21830.608800000002</v>
      </c>
      <c r="G41" s="22">
        <v>1.52E-2</v>
      </c>
      <c r="H41" s="40"/>
      <c r="I41" s="24"/>
      <c r="J41" s="5"/>
    </row>
    <row r="42" spans="1:10" ht="12.95" customHeight="1">
      <c r="A42" s="18" t="s">
        <v>2060</v>
      </c>
      <c r="B42" s="19" t="s">
        <v>2061</v>
      </c>
      <c r="C42" s="15"/>
      <c r="D42" s="15"/>
      <c r="E42" s="20">
        <v>402750</v>
      </c>
      <c r="F42" s="21">
        <v>20784.517899999999</v>
      </c>
      <c r="G42" s="22">
        <v>1.4500000000000001E-2</v>
      </c>
      <c r="H42" s="40"/>
      <c r="I42" s="24"/>
      <c r="J42" s="5"/>
    </row>
    <row r="43" spans="1:10" ht="12.95" customHeight="1">
      <c r="A43" s="18" t="s">
        <v>1936</v>
      </c>
      <c r="B43" s="19" t="s">
        <v>1937</v>
      </c>
      <c r="C43" s="15"/>
      <c r="D43" s="15"/>
      <c r="E43" s="20">
        <v>28560</v>
      </c>
      <c r="F43" s="21">
        <v>6455.0883999999996</v>
      </c>
      <c r="G43" s="22">
        <v>4.4999999999999997E-3</v>
      </c>
      <c r="H43" s="40"/>
      <c r="I43" s="24"/>
      <c r="J43" s="5"/>
    </row>
    <row r="44" spans="1:10" ht="12.95" customHeight="1">
      <c r="A44" s="5"/>
      <c r="B44" s="14" t="s">
        <v>160</v>
      </c>
      <c r="C44" s="15"/>
      <c r="D44" s="15"/>
      <c r="E44" s="15"/>
      <c r="F44" s="25">
        <v>207356.49780000001</v>
      </c>
      <c r="G44" s="26">
        <v>0.14419999999999999</v>
      </c>
      <c r="H44" s="27"/>
      <c r="I44" s="28"/>
      <c r="J44" s="5"/>
    </row>
    <row r="45" spans="1:10" ht="12.95" customHeight="1">
      <c r="A45" s="5"/>
      <c r="B45" s="29" t="s">
        <v>163</v>
      </c>
      <c r="C45" s="30"/>
      <c r="D45" s="2"/>
      <c r="E45" s="30"/>
      <c r="F45" s="25">
        <v>207356.49780000001</v>
      </c>
      <c r="G45" s="26">
        <v>0.14419999999999999</v>
      </c>
      <c r="H45" s="27"/>
      <c r="I45" s="28"/>
      <c r="J45" s="5"/>
    </row>
    <row r="46" spans="1:10" ht="12.95" customHeight="1">
      <c r="A46" s="5"/>
      <c r="B46" s="14" t="s">
        <v>417</v>
      </c>
      <c r="C46" s="15"/>
      <c r="D46" s="15"/>
      <c r="E46" s="15"/>
      <c r="F46" s="15"/>
      <c r="G46" s="15"/>
      <c r="H46" s="16"/>
      <c r="I46" s="17"/>
      <c r="J46" s="5"/>
    </row>
    <row r="47" spans="1:10" ht="12.95" customHeight="1">
      <c r="A47" s="5"/>
      <c r="B47" s="14" t="s">
        <v>418</v>
      </c>
      <c r="C47" s="15"/>
      <c r="D47" s="15"/>
      <c r="E47" s="15"/>
      <c r="F47" s="5"/>
      <c r="G47" s="16"/>
      <c r="H47" s="16"/>
      <c r="I47" s="17"/>
      <c r="J47" s="5"/>
    </row>
    <row r="48" spans="1:10" ht="12.95" customHeight="1">
      <c r="A48" s="18" t="s">
        <v>2110</v>
      </c>
      <c r="B48" s="19" t="s">
        <v>2111</v>
      </c>
      <c r="C48" s="15" t="s">
        <v>2112</v>
      </c>
      <c r="D48" s="15" t="s">
        <v>156</v>
      </c>
      <c r="E48" s="20">
        <v>4500000</v>
      </c>
      <c r="F48" s="21">
        <v>4403.34</v>
      </c>
      <c r="G48" s="22">
        <v>3.0999999999999999E-3</v>
      </c>
      <c r="H48" s="23">
        <v>6.9072999999999996E-2</v>
      </c>
      <c r="I48" s="24"/>
      <c r="J48" s="5"/>
    </row>
    <row r="49" spans="1:10" ht="12.95" customHeight="1">
      <c r="A49" s="5"/>
      <c r="B49" s="14" t="s">
        <v>160</v>
      </c>
      <c r="C49" s="15"/>
      <c r="D49" s="15"/>
      <c r="E49" s="15"/>
      <c r="F49" s="25">
        <v>4403.34</v>
      </c>
      <c r="G49" s="26">
        <v>3.0999999999999999E-3</v>
      </c>
      <c r="H49" s="27"/>
      <c r="I49" s="28"/>
      <c r="J49" s="5"/>
    </row>
    <row r="50" spans="1:10" ht="12.95" customHeight="1">
      <c r="A50" s="5"/>
      <c r="B50" s="29" t="s">
        <v>163</v>
      </c>
      <c r="C50" s="30"/>
      <c r="D50" s="2"/>
      <c r="E50" s="30"/>
      <c r="F50" s="25">
        <v>4403.34</v>
      </c>
      <c r="G50" s="26">
        <v>3.0999999999999999E-3</v>
      </c>
      <c r="H50" s="27"/>
      <c r="I50" s="28"/>
      <c r="J50" s="5"/>
    </row>
    <row r="51" spans="1:10" ht="12.95" customHeight="1">
      <c r="A51" s="5"/>
      <c r="B51" s="14" t="s">
        <v>164</v>
      </c>
      <c r="C51" s="15"/>
      <c r="D51" s="15"/>
      <c r="E51" s="15"/>
      <c r="F51" s="15"/>
      <c r="G51" s="15"/>
      <c r="H51" s="16"/>
      <c r="I51" s="17"/>
      <c r="J51" s="5"/>
    </row>
    <row r="52" spans="1:10" ht="12.95" customHeight="1">
      <c r="A52" s="18" t="s">
        <v>165</v>
      </c>
      <c r="B52" s="19" t="s">
        <v>166</v>
      </c>
      <c r="C52" s="15"/>
      <c r="D52" s="15"/>
      <c r="E52" s="20"/>
      <c r="F52" s="21">
        <v>160604.33119999999</v>
      </c>
      <c r="G52" s="22">
        <v>0.11169999999999999</v>
      </c>
      <c r="H52" s="23">
        <v>6.7996829688028088E-2</v>
      </c>
      <c r="I52" s="24"/>
      <c r="J52" s="5"/>
    </row>
    <row r="53" spans="1:10" ht="12.95" customHeight="1">
      <c r="A53" s="5"/>
      <c r="B53" s="14" t="s">
        <v>160</v>
      </c>
      <c r="C53" s="15"/>
      <c r="D53" s="15"/>
      <c r="E53" s="15"/>
      <c r="F53" s="25">
        <v>160604.33119999999</v>
      </c>
      <c r="G53" s="26">
        <v>0.11169999999999999</v>
      </c>
      <c r="H53" s="27"/>
      <c r="I53" s="28"/>
      <c r="J53" s="5"/>
    </row>
    <row r="54" spans="1:10" ht="12.95" customHeight="1">
      <c r="A54" s="5"/>
      <c r="B54" s="29" t="s">
        <v>163</v>
      </c>
      <c r="C54" s="30"/>
      <c r="D54" s="2"/>
      <c r="E54" s="30"/>
      <c r="F54" s="25">
        <v>160604.33119999999</v>
      </c>
      <c r="G54" s="26">
        <v>0.11169999999999999</v>
      </c>
      <c r="H54" s="27"/>
      <c r="I54" s="28"/>
      <c r="J54" s="5"/>
    </row>
    <row r="55" spans="1:10" ht="12.95" customHeight="1">
      <c r="A55" s="5"/>
      <c r="B55" s="29" t="s">
        <v>167</v>
      </c>
      <c r="C55" s="15"/>
      <c r="D55" s="2"/>
      <c r="E55" s="15"/>
      <c r="F55" s="31">
        <v>-147657.20019999999</v>
      </c>
      <c r="G55" s="26">
        <v>-0.1027</v>
      </c>
      <c r="H55" s="27"/>
      <c r="I55" s="28"/>
      <c r="J55" s="5"/>
    </row>
    <row r="56" spans="1:10" ht="12.95" customHeight="1">
      <c r="A56" s="5"/>
      <c r="B56" s="32" t="s">
        <v>168</v>
      </c>
      <c r="C56" s="33"/>
      <c r="D56" s="33"/>
      <c r="E56" s="33"/>
      <c r="F56" s="34">
        <v>1437742.58</v>
      </c>
      <c r="G56" s="35">
        <v>1</v>
      </c>
      <c r="H56" s="36"/>
      <c r="I56" s="37"/>
      <c r="J56" s="5"/>
    </row>
    <row r="57" spans="1:10" ht="12.95" customHeight="1">
      <c r="A57" s="5"/>
      <c r="B57" s="7"/>
      <c r="C57" s="5"/>
      <c r="D57" s="5"/>
      <c r="E57" s="5"/>
      <c r="F57" s="5"/>
      <c r="G57" s="5"/>
      <c r="H57" s="5"/>
      <c r="I57" s="5"/>
      <c r="J57" s="5"/>
    </row>
    <row r="58" spans="1:10" ht="12.95" customHeight="1">
      <c r="A58" s="5"/>
      <c r="B58" s="4" t="s">
        <v>169</v>
      </c>
      <c r="C58" s="5"/>
      <c r="D58" s="5"/>
      <c r="E58" s="5"/>
      <c r="F58" s="5"/>
      <c r="G58" s="5"/>
      <c r="H58" s="5"/>
      <c r="I58" s="5"/>
      <c r="J58" s="5"/>
    </row>
    <row r="59" spans="1:10" ht="12.95" customHeight="1">
      <c r="A59" s="5"/>
      <c r="B59" s="4" t="s">
        <v>170</v>
      </c>
      <c r="C59" s="5"/>
      <c r="D59" s="5"/>
      <c r="E59" s="5"/>
      <c r="F59" s="5"/>
      <c r="G59" s="5"/>
      <c r="H59" s="5"/>
      <c r="I59" s="5"/>
      <c r="J59" s="5"/>
    </row>
    <row r="60" spans="1:10" ht="26.1" customHeight="1">
      <c r="A60" s="5"/>
      <c r="B60" s="86" t="s">
        <v>171</v>
      </c>
      <c r="C60" s="86"/>
      <c r="D60" s="86"/>
      <c r="E60" s="86"/>
      <c r="F60" s="86"/>
      <c r="G60" s="86"/>
      <c r="H60" s="86"/>
      <c r="I60" s="86"/>
      <c r="J60" s="5"/>
    </row>
    <row r="61" spans="1:10" ht="12.95" customHeight="1">
      <c r="A61" s="5"/>
      <c r="B61" s="86"/>
      <c r="C61" s="86"/>
      <c r="D61" s="86"/>
      <c r="E61" s="86"/>
      <c r="F61" s="86"/>
      <c r="G61" s="86"/>
      <c r="H61" s="86"/>
      <c r="I61" s="86"/>
      <c r="J61" s="5"/>
    </row>
    <row r="62" spans="1:10" ht="12.95" customHeight="1">
      <c r="A62" s="5"/>
      <c r="B62" s="86"/>
      <c r="C62" s="86"/>
      <c r="D62" s="86"/>
      <c r="E62" s="86"/>
      <c r="F62" s="86"/>
      <c r="G62" s="86"/>
      <c r="H62" s="86"/>
      <c r="I62" s="86"/>
      <c r="J62" s="5"/>
    </row>
    <row r="63" spans="1:10" ht="12.95" customHeight="1">
      <c r="A63" s="5"/>
      <c r="B63" s="5"/>
      <c r="C63" s="87" t="s">
        <v>422</v>
      </c>
      <c r="D63" s="87"/>
      <c r="E63" s="87"/>
      <c r="F63" s="87"/>
      <c r="G63" s="5"/>
      <c r="H63" s="5"/>
      <c r="I63" s="5"/>
      <c r="J63" s="5"/>
    </row>
    <row r="64" spans="1:10" ht="12.95" customHeight="1">
      <c r="A64" s="5"/>
      <c r="B64" s="38" t="s">
        <v>173</v>
      </c>
      <c r="C64" s="87" t="s">
        <v>174</v>
      </c>
      <c r="D64" s="87"/>
      <c r="E64" s="87"/>
      <c r="F64" s="87"/>
      <c r="G64" s="5"/>
      <c r="H64" s="5"/>
      <c r="I64" s="5"/>
      <c r="J64" s="5"/>
    </row>
    <row r="65" spans="1:10" ht="120.95" customHeight="1">
      <c r="A65" s="5"/>
      <c r="B65" s="39"/>
      <c r="C65" s="85"/>
      <c r="D65" s="85"/>
      <c r="E65" s="5"/>
      <c r="F65" s="5"/>
      <c r="G65" s="5"/>
      <c r="H65" s="5"/>
      <c r="I65" s="5"/>
      <c r="J65" s="5"/>
    </row>
  </sheetData>
  <mergeCells count="6">
    <mergeCell ref="C65:D65"/>
    <mergeCell ref="B60:I60"/>
    <mergeCell ref="B61:I61"/>
    <mergeCell ref="B62:I62"/>
    <mergeCell ref="C63:F63"/>
    <mergeCell ref="C64:F64"/>
  </mergeCells>
  <hyperlinks>
    <hyperlink ref="A1" location="AxisFocused25Fund" display="AXISF25" xr:uid="{00000000-0004-0000-1800-000000000000}"/>
    <hyperlink ref="B1" location="AxisFocused25Fund" display="Axis Focused 25 Fund" xr:uid="{00000000-0004-0000-1800-000001000000}"/>
  </hyperlinks>
  <pageMargins left="0" right="0" top="0" bottom="0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J5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52</v>
      </c>
      <c r="B1" s="4" t="s">
        <v>53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409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953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2409</v>
      </c>
      <c r="B7" s="19" t="s">
        <v>2410</v>
      </c>
      <c r="C7" s="15"/>
      <c r="D7" s="15"/>
      <c r="E7" s="42"/>
      <c r="F7" s="21">
        <v>6.6000000000000003E-2</v>
      </c>
      <c r="G7" s="40" t="s">
        <v>675</v>
      </c>
      <c r="H7" s="40"/>
      <c r="I7" s="24"/>
      <c r="J7" s="5"/>
    </row>
    <row r="8" spans="1:10" ht="12.95" customHeight="1">
      <c r="A8" s="18" t="s">
        <v>2411</v>
      </c>
      <c r="B8" s="19" t="s">
        <v>2412</v>
      </c>
      <c r="C8" s="15"/>
      <c r="D8" s="15"/>
      <c r="E8" s="42"/>
      <c r="F8" s="21">
        <v>0</v>
      </c>
      <c r="G8" s="40" t="s">
        <v>675</v>
      </c>
      <c r="H8" s="40"/>
      <c r="I8" s="24"/>
      <c r="J8" s="5"/>
    </row>
    <row r="9" spans="1:10" ht="12.95" customHeight="1">
      <c r="A9" s="18" t="s">
        <v>2413</v>
      </c>
      <c r="B9" s="19" t="s">
        <v>2414</v>
      </c>
      <c r="C9" s="15"/>
      <c r="D9" s="15"/>
      <c r="E9" s="42"/>
      <c r="F9" s="21">
        <v>0</v>
      </c>
      <c r="G9" s="40" t="s">
        <v>675</v>
      </c>
      <c r="H9" s="40"/>
      <c r="I9" s="24"/>
      <c r="J9" s="5"/>
    </row>
    <row r="10" spans="1:10" ht="12.95" customHeight="1">
      <c r="A10" s="18" t="s">
        <v>2415</v>
      </c>
      <c r="B10" s="19" t="s">
        <v>2416</v>
      </c>
      <c r="C10" s="15"/>
      <c r="D10" s="15"/>
      <c r="E10" s="42"/>
      <c r="F10" s="21">
        <v>-4.2500000000000003E-2</v>
      </c>
      <c r="G10" s="40" t="s">
        <v>675</v>
      </c>
      <c r="H10" s="40"/>
      <c r="I10" s="24"/>
      <c r="J10" s="5"/>
    </row>
    <row r="11" spans="1:10" ht="12.95" customHeight="1">
      <c r="A11" s="18" t="s">
        <v>2417</v>
      </c>
      <c r="B11" s="19" t="s">
        <v>2418</v>
      </c>
      <c r="C11" s="15"/>
      <c r="D11" s="15"/>
      <c r="E11" s="42"/>
      <c r="F11" s="21">
        <v>-5.1509999999999998</v>
      </c>
      <c r="G11" s="22">
        <v>-2.0000000000000001E-4</v>
      </c>
      <c r="H11" s="40"/>
      <c r="I11" s="24"/>
      <c r="J11" s="5"/>
    </row>
    <row r="12" spans="1:10" ht="12.95" customHeight="1">
      <c r="A12" s="18" t="s">
        <v>2419</v>
      </c>
      <c r="B12" s="19" t="s">
        <v>2420</v>
      </c>
      <c r="C12" s="15"/>
      <c r="D12" s="15"/>
      <c r="E12" s="42"/>
      <c r="F12" s="21">
        <v>-34.526000000000003</v>
      </c>
      <c r="G12" s="22">
        <v>-1.1000000000000001E-3</v>
      </c>
      <c r="H12" s="40"/>
      <c r="I12" s="24"/>
      <c r="J12" s="5"/>
    </row>
    <row r="13" spans="1:10" ht="12.95" customHeight="1">
      <c r="A13" s="5"/>
      <c r="B13" s="14" t="s">
        <v>160</v>
      </c>
      <c r="C13" s="15"/>
      <c r="D13" s="15"/>
      <c r="E13" s="15"/>
      <c r="F13" s="25">
        <v>-39.653500000000001</v>
      </c>
      <c r="G13" s="26">
        <v>-1.2999999999999999E-3</v>
      </c>
      <c r="H13" s="27"/>
      <c r="I13" s="28"/>
      <c r="J13" s="5"/>
    </row>
    <row r="14" spans="1:10" ht="12.95" customHeight="1">
      <c r="A14" s="5"/>
      <c r="B14" s="29" t="s">
        <v>163</v>
      </c>
      <c r="C14" s="30"/>
      <c r="D14" s="2"/>
      <c r="E14" s="30"/>
      <c r="F14" s="25">
        <v>-39.653500000000001</v>
      </c>
      <c r="G14" s="26">
        <v>-1.2999999999999999E-3</v>
      </c>
      <c r="H14" s="27"/>
      <c r="I14" s="28"/>
      <c r="J14" s="5"/>
    </row>
    <row r="15" spans="1:10" ht="12.95" customHeight="1">
      <c r="A15" s="5"/>
      <c r="B15" s="14" t="s">
        <v>151</v>
      </c>
      <c r="C15" s="15"/>
      <c r="D15" s="15"/>
      <c r="E15" s="15"/>
      <c r="F15" s="15"/>
      <c r="G15" s="15"/>
      <c r="H15" s="16"/>
      <c r="I15" s="17"/>
      <c r="J15" s="5"/>
    </row>
    <row r="16" spans="1:10" ht="12.95" customHeight="1">
      <c r="A16" s="5"/>
      <c r="B16" s="14" t="s">
        <v>152</v>
      </c>
      <c r="C16" s="15"/>
      <c r="D16" s="15"/>
      <c r="E16" s="15"/>
      <c r="F16" s="5"/>
      <c r="G16" s="16"/>
      <c r="H16" s="16"/>
      <c r="I16" s="17"/>
      <c r="J16" s="5"/>
    </row>
    <row r="17" spans="1:10" ht="12.95" customHeight="1">
      <c r="A17" s="18" t="s">
        <v>911</v>
      </c>
      <c r="B17" s="19" t="s">
        <v>912</v>
      </c>
      <c r="C17" s="15" t="s">
        <v>913</v>
      </c>
      <c r="D17" s="15" t="s">
        <v>156</v>
      </c>
      <c r="E17" s="20">
        <v>5000000</v>
      </c>
      <c r="F17" s="21">
        <v>4966.91</v>
      </c>
      <c r="G17" s="22">
        <v>0.16200000000000001</v>
      </c>
      <c r="H17" s="23">
        <v>7.3640999999999998E-2</v>
      </c>
      <c r="I17" s="24"/>
      <c r="J17" s="5"/>
    </row>
    <row r="18" spans="1:10" ht="12.95" customHeight="1">
      <c r="A18" s="18" t="s">
        <v>974</v>
      </c>
      <c r="B18" s="19" t="s">
        <v>975</v>
      </c>
      <c r="C18" s="15" t="s">
        <v>976</v>
      </c>
      <c r="D18" s="15" t="s">
        <v>156</v>
      </c>
      <c r="E18" s="20">
        <v>4000000</v>
      </c>
      <c r="F18" s="21">
        <v>4078.5039999999999</v>
      </c>
      <c r="G18" s="22">
        <v>0.13300000000000001</v>
      </c>
      <c r="H18" s="23"/>
      <c r="I18" s="24"/>
      <c r="J18" s="5"/>
    </row>
    <row r="19" spans="1:10" ht="12.95" customHeight="1">
      <c r="A19" s="18" t="s">
        <v>1655</v>
      </c>
      <c r="B19" s="19" t="s">
        <v>1656</v>
      </c>
      <c r="C19" s="15" t="s">
        <v>1657</v>
      </c>
      <c r="D19" s="15" t="s">
        <v>156</v>
      </c>
      <c r="E19" s="20">
        <v>4000000</v>
      </c>
      <c r="F19" s="21">
        <v>4003.1</v>
      </c>
      <c r="G19" s="22">
        <v>0.1305</v>
      </c>
      <c r="H19" s="23">
        <v>7.3776999999999995E-2</v>
      </c>
      <c r="I19" s="24"/>
      <c r="J19" s="5"/>
    </row>
    <row r="20" spans="1:10" ht="12.95" customHeight="1">
      <c r="A20" s="18" t="s">
        <v>986</v>
      </c>
      <c r="B20" s="19" t="s">
        <v>987</v>
      </c>
      <c r="C20" s="15" t="s">
        <v>988</v>
      </c>
      <c r="D20" s="15" t="s">
        <v>156</v>
      </c>
      <c r="E20" s="20">
        <v>3500000</v>
      </c>
      <c r="F20" s="21">
        <v>3495.5095000000001</v>
      </c>
      <c r="G20" s="22">
        <v>0.114</v>
      </c>
      <c r="H20" s="23"/>
      <c r="I20" s="24"/>
      <c r="J20" s="5"/>
    </row>
    <row r="21" spans="1:10" ht="12.95" customHeight="1">
      <c r="A21" s="18" t="s">
        <v>977</v>
      </c>
      <c r="B21" s="19" t="s">
        <v>978</v>
      </c>
      <c r="C21" s="15" t="s">
        <v>979</v>
      </c>
      <c r="D21" s="15" t="s">
        <v>156</v>
      </c>
      <c r="E21" s="20">
        <v>2500000</v>
      </c>
      <c r="F21" s="21">
        <v>2490.0300000000002</v>
      </c>
      <c r="G21" s="22">
        <v>8.1199999999999994E-2</v>
      </c>
      <c r="H21" s="23">
        <v>7.3778999999999997E-2</v>
      </c>
      <c r="I21" s="24"/>
      <c r="J21" s="5"/>
    </row>
    <row r="22" spans="1:10" ht="12.95" customHeight="1">
      <c r="A22" s="18" t="s">
        <v>2421</v>
      </c>
      <c r="B22" s="19" t="s">
        <v>2422</v>
      </c>
      <c r="C22" s="15" t="s">
        <v>2423</v>
      </c>
      <c r="D22" s="15" t="s">
        <v>179</v>
      </c>
      <c r="E22" s="20">
        <v>2000</v>
      </c>
      <c r="F22" s="21">
        <v>2001.08</v>
      </c>
      <c r="G22" s="22">
        <v>6.5299999999999997E-2</v>
      </c>
      <c r="H22" s="23">
        <v>8.0557000000000004E-2</v>
      </c>
      <c r="I22" s="24"/>
      <c r="J22" s="5"/>
    </row>
    <row r="23" spans="1:10" ht="12.95" customHeight="1">
      <c r="A23" s="18" t="s">
        <v>523</v>
      </c>
      <c r="B23" s="19" t="s">
        <v>524</v>
      </c>
      <c r="C23" s="15" t="s">
        <v>525</v>
      </c>
      <c r="D23" s="15" t="s">
        <v>179</v>
      </c>
      <c r="E23" s="20">
        <v>200</v>
      </c>
      <c r="F23" s="21">
        <v>1934.9359999999999</v>
      </c>
      <c r="G23" s="22">
        <v>6.3100000000000003E-2</v>
      </c>
      <c r="H23" s="23">
        <v>7.8600000000000003E-2</v>
      </c>
      <c r="I23" s="24"/>
      <c r="J23" s="5"/>
    </row>
    <row r="24" spans="1:10" ht="12.95" customHeight="1">
      <c r="A24" s="18" t="s">
        <v>1022</v>
      </c>
      <c r="B24" s="19" t="s">
        <v>1023</v>
      </c>
      <c r="C24" s="15" t="s">
        <v>1024</v>
      </c>
      <c r="D24" s="15" t="s">
        <v>156</v>
      </c>
      <c r="E24" s="20">
        <v>1500000</v>
      </c>
      <c r="F24" s="21">
        <v>1480.6125</v>
      </c>
      <c r="G24" s="22">
        <v>4.8300000000000003E-2</v>
      </c>
      <c r="H24" s="23">
        <v>7.4629000000000001E-2</v>
      </c>
      <c r="I24" s="24"/>
      <c r="J24" s="5"/>
    </row>
    <row r="25" spans="1:10" ht="12.95" customHeight="1">
      <c r="A25" s="18" t="s">
        <v>899</v>
      </c>
      <c r="B25" s="19" t="s">
        <v>900</v>
      </c>
      <c r="C25" s="15" t="s">
        <v>901</v>
      </c>
      <c r="D25" s="15" t="s">
        <v>156</v>
      </c>
      <c r="E25" s="20">
        <v>1000000</v>
      </c>
      <c r="F25" s="21">
        <v>999.70299999999997</v>
      </c>
      <c r="G25" s="22">
        <v>3.2599999999999997E-2</v>
      </c>
      <c r="H25" s="23">
        <v>7.3948E-2</v>
      </c>
      <c r="I25" s="24"/>
      <c r="J25" s="5"/>
    </row>
    <row r="26" spans="1:10" ht="12.95" customHeight="1">
      <c r="A26" s="18" t="s">
        <v>1104</v>
      </c>
      <c r="B26" s="19" t="s">
        <v>1105</v>
      </c>
      <c r="C26" s="15" t="s">
        <v>1106</v>
      </c>
      <c r="D26" s="15" t="s">
        <v>179</v>
      </c>
      <c r="E26" s="20">
        <v>1000</v>
      </c>
      <c r="F26" s="21">
        <v>990.23500000000001</v>
      </c>
      <c r="G26" s="22">
        <v>3.2300000000000002E-2</v>
      </c>
      <c r="H26" s="23">
        <v>7.6950000000000005E-2</v>
      </c>
      <c r="I26" s="24"/>
      <c r="J26" s="5"/>
    </row>
    <row r="27" spans="1:10" ht="12.95" customHeight="1">
      <c r="A27" s="18" t="s">
        <v>2424</v>
      </c>
      <c r="B27" s="19" t="s">
        <v>2425</v>
      </c>
      <c r="C27" s="15" t="s">
        <v>2426</v>
      </c>
      <c r="D27" s="15" t="s">
        <v>179</v>
      </c>
      <c r="E27" s="20">
        <v>500</v>
      </c>
      <c r="F27" s="21">
        <v>503.2165</v>
      </c>
      <c r="G27" s="22">
        <v>1.6400000000000001E-2</v>
      </c>
      <c r="H27" s="23">
        <v>8.054E-2</v>
      </c>
      <c r="I27" s="24"/>
      <c r="J27" s="5"/>
    </row>
    <row r="28" spans="1:10" ht="12.95" customHeight="1">
      <c r="A28" s="18" t="s">
        <v>896</v>
      </c>
      <c r="B28" s="19" t="s">
        <v>897</v>
      </c>
      <c r="C28" s="15" t="s">
        <v>898</v>
      </c>
      <c r="D28" s="15" t="s">
        <v>156</v>
      </c>
      <c r="E28" s="20">
        <v>500000</v>
      </c>
      <c r="F28" s="21">
        <v>502.13600000000002</v>
      </c>
      <c r="G28" s="22">
        <v>1.6400000000000001E-2</v>
      </c>
      <c r="H28" s="23">
        <v>7.3730000000000004E-2</v>
      </c>
      <c r="I28" s="24"/>
      <c r="J28" s="5"/>
    </row>
    <row r="29" spans="1:10" ht="12.95" customHeight="1">
      <c r="A29" s="18" t="s">
        <v>1001</v>
      </c>
      <c r="B29" s="19" t="s">
        <v>1002</v>
      </c>
      <c r="C29" s="15" t="s">
        <v>1003</v>
      </c>
      <c r="D29" s="15" t="s">
        <v>179</v>
      </c>
      <c r="E29" s="20">
        <v>50</v>
      </c>
      <c r="F29" s="21">
        <v>499.61399999999998</v>
      </c>
      <c r="G29" s="22">
        <v>1.6299999999999999E-2</v>
      </c>
      <c r="H29" s="23">
        <v>7.8639000000000001E-2</v>
      </c>
      <c r="I29" s="24"/>
      <c r="J29" s="5"/>
    </row>
    <row r="30" spans="1:10" ht="12.95" customHeight="1">
      <c r="A30" s="5"/>
      <c r="B30" s="14" t="s">
        <v>160</v>
      </c>
      <c r="C30" s="15"/>
      <c r="D30" s="15"/>
      <c r="E30" s="15"/>
      <c r="F30" s="25">
        <v>27945.586500000001</v>
      </c>
      <c r="G30" s="26">
        <v>0.9113</v>
      </c>
      <c r="H30" s="27"/>
      <c r="I30" s="28"/>
      <c r="J30" s="5"/>
    </row>
    <row r="31" spans="1:10" ht="12.95" customHeight="1">
      <c r="A31" s="5"/>
      <c r="B31" s="29" t="s">
        <v>161</v>
      </c>
      <c r="C31" s="2"/>
      <c r="D31" s="2"/>
      <c r="E31" s="2"/>
      <c r="F31" s="27" t="s">
        <v>162</v>
      </c>
      <c r="G31" s="27" t="s">
        <v>162</v>
      </c>
      <c r="H31" s="27"/>
      <c r="I31" s="28"/>
      <c r="J31" s="5"/>
    </row>
    <row r="32" spans="1:10" ht="12.95" customHeight="1">
      <c r="A32" s="5"/>
      <c r="B32" s="29" t="s">
        <v>160</v>
      </c>
      <c r="C32" s="2"/>
      <c r="D32" s="2"/>
      <c r="E32" s="2"/>
      <c r="F32" s="27" t="s">
        <v>162</v>
      </c>
      <c r="G32" s="27" t="s">
        <v>162</v>
      </c>
      <c r="H32" s="27"/>
      <c r="I32" s="28"/>
      <c r="J32" s="5"/>
    </row>
    <row r="33" spans="1:10" ht="12.95" customHeight="1">
      <c r="A33" s="5"/>
      <c r="B33" s="14" t="s">
        <v>1176</v>
      </c>
      <c r="C33" s="15"/>
      <c r="D33" s="15"/>
      <c r="E33" s="15"/>
      <c r="F33" s="5"/>
      <c r="G33" s="16"/>
      <c r="H33" s="16"/>
      <c r="I33" s="17"/>
      <c r="J33" s="5"/>
    </row>
    <row r="34" spans="1:10" ht="12.95" customHeight="1">
      <c r="A34" s="18" t="s">
        <v>1181</v>
      </c>
      <c r="B34" s="19" t="s">
        <v>1182</v>
      </c>
      <c r="C34" s="15" t="s">
        <v>1183</v>
      </c>
      <c r="D34" s="15" t="s">
        <v>1180</v>
      </c>
      <c r="E34" s="20">
        <v>6</v>
      </c>
      <c r="F34" s="21">
        <v>545.49749999999995</v>
      </c>
      <c r="G34" s="22">
        <v>1.78E-2</v>
      </c>
      <c r="H34" s="23">
        <v>7.9027E-2</v>
      </c>
      <c r="I34" s="24"/>
      <c r="J34" s="5"/>
    </row>
    <row r="35" spans="1:10" ht="12.95" customHeight="1">
      <c r="A35" s="5"/>
      <c r="B35" s="14" t="s">
        <v>160</v>
      </c>
      <c r="C35" s="15"/>
      <c r="D35" s="15"/>
      <c r="E35" s="15"/>
      <c r="F35" s="25">
        <v>545.49749999999995</v>
      </c>
      <c r="G35" s="26">
        <v>1.78E-2</v>
      </c>
      <c r="H35" s="27"/>
      <c r="I35" s="28"/>
      <c r="J35" s="5"/>
    </row>
    <row r="36" spans="1:10" ht="12.95" customHeight="1">
      <c r="A36" s="5"/>
      <c r="B36" s="29" t="s">
        <v>163</v>
      </c>
      <c r="C36" s="30"/>
      <c r="D36" s="2"/>
      <c r="E36" s="30"/>
      <c r="F36" s="25">
        <v>28491.083999999999</v>
      </c>
      <c r="G36" s="26">
        <v>0.92910000000000004</v>
      </c>
      <c r="H36" s="27"/>
      <c r="I36" s="28"/>
      <c r="J36" s="5"/>
    </row>
    <row r="37" spans="1:10" ht="12.95" customHeight="1">
      <c r="A37" s="5"/>
      <c r="B37" s="14" t="s">
        <v>164</v>
      </c>
      <c r="C37" s="15"/>
      <c r="D37" s="15"/>
      <c r="E37" s="15"/>
      <c r="F37" s="15"/>
      <c r="G37" s="15"/>
      <c r="H37" s="16"/>
      <c r="I37" s="17"/>
      <c r="J37" s="5"/>
    </row>
    <row r="38" spans="1:10" ht="12.95" customHeight="1">
      <c r="A38" s="18" t="s">
        <v>165</v>
      </c>
      <c r="B38" s="19" t="s">
        <v>166</v>
      </c>
      <c r="C38" s="15"/>
      <c r="D38" s="15"/>
      <c r="E38" s="20"/>
      <c r="F38" s="21">
        <v>360.78559999999999</v>
      </c>
      <c r="G38" s="22">
        <v>1.18E-2</v>
      </c>
      <c r="H38" s="23">
        <v>6.7996816903506757E-2</v>
      </c>
      <c r="I38" s="24"/>
      <c r="J38" s="5"/>
    </row>
    <row r="39" spans="1:10" ht="12.95" customHeight="1">
      <c r="A39" s="5"/>
      <c r="B39" s="14" t="s">
        <v>160</v>
      </c>
      <c r="C39" s="15"/>
      <c r="D39" s="15"/>
      <c r="E39" s="15"/>
      <c r="F39" s="25">
        <v>360.78559999999999</v>
      </c>
      <c r="G39" s="26">
        <v>1.18E-2</v>
      </c>
      <c r="H39" s="27"/>
      <c r="I39" s="28"/>
      <c r="J39" s="5"/>
    </row>
    <row r="40" spans="1:10" ht="12.95" customHeight="1">
      <c r="A40" s="5"/>
      <c r="B40" s="29" t="s">
        <v>163</v>
      </c>
      <c r="C40" s="30"/>
      <c r="D40" s="2"/>
      <c r="E40" s="30"/>
      <c r="F40" s="25">
        <v>360.78559999999999</v>
      </c>
      <c r="G40" s="26">
        <v>1.18E-2</v>
      </c>
      <c r="H40" s="27"/>
      <c r="I40" s="28"/>
      <c r="J40" s="5"/>
    </row>
    <row r="41" spans="1:10" ht="12.95" customHeight="1">
      <c r="A41" s="5"/>
      <c r="B41" s="29" t="s">
        <v>167</v>
      </c>
      <c r="C41" s="15"/>
      <c r="D41" s="2"/>
      <c r="E41" s="15"/>
      <c r="F41" s="31">
        <v>1852.3839</v>
      </c>
      <c r="G41" s="26">
        <v>6.0400000000000002E-2</v>
      </c>
      <c r="H41" s="27"/>
      <c r="I41" s="28"/>
      <c r="J41" s="5"/>
    </row>
    <row r="42" spans="1:10" ht="12.95" customHeight="1">
      <c r="A42" s="5"/>
      <c r="B42" s="32" t="s">
        <v>168</v>
      </c>
      <c r="C42" s="33"/>
      <c r="D42" s="33"/>
      <c r="E42" s="33"/>
      <c r="F42" s="34">
        <v>30664.6</v>
      </c>
      <c r="G42" s="35">
        <v>1</v>
      </c>
      <c r="H42" s="36"/>
      <c r="I42" s="37"/>
      <c r="J42" s="5"/>
    </row>
    <row r="43" spans="1:10" ht="12.95" customHeight="1">
      <c r="A43" s="5"/>
      <c r="B43" s="7"/>
      <c r="C43" s="5"/>
      <c r="D43" s="5"/>
      <c r="E43" s="5"/>
      <c r="F43" s="5"/>
      <c r="G43" s="5"/>
      <c r="H43" s="5"/>
      <c r="I43" s="5"/>
      <c r="J43" s="5"/>
    </row>
    <row r="44" spans="1:10" ht="12.95" customHeight="1">
      <c r="A44" s="5"/>
      <c r="B44" s="4" t="s">
        <v>169</v>
      </c>
      <c r="C44" s="5"/>
      <c r="D44" s="5"/>
      <c r="E44" s="5"/>
      <c r="F44" s="5"/>
      <c r="G44" s="5"/>
      <c r="H44" s="5"/>
      <c r="I44" s="5"/>
      <c r="J44" s="5"/>
    </row>
    <row r="45" spans="1:10" ht="12.95" customHeight="1">
      <c r="A45" s="5"/>
      <c r="B45" s="4" t="s">
        <v>207</v>
      </c>
      <c r="C45" s="5"/>
      <c r="D45" s="5"/>
      <c r="E45" s="5"/>
      <c r="F45" s="5"/>
      <c r="G45" s="5"/>
      <c r="H45" s="5"/>
      <c r="I45" s="5"/>
      <c r="J45" s="5"/>
    </row>
    <row r="46" spans="1:10" ht="12.95" customHeight="1">
      <c r="A46" s="5"/>
      <c r="B46" s="4" t="s">
        <v>685</v>
      </c>
      <c r="C46" s="5"/>
      <c r="D46" s="5"/>
      <c r="E46" s="5"/>
      <c r="F46" s="5"/>
      <c r="G46" s="5"/>
      <c r="H46" s="5"/>
      <c r="I46" s="5"/>
      <c r="J46" s="5"/>
    </row>
    <row r="47" spans="1:10" ht="12.95" customHeight="1">
      <c r="A47" s="5"/>
      <c r="B47" s="4" t="s">
        <v>170</v>
      </c>
      <c r="C47" s="5"/>
      <c r="D47" s="5"/>
      <c r="E47" s="5"/>
      <c r="F47" s="5"/>
      <c r="G47" s="5"/>
      <c r="H47" s="5"/>
      <c r="I47" s="5"/>
      <c r="J47" s="5"/>
    </row>
    <row r="48" spans="1:10" ht="26.1" customHeight="1">
      <c r="A48" s="5"/>
      <c r="B48" s="86" t="s">
        <v>171</v>
      </c>
      <c r="C48" s="86"/>
      <c r="D48" s="86"/>
      <c r="E48" s="86"/>
      <c r="F48" s="86"/>
      <c r="G48" s="86"/>
      <c r="H48" s="86"/>
      <c r="I48" s="86"/>
      <c r="J48" s="5"/>
    </row>
    <row r="49" spans="1:10" ht="12.95" customHeight="1">
      <c r="A49" s="5"/>
      <c r="B49" s="86"/>
      <c r="C49" s="86"/>
      <c r="D49" s="86"/>
      <c r="E49" s="86"/>
      <c r="F49" s="86"/>
      <c r="G49" s="86"/>
      <c r="H49" s="86"/>
      <c r="I49" s="86"/>
      <c r="J49" s="5"/>
    </row>
    <row r="50" spans="1:10" ht="12.95" customHeight="1">
      <c r="A50" s="5"/>
      <c r="B50" s="86"/>
      <c r="C50" s="86"/>
      <c r="D50" s="86"/>
      <c r="E50" s="86"/>
      <c r="F50" s="86"/>
      <c r="G50" s="86"/>
      <c r="H50" s="86"/>
      <c r="I50" s="86"/>
      <c r="J50" s="5"/>
    </row>
    <row r="51" spans="1:10" ht="12.95" customHeight="1">
      <c r="A51" s="5"/>
      <c r="B51" s="5"/>
      <c r="C51" s="87" t="s">
        <v>2427</v>
      </c>
      <c r="D51" s="87"/>
      <c r="E51" s="87"/>
      <c r="F51" s="87"/>
      <c r="G51" s="5"/>
      <c r="H51" s="5"/>
      <c r="I51" s="5"/>
      <c r="J51" s="5"/>
    </row>
    <row r="52" spans="1:10" ht="12.95" customHeight="1">
      <c r="A52" s="5"/>
      <c r="B52" s="38" t="s">
        <v>173</v>
      </c>
      <c r="C52" s="87" t="s">
        <v>174</v>
      </c>
      <c r="D52" s="87"/>
      <c r="E52" s="87"/>
      <c r="F52" s="87"/>
      <c r="G52" s="5"/>
      <c r="H52" s="5"/>
      <c r="I52" s="5"/>
      <c r="J52" s="5"/>
    </row>
    <row r="53" spans="1:10" ht="120.95" customHeight="1">
      <c r="A53" s="5"/>
      <c r="B53" s="39"/>
      <c r="C53" s="85"/>
      <c r="D53" s="85"/>
      <c r="E53" s="5"/>
      <c r="F53" s="5"/>
      <c r="G53" s="5"/>
      <c r="H53" s="5"/>
      <c r="I53" s="5"/>
      <c r="J53" s="5"/>
    </row>
  </sheetData>
  <mergeCells count="6">
    <mergeCell ref="C53:D53"/>
    <mergeCell ref="B48:I48"/>
    <mergeCell ref="B49:I49"/>
    <mergeCell ref="B50:I50"/>
    <mergeCell ref="C51:F51"/>
    <mergeCell ref="C52:F52"/>
  </mergeCells>
  <conditionalFormatting sqref="A7:A12">
    <cfRule type="duplicateValues" dxfId="2" priority="1"/>
  </conditionalFormatting>
  <hyperlinks>
    <hyperlink ref="A1" location="AxisFloaterFund" display="AXISFLO" xr:uid="{00000000-0004-0000-1900-000000000000}"/>
    <hyperlink ref="B1" location="AxisFloaterFund" display="Axis Floater Fund" xr:uid="{00000000-0004-0000-1900-000001000000}"/>
  </hyperlinks>
  <pageMargins left="0" right="0" top="0" bottom="0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54</v>
      </c>
      <c r="B1" s="4" t="s">
        <v>55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2428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2429</v>
      </c>
      <c r="B7" s="19" t="s">
        <v>2430</v>
      </c>
      <c r="C7" s="15" t="s">
        <v>2431</v>
      </c>
      <c r="D7" s="15"/>
      <c r="E7" s="20">
        <v>270248.606394</v>
      </c>
      <c r="F7" s="21">
        <v>12848.267099999999</v>
      </c>
      <c r="G7" s="22">
        <v>0.96909999999999996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12848.267099999999</v>
      </c>
      <c r="G8" s="26">
        <v>0.96909999999999996</v>
      </c>
      <c r="H8" s="27"/>
      <c r="I8" s="28"/>
      <c r="J8" s="5"/>
    </row>
    <row r="9" spans="1:10" ht="12.95" customHeight="1">
      <c r="A9" s="5"/>
      <c r="B9" s="29" t="s">
        <v>163</v>
      </c>
      <c r="C9" s="30"/>
      <c r="D9" s="2"/>
      <c r="E9" s="30"/>
      <c r="F9" s="25">
        <v>12848.267099999999</v>
      </c>
      <c r="G9" s="26">
        <v>0.96909999999999996</v>
      </c>
      <c r="H9" s="27"/>
      <c r="I9" s="28"/>
      <c r="J9" s="5"/>
    </row>
    <row r="10" spans="1:10" ht="12.95" customHeight="1">
      <c r="A10" s="5"/>
      <c r="B10" s="14" t="s">
        <v>164</v>
      </c>
      <c r="C10" s="15"/>
      <c r="D10" s="15"/>
      <c r="E10" s="15"/>
      <c r="F10" s="15"/>
      <c r="G10" s="15"/>
      <c r="H10" s="16"/>
      <c r="I10" s="17"/>
      <c r="J10" s="5"/>
    </row>
    <row r="11" spans="1:10" ht="12.95" customHeight="1">
      <c r="A11" s="18" t="s">
        <v>165</v>
      </c>
      <c r="B11" s="19" t="s">
        <v>166</v>
      </c>
      <c r="C11" s="15"/>
      <c r="D11" s="15"/>
      <c r="E11" s="20"/>
      <c r="F11" s="21">
        <v>513.16880000000003</v>
      </c>
      <c r="G11" s="22">
        <v>3.8699999999999998E-2</v>
      </c>
      <c r="H11" s="23">
        <v>6.7996835167108652E-2</v>
      </c>
      <c r="I11" s="24"/>
      <c r="J11" s="5"/>
    </row>
    <row r="12" spans="1:10" ht="12.95" customHeight="1">
      <c r="A12" s="5"/>
      <c r="B12" s="14" t="s">
        <v>160</v>
      </c>
      <c r="C12" s="15"/>
      <c r="D12" s="15"/>
      <c r="E12" s="15"/>
      <c r="F12" s="25">
        <v>513.16880000000003</v>
      </c>
      <c r="G12" s="26">
        <v>3.8699999999999998E-2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513.16880000000003</v>
      </c>
      <c r="G13" s="26">
        <v>3.8699999999999998E-2</v>
      </c>
      <c r="H13" s="27"/>
      <c r="I13" s="28"/>
      <c r="J13" s="5"/>
    </row>
    <row r="14" spans="1:10" ht="12.95" customHeight="1">
      <c r="A14" s="5"/>
      <c r="B14" s="29" t="s">
        <v>167</v>
      </c>
      <c r="C14" s="15"/>
      <c r="D14" s="2"/>
      <c r="E14" s="15"/>
      <c r="F14" s="31">
        <v>-103.0859</v>
      </c>
      <c r="G14" s="26">
        <v>-7.7999999999999996E-3</v>
      </c>
      <c r="H14" s="27"/>
      <c r="I14" s="28"/>
      <c r="J14" s="5"/>
    </row>
    <row r="15" spans="1:10" ht="12.95" customHeight="1">
      <c r="A15" s="5"/>
      <c r="B15" s="32" t="s">
        <v>168</v>
      </c>
      <c r="C15" s="33"/>
      <c r="D15" s="33"/>
      <c r="E15" s="33"/>
      <c r="F15" s="34">
        <v>13258.35</v>
      </c>
      <c r="G15" s="35">
        <v>1</v>
      </c>
      <c r="H15" s="36"/>
      <c r="I15" s="37"/>
      <c r="J15" s="5"/>
    </row>
    <row r="16" spans="1:10" ht="12.95" customHeight="1">
      <c r="A16" s="5"/>
      <c r="B16" s="7"/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169</v>
      </c>
      <c r="C17" s="5"/>
      <c r="D17" s="5"/>
      <c r="E17" s="5"/>
      <c r="F17" s="5"/>
      <c r="G17" s="5"/>
      <c r="H17" s="5"/>
      <c r="I17" s="5"/>
      <c r="J17" s="5"/>
    </row>
    <row r="18" spans="1:10" ht="12.95" customHeight="1">
      <c r="A18" s="5"/>
      <c r="B18" s="4" t="s">
        <v>170</v>
      </c>
      <c r="C18" s="5"/>
      <c r="D18" s="5"/>
      <c r="E18" s="5"/>
      <c r="F18" s="5"/>
      <c r="G18" s="5"/>
      <c r="H18" s="5"/>
      <c r="I18" s="5"/>
      <c r="J18" s="5"/>
    </row>
    <row r="19" spans="1:10" ht="26.1" customHeight="1">
      <c r="A19" s="5"/>
      <c r="B19" s="86" t="s">
        <v>171</v>
      </c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6"/>
      <c r="C20" s="86"/>
      <c r="D20" s="86"/>
      <c r="E20" s="86"/>
      <c r="F20" s="86"/>
      <c r="G20" s="86"/>
      <c r="H20" s="86"/>
      <c r="I20" s="86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2432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6">
    <mergeCell ref="C24:D24"/>
    <mergeCell ref="B19:I19"/>
    <mergeCell ref="B20:I20"/>
    <mergeCell ref="B21:I21"/>
    <mergeCell ref="C22:F22"/>
    <mergeCell ref="C23:F23"/>
  </mergeCells>
  <hyperlinks>
    <hyperlink ref="A1" location="AxisGreaterChinaEquityFundofFund" display="AXISGCE" xr:uid="{00000000-0004-0000-1A00-000000000000}"/>
    <hyperlink ref="B1" location="AxisGreaterChinaEquityFundofFund" display="Axis Greater China Equity Fund of Fund" xr:uid="{00000000-0004-0000-1A00-000001000000}"/>
  </hyperlinks>
  <pageMargins left="0" right="0" top="0" bottom="0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56</v>
      </c>
      <c r="B1" s="4" t="s">
        <v>57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2428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2433</v>
      </c>
      <c r="B7" s="19" t="s">
        <v>2434</v>
      </c>
      <c r="C7" s="15" t="s">
        <v>2435</v>
      </c>
      <c r="D7" s="15"/>
      <c r="E7" s="20">
        <v>860928.73913799995</v>
      </c>
      <c r="F7" s="21">
        <v>89362.321899999995</v>
      </c>
      <c r="G7" s="22">
        <v>0.97699999999999998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89362.321899999995</v>
      </c>
      <c r="G8" s="26">
        <v>0.97699999999999998</v>
      </c>
      <c r="H8" s="27"/>
      <c r="I8" s="28"/>
      <c r="J8" s="5"/>
    </row>
    <row r="9" spans="1:10" ht="12.95" customHeight="1">
      <c r="A9" s="5"/>
      <c r="B9" s="29" t="s">
        <v>163</v>
      </c>
      <c r="C9" s="30"/>
      <c r="D9" s="2"/>
      <c r="E9" s="30"/>
      <c r="F9" s="25">
        <v>89362.321899999995</v>
      </c>
      <c r="G9" s="26">
        <v>0.97699999999999998</v>
      </c>
      <c r="H9" s="27"/>
      <c r="I9" s="28"/>
      <c r="J9" s="5"/>
    </row>
    <row r="10" spans="1:10" ht="12.95" customHeight="1">
      <c r="A10" s="5"/>
      <c r="B10" s="14" t="s">
        <v>164</v>
      </c>
      <c r="C10" s="15"/>
      <c r="D10" s="15"/>
      <c r="E10" s="15"/>
      <c r="F10" s="15"/>
      <c r="G10" s="15"/>
      <c r="H10" s="16"/>
      <c r="I10" s="17"/>
      <c r="J10" s="5"/>
    </row>
    <row r="11" spans="1:10" ht="12.95" customHeight="1">
      <c r="A11" s="18" t="s">
        <v>165</v>
      </c>
      <c r="B11" s="19" t="s">
        <v>166</v>
      </c>
      <c r="C11" s="15"/>
      <c r="D11" s="15"/>
      <c r="E11" s="20"/>
      <c r="F11" s="21">
        <v>2924.9602</v>
      </c>
      <c r="G11" s="22">
        <v>3.2000000000000001E-2</v>
      </c>
      <c r="H11" s="23">
        <v>6.7996824208947509E-2</v>
      </c>
      <c r="I11" s="24"/>
      <c r="J11" s="5"/>
    </row>
    <row r="12" spans="1:10" ht="12.95" customHeight="1">
      <c r="A12" s="5"/>
      <c r="B12" s="14" t="s">
        <v>160</v>
      </c>
      <c r="C12" s="15"/>
      <c r="D12" s="15"/>
      <c r="E12" s="15"/>
      <c r="F12" s="25">
        <v>2924.9602</v>
      </c>
      <c r="G12" s="26">
        <v>3.2000000000000001E-2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2924.9602</v>
      </c>
      <c r="G13" s="26">
        <v>3.2000000000000001E-2</v>
      </c>
      <c r="H13" s="27"/>
      <c r="I13" s="28"/>
      <c r="J13" s="5"/>
    </row>
    <row r="14" spans="1:10" ht="12.95" customHeight="1">
      <c r="A14" s="5"/>
      <c r="B14" s="29" t="s">
        <v>167</v>
      </c>
      <c r="C14" s="15"/>
      <c r="D14" s="2"/>
      <c r="E14" s="15"/>
      <c r="F14" s="31">
        <v>-821.95209999999997</v>
      </c>
      <c r="G14" s="26">
        <v>-8.9999999999999993E-3</v>
      </c>
      <c r="H14" s="27"/>
      <c r="I14" s="28"/>
      <c r="J14" s="5"/>
    </row>
    <row r="15" spans="1:10" ht="12.95" customHeight="1">
      <c r="A15" s="5"/>
      <c r="B15" s="32" t="s">
        <v>168</v>
      </c>
      <c r="C15" s="33"/>
      <c r="D15" s="33"/>
      <c r="E15" s="33"/>
      <c r="F15" s="34">
        <v>91465.33</v>
      </c>
      <c r="G15" s="35">
        <v>1</v>
      </c>
      <c r="H15" s="36"/>
      <c r="I15" s="37"/>
      <c r="J15" s="5"/>
    </row>
    <row r="16" spans="1:10" ht="12.95" customHeight="1">
      <c r="A16" s="5"/>
      <c r="B16" s="7"/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169</v>
      </c>
      <c r="C17" s="5"/>
      <c r="D17" s="5"/>
      <c r="E17" s="5"/>
      <c r="F17" s="5"/>
      <c r="G17" s="5"/>
      <c r="H17" s="5"/>
      <c r="I17" s="5"/>
      <c r="J17" s="5"/>
    </row>
    <row r="18" spans="1:10" ht="12.95" customHeight="1">
      <c r="A18" s="5"/>
      <c r="B18" s="4" t="s">
        <v>170</v>
      </c>
      <c r="C18" s="5"/>
      <c r="D18" s="5"/>
      <c r="E18" s="5"/>
      <c r="F18" s="5"/>
      <c r="G18" s="5"/>
      <c r="H18" s="5"/>
      <c r="I18" s="5"/>
      <c r="J18" s="5"/>
    </row>
    <row r="19" spans="1:10" ht="26.1" customHeight="1">
      <c r="A19" s="5"/>
      <c r="B19" s="86" t="s">
        <v>171</v>
      </c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6"/>
      <c r="C20" s="86"/>
      <c r="D20" s="86"/>
      <c r="E20" s="86"/>
      <c r="F20" s="86"/>
      <c r="G20" s="86"/>
      <c r="H20" s="86"/>
      <c r="I20" s="86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2436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6">
    <mergeCell ref="C24:D24"/>
    <mergeCell ref="B19:I19"/>
    <mergeCell ref="B20:I20"/>
    <mergeCell ref="B21:I21"/>
    <mergeCell ref="C22:F22"/>
    <mergeCell ref="C23:F23"/>
  </mergeCells>
  <hyperlinks>
    <hyperlink ref="A1" location="AxisGlobalEquityAlphaFundofFund" display="AXISGEA" xr:uid="{00000000-0004-0000-1B00-000000000000}"/>
    <hyperlink ref="B1" location="AxisGlobalEquityAlphaFundofFund" display="Axis Global Equity Alpha Fund of Fund" xr:uid="{00000000-0004-0000-1B00-000001000000}"/>
  </hyperlinks>
  <pageMargins left="0" right="0" top="0" bottom="0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58</v>
      </c>
      <c r="B1" s="4" t="s">
        <v>59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</v>
      </c>
    </row>
    <row r="5" spans="1:10" ht="12.95" customHeight="1">
      <c r="A5" s="5"/>
      <c r="B5" s="14" t="s">
        <v>2437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18" t="s">
        <v>2438</v>
      </c>
      <c r="B6" s="19" t="s">
        <v>2439</v>
      </c>
      <c r="C6" s="15"/>
      <c r="D6" s="15"/>
      <c r="E6" s="20">
        <v>1247</v>
      </c>
      <c r="F6" s="21">
        <v>71495.329400000002</v>
      </c>
      <c r="G6" s="22">
        <v>0.9698</v>
      </c>
      <c r="H6" s="40"/>
      <c r="I6" s="24"/>
      <c r="J6" s="5"/>
    </row>
    <row r="7" spans="1:10" ht="12.95" customHeight="1">
      <c r="A7" s="5"/>
      <c r="B7" s="14" t="s">
        <v>160</v>
      </c>
      <c r="C7" s="15"/>
      <c r="D7" s="15"/>
      <c r="E7" s="15"/>
      <c r="F7" s="25">
        <v>71495.329400000002</v>
      </c>
      <c r="G7" s="26">
        <v>0.9698</v>
      </c>
      <c r="H7" s="27"/>
      <c r="I7" s="28"/>
      <c r="J7" s="5"/>
    </row>
    <row r="8" spans="1:10" ht="12.95" customHeight="1">
      <c r="A8" s="5"/>
      <c r="B8" s="29" t="s">
        <v>163</v>
      </c>
      <c r="C8" s="30"/>
      <c r="D8" s="2"/>
      <c r="E8" s="30"/>
      <c r="F8" s="25">
        <v>71495.329400000002</v>
      </c>
      <c r="G8" s="26">
        <v>0.9698</v>
      </c>
      <c r="H8" s="27"/>
      <c r="I8" s="28"/>
      <c r="J8" s="5"/>
    </row>
    <row r="9" spans="1:10" ht="12.95" customHeight="1">
      <c r="A9" s="5"/>
      <c r="B9" s="14" t="s">
        <v>164</v>
      </c>
      <c r="C9" s="15"/>
      <c r="D9" s="15"/>
      <c r="E9" s="15"/>
      <c r="F9" s="15"/>
      <c r="G9" s="15"/>
      <c r="H9" s="16"/>
      <c r="I9" s="17"/>
      <c r="J9" s="5"/>
    </row>
    <row r="10" spans="1:10" ht="12.95" customHeight="1">
      <c r="A10" s="18" t="s">
        <v>165</v>
      </c>
      <c r="B10" s="19" t="s">
        <v>166</v>
      </c>
      <c r="C10" s="15"/>
      <c r="D10" s="15"/>
      <c r="E10" s="20"/>
      <c r="F10" s="21">
        <v>966.27</v>
      </c>
      <c r="G10" s="22">
        <v>1.3100000000000001E-2</v>
      </c>
      <c r="H10" s="23">
        <v>6.799683699346884E-2</v>
      </c>
      <c r="I10" s="24"/>
      <c r="J10" s="5"/>
    </row>
    <row r="11" spans="1:10" ht="12.95" customHeight="1">
      <c r="A11" s="5"/>
      <c r="B11" s="14" t="s">
        <v>160</v>
      </c>
      <c r="C11" s="15"/>
      <c r="D11" s="15"/>
      <c r="E11" s="15"/>
      <c r="F11" s="25">
        <v>966.27</v>
      </c>
      <c r="G11" s="26">
        <v>1.3100000000000001E-2</v>
      </c>
      <c r="H11" s="27"/>
      <c r="I11" s="28"/>
      <c r="J11" s="5"/>
    </row>
    <row r="12" spans="1:10" ht="12.95" customHeight="1">
      <c r="A12" s="5"/>
      <c r="B12" s="29" t="s">
        <v>163</v>
      </c>
      <c r="C12" s="30"/>
      <c r="D12" s="2"/>
      <c r="E12" s="30"/>
      <c r="F12" s="25">
        <v>966.27</v>
      </c>
      <c r="G12" s="26">
        <v>1.3100000000000001E-2</v>
      </c>
      <c r="H12" s="27"/>
      <c r="I12" s="28"/>
      <c r="J12" s="5"/>
    </row>
    <row r="13" spans="1:10" ht="12.95" customHeight="1">
      <c r="A13" s="5"/>
      <c r="B13" s="29" t="s">
        <v>167</v>
      </c>
      <c r="C13" s="15"/>
      <c r="D13" s="2"/>
      <c r="E13" s="15"/>
      <c r="F13" s="31">
        <v>1263.2906</v>
      </c>
      <c r="G13" s="26">
        <v>1.7100000000000001E-2</v>
      </c>
      <c r="H13" s="27"/>
      <c r="I13" s="28"/>
      <c r="J13" s="5"/>
    </row>
    <row r="14" spans="1:10" ht="12.95" customHeight="1">
      <c r="A14" s="5"/>
      <c r="B14" s="32" t="s">
        <v>168</v>
      </c>
      <c r="C14" s="33"/>
      <c r="D14" s="33"/>
      <c r="E14" s="33"/>
      <c r="F14" s="34">
        <v>73724.89</v>
      </c>
      <c r="G14" s="35">
        <v>1</v>
      </c>
      <c r="H14" s="36"/>
      <c r="I14" s="37"/>
      <c r="J14" s="5"/>
    </row>
    <row r="15" spans="1:10" ht="12.95" customHeight="1">
      <c r="A15" s="5"/>
      <c r="B15" s="7"/>
      <c r="C15" s="5"/>
      <c r="D15" s="5"/>
      <c r="E15" s="5"/>
      <c r="F15" s="5"/>
      <c r="G15" s="5"/>
      <c r="H15" s="5"/>
      <c r="I15" s="5"/>
      <c r="J15" s="5"/>
    </row>
    <row r="16" spans="1:10" ht="12.95" customHeight="1">
      <c r="A16" s="5"/>
      <c r="B16" s="4" t="s">
        <v>169</v>
      </c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170</v>
      </c>
      <c r="C17" s="5"/>
      <c r="D17" s="5"/>
      <c r="E17" s="5"/>
      <c r="F17" s="5"/>
      <c r="G17" s="5"/>
      <c r="H17" s="5"/>
      <c r="I17" s="5"/>
      <c r="J17" s="5"/>
    </row>
    <row r="18" spans="1:10" ht="26.1" customHeight="1">
      <c r="A18" s="5"/>
      <c r="B18" s="86" t="s">
        <v>171</v>
      </c>
      <c r="C18" s="86"/>
      <c r="D18" s="86"/>
      <c r="E18" s="86"/>
      <c r="F18" s="86"/>
      <c r="G18" s="86"/>
      <c r="H18" s="86"/>
      <c r="I18" s="86"/>
      <c r="J18" s="5"/>
    </row>
    <row r="19" spans="1:10" ht="12.95" customHeight="1">
      <c r="A19" s="5"/>
      <c r="B19" s="86"/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9" t="s">
        <v>2440</v>
      </c>
      <c r="C20" s="89"/>
      <c r="D20" s="89"/>
      <c r="E20" s="89"/>
      <c r="F20" s="5"/>
      <c r="G20" s="5"/>
      <c r="H20" s="5"/>
      <c r="I20" s="5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2441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7">
    <mergeCell ref="C23:F23"/>
    <mergeCell ref="C24:D24"/>
    <mergeCell ref="B18:I18"/>
    <mergeCell ref="B19:I19"/>
    <mergeCell ref="B20:E20"/>
    <mergeCell ref="B21:I21"/>
    <mergeCell ref="C22:F22"/>
  </mergeCells>
  <hyperlinks>
    <hyperlink ref="A1" location="AxisGoldETF" display="AXISGETF" xr:uid="{00000000-0004-0000-1C00-000000000000}"/>
    <hyperlink ref="B1" location="AxisGoldETF" display="Axis Gold ETF" xr:uid="{00000000-0004-0000-1C00-000001000000}"/>
  </hyperlinks>
  <pageMargins left="0" right="0" top="0" bottom="0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60</v>
      </c>
      <c r="B1" s="4" t="s">
        <v>61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2428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2442</v>
      </c>
      <c r="B7" s="19" t="s">
        <v>2443</v>
      </c>
      <c r="C7" s="15" t="s">
        <v>2444</v>
      </c>
      <c r="D7" s="15"/>
      <c r="E7" s="20">
        <v>978922.50892000005</v>
      </c>
      <c r="F7" s="21">
        <v>72843.251099999994</v>
      </c>
      <c r="G7" s="22">
        <v>0.97519999999999996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72843.251099999994</v>
      </c>
      <c r="G8" s="26">
        <v>0.97519999999999996</v>
      </c>
      <c r="H8" s="27"/>
      <c r="I8" s="28"/>
      <c r="J8" s="5"/>
    </row>
    <row r="9" spans="1:10" ht="12.95" customHeight="1">
      <c r="A9" s="5"/>
      <c r="B9" s="29" t="s">
        <v>163</v>
      </c>
      <c r="C9" s="30"/>
      <c r="D9" s="2"/>
      <c r="E9" s="30"/>
      <c r="F9" s="25">
        <v>72843.251099999994</v>
      </c>
      <c r="G9" s="26">
        <v>0.97519999999999996</v>
      </c>
      <c r="H9" s="27"/>
      <c r="I9" s="28"/>
      <c r="J9" s="5"/>
    </row>
    <row r="10" spans="1:10" ht="12.95" customHeight="1">
      <c r="A10" s="5"/>
      <c r="B10" s="14" t="s">
        <v>164</v>
      </c>
      <c r="C10" s="15"/>
      <c r="D10" s="15"/>
      <c r="E10" s="15"/>
      <c r="F10" s="15"/>
      <c r="G10" s="15"/>
      <c r="H10" s="16"/>
      <c r="I10" s="17"/>
      <c r="J10" s="5"/>
    </row>
    <row r="11" spans="1:10" ht="12.95" customHeight="1">
      <c r="A11" s="18" t="s">
        <v>165</v>
      </c>
      <c r="B11" s="19" t="s">
        <v>166</v>
      </c>
      <c r="C11" s="15"/>
      <c r="D11" s="15"/>
      <c r="E11" s="20"/>
      <c r="F11" s="21">
        <v>2399.9657999999999</v>
      </c>
      <c r="G11" s="22">
        <v>3.2099999999999997E-2</v>
      </c>
      <c r="H11" s="23">
        <v>6.7996826035307711E-2</v>
      </c>
      <c r="I11" s="24"/>
      <c r="J11" s="5"/>
    </row>
    <row r="12" spans="1:10" ht="12.95" customHeight="1">
      <c r="A12" s="5"/>
      <c r="B12" s="14" t="s">
        <v>160</v>
      </c>
      <c r="C12" s="15"/>
      <c r="D12" s="15"/>
      <c r="E12" s="15"/>
      <c r="F12" s="25">
        <v>2399.9657999999999</v>
      </c>
      <c r="G12" s="26">
        <v>3.2099999999999997E-2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2399.9657999999999</v>
      </c>
      <c r="G13" s="26">
        <v>3.2099999999999997E-2</v>
      </c>
      <c r="H13" s="27"/>
      <c r="I13" s="28"/>
      <c r="J13" s="5"/>
    </row>
    <row r="14" spans="1:10" ht="12.95" customHeight="1">
      <c r="A14" s="5"/>
      <c r="B14" s="29" t="s">
        <v>167</v>
      </c>
      <c r="C14" s="15"/>
      <c r="D14" s="2"/>
      <c r="E14" s="15"/>
      <c r="F14" s="31">
        <v>-548.33690000000001</v>
      </c>
      <c r="G14" s="26">
        <v>-7.3000000000000001E-3</v>
      </c>
      <c r="H14" s="27"/>
      <c r="I14" s="28"/>
      <c r="J14" s="5"/>
    </row>
    <row r="15" spans="1:10" ht="12.95" customHeight="1">
      <c r="A15" s="5"/>
      <c r="B15" s="32" t="s">
        <v>168</v>
      </c>
      <c r="C15" s="33"/>
      <c r="D15" s="33"/>
      <c r="E15" s="33"/>
      <c r="F15" s="34">
        <v>74694.880000000005</v>
      </c>
      <c r="G15" s="35">
        <v>1</v>
      </c>
      <c r="H15" s="36"/>
      <c r="I15" s="37"/>
      <c r="J15" s="5"/>
    </row>
    <row r="16" spans="1:10" ht="12.95" customHeight="1">
      <c r="A16" s="5"/>
      <c r="B16" s="7"/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169</v>
      </c>
      <c r="C17" s="5"/>
      <c r="D17" s="5"/>
      <c r="E17" s="5"/>
      <c r="F17" s="5"/>
      <c r="G17" s="5"/>
      <c r="H17" s="5"/>
      <c r="I17" s="5"/>
      <c r="J17" s="5"/>
    </row>
    <row r="18" spans="1:10" ht="12.95" customHeight="1">
      <c r="A18" s="5"/>
      <c r="B18" s="4" t="s">
        <v>170</v>
      </c>
      <c r="C18" s="5"/>
      <c r="D18" s="5"/>
      <c r="E18" s="5"/>
      <c r="F18" s="5"/>
      <c r="G18" s="5"/>
      <c r="H18" s="5"/>
      <c r="I18" s="5"/>
      <c r="J18" s="5"/>
    </row>
    <row r="19" spans="1:10" ht="26.1" customHeight="1">
      <c r="A19" s="5"/>
      <c r="B19" s="86" t="s">
        <v>171</v>
      </c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6"/>
      <c r="C20" s="86"/>
      <c r="D20" s="86"/>
      <c r="E20" s="86"/>
      <c r="F20" s="86"/>
      <c r="G20" s="86"/>
      <c r="H20" s="86"/>
      <c r="I20" s="86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2445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6">
    <mergeCell ref="C24:D24"/>
    <mergeCell ref="B19:I19"/>
    <mergeCell ref="B20:I20"/>
    <mergeCell ref="B21:I21"/>
    <mergeCell ref="C22:F22"/>
    <mergeCell ref="C23:F23"/>
  </mergeCells>
  <hyperlinks>
    <hyperlink ref="A1" location="AxisGlobalInnovationFundofFund" display="AXISGIF" xr:uid="{00000000-0004-0000-1D00-000000000000}"/>
    <hyperlink ref="B1" location="AxisGlobalInnovationFundofFund" display="Axis Global Innovation Fund of Fund" xr:uid="{00000000-0004-0000-1D00-000001000000}"/>
  </hyperlinks>
  <pageMargins left="0" right="0" top="0" bottom="0" header="0" footer="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62</v>
      </c>
      <c r="B1" s="4" t="s">
        <v>63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209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2446</v>
      </c>
      <c r="B7" s="19" t="s">
        <v>59</v>
      </c>
      <c r="C7" s="15" t="s">
        <v>2447</v>
      </c>
      <c r="D7" s="15"/>
      <c r="E7" s="20">
        <v>65667157</v>
      </c>
      <c r="F7" s="21">
        <v>32472.409100000001</v>
      </c>
      <c r="G7" s="22">
        <v>0.99019999999999997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32472.409100000001</v>
      </c>
      <c r="G8" s="26">
        <v>0.99019999999999997</v>
      </c>
      <c r="H8" s="27"/>
      <c r="I8" s="28"/>
      <c r="J8" s="5"/>
    </row>
    <row r="9" spans="1:10" ht="12.95" customHeight="1">
      <c r="A9" s="5"/>
      <c r="B9" s="29" t="s">
        <v>163</v>
      </c>
      <c r="C9" s="30"/>
      <c r="D9" s="2"/>
      <c r="E9" s="30"/>
      <c r="F9" s="25">
        <v>32472.409100000001</v>
      </c>
      <c r="G9" s="26">
        <v>0.99019999999999997</v>
      </c>
      <c r="H9" s="27"/>
      <c r="I9" s="28"/>
      <c r="J9" s="5"/>
    </row>
    <row r="10" spans="1:10" ht="12.95" customHeight="1">
      <c r="A10" s="5"/>
      <c r="B10" s="14" t="s">
        <v>164</v>
      </c>
      <c r="C10" s="15"/>
      <c r="D10" s="15"/>
      <c r="E10" s="15"/>
      <c r="F10" s="15"/>
      <c r="G10" s="15"/>
      <c r="H10" s="16"/>
      <c r="I10" s="17"/>
      <c r="J10" s="5"/>
    </row>
    <row r="11" spans="1:10" ht="12.95" customHeight="1">
      <c r="A11" s="18" t="s">
        <v>165</v>
      </c>
      <c r="B11" s="19" t="s">
        <v>166</v>
      </c>
      <c r="C11" s="15"/>
      <c r="D11" s="15"/>
      <c r="E11" s="20"/>
      <c r="F11" s="21">
        <v>411.70659999999998</v>
      </c>
      <c r="G11" s="22">
        <v>1.26E-2</v>
      </c>
      <c r="H11" s="23">
        <v>6.799684977799017E-2</v>
      </c>
      <c r="I11" s="24"/>
      <c r="J11" s="5"/>
    </row>
    <row r="12" spans="1:10" ht="12.95" customHeight="1">
      <c r="A12" s="5"/>
      <c r="B12" s="14" t="s">
        <v>160</v>
      </c>
      <c r="C12" s="15"/>
      <c r="D12" s="15"/>
      <c r="E12" s="15"/>
      <c r="F12" s="25">
        <v>411.70659999999998</v>
      </c>
      <c r="G12" s="26">
        <v>1.26E-2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411.70659999999998</v>
      </c>
      <c r="G13" s="26">
        <v>1.26E-2</v>
      </c>
      <c r="H13" s="27"/>
      <c r="I13" s="28"/>
      <c r="J13" s="5"/>
    </row>
    <row r="14" spans="1:10" ht="12.95" customHeight="1">
      <c r="A14" s="5"/>
      <c r="B14" s="29" t="s">
        <v>167</v>
      </c>
      <c r="C14" s="15"/>
      <c r="D14" s="2"/>
      <c r="E14" s="15"/>
      <c r="F14" s="31">
        <v>-91.3857</v>
      </c>
      <c r="G14" s="26">
        <v>-2.8E-3</v>
      </c>
      <c r="H14" s="27"/>
      <c r="I14" s="28"/>
      <c r="J14" s="5"/>
    </row>
    <row r="15" spans="1:10" ht="12.95" customHeight="1">
      <c r="A15" s="5"/>
      <c r="B15" s="32" t="s">
        <v>168</v>
      </c>
      <c r="C15" s="33"/>
      <c r="D15" s="33"/>
      <c r="E15" s="33"/>
      <c r="F15" s="34">
        <v>32792.730000000003</v>
      </c>
      <c r="G15" s="35">
        <v>1</v>
      </c>
      <c r="H15" s="36"/>
      <c r="I15" s="37"/>
      <c r="J15" s="5"/>
    </row>
    <row r="16" spans="1:10" ht="12.95" customHeight="1">
      <c r="A16" s="5"/>
      <c r="B16" s="7"/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169</v>
      </c>
      <c r="C17" s="5"/>
      <c r="D17" s="5"/>
      <c r="E17" s="5"/>
      <c r="F17" s="5"/>
      <c r="G17" s="5"/>
      <c r="H17" s="5"/>
      <c r="I17" s="5"/>
      <c r="J17" s="5"/>
    </row>
    <row r="18" spans="1:10" ht="12.95" customHeight="1">
      <c r="A18" s="5"/>
      <c r="B18" s="4" t="s">
        <v>170</v>
      </c>
      <c r="C18" s="5"/>
      <c r="D18" s="5"/>
      <c r="E18" s="5"/>
      <c r="F18" s="5"/>
      <c r="G18" s="5"/>
      <c r="H18" s="5"/>
      <c r="I18" s="5"/>
      <c r="J18" s="5"/>
    </row>
    <row r="19" spans="1:10" ht="26.1" customHeight="1">
      <c r="A19" s="5"/>
      <c r="B19" s="86" t="s">
        <v>171</v>
      </c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6"/>
      <c r="C20" s="86"/>
      <c r="D20" s="86"/>
      <c r="E20" s="86"/>
      <c r="F20" s="86"/>
      <c r="G20" s="86"/>
      <c r="H20" s="86"/>
      <c r="I20" s="86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2441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6">
    <mergeCell ref="C24:D24"/>
    <mergeCell ref="B19:I19"/>
    <mergeCell ref="B20:I20"/>
    <mergeCell ref="B21:I21"/>
    <mergeCell ref="C22:F22"/>
    <mergeCell ref="C23:F23"/>
  </mergeCells>
  <hyperlinks>
    <hyperlink ref="A1" location="AxisGoldFund" display="AXISGLD" xr:uid="{00000000-0004-0000-1E00-000000000000}"/>
    <hyperlink ref="B1" location="AxisGoldFund" display="Axis Gold Fund" xr:uid="{00000000-0004-0000-1E00-000001000000}"/>
  </hyperlinks>
  <pageMargins left="0" right="0" top="0" bottom="0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/>
  </sheetPr>
  <dimension ref="A1:J13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64</v>
      </c>
      <c r="B1" s="4" t="s">
        <v>65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1162757</v>
      </c>
      <c r="F7" s="21">
        <v>90820.042400000006</v>
      </c>
      <c r="G7" s="22">
        <v>9.2899999999999996E-2</v>
      </c>
      <c r="H7" s="40"/>
      <c r="I7" s="24"/>
      <c r="J7" s="5"/>
    </row>
    <row r="8" spans="1:10" ht="12.95" customHeight="1">
      <c r="A8" s="18" t="s">
        <v>848</v>
      </c>
      <c r="B8" s="19" t="s">
        <v>849</v>
      </c>
      <c r="C8" s="15" t="s">
        <v>850</v>
      </c>
      <c r="D8" s="15" t="s">
        <v>255</v>
      </c>
      <c r="E8" s="20">
        <v>3680654</v>
      </c>
      <c r="F8" s="21">
        <v>44813.802799999998</v>
      </c>
      <c r="G8" s="22">
        <v>4.58E-2</v>
      </c>
      <c r="H8" s="40"/>
      <c r="I8" s="24"/>
      <c r="J8" s="5"/>
    </row>
    <row r="9" spans="1:10" ht="12.95" customHeight="1">
      <c r="A9" s="18" t="s">
        <v>2258</v>
      </c>
      <c r="B9" s="19" t="s">
        <v>2259</v>
      </c>
      <c r="C9" s="15" t="s">
        <v>2260</v>
      </c>
      <c r="D9" s="15" t="s">
        <v>291</v>
      </c>
      <c r="E9" s="20">
        <v>5929241</v>
      </c>
      <c r="F9" s="21">
        <v>43787.444799999997</v>
      </c>
      <c r="G9" s="22">
        <v>4.48E-2</v>
      </c>
      <c r="H9" s="40"/>
      <c r="I9" s="24"/>
      <c r="J9" s="5"/>
    </row>
    <row r="10" spans="1:10" ht="12.95" customHeight="1">
      <c r="A10" s="18" t="s">
        <v>766</v>
      </c>
      <c r="B10" s="19" t="s">
        <v>767</v>
      </c>
      <c r="C10" s="15" t="s">
        <v>768</v>
      </c>
      <c r="D10" s="15" t="s">
        <v>403</v>
      </c>
      <c r="E10" s="20">
        <v>1048805</v>
      </c>
      <c r="F10" s="21">
        <v>38549.876600000003</v>
      </c>
      <c r="G10" s="22">
        <v>3.9399999999999998E-2</v>
      </c>
      <c r="H10" s="40"/>
      <c r="I10" s="24"/>
      <c r="J10" s="5"/>
    </row>
    <row r="11" spans="1:10" ht="12.95" customHeight="1">
      <c r="A11" s="18" t="s">
        <v>829</v>
      </c>
      <c r="B11" s="19" t="s">
        <v>830</v>
      </c>
      <c r="C11" s="15" t="s">
        <v>831</v>
      </c>
      <c r="D11" s="15" t="s">
        <v>832</v>
      </c>
      <c r="E11" s="20">
        <v>1004661</v>
      </c>
      <c r="F11" s="21">
        <v>34690.944300000003</v>
      </c>
      <c r="G11" s="22">
        <v>3.5499999999999997E-2</v>
      </c>
      <c r="H11" s="40"/>
      <c r="I11" s="24"/>
      <c r="J11" s="5"/>
    </row>
    <row r="12" spans="1:10" ht="12.95" customHeight="1">
      <c r="A12" s="18" t="s">
        <v>2267</v>
      </c>
      <c r="B12" s="19" t="s">
        <v>2268</v>
      </c>
      <c r="C12" s="15" t="s">
        <v>2269</v>
      </c>
      <c r="D12" s="15" t="s">
        <v>263</v>
      </c>
      <c r="E12" s="20">
        <v>469451</v>
      </c>
      <c r="F12" s="21">
        <v>33927.927900000002</v>
      </c>
      <c r="G12" s="22">
        <v>3.4700000000000002E-2</v>
      </c>
      <c r="H12" s="40"/>
      <c r="I12" s="24"/>
      <c r="J12" s="5"/>
    </row>
    <row r="13" spans="1:10" ht="12.95" customHeight="1">
      <c r="A13" s="18" t="s">
        <v>891</v>
      </c>
      <c r="B13" s="19" t="s">
        <v>892</v>
      </c>
      <c r="C13" s="15" t="s">
        <v>893</v>
      </c>
      <c r="D13" s="15" t="s">
        <v>255</v>
      </c>
      <c r="E13" s="20">
        <v>1003579</v>
      </c>
      <c r="F13" s="21">
        <v>30819.409299999999</v>
      </c>
      <c r="G13" s="22">
        <v>3.15E-2</v>
      </c>
      <c r="H13" s="40"/>
      <c r="I13" s="24"/>
      <c r="J13" s="5"/>
    </row>
    <row r="14" spans="1:10" ht="12.95" customHeight="1">
      <c r="A14" s="18" t="s">
        <v>2448</v>
      </c>
      <c r="B14" s="19" t="s">
        <v>2449</v>
      </c>
      <c r="C14" s="15" t="s">
        <v>2450</v>
      </c>
      <c r="D14" s="15" t="s">
        <v>1816</v>
      </c>
      <c r="E14" s="20">
        <v>6547832</v>
      </c>
      <c r="F14" s="21">
        <v>28954.5131</v>
      </c>
      <c r="G14" s="22">
        <v>2.9600000000000001E-2</v>
      </c>
      <c r="H14" s="40"/>
      <c r="I14" s="24"/>
      <c r="J14" s="5"/>
    </row>
    <row r="15" spans="1:10" ht="12.95" customHeight="1">
      <c r="A15" s="18" t="s">
        <v>1584</v>
      </c>
      <c r="B15" s="19" t="s">
        <v>1585</v>
      </c>
      <c r="C15" s="15" t="s">
        <v>1586</v>
      </c>
      <c r="D15" s="15" t="s">
        <v>263</v>
      </c>
      <c r="E15" s="20">
        <v>551533</v>
      </c>
      <c r="F15" s="21">
        <v>28152.726200000001</v>
      </c>
      <c r="G15" s="22">
        <v>2.8799999999999999E-2</v>
      </c>
      <c r="H15" s="40"/>
      <c r="I15" s="24"/>
      <c r="J15" s="5"/>
    </row>
    <row r="16" spans="1:10" ht="12.95" customHeight="1">
      <c r="A16" s="18" t="s">
        <v>256</v>
      </c>
      <c r="B16" s="19" t="s">
        <v>257</v>
      </c>
      <c r="C16" s="15" t="s">
        <v>258</v>
      </c>
      <c r="D16" s="15" t="s">
        <v>259</v>
      </c>
      <c r="E16" s="20">
        <v>4353220</v>
      </c>
      <c r="F16" s="21">
        <v>25396.6855</v>
      </c>
      <c r="G16" s="22">
        <v>2.5999999999999999E-2</v>
      </c>
      <c r="H16" s="40"/>
      <c r="I16" s="24"/>
      <c r="J16" s="5"/>
    </row>
    <row r="17" spans="1:10" ht="12.95" customHeight="1">
      <c r="A17" s="18" t="s">
        <v>805</v>
      </c>
      <c r="B17" s="19" t="s">
        <v>806</v>
      </c>
      <c r="C17" s="15" t="s">
        <v>807</v>
      </c>
      <c r="D17" s="15" t="s">
        <v>808</v>
      </c>
      <c r="E17" s="20">
        <v>5803869</v>
      </c>
      <c r="F17" s="21">
        <v>23859.7055</v>
      </c>
      <c r="G17" s="22">
        <v>2.4400000000000002E-2</v>
      </c>
      <c r="H17" s="40"/>
      <c r="I17" s="24"/>
      <c r="J17" s="5"/>
    </row>
    <row r="18" spans="1:10" ht="12.95" customHeight="1">
      <c r="A18" s="18" t="s">
        <v>2451</v>
      </c>
      <c r="B18" s="19" t="s">
        <v>2452</v>
      </c>
      <c r="C18" s="15" t="s">
        <v>2453</v>
      </c>
      <c r="D18" s="15" t="s">
        <v>259</v>
      </c>
      <c r="E18" s="20">
        <v>136795</v>
      </c>
      <c r="F18" s="21">
        <v>21272.580099999999</v>
      </c>
      <c r="G18" s="22">
        <v>2.18E-2</v>
      </c>
      <c r="H18" s="40"/>
      <c r="I18" s="24"/>
      <c r="J18" s="5"/>
    </row>
    <row r="19" spans="1:10" ht="12.95" customHeight="1">
      <c r="A19" s="18" t="s">
        <v>2454</v>
      </c>
      <c r="B19" s="19" t="s">
        <v>2455</v>
      </c>
      <c r="C19" s="15" t="s">
        <v>2456</v>
      </c>
      <c r="D19" s="15" t="s">
        <v>295</v>
      </c>
      <c r="E19" s="20">
        <v>1102858</v>
      </c>
      <c r="F19" s="21">
        <v>21091.607800000002</v>
      </c>
      <c r="G19" s="22">
        <v>2.1600000000000001E-2</v>
      </c>
      <c r="H19" s="40"/>
      <c r="I19" s="24"/>
      <c r="J19" s="5"/>
    </row>
    <row r="20" spans="1:10" ht="12.95" customHeight="1">
      <c r="A20" s="18" t="s">
        <v>2457</v>
      </c>
      <c r="B20" s="19" t="s">
        <v>2458</v>
      </c>
      <c r="C20" s="15" t="s">
        <v>2459</v>
      </c>
      <c r="D20" s="15" t="s">
        <v>295</v>
      </c>
      <c r="E20" s="20">
        <v>391127</v>
      </c>
      <c r="F20" s="21">
        <v>16120.299300000001</v>
      </c>
      <c r="G20" s="22">
        <v>1.6500000000000001E-2</v>
      </c>
      <c r="H20" s="40"/>
      <c r="I20" s="24"/>
      <c r="J20" s="5"/>
    </row>
    <row r="21" spans="1:10" ht="12.95" customHeight="1">
      <c r="A21" s="18" t="s">
        <v>1572</v>
      </c>
      <c r="B21" s="19" t="s">
        <v>1573</v>
      </c>
      <c r="C21" s="15" t="s">
        <v>1574</v>
      </c>
      <c r="D21" s="15" t="s">
        <v>263</v>
      </c>
      <c r="E21" s="20">
        <v>220232</v>
      </c>
      <c r="F21" s="21">
        <v>12766.1883</v>
      </c>
      <c r="G21" s="22">
        <v>1.3100000000000001E-2</v>
      </c>
      <c r="H21" s="40"/>
      <c r="I21" s="24"/>
      <c r="J21" s="5"/>
    </row>
    <row r="22" spans="1:10" ht="12.95" customHeight="1">
      <c r="A22" s="18" t="s">
        <v>839</v>
      </c>
      <c r="B22" s="19" t="s">
        <v>840</v>
      </c>
      <c r="C22" s="15" t="s">
        <v>841</v>
      </c>
      <c r="D22" s="15" t="s">
        <v>745</v>
      </c>
      <c r="E22" s="20">
        <v>326358</v>
      </c>
      <c r="F22" s="21">
        <v>12287.868200000001</v>
      </c>
      <c r="G22" s="22">
        <v>1.26E-2</v>
      </c>
      <c r="H22" s="40"/>
      <c r="I22" s="24"/>
      <c r="J22" s="5"/>
    </row>
    <row r="23" spans="1:10" ht="12.95" customHeight="1">
      <c r="A23" s="18" t="s">
        <v>260</v>
      </c>
      <c r="B23" s="19" t="s">
        <v>261</v>
      </c>
      <c r="C23" s="15" t="s">
        <v>262</v>
      </c>
      <c r="D23" s="15" t="s">
        <v>263</v>
      </c>
      <c r="E23" s="20">
        <v>342970</v>
      </c>
      <c r="F23" s="21">
        <v>12102.0394</v>
      </c>
      <c r="G23" s="22">
        <v>1.24E-2</v>
      </c>
      <c r="H23" s="40"/>
      <c r="I23" s="24"/>
      <c r="J23" s="5"/>
    </row>
    <row r="24" spans="1:10" ht="12.95" customHeight="1">
      <c r="A24" s="18" t="s">
        <v>854</v>
      </c>
      <c r="B24" s="19" t="s">
        <v>855</v>
      </c>
      <c r="C24" s="15" t="s">
        <v>856</v>
      </c>
      <c r="D24" s="15" t="s">
        <v>314</v>
      </c>
      <c r="E24" s="20">
        <v>778535</v>
      </c>
      <c r="F24" s="21">
        <v>10971.504499999999</v>
      </c>
      <c r="G24" s="22">
        <v>1.12E-2</v>
      </c>
      <c r="H24" s="40"/>
      <c r="I24" s="24"/>
      <c r="J24" s="5"/>
    </row>
    <row r="25" spans="1:10" ht="12.95" customHeight="1">
      <c r="A25" s="18" t="s">
        <v>2404</v>
      </c>
      <c r="B25" s="19" t="s">
        <v>2405</v>
      </c>
      <c r="C25" s="15" t="s">
        <v>2406</v>
      </c>
      <c r="D25" s="15" t="s">
        <v>314</v>
      </c>
      <c r="E25" s="20">
        <v>180617</v>
      </c>
      <c r="F25" s="21">
        <v>10753.5749</v>
      </c>
      <c r="G25" s="22">
        <v>1.0999999999999999E-2</v>
      </c>
      <c r="H25" s="40"/>
      <c r="I25" s="24"/>
      <c r="J25" s="5"/>
    </row>
    <row r="26" spans="1:10" ht="12.95" customHeight="1">
      <c r="A26" s="18" t="s">
        <v>2460</v>
      </c>
      <c r="B26" s="19" t="s">
        <v>2461</v>
      </c>
      <c r="C26" s="15" t="s">
        <v>2462</v>
      </c>
      <c r="D26" s="15" t="s">
        <v>259</v>
      </c>
      <c r="E26" s="20">
        <v>359526</v>
      </c>
      <c r="F26" s="21">
        <v>10743.7155</v>
      </c>
      <c r="G26" s="22">
        <v>1.0999999999999999E-2</v>
      </c>
      <c r="H26" s="40"/>
      <c r="I26" s="24"/>
      <c r="J26" s="5"/>
    </row>
    <row r="27" spans="1:10" ht="12.95" customHeight="1">
      <c r="A27" s="18" t="s">
        <v>866</v>
      </c>
      <c r="B27" s="19" t="s">
        <v>867</v>
      </c>
      <c r="C27" s="15" t="s">
        <v>868</v>
      </c>
      <c r="D27" s="15" t="s">
        <v>403</v>
      </c>
      <c r="E27" s="20">
        <v>10424967</v>
      </c>
      <c r="F27" s="21">
        <v>10581.3415</v>
      </c>
      <c r="G27" s="22">
        <v>1.0800000000000001E-2</v>
      </c>
      <c r="H27" s="40"/>
      <c r="I27" s="24"/>
      <c r="J27" s="5"/>
    </row>
    <row r="28" spans="1:10" ht="12.95" customHeight="1">
      <c r="A28" s="18" t="s">
        <v>1581</v>
      </c>
      <c r="B28" s="19" t="s">
        <v>1582</v>
      </c>
      <c r="C28" s="15" t="s">
        <v>1583</v>
      </c>
      <c r="D28" s="15" t="s">
        <v>281</v>
      </c>
      <c r="E28" s="20">
        <v>690450</v>
      </c>
      <c r="F28" s="21">
        <v>10507.268099999999</v>
      </c>
      <c r="G28" s="22">
        <v>1.0699999999999999E-2</v>
      </c>
      <c r="H28" s="40"/>
      <c r="I28" s="24"/>
      <c r="J28" s="5"/>
    </row>
    <row r="29" spans="1:10" ht="12.95" customHeight="1">
      <c r="A29" s="18" t="s">
        <v>1776</v>
      </c>
      <c r="B29" s="19" t="s">
        <v>1777</v>
      </c>
      <c r="C29" s="15" t="s">
        <v>1778</v>
      </c>
      <c r="D29" s="15" t="s">
        <v>314</v>
      </c>
      <c r="E29" s="20">
        <v>394565</v>
      </c>
      <c r="F29" s="21">
        <v>9625.4132000000009</v>
      </c>
      <c r="G29" s="22">
        <v>9.7999999999999997E-3</v>
      </c>
      <c r="H29" s="40"/>
      <c r="I29" s="24"/>
      <c r="J29" s="5"/>
    </row>
    <row r="30" spans="1:10" ht="12.95" customHeight="1">
      <c r="A30" s="18" t="s">
        <v>338</v>
      </c>
      <c r="B30" s="19" t="s">
        <v>339</v>
      </c>
      <c r="C30" s="15" t="s">
        <v>340</v>
      </c>
      <c r="D30" s="15" t="s">
        <v>334</v>
      </c>
      <c r="E30" s="20">
        <v>1738692</v>
      </c>
      <c r="F30" s="21">
        <v>9230.7157999999999</v>
      </c>
      <c r="G30" s="22">
        <v>9.4000000000000004E-3</v>
      </c>
      <c r="H30" s="40"/>
      <c r="I30" s="24"/>
      <c r="J30" s="5"/>
    </row>
    <row r="31" spans="1:10" ht="12.95" customHeight="1">
      <c r="A31" s="18" t="s">
        <v>1617</v>
      </c>
      <c r="B31" s="19" t="s">
        <v>1618</v>
      </c>
      <c r="C31" s="15" t="s">
        <v>1619</v>
      </c>
      <c r="D31" s="15" t="s">
        <v>745</v>
      </c>
      <c r="E31" s="20">
        <v>504993</v>
      </c>
      <c r="F31" s="21">
        <v>9066.1393000000007</v>
      </c>
      <c r="G31" s="22">
        <v>9.2999999999999992E-3</v>
      </c>
      <c r="H31" s="40"/>
      <c r="I31" s="24"/>
      <c r="J31" s="5"/>
    </row>
    <row r="32" spans="1:10" ht="12.95" customHeight="1">
      <c r="A32" s="18" t="s">
        <v>733</v>
      </c>
      <c r="B32" s="19" t="s">
        <v>734</v>
      </c>
      <c r="C32" s="15" t="s">
        <v>735</v>
      </c>
      <c r="D32" s="15" t="s">
        <v>281</v>
      </c>
      <c r="E32" s="20">
        <v>84144</v>
      </c>
      <c r="F32" s="21">
        <v>8928.1833000000006</v>
      </c>
      <c r="G32" s="22">
        <v>9.1000000000000004E-3</v>
      </c>
      <c r="H32" s="40"/>
      <c r="I32" s="24"/>
      <c r="J32" s="5"/>
    </row>
    <row r="33" spans="1:10" ht="12.95" customHeight="1">
      <c r="A33" s="18" t="s">
        <v>752</v>
      </c>
      <c r="B33" s="19" t="s">
        <v>753</v>
      </c>
      <c r="C33" s="15" t="s">
        <v>754</v>
      </c>
      <c r="D33" s="15" t="s">
        <v>755</v>
      </c>
      <c r="E33" s="20">
        <v>39448</v>
      </c>
      <c r="F33" s="21">
        <v>8878.5218999999997</v>
      </c>
      <c r="G33" s="22">
        <v>9.1000000000000004E-3</v>
      </c>
      <c r="H33" s="40"/>
      <c r="I33" s="24"/>
      <c r="J33" s="5"/>
    </row>
    <row r="34" spans="1:10" ht="12.95" customHeight="1">
      <c r="A34" s="18" t="s">
        <v>278</v>
      </c>
      <c r="B34" s="19" t="s">
        <v>279</v>
      </c>
      <c r="C34" s="15" t="s">
        <v>280</v>
      </c>
      <c r="D34" s="15" t="s">
        <v>281</v>
      </c>
      <c r="E34" s="20">
        <v>1360000</v>
      </c>
      <c r="F34" s="21">
        <v>8570.7199999999993</v>
      </c>
      <c r="G34" s="22">
        <v>8.8000000000000005E-3</v>
      </c>
      <c r="H34" s="40"/>
      <c r="I34" s="24"/>
      <c r="J34" s="5"/>
    </row>
    <row r="35" spans="1:10" ht="12.95" customHeight="1">
      <c r="A35" s="18" t="s">
        <v>282</v>
      </c>
      <c r="B35" s="19" t="s">
        <v>283</v>
      </c>
      <c r="C35" s="15" t="s">
        <v>284</v>
      </c>
      <c r="D35" s="15" t="s">
        <v>271</v>
      </c>
      <c r="E35" s="20">
        <v>550000</v>
      </c>
      <c r="F35" s="21">
        <v>8394.65</v>
      </c>
      <c r="G35" s="22">
        <v>8.6E-3</v>
      </c>
      <c r="H35" s="40"/>
      <c r="I35" s="24"/>
      <c r="J35" s="5"/>
    </row>
    <row r="36" spans="1:10" ht="12.95" customHeight="1">
      <c r="A36" s="18" t="s">
        <v>869</v>
      </c>
      <c r="B36" s="19" t="s">
        <v>870</v>
      </c>
      <c r="C36" s="15" t="s">
        <v>871</v>
      </c>
      <c r="D36" s="15" t="s">
        <v>832</v>
      </c>
      <c r="E36" s="20">
        <v>1964514</v>
      </c>
      <c r="F36" s="21">
        <v>8298.1070999999993</v>
      </c>
      <c r="G36" s="22">
        <v>8.5000000000000006E-3</v>
      </c>
      <c r="H36" s="40"/>
      <c r="I36" s="24"/>
      <c r="J36" s="5"/>
    </row>
    <row r="37" spans="1:10" ht="12.95" customHeight="1">
      <c r="A37" s="18" t="s">
        <v>887</v>
      </c>
      <c r="B37" s="19" t="s">
        <v>888</v>
      </c>
      <c r="C37" s="15" t="s">
        <v>889</v>
      </c>
      <c r="D37" s="15" t="s">
        <v>890</v>
      </c>
      <c r="E37" s="20">
        <v>1439365</v>
      </c>
      <c r="F37" s="21">
        <v>8149.6845999999996</v>
      </c>
      <c r="G37" s="22">
        <v>8.3000000000000001E-3</v>
      </c>
      <c r="H37" s="40"/>
      <c r="I37" s="24"/>
      <c r="J37" s="5"/>
    </row>
    <row r="38" spans="1:10" ht="12.95" customHeight="1">
      <c r="A38" s="18" t="s">
        <v>359</v>
      </c>
      <c r="B38" s="19" t="s">
        <v>360</v>
      </c>
      <c r="C38" s="15" t="s">
        <v>361</v>
      </c>
      <c r="D38" s="15" t="s">
        <v>255</v>
      </c>
      <c r="E38" s="20">
        <v>3284012</v>
      </c>
      <c r="F38" s="21">
        <v>7592.6356999999998</v>
      </c>
      <c r="G38" s="22">
        <v>7.7999999999999996E-3</v>
      </c>
      <c r="H38" s="40"/>
      <c r="I38" s="24"/>
      <c r="J38" s="5"/>
    </row>
    <row r="39" spans="1:10" ht="12.95" customHeight="1">
      <c r="A39" s="18" t="s">
        <v>1595</v>
      </c>
      <c r="B39" s="19" t="s">
        <v>1596</v>
      </c>
      <c r="C39" s="15" t="s">
        <v>1597</v>
      </c>
      <c r="D39" s="15" t="s">
        <v>778</v>
      </c>
      <c r="E39" s="20">
        <v>1043805</v>
      </c>
      <c r="F39" s="21">
        <v>7474.1656999999996</v>
      </c>
      <c r="G39" s="22">
        <v>7.6E-3</v>
      </c>
      <c r="H39" s="40"/>
      <c r="I39" s="24"/>
      <c r="J39" s="5"/>
    </row>
    <row r="40" spans="1:10" ht="12.95" customHeight="1">
      <c r="A40" s="18" t="s">
        <v>2463</v>
      </c>
      <c r="B40" s="19" t="s">
        <v>2464</v>
      </c>
      <c r="C40" s="15" t="s">
        <v>2465</v>
      </c>
      <c r="D40" s="15" t="s">
        <v>295</v>
      </c>
      <c r="E40" s="20">
        <v>202738</v>
      </c>
      <c r="F40" s="21">
        <v>7121.5776999999998</v>
      </c>
      <c r="G40" s="22">
        <v>7.3000000000000001E-3</v>
      </c>
      <c r="H40" s="40"/>
      <c r="I40" s="24"/>
      <c r="J40" s="5"/>
    </row>
    <row r="41" spans="1:10" ht="12.95" customHeight="1">
      <c r="A41" s="18" t="s">
        <v>809</v>
      </c>
      <c r="B41" s="19" t="s">
        <v>810</v>
      </c>
      <c r="C41" s="15" t="s">
        <v>811</v>
      </c>
      <c r="D41" s="15" t="s">
        <v>403</v>
      </c>
      <c r="E41" s="20">
        <v>155866</v>
      </c>
      <c r="F41" s="21">
        <v>6492.2865000000002</v>
      </c>
      <c r="G41" s="22">
        <v>6.6E-3</v>
      </c>
      <c r="H41" s="40"/>
      <c r="I41" s="24"/>
      <c r="J41" s="5"/>
    </row>
    <row r="42" spans="1:10" ht="12.95" customHeight="1">
      <c r="A42" s="18" t="s">
        <v>723</v>
      </c>
      <c r="B42" s="19" t="s">
        <v>724</v>
      </c>
      <c r="C42" s="15" t="s">
        <v>725</v>
      </c>
      <c r="D42" s="15" t="s">
        <v>726</v>
      </c>
      <c r="E42" s="20">
        <v>680139</v>
      </c>
      <c r="F42" s="21">
        <v>6300.8077000000003</v>
      </c>
      <c r="G42" s="22">
        <v>6.4000000000000003E-3</v>
      </c>
      <c r="H42" s="40"/>
      <c r="I42" s="24"/>
      <c r="J42" s="5"/>
    </row>
    <row r="43" spans="1:10" ht="12.95" customHeight="1">
      <c r="A43" s="18" t="s">
        <v>397</v>
      </c>
      <c r="B43" s="19" t="s">
        <v>398</v>
      </c>
      <c r="C43" s="15" t="s">
        <v>399</v>
      </c>
      <c r="D43" s="15" t="s">
        <v>259</v>
      </c>
      <c r="E43" s="20">
        <v>1873575</v>
      </c>
      <c r="F43" s="21">
        <v>6239.0047999999997</v>
      </c>
      <c r="G43" s="22">
        <v>6.4000000000000003E-3</v>
      </c>
      <c r="H43" s="40"/>
      <c r="I43" s="24"/>
      <c r="J43" s="5"/>
    </row>
    <row r="44" spans="1:10" ht="12.95" customHeight="1">
      <c r="A44" s="18" t="s">
        <v>719</v>
      </c>
      <c r="B44" s="19" t="s">
        <v>720</v>
      </c>
      <c r="C44" s="15" t="s">
        <v>721</v>
      </c>
      <c r="D44" s="15" t="s">
        <v>722</v>
      </c>
      <c r="E44" s="20">
        <v>200000</v>
      </c>
      <c r="F44" s="21">
        <v>6047.1</v>
      </c>
      <c r="G44" s="22">
        <v>6.1999999999999998E-3</v>
      </c>
      <c r="H44" s="40"/>
      <c r="I44" s="24"/>
      <c r="J44" s="5"/>
    </row>
    <row r="45" spans="1:10" ht="12.95" customHeight="1">
      <c r="A45" s="18" t="s">
        <v>2170</v>
      </c>
      <c r="B45" s="19" t="s">
        <v>2171</v>
      </c>
      <c r="C45" s="15" t="s">
        <v>2172</v>
      </c>
      <c r="D45" s="15" t="s">
        <v>263</v>
      </c>
      <c r="E45" s="20">
        <v>241002</v>
      </c>
      <c r="F45" s="21">
        <v>5727.6535000000003</v>
      </c>
      <c r="G45" s="22">
        <v>5.8999999999999999E-3</v>
      </c>
      <c r="H45" s="40"/>
      <c r="I45" s="24"/>
      <c r="J45" s="5"/>
    </row>
    <row r="46" spans="1:10" ht="12.95" customHeight="1">
      <c r="A46" s="18" t="s">
        <v>815</v>
      </c>
      <c r="B46" s="19" t="s">
        <v>816</v>
      </c>
      <c r="C46" s="15" t="s">
        <v>817</v>
      </c>
      <c r="D46" s="15" t="s">
        <v>788</v>
      </c>
      <c r="E46" s="20">
        <v>547274</v>
      </c>
      <c r="F46" s="21">
        <v>5512.4174000000003</v>
      </c>
      <c r="G46" s="22">
        <v>5.5999999999999999E-3</v>
      </c>
      <c r="H46" s="40"/>
      <c r="I46" s="24"/>
      <c r="J46" s="5"/>
    </row>
    <row r="47" spans="1:10" ht="12.95" customHeight="1">
      <c r="A47" s="18" t="s">
        <v>318</v>
      </c>
      <c r="B47" s="19" t="s">
        <v>319</v>
      </c>
      <c r="C47" s="15" t="s">
        <v>320</v>
      </c>
      <c r="D47" s="15" t="s">
        <v>263</v>
      </c>
      <c r="E47" s="20">
        <v>105802</v>
      </c>
      <c r="F47" s="21">
        <v>5512.1255000000001</v>
      </c>
      <c r="G47" s="22">
        <v>5.5999999999999999E-3</v>
      </c>
      <c r="H47" s="40"/>
      <c r="I47" s="24"/>
      <c r="J47" s="5"/>
    </row>
    <row r="48" spans="1:10" ht="12.95" customHeight="1">
      <c r="A48" s="18" t="s">
        <v>2466</v>
      </c>
      <c r="B48" s="19" t="s">
        <v>2467</v>
      </c>
      <c r="C48" s="15" t="s">
        <v>2468</v>
      </c>
      <c r="D48" s="15" t="s">
        <v>778</v>
      </c>
      <c r="E48" s="20">
        <v>1083445</v>
      </c>
      <c r="F48" s="21">
        <v>5408.5573999999997</v>
      </c>
      <c r="G48" s="22">
        <v>5.4999999999999997E-3</v>
      </c>
      <c r="H48" s="40"/>
      <c r="I48" s="24"/>
      <c r="J48" s="5"/>
    </row>
    <row r="49" spans="1:10" ht="12.95" customHeight="1">
      <c r="A49" s="18" t="s">
        <v>863</v>
      </c>
      <c r="B49" s="19" t="s">
        <v>864</v>
      </c>
      <c r="C49" s="15" t="s">
        <v>865</v>
      </c>
      <c r="D49" s="15" t="s">
        <v>745</v>
      </c>
      <c r="E49" s="20">
        <v>317832</v>
      </c>
      <c r="F49" s="21">
        <v>4710.5880999999999</v>
      </c>
      <c r="G49" s="22">
        <v>4.7999999999999996E-3</v>
      </c>
      <c r="H49" s="40"/>
      <c r="I49" s="24"/>
      <c r="J49" s="5"/>
    </row>
    <row r="50" spans="1:10" ht="12.95" customHeight="1">
      <c r="A50" s="18" t="s">
        <v>400</v>
      </c>
      <c r="B50" s="19" t="s">
        <v>401</v>
      </c>
      <c r="C50" s="15" t="s">
        <v>402</v>
      </c>
      <c r="D50" s="15" t="s">
        <v>403</v>
      </c>
      <c r="E50" s="20">
        <v>326373</v>
      </c>
      <c r="F50" s="21">
        <v>4368.6657999999998</v>
      </c>
      <c r="G50" s="22">
        <v>4.4999999999999997E-3</v>
      </c>
      <c r="H50" s="40"/>
      <c r="I50" s="24"/>
      <c r="J50" s="5"/>
    </row>
    <row r="51" spans="1:10" ht="12.95" customHeight="1">
      <c r="A51" s="18" t="s">
        <v>328</v>
      </c>
      <c r="B51" s="19" t="s">
        <v>329</v>
      </c>
      <c r="C51" s="15" t="s">
        <v>330</v>
      </c>
      <c r="D51" s="15" t="s">
        <v>259</v>
      </c>
      <c r="E51" s="20">
        <v>127040</v>
      </c>
      <c r="F51" s="21">
        <v>4211.2489999999998</v>
      </c>
      <c r="G51" s="22">
        <v>4.3E-3</v>
      </c>
      <c r="H51" s="40"/>
      <c r="I51" s="24"/>
      <c r="J51" s="5"/>
    </row>
    <row r="52" spans="1:10" ht="12.95" customHeight="1">
      <c r="A52" s="18" t="s">
        <v>385</v>
      </c>
      <c r="B52" s="19" t="s">
        <v>386</v>
      </c>
      <c r="C52" s="15" t="s">
        <v>387</v>
      </c>
      <c r="D52" s="15" t="s">
        <v>255</v>
      </c>
      <c r="E52" s="20">
        <v>1331202</v>
      </c>
      <c r="F52" s="21">
        <v>4011.5772000000002</v>
      </c>
      <c r="G52" s="22">
        <v>4.1000000000000003E-3</v>
      </c>
      <c r="H52" s="40"/>
      <c r="I52" s="24"/>
      <c r="J52" s="5"/>
    </row>
    <row r="53" spans="1:10" ht="12.95" customHeight="1">
      <c r="A53" s="18" t="s">
        <v>292</v>
      </c>
      <c r="B53" s="19" t="s">
        <v>293</v>
      </c>
      <c r="C53" s="15" t="s">
        <v>294</v>
      </c>
      <c r="D53" s="15" t="s">
        <v>295</v>
      </c>
      <c r="E53" s="20">
        <v>436530</v>
      </c>
      <c r="F53" s="21">
        <v>3257.3869</v>
      </c>
      <c r="G53" s="22">
        <v>3.3E-3</v>
      </c>
      <c r="H53" s="40"/>
      <c r="I53" s="24"/>
      <c r="J53" s="5"/>
    </row>
    <row r="54" spans="1:10" ht="12.95" customHeight="1">
      <c r="A54" s="18" t="s">
        <v>881</v>
      </c>
      <c r="B54" s="19" t="s">
        <v>882</v>
      </c>
      <c r="C54" s="15" t="s">
        <v>883</v>
      </c>
      <c r="D54" s="15" t="s">
        <v>314</v>
      </c>
      <c r="E54" s="20">
        <v>260148</v>
      </c>
      <c r="F54" s="21">
        <v>3167.4319999999998</v>
      </c>
      <c r="G54" s="22">
        <v>3.2000000000000002E-3</v>
      </c>
      <c r="H54" s="40"/>
      <c r="I54" s="24"/>
      <c r="J54" s="5"/>
    </row>
    <row r="55" spans="1:10" ht="12.95" customHeight="1">
      <c r="A55" s="18" t="s">
        <v>2469</v>
      </c>
      <c r="B55" s="19" t="s">
        <v>2470</v>
      </c>
      <c r="C55" s="15" t="s">
        <v>2471</v>
      </c>
      <c r="D55" s="15" t="s">
        <v>295</v>
      </c>
      <c r="E55" s="20">
        <v>94327</v>
      </c>
      <c r="F55" s="21">
        <v>1960.7282</v>
      </c>
      <c r="G55" s="22">
        <v>2E-3</v>
      </c>
      <c r="H55" s="40"/>
      <c r="I55" s="24"/>
      <c r="J55" s="5"/>
    </row>
    <row r="56" spans="1:10" ht="12.95" customHeight="1">
      <c r="A56" s="18" t="s">
        <v>365</v>
      </c>
      <c r="B56" s="19" t="s">
        <v>366</v>
      </c>
      <c r="C56" s="15" t="s">
        <v>367</v>
      </c>
      <c r="D56" s="15" t="s">
        <v>314</v>
      </c>
      <c r="E56" s="20">
        <v>171304</v>
      </c>
      <c r="F56" s="21">
        <v>1658.9936</v>
      </c>
      <c r="G56" s="22">
        <v>1.6999999999999999E-3</v>
      </c>
      <c r="H56" s="40"/>
      <c r="I56" s="24"/>
      <c r="J56" s="5"/>
    </row>
    <row r="57" spans="1:10" ht="12.95" customHeight="1">
      <c r="A57" s="18" t="s">
        <v>2472</v>
      </c>
      <c r="B57" s="19" t="s">
        <v>2473</v>
      </c>
      <c r="C57" s="15" t="s">
        <v>2474</v>
      </c>
      <c r="D57" s="15" t="s">
        <v>259</v>
      </c>
      <c r="E57" s="20">
        <v>128920</v>
      </c>
      <c r="F57" s="21">
        <v>1624.6497999999999</v>
      </c>
      <c r="G57" s="22">
        <v>1.6999999999999999E-3</v>
      </c>
      <c r="H57" s="40"/>
      <c r="I57" s="24"/>
      <c r="J57" s="5"/>
    </row>
    <row r="58" spans="1:10" ht="12.95" customHeight="1">
      <c r="A58" s="18" t="s">
        <v>381</v>
      </c>
      <c r="B58" s="19" t="s">
        <v>382</v>
      </c>
      <c r="C58" s="15" t="s">
        <v>383</v>
      </c>
      <c r="D58" s="15" t="s">
        <v>384</v>
      </c>
      <c r="E58" s="20">
        <v>52440</v>
      </c>
      <c r="F58" s="21">
        <v>1248.7012999999999</v>
      </c>
      <c r="G58" s="22">
        <v>1.2999999999999999E-3</v>
      </c>
      <c r="H58" s="40"/>
      <c r="I58" s="24"/>
      <c r="J58" s="5"/>
    </row>
    <row r="59" spans="1:10" ht="12.95" customHeight="1">
      <c r="A59" s="18" t="s">
        <v>2475</v>
      </c>
      <c r="B59" s="19" t="s">
        <v>2476</v>
      </c>
      <c r="C59" s="15" t="s">
        <v>2477</v>
      </c>
      <c r="D59" s="15" t="s">
        <v>334</v>
      </c>
      <c r="E59" s="20">
        <v>65934</v>
      </c>
      <c r="F59" s="21">
        <v>1196.2735</v>
      </c>
      <c r="G59" s="22">
        <v>1.1999999999999999E-3</v>
      </c>
      <c r="H59" s="40"/>
      <c r="I59" s="24"/>
      <c r="J59" s="5"/>
    </row>
    <row r="60" spans="1:10" ht="12.95" customHeight="1">
      <c r="A60" s="18" t="s">
        <v>795</v>
      </c>
      <c r="B60" s="19" t="s">
        <v>796</v>
      </c>
      <c r="C60" s="15" t="s">
        <v>797</v>
      </c>
      <c r="D60" s="15" t="s">
        <v>798</v>
      </c>
      <c r="E60" s="20">
        <v>118776</v>
      </c>
      <c r="F60" s="21">
        <v>1177.7828</v>
      </c>
      <c r="G60" s="22">
        <v>1.1999999999999999E-3</v>
      </c>
      <c r="H60" s="40"/>
      <c r="I60" s="24"/>
      <c r="J60" s="5"/>
    </row>
    <row r="61" spans="1:10" ht="12.95" customHeight="1">
      <c r="A61" s="18" t="s">
        <v>2270</v>
      </c>
      <c r="B61" s="19" t="s">
        <v>2271</v>
      </c>
      <c r="C61" s="15" t="s">
        <v>2272</v>
      </c>
      <c r="D61" s="15" t="s">
        <v>2273</v>
      </c>
      <c r="E61" s="20">
        <v>254783</v>
      </c>
      <c r="F61" s="21">
        <v>918.49270000000001</v>
      </c>
      <c r="G61" s="22">
        <v>8.9999999999999998E-4</v>
      </c>
      <c r="H61" s="40"/>
      <c r="I61" s="24"/>
      <c r="J61" s="5"/>
    </row>
    <row r="62" spans="1:10" ht="12.95" customHeight="1">
      <c r="A62" s="18" t="s">
        <v>2216</v>
      </c>
      <c r="B62" s="19" t="s">
        <v>2217</v>
      </c>
      <c r="C62" s="15" t="s">
        <v>2218</v>
      </c>
      <c r="D62" s="15" t="s">
        <v>755</v>
      </c>
      <c r="E62" s="20">
        <v>73470</v>
      </c>
      <c r="F62" s="21">
        <v>766.07169999999996</v>
      </c>
      <c r="G62" s="22">
        <v>8.0000000000000004E-4</v>
      </c>
      <c r="H62" s="40"/>
      <c r="I62" s="24"/>
      <c r="J62" s="5"/>
    </row>
    <row r="63" spans="1:10" ht="12.95" customHeight="1">
      <c r="A63" s="18" t="s">
        <v>2478</v>
      </c>
      <c r="B63" s="19" t="s">
        <v>2479</v>
      </c>
      <c r="C63" s="15" t="s">
        <v>2480</v>
      </c>
      <c r="D63" s="15" t="s">
        <v>259</v>
      </c>
      <c r="E63" s="20">
        <v>40674</v>
      </c>
      <c r="F63" s="21">
        <v>647.3877</v>
      </c>
      <c r="G63" s="22">
        <v>6.9999999999999999E-4</v>
      </c>
      <c r="H63" s="40"/>
      <c r="I63" s="24"/>
      <c r="J63" s="5"/>
    </row>
    <row r="64" spans="1:10" ht="12.95" customHeight="1">
      <c r="A64" s="18" t="s">
        <v>2186</v>
      </c>
      <c r="B64" s="19" t="s">
        <v>2187</v>
      </c>
      <c r="C64" s="15" t="s">
        <v>2188</v>
      </c>
      <c r="D64" s="15" t="s">
        <v>314</v>
      </c>
      <c r="E64" s="20">
        <v>16945</v>
      </c>
      <c r="F64" s="21">
        <v>638.26729999999998</v>
      </c>
      <c r="G64" s="22">
        <v>6.9999999999999999E-4</v>
      </c>
      <c r="H64" s="40"/>
      <c r="I64" s="24"/>
      <c r="J64" s="5"/>
    </row>
    <row r="65" spans="1:10" ht="12.95" customHeight="1">
      <c r="A65" s="18" t="s">
        <v>860</v>
      </c>
      <c r="B65" s="19" t="s">
        <v>861</v>
      </c>
      <c r="C65" s="15" t="s">
        <v>862</v>
      </c>
      <c r="D65" s="15" t="s">
        <v>259</v>
      </c>
      <c r="E65" s="20">
        <v>841731</v>
      </c>
      <c r="F65" s="21">
        <v>542.49559999999997</v>
      </c>
      <c r="G65" s="22">
        <v>5.9999999999999995E-4</v>
      </c>
      <c r="H65" s="40"/>
      <c r="I65" s="24"/>
      <c r="J65" s="5"/>
    </row>
    <row r="66" spans="1:10" ht="12.95" customHeight="1">
      <c r="A66" s="18" t="s">
        <v>2222</v>
      </c>
      <c r="B66" s="19" t="s">
        <v>2223</v>
      </c>
      <c r="C66" s="15" t="s">
        <v>2224</v>
      </c>
      <c r="D66" s="15" t="s">
        <v>306</v>
      </c>
      <c r="E66" s="20">
        <v>21585</v>
      </c>
      <c r="F66" s="21">
        <v>193.94120000000001</v>
      </c>
      <c r="G66" s="22">
        <v>2.0000000000000001E-4</v>
      </c>
      <c r="H66" s="40"/>
      <c r="I66" s="24"/>
      <c r="J66" s="5"/>
    </row>
    <row r="67" spans="1:10" ht="12.95" customHeight="1">
      <c r="A67" s="5"/>
      <c r="B67" s="14" t="s">
        <v>160</v>
      </c>
      <c r="C67" s="15"/>
      <c r="D67" s="15"/>
      <c r="E67" s="15"/>
      <c r="F67" s="25">
        <v>757842.21770000004</v>
      </c>
      <c r="G67" s="26">
        <v>0.77490000000000003</v>
      </c>
      <c r="H67" s="27"/>
      <c r="I67" s="28"/>
      <c r="J67" s="5"/>
    </row>
    <row r="68" spans="1:10" ht="12.95" customHeight="1">
      <c r="A68" s="5"/>
      <c r="B68" s="29" t="s">
        <v>408</v>
      </c>
      <c r="C68" s="2"/>
      <c r="D68" s="2"/>
      <c r="E68" s="2"/>
      <c r="F68" s="27" t="s">
        <v>162</v>
      </c>
      <c r="G68" s="27" t="s">
        <v>162</v>
      </c>
      <c r="H68" s="27"/>
      <c r="I68" s="28"/>
      <c r="J68" s="5"/>
    </row>
    <row r="69" spans="1:10" ht="12.95" customHeight="1">
      <c r="A69" s="5"/>
      <c r="B69" s="29" t="s">
        <v>160</v>
      </c>
      <c r="C69" s="2"/>
      <c r="D69" s="2"/>
      <c r="E69" s="2"/>
      <c r="F69" s="27" t="s">
        <v>162</v>
      </c>
      <c r="G69" s="27" t="s">
        <v>162</v>
      </c>
      <c r="H69" s="27"/>
      <c r="I69" s="28"/>
      <c r="J69" s="5"/>
    </row>
    <row r="70" spans="1:10" ht="12.95" customHeight="1">
      <c r="A70" s="5"/>
      <c r="B70" s="29" t="s">
        <v>163</v>
      </c>
      <c r="C70" s="30"/>
      <c r="D70" s="2"/>
      <c r="E70" s="30"/>
      <c r="F70" s="25">
        <v>757842.21770000004</v>
      </c>
      <c r="G70" s="26">
        <v>0.77490000000000003</v>
      </c>
      <c r="H70" s="27"/>
      <c r="I70" s="28"/>
      <c r="J70" s="5"/>
    </row>
    <row r="71" spans="1:10" ht="12.95" customHeight="1">
      <c r="A71" s="5"/>
      <c r="B71" s="14" t="s">
        <v>2277</v>
      </c>
      <c r="C71" s="15"/>
      <c r="D71" s="15"/>
      <c r="E71" s="15"/>
      <c r="F71" s="15"/>
      <c r="G71" s="15"/>
      <c r="H71" s="16"/>
      <c r="I71" s="17"/>
      <c r="J71" s="5"/>
    </row>
    <row r="72" spans="1:10" ht="12.95" customHeight="1">
      <c r="A72" s="5"/>
      <c r="B72" s="14" t="s">
        <v>247</v>
      </c>
      <c r="C72" s="15"/>
      <c r="D72" s="15"/>
      <c r="E72" s="15"/>
      <c r="F72" s="5"/>
      <c r="G72" s="16"/>
      <c r="H72" s="16"/>
      <c r="I72" s="17"/>
      <c r="J72" s="5"/>
    </row>
    <row r="73" spans="1:10" ht="12.95" customHeight="1">
      <c r="A73" s="18" t="s">
        <v>2278</v>
      </c>
      <c r="B73" s="19" t="s">
        <v>2279</v>
      </c>
      <c r="C73" s="15" t="s">
        <v>2280</v>
      </c>
      <c r="D73" s="15" t="s">
        <v>2281</v>
      </c>
      <c r="E73" s="20">
        <v>45020</v>
      </c>
      <c r="F73" s="21">
        <v>11806.7487</v>
      </c>
      <c r="G73" s="22">
        <v>1.21E-2</v>
      </c>
      <c r="H73" s="40"/>
      <c r="I73" s="24"/>
      <c r="J73" s="5"/>
    </row>
    <row r="74" spans="1:10" ht="12.95" customHeight="1">
      <c r="A74" s="18" t="s">
        <v>2282</v>
      </c>
      <c r="B74" s="19" t="s">
        <v>2283</v>
      </c>
      <c r="C74" s="15" t="s">
        <v>2284</v>
      </c>
      <c r="D74" s="15" t="s">
        <v>2285</v>
      </c>
      <c r="E74" s="20">
        <v>88057</v>
      </c>
      <c r="F74" s="21">
        <v>9570.8888000000006</v>
      </c>
      <c r="G74" s="22">
        <v>9.7999999999999997E-3</v>
      </c>
      <c r="H74" s="40"/>
      <c r="I74" s="24"/>
      <c r="J74" s="5"/>
    </row>
    <row r="75" spans="1:10" ht="12.95" customHeight="1">
      <c r="A75" s="18" t="s">
        <v>2481</v>
      </c>
      <c r="B75" s="19" t="s">
        <v>2482</v>
      </c>
      <c r="C75" s="15" t="s">
        <v>2483</v>
      </c>
      <c r="D75" s="15" t="s">
        <v>2328</v>
      </c>
      <c r="E75" s="20">
        <v>21972</v>
      </c>
      <c r="F75" s="21">
        <v>7938.3516</v>
      </c>
      <c r="G75" s="22">
        <v>8.0999999999999996E-3</v>
      </c>
      <c r="H75" s="40"/>
      <c r="I75" s="24"/>
      <c r="J75" s="5"/>
    </row>
    <row r="76" spans="1:10" ht="12.95" customHeight="1">
      <c r="A76" s="18" t="s">
        <v>2484</v>
      </c>
      <c r="B76" s="19" t="s">
        <v>2485</v>
      </c>
      <c r="C76" s="15" t="s">
        <v>2486</v>
      </c>
      <c r="D76" s="15" t="s">
        <v>2332</v>
      </c>
      <c r="E76" s="20">
        <v>16187</v>
      </c>
      <c r="F76" s="21">
        <v>6778.6320999999998</v>
      </c>
      <c r="G76" s="22">
        <v>6.8999999999999999E-3</v>
      </c>
      <c r="H76" s="40"/>
      <c r="I76" s="24"/>
      <c r="J76" s="5"/>
    </row>
    <row r="77" spans="1:10" ht="12.95" customHeight="1">
      <c r="A77" s="18" t="s">
        <v>2487</v>
      </c>
      <c r="B77" s="19" t="s">
        <v>2488</v>
      </c>
      <c r="C77" s="15" t="s">
        <v>2489</v>
      </c>
      <c r="D77" s="15" t="s">
        <v>2317</v>
      </c>
      <c r="E77" s="20">
        <v>13877</v>
      </c>
      <c r="F77" s="21">
        <v>6190.9381999999996</v>
      </c>
      <c r="G77" s="22">
        <v>6.3E-3</v>
      </c>
      <c r="H77" s="40"/>
      <c r="I77" s="24"/>
      <c r="J77" s="5"/>
    </row>
    <row r="78" spans="1:10" ht="12.95" customHeight="1">
      <c r="A78" s="18" t="s">
        <v>2361</v>
      </c>
      <c r="B78" s="19" t="s">
        <v>2362</v>
      </c>
      <c r="C78" s="15" t="s">
        <v>2363</v>
      </c>
      <c r="D78" s="15" t="s">
        <v>2364</v>
      </c>
      <c r="E78" s="20">
        <v>61968</v>
      </c>
      <c r="F78" s="21">
        <v>5824.7898999999998</v>
      </c>
      <c r="G78" s="22">
        <v>6.0000000000000001E-3</v>
      </c>
      <c r="H78" s="40"/>
      <c r="I78" s="24"/>
      <c r="J78" s="5"/>
    </row>
    <row r="79" spans="1:10" ht="12.95" customHeight="1">
      <c r="A79" s="18" t="s">
        <v>2322</v>
      </c>
      <c r="B79" s="19" t="s">
        <v>2323</v>
      </c>
      <c r="C79" s="15" t="s">
        <v>2324</v>
      </c>
      <c r="D79" s="15" t="s">
        <v>2313</v>
      </c>
      <c r="E79" s="20">
        <v>30350</v>
      </c>
      <c r="F79" s="21">
        <v>5798.1157999999996</v>
      </c>
      <c r="G79" s="22">
        <v>5.8999999999999999E-3</v>
      </c>
      <c r="H79" s="40"/>
      <c r="I79" s="24"/>
      <c r="J79" s="5"/>
    </row>
    <row r="80" spans="1:10" ht="12.95" customHeight="1">
      <c r="A80" s="18" t="s">
        <v>2314</v>
      </c>
      <c r="B80" s="19" t="s">
        <v>2315</v>
      </c>
      <c r="C80" s="15" t="s">
        <v>2316</v>
      </c>
      <c r="D80" s="15" t="s">
        <v>2317</v>
      </c>
      <c r="E80" s="20">
        <v>50359</v>
      </c>
      <c r="F80" s="21">
        <v>5684.2961999999998</v>
      </c>
      <c r="G80" s="22">
        <v>5.7999999999999996E-3</v>
      </c>
      <c r="H80" s="40"/>
      <c r="I80" s="24"/>
      <c r="J80" s="5"/>
    </row>
    <row r="81" spans="1:10" ht="12.95" customHeight="1">
      <c r="A81" s="18" t="s">
        <v>2490</v>
      </c>
      <c r="B81" s="19" t="s">
        <v>2491</v>
      </c>
      <c r="C81" s="15" t="s">
        <v>2492</v>
      </c>
      <c r="D81" s="15" t="s">
        <v>2493</v>
      </c>
      <c r="E81" s="20">
        <v>116790</v>
      </c>
      <c r="F81" s="21">
        <v>5430.2524999999996</v>
      </c>
      <c r="G81" s="22">
        <v>5.5999999999999999E-3</v>
      </c>
      <c r="H81" s="40"/>
      <c r="I81" s="24"/>
      <c r="J81" s="5"/>
    </row>
    <row r="82" spans="1:10" ht="12.95" customHeight="1">
      <c r="A82" s="18" t="s">
        <v>2494</v>
      </c>
      <c r="B82" s="19" t="s">
        <v>2495</v>
      </c>
      <c r="C82" s="15" t="s">
        <v>2496</v>
      </c>
      <c r="D82" s="15" t="s">
        <v>2317</v>
      </c>
      <c r="E82" s="20">
        <v>62671</v>
      </c>
      <c r="F82" s="21">
        <v>5358.8851000000004</v>
      </c>
      <c r="G82" s="22">
        <v>5.4999999999999997E-3</v>
      </c>
      <c r="H82" s="40"/>
      <c r="I82" s="24"/>
      <c r="J82" s="5"/>
    </row>
    <row r="83" spans="1:10" ht="12.95" customHeight="1">
      <c r="A83" s="18" t="s">
        <v>2298</v>
      </c>
      <c r="B83" s="19" t="s">
        <v>2299</v>
      </c>
      <c r="C83" s="15" t="s">
        <v>2300</v>
      </c>
      <c r="D83" s="15" t="s">
        <v>2301</v>
      </c>
      <c r="E83" s="20">
        <v>2059</v>
      </c>
      <c r="F83" s="21">
        <v>5274.0609000000004</v>
      </c>
      <c r="G83" s="22">
        <v>5.4000000000000003E-3</v>
      </c>
      <c r="H83" s="40"/>
      <c r="I83" s="24"/>
      <c r="J83" s="5"/>
    </row>
    <row r="84" spans="1:10" ht="12.95" customHeight="1">
      <c r="A84" s="18" t="s">
        <v>2497</v>
      </c>
      <c r="B84" s="19" t="s">
        <v>2498</v>
      </c>
      <c r="C84" s="15" t="s">
        <v>2499</v>
      </c>
      <c r="D84" s="15" t="s">
        <v>2317</v>
      </c>
      <c r="E84" s="20">
        <v>118314</v>
      </c>
      <c r="F84" s="21">
        <v>5271.1620999999996</v>
      </c>
      <c r="G84" s="22">
        <v>5.4000000000000003E-3</v>
      </c>
      <c r="H84" s="40"/>
      <c r="I84" s="24"/>
      <c r="J84" s="5"/>
    </row>
    <row r="85" spans="1:10" ht="12.95" customHeight="1">
      <c r="A85" s="18" t="s">
        <v>2294</v>
      </c>
      <c r="B85" s="19" t="s">
        <v>2295</v>
      </c>
      <c r="C85" s="15" t="s">
        <v>2296</v>
      </c>
      <c r="D85" s="15" t="s">
        <v>2297</v>
      </c>
      <c r="E85" s="20">
        <v>12378</v>
      </c>
      <c r="F85" s="21">
        <v>5242.2407000000003</v>
      </c>
      <c r="G85" s="22">
        <v>5.4000000000000003E-3</v>
      </c>
      <c r="H85" s="40"/>
      <c r="I85" s="24"/>
      <c r="J85" s="5"/>
    </row>
    <row r="86" spans="1:10" ht="12.95" customHeight="1">
      <c r="A86" s="18" t="s">
        <v>2500</v>
      </c>
      <c r="B86" s="19" t="s">
        <v>2501</v>
      </c>
      <c r="C86" s="15" t="s">
        <v>2502</v>
      </c>
      <c r="D86" s="15" t="s">
        <v>2354</v>
      </c>
      <c r="E86" s="20">
        <v>87740</v>
      </c>
      <c r="F86" s="21">
        <v>5206.9251000000004</v>
      </c>
      <c r="G86" s="22">
        <v>5.3E-3</v>
      </c>
      <c r="H86" s="40"/>
      <c r="I86" s="24"/>
      <c r="J86" s="5"/>
    </row>
    <row r="87" spans="1:10" ht="12.95" customHeight="1">
      <c r="A87" s="18" t="s">
        <v>2329</v>
      </c>
      <c r="B87" s="19" t="s">
        <v>2330</v>
      </c>
      <c r="C87" s="15" t="s">
        <v>2331</v>
      </c>
      <c r="D87" s="15" t="s">
        <v>2332</v>
      </c>
      <c r="E87" s="20">
        <v>14395</v>
      </c>
      <c r="F87" s="21">
        <v>5205.9682000000003</v>
      </c>
      <c r="G87" s="22">
        <v>5.3E-3</v>
      </c>
      <c r="H87" s="40"/>
      <c r="I87" s="24"/>
      <c r="J87" s="5"/>
    </row>
    <row r="88" spans="1:10" ht="12.95" customHeight="1">
      <c r="A88" s="18" t="s">
        <v>2503</v>
      </c>
      <c r="B88" s="19" t="s">
        <v>2504</v>
      </c>
      <c r="C88" s="15" t="s">
        <v>2505</v>
      </c>
      <c r="D88" s="15" t="s">
        <v>2506</v>
      </c>
      <c r="E88" s="20">
        <v>74904</v>
      </c>
      <c r="F88" s="21">
        <v>5127.0362999999998</v>
      </c>
      <c r="G88" s="22">
        <v>5.1999999999999998E-3</v>
      </c>
      <c r="H88" s="40"/>
      <c r="I88" s="24"/>
      <c r="J88" s="5"/>
    </row>
    <row r="89" spans="1:10" ht="12.95" customHeight="1">
      <c r="A89" s="18" t="s">
        <v>2507</v>
      </c>
      <c r="B89" s="19" t="s">
        <v>2508</v>
      </c>
      <c r="C89" s="15" t="s">
        <v>2509</v>
      </c>
      <c r="D89" s="15" t="s">
        <v>2510</v>
      </c>
      <c r="E89" s="20">
        <v>2417</v>
      </c>
      <c r="F89" s="21">
        <v>5099.0600000000004</v>
      </c>
      <c r="G89" s="22">
        <v>5.1999999999999998E-3</v>
      </c>
      <c r="H89" s="40"/>
      <c r="I89" s="24"/>
      <c r="J89" s="5"/>
    </row>
    <row r="90" spans="1:10" ht="12.95" customHeight="1">
      <c r="A90" s="18" t="s">
        <v>2372</v>
      </c>
      <c r="B90" s="19" t="s">
        <v>2373</v>
      </c>
      <c r="C90" s="15" t="s">
        <v>2374</v>
      </c>
      <c r="D90" s="15" t="s">
        <v>2273</v>
      </c>
      <c r="E90" s="20">
        <v>85776</v>
      </c>
      <c r="F90" s="21">
        <v>5052.9227000000001</v>
      </c>
      <c r="G90" s="22">
        <v>5.1999999999999998E-3</v>
      </c>
      <c r="H90" s="40"/>
      <c r="I90" s="24"/>
      <c r="J90" s="5"/>
    </row>
    <row r="91" spans="1:10" ht="12.95" customHeight="1">
      <c r="A91" s="18" t="s">
        <v>2302</v>
      </c>
      <c r="B91" s="19" t="s">
        <v>2303</v>
      </c>
      <c r="C91" s="15" t="s">
        <v>2304</v>
      </c>
      <c r="D91" s="15" t="s">
        <v>2305</v>
      </c>
      <c r="E91" s="20">
        <v>168681</v>
      </c>
      <c r="F91" s="21">
        <v>5018.0947999999999</v>
      </c>
      <c r="G91" s="22">
        <v>5.1000000000000004E-3</v>
      </c>
      <c r="H91" s="40"/>
      <c r="I91" s="24"/>
      <c r="J91" s="5"/>
    </row>
    <row r="92" spans="1:10" ht="12.95" customHeight="1">
      <c r="A92" s="18" t="s">
        <v>2511</v>
      </c>
      <c r="B92" s="19" t="s">
        <v>2512</v>
      </c>
      <c r="C92" s="15" t="s">
        <v>2513</v>
      </c>
      <c r="D92" s="15" t="s">
        <v>2382</v>
      </c>
      <c r="E92" s="20">
        <v>76871</v>
      </c>
      <c r="F92" s="21">
        <v>5003.0913</v>
      </c>
      <c r="G92" s="22">
        <v>5.1000000000000004E-3</v>
      </c>
      <c r="H92" s="40"/>
      <c r="I92" s="24"/>
      <c r="J92" s="5"/>
    </row>
    <row r="93" spans="1:10" ht="12.95" customHeight="1">
      <c r="A93" s="18" t="s">
        <v>2514</v>
      </c>
      <c r="B93" s="19" t="s">
        <v>2515</v>
      </c>
      <c r="C93" s="15" t="s">
        <v>2516</v>
      </c>
      <c r="D93" s="15" t="s">
        <v>2281</v>
      </c>
      <c r="E93" s="20">
        <v>55617</v>
      </c>
      <c r="F93" s="21">
        <v>4892.9074000000001</v>
      </c>
      <c r="G93" s="22">
        <v>5.0000000000000001E-3</v>
      </c>
      <c r="H93" s="40"/>
      <c r="I93" s="24"/>
      <c r="J93" s="5"/>
    </row>
    <row r="94" spans="1:10" ht="12.95" customHeight="1">
      <c r="A94" s="18" t="s">
        <v>2368</v>
      </c>
      <c r="B94" s="19" t="s">
        <v>2369</v>
      </c>
      <c r="C94" s="15" t="s">
        <v>2370</v>
      </c>
      <c r="D94" s="15" t="s">
        <v>2371</v>
      </c>
      <c r="E94" s="20">
        <v>28221</v>
      </c>
      <c r="F94" s="21">
        <v>4871.7277000000004</v>
      </c>
      <c r="G94" s="22">
        <v>5.0000000000000001E-3</v>
      </c>
      <c r="H94" s="40"/>
      <c r="I94" s="24"/>
      <c r="J94" s="5"/>
    </row>
    <row r="95" spans="1:10" ht="12.95" customHeight="1">
      <c r="A95" s="18" t="s">
        <v>2340</v>
      </c>
      <c r="B95" s="19" t="s">
        <v>2341</v>
      </c>
      <c r="C95" s="15" t="s">
        <v>2342</v>
      </c>
      <c r="D95" s="15" t="s">
        <v>2343</v>
      </c>
      <c r="E95" s="20">
        <v>715000</v>
      </c>
      <c r="F95" s="21">
        <v>4842.1589000000004</v>
      </c>
      <c r="G95" s="22">
        <v>5.0000000000000001E-3</v>
      </c>
      <c r="H95" s="40"/>
      <c r="I95" s="24"/>
      <c r="J95" s="5"/>
    </row>
    <row r="96" spans="1:10" ht="12.95" customHeight="1">
      <c r="A96" s="18" t="s">
        <v>2517</v>
      </c>
      <c r="B96" s="19" t="s">
        <v>2518</v>
      </c>
      <c r="C96" s="15" t="s">
        <v>2519</v>
      </c>
      <c r="D96" s="15" t="s">
        <v>2520</v>
      </c>
      <c r="E96" s="20">
        <v>15290</v>
      </c>
      <c r="F96" s="21">
        <v>4795.357</v>
      </c>
      <c r="G96" s="22">
        <v>4.8999999999999998E-3</v>
      </c>
      <c r="H96" s="40"/>
      <c r="I96" s="24"/>
      <c r="J96" s="5"/>
    </row>
    <row r="97" spans="1:10" ht="12.95" customHeight="1">
      <c r="A97" s="18" t="s">
        <v>2521</v>
      </c>
      <c r="B97" s="19" t="s">
        <v>2522</v>
      </c>
      <c r="C97" s="15" t="s">
        <v>2523</v>
      </c>
      <c r="D97" s="15" t="s">
        <v>2524</v>
      </c>
      <c r="E97" s="20">
        <v>31235</v>
      </c>
      <c r="F97" s="21">
        <v>4771.7266</v>
      </c>
      <c r="G97" s="22">
        <v>4.8999999999999998E-3</v>
      </c>
      <c r="H97" s="40"/>
      <c r="I97" s="24"/>
      <c r="J97" s="5"/>
    </row>
    <row r="98" spans="1:10" ht="12.95" customHeight="1">
      <c r="A98" s="18" t="s">
        <v>2525</v>
      </c>
      <c r="B98" s="19" t="s">
        <v>2526</v>
      </c>
      <c r="C98" s="15" t="s">
        <v>2527</v>
      </c>
      <c r="D98" s="15" t="s">
        <v>2528</v>
      </c>
      <c r="E98" s="20">
        <v>74202</v>
      </c>
      <c r="F98" s="21">
        <v>4749.2614999999996</v>
      </c>
      <c r="G98" s="22">
        <v>4.8999999999999998E-3</v>
      </c>
      <c r="H98" s="40"/>
      <c r="I98" s="24"/>
      <c r="J98" s="5"/>
    </row>
    <row r="99" spans="1:10" ht="12.95" customHeight="1">
      <c r="A99" s="18" t="s">
        <v>2529</v>
      </c>
      <c r="B99" s="19" t="s">
        <v>2530</v>
      </c>
      <c r="C99" s="15" t="s">
        <v>2531</v>
      </c>
      <c r="D99" s="15" t="s">
        <v>2393</v>
      </c>
      <c r="E99" s="20">
        <v>14598</v>
      </c>
      <c r="F99" s="21">
        <v>4722.8548000000001</v>
      </c>
      <c r="G99" s="22">
        <v>4.7999999999999996E-3</v>
      </c>
      <c r="H99" s="40"/>
      <c r="I99" s="24"/>
      <c r="J99" s="5"/>
    </row>
    <row r="100" spans="1:10" ht="12.95" customHeight="1">
      <c r="A100" s="18" t="s">
        <v>2325</v>
      </c>
      <c r="B100" s="19" t="s">
        <v>2326</v>
      </c>
      <c r="C100" s="15" t="s">
        <v>2327</v>
      </c>
      <c r="D100" s="15" t="s">
        <v>2328</v>
      </c>
      <c r="E100" s="20">
        <v>64067</v>
      </c>
      <c r="F100" s="21">
        <v>4624.1895999999997</v>
      </c>
      <c r="G100" s="22">
        <v>4.7000000000000002E-3</v>
      </c>
      <c r="H100" s="40"/>
      <c r="I100" s="24"/>
      <c r="J100" s="5"/>
    </row>
    <row r="101" spans="1:10" ht="12.95" customHeight="1">
      <c r="A101" s="18" t="s">
        <v>2532</v>
      </c>
      <c r="B101" s="19" t="s">
        <v>2533</v>
      </c>
      <c r="C101" s="15" t="s">
        <v>2534</v>
      </c>
      <c r="D101" s="15" t="s">
        <v>2535</v>
      </c>
      <c r="E101" s="20">
        <v>64709</v>
      </c>
      <c r="F101" s="21">
        <v>4540.9996000000001</v>
      </c>
      <c r="G101" s="22">
        <v>4.5999999999999999E-3</v>
      </c>
      <c r="H101" s="40"/>
      <c r="I101" s="24"/>
      <c r="J101" s="5"/>
    </row>
    <row r="102" spans="1:10" ht="12.95" customHeight="1">
      <c r="A102" s="18" t="s">
        <v>2536</v>
      </c>
      <c r="B102" s="19" t="s">
        <v>2537</v>
      </c>
      <c r="C102" s="15" t="s">
        <v>2538</v>
      </c>
      <c r="D102" s="15" t="s">
        <v>2539</v>
      </c>
      <c r="E102" s="20">
        <v>1956</v>
      </c>
      <c r="F102" s="21">
        <v>140.91909999999999</v>
      </c>
      <c r="G102" s="22">
        <v>1E-4</v>
      </c>
      <c r="H102" s="40"/>
      <c r="I102" s="24"/>
      <c r="J102" s="5"/>
    </row>
    <row r="103" spans="1:10" ht="12.95" customHeight="1">
      <c r="A103" s="5"/>
      <c r="B103" s="14" t="s">
        <v>160</v>
      </c>
      <c r="C103" s="15"/>
      <c r="D103" s="15"/>
      <c r="E103" s="15"/>
      <c r="F103" s="25">
        <v>164834.56330000001</v>
      </c>
      <c r="G103" s="26">
        <v>0.1686</v>
      </c>
      <c r="H103" s="27"/>
      <c r="I103" s="28"/>
      <c r="J103" s="5"/>
    </row>
    <row r="104" spans="1:10" ht="12.95" customHeight="1">
      <c r="A104" s="5"/>
      <c r="B104" s="29" t="s">
        <v>408</v>
      </c>
      <c r="C104" s="2"/>
      <c r="D104" s="2"/>
      <c r="E104" s="2"/>
      <c r="F104" s="27" t="s">
        <v>162</v>
      </c>
      <c r="G104" s="27" t="s">
        <v>162</v>
      </c>
      <c r="H104" s="27"/>
      <c r="I104" s="28"/>
      <c r="J104" s="5"/>
    </row>
    <row r="105" spans="1:10" ht="12.95" customHeight="1">
      <c r="A105" s="5"/>
      <c r="B105" s="29" t="s">
        <v>160</v>
      </c>
      <c r="C105" s="2"/>
      <c r="D105" s="2"/>
      <c r="E105" s="2"/>
      <c r="F105" s="27" t="s">
        <v>162</v>
      </c>
      <c r="G105" s="27" t="s">
        <v>162</v>
      </c>
      <c r="H105" s="27"/>
      <c r="I105" s="28"/>
      <c r="J105" s="5"/>
    </row>
    <row r="106" spans="1:10" ht="12.95" customHeight="1">
      <c r="A106" s="5"/>
      <c r="B106" s="29" t="s">
        <v>163</v>
      </c>
      <c r="C106" s="30"/>
      <c r="D106" s="2"/>
      <c r="E106" s="30"/>
      <c r="F106" s="25">
        <v>164834.56330000001</v>
      </c>
      <c r="G106" s="26">
        <v>0.1686</v>
      </c>
      <c r="H106" s="27"/>
      <c r="I106" s="28"/>
      <c r="J106" s="5"/>
    </row>
    <row r="107" spans="1:10" ht="12.95" customHeight="1">
      <c r="A107" s="5"/>
      <c r="B107" s="14" t="s">
        <v>208</v>
      </c>
      <c r="C107" s="15"/>
      <c r="D107" s="15"/>
      <c r="E107" s="15"/>
      <c r="F107" s="15"/>
      <c r="G107" s="15"/>
      <c r="H107" s="16"/>
      <c r="I107" s="17"/>
      <c r="J107" s="5"/>
    </row>
    <row r="108" spans="1:10" ht="12.95" customHeight="1">
      <c r="A108" s="5"/>
      <c r="B108" s="14" t="s">
        <v>209</v>
      </c>
      <c r="C108" s="15"/>
      <c r="D108" s="15"/>
      <c r="E108" s="15"/>
      <c r="F108" s="5"/>
      <c r="G108" s="16"/>
      <c r="H108" s="16"/>
      <c r="I108" s="17"/>
      <c r="J108" s="5"/>
    </row>
    <row r="109" spans="1:10" ht="12.95" customHeight="1">
      <c r="A109" s="18" t="s">
        <v>2154</v>
      </c>
      <c r="B109" s="19" t="s">
        <v>91</v>
      </c>
      <c r="C109" s="15" t="s">
        <v>2155</v>
      </c>
      <c r="D109" s="15"/>
      <c r="E109" s="20">
        <v>4300000</v>
      </c>
      <c r="F109" s="21">
        <v>9038.6</v>
      </c>
      <c r="G109" s="22">
        <v>9.1999999999999998E-3</v>
      </c>
      <c r="H109" s="40"/>
      <c r="I109" s="24"/>
      <c r="J109" s="5"/>
    </row>
    <row r="110" spans="1:10" ht="12.95" customHeight="1">
      <c r="A110" s="5"/>
      <c r="B110" s="14" t="s">
        <v>160</v>
      </c>
      <c r="C110" s="15"/>
      <c r="D110" s="15"/>
      <c r="E110" s="15"/>
      <c r="F110" s="25">
        <v>9038.6</v>
      </c>
      <c r="G110" s="26">
        <v>9.1999999999999998E-3</v>
      </c>
      <c r="H110" s="27"/>
      <c r="I110" s="28"/>
      <c r="J110" s="5"/>
    </row>
    <row r="111" spans="1:10" ht="12.95" customHeight="1">
      <c r="A111" s="5"/>
      <c r="B111" s="14" t="s">
        <v>2540</v>
      </c>
      <c r="C111" s="15"/>
      <c r="D111" s="15"/>
      <c r="E111" s="15"/>
      <c r="F111" s="5"/>
      <c r="G111" s="16"/>
      <c r="H111" s="16"/>
      <c r="I111" s="17"/>
      <c r="J111" s="5"/>
    </row>
    <row r="112" spans="1:10" ht="12.95" customHeight="1">
      <c r="A112" s="18" t="s">
        <v>2541</v>
      </c>
      <c r="B112" s="19" t="s">
        <v>2542</v>
      </c>
      <c r="C112" s="15" t="s">
        <v>2543</v>
      </c>
      <c r="D112" s="15"/>
      <c r="E112" s="20">
        <v>24085</v>
      </c>
      <c r="F112" s="21">
        <v>16835.203300000001</v>
      </c>
      <c r="G112" s="22">
        <v>1.72E-2</v>
      </c>
      <c r="H112" s="40"/>
      <c r="I112" s="24"/>
      <c r="J112" s="5"/>
    </row>
    <row r="113" spans="1:10" ht="12.95" customHeight="1">
      <c r="A113" s="18" t="s">
        <v>2544</v>
      </c>
      <c r="B113" s="19" t="s">
        <v>2545</v>
      </c>
      <c r="C113" s="15" t="s">
        <v>2546</v>
      </c>
      <c r="D113" s="15"/>
      <c r="E113" s="20">
        <v>42962</v>
      </c>
      <c r="F113" s="21">
        <v>16084.2826</v>
      </c>
      <c r="G113" s="22">
        <v>1.6400000000000001E-2</v>
      </c>
      <c r="H113" s="40"/>
      <c r="I113" s="24"/>
      <c r="J113" s="5"/>
    </row>
    <row r="114" spans="1:10" ht="12.95" customHeight="1">
      <c r="A114" s="5"/>
      <c r="B114" s="14" t="s">
        <v>160</v>
      </c>
      <c r="C114" s="15"/>
      <c r="D114" s="15"/>
      <c r="E114" s="15"/>
      <c r="F114" s="25">
        <v>32919.4859</v>
      </c>
      <c r="G114" s="26">
        <v>3.3700000000000001E-2</v>
      </c>
      <c r="H114" s="27"/>
      <c r="I114" s="28"/>
      <c r="J114" s="5"/>
    </row>
    <row r="115" spans="1:10" ht="12.95" customHeight="1">
      <c r="A115" s="5"/>
      <c r="B115" s="29" t="s">
        <v>163</v>
      </c>
      <c r="C115" s="30"/>
      <c r="D115" s="2"/>
      <c r="E115" s="30"/>
      <c r="F115" s="25">
        <v>41958.085899999998</v>
      </c>
      <c r="G115" s="26">
        <v>4.2900000000000001E-2</v>
      </c>
      <c r="H115" s="27"/>
      <c r="I115" s="28"/>
      <c r="J115" s="5"/>
    </row>
    <row r="116" spans="1:10" ht="12.95" customHeight="1">
      <c r="A116" s="5"/>
      <c r="B116" s="14" t="s">
        <v>164</v>
      </c>
      <c r="C116" s="15"/>
      <c r="D116" s="15"/>
      <c r="E116" s="15"/>
      <c r="F116" s="15"/>
      <c r="G116" s="15"/>
      <c r="H116" s="16"/>
      <c r="I116" s="17"/>
      <c r="J116" s="5"/>
    </row>
    <row r="117" spans="1:10" ht="12.95" customHeight="1">
      <c r="A117" s="18" t="s">
        <v>165</v>
      </c>
      <c r="B117" s="19" t="s">
        <v>166</v>
      </c>
      <c r="C117" s="15"/>
      <c r="D117" s="15"/>
      <c r="E117" s="20"/>
      <c r="F117" s="21">
        <v>12934.6507</v>
      </c>
      <c r="G117" s="22">
        <v>1.32E-2</v>
      </c>
      <c r="H117" s="23">
        <v>6.7996829688028088E-2</v>
      </c>
      <c r="I117" s="24"/>
      <c r="J117" s="5"/>
    </row>
    <row r="118" spans="1:10" ht="12.95" customHeight="1">
      <c r="A118" s="5"/>
      <c r="B118" s="14" t="s">
        <v>160</v>
      </c>
      <c r="C118" s="15"/>
      <c r="D118" s="15"/>
      <c r="E118" s="15"/>
      <c r="F118" s="25">
        <v>12934.6507</v>
      </c>
      <c r="G118" s="26">
        <v>1.32E-2</v>
      </c>
      <c r="H118" s="27"/>
      <c r="I118" s="28"/>
      <c r="J118" s="5"/>
    </row>
    <row r="119" spans="1:10" ht="12.95" customHeight="1">
      <c r="A119" s="5"/>
      <c r="B119" s="29" t="s">
        <v>163</v>
      </c>
      <c r="C119" s="30"/>
      <c r="D119" s="2"/>
      <c r="E119" s="30"/>
      <c r="F119" s="25">
        <v>12934.6507</v>
      </c>
      <c r="G119" s="26">
        <v>1.32E-2</v>
      </c>
      <c r="H119" s="27"/>
      <c r="I119" s="28"/>
      <c r="J119" s="5"/>
    </row>
    <row r="120" spans="1:10" ht="12.95" customHeight="1">
      <c r="A120" s="5"/>
      <c r="B120" s="29" t="s">
        <v>167</v>
      </c>
      <c r="C120" s="15"/>
      <c r="D120" s="2"/>
      <c r="E120" s="15"/>
      <c r="F120" s="31">
        <v>369.89240000000001</v>
      </c>
      <c r="G120" s="26">
        <v>4.0000000000000002E-4</v>
      </c>
      <c r="H120" s="27"/>
      <c r="I120" s="28"/>
      <c r="J120" s="5"/>
    </row>
    <row r="121" spans="1:10" ht="12.95" customHeight="1">
      <c r="A121" s="5"/>
      <c r="B121" s="32" t="s">
        <v>168</v>
      </c>
      <c r="C121" s="33"/>
      <c r="D121" s="33"/>
      <c r="E121" s="33"/>
      <c r="F121" s="34">
        <v>977939.41</v>
      </c>
      <c r="G121" s="35">
        <v>1</v>
      </c>
      <c r="H121" s="36"/>
      <c r="I121" s="37"/>
      <c r="J121" s="5"/>
    </row>
    <row r="122" spans="1:10" ht="12.95" customHeight="1">
      <c r="A122" s="5"/>
      <c r="B122" s="7"/>
      <c r="C122" s="5"/>
      <c r="D122" s="5"/>
      <c r="E122" s="5"/>
      <c r="F122" s="5"/>
      <c r="G122" s="5"/>
      <c r="H122" s="5"/>
      <c r="I122" s="5"/>
      <c r="J122" s="5"/>
    </row>
    <row r="123" spans="1:10" ht="12.95" customHeight="1">
      <c r="A123" s="5"/>
      <c r="B123" s="4" t="s">
        <v>169</v>
      </c>
      <c r="C123" s="5"/>
      <c r="D123" s="5"/>
      <c r="E123" s="5"/>
      <c r="F123" s="5"/>
      <c r="G123" s="5"/>
      <c r="H123" s="5"/>
      <c r="I123" s="5"/>
      <c r="J123" s="5"/>
    </row>
    <row r="124" spans="1:10" ht="12.95" customHeight="1">
      <c r="A124" s="5"/>
      <c r="B124" s="4" t="s">
        <v>170</v>
      </c>
      <c r="C124" s="5"/>
      <c r="D124" s="5"/>
      <c r="E124" s="5"/>
      <c r="F124" s="5"/>
      <c r="G124" s="5"/>
      <c r="H124" s="5"/>
      <c r="I124" s="5"/>
      <c r="J124" s="5"/>
    </row>
    <row r="125" spans="1:10" ht="26.1" customHeight="1">
      <c r="A125" s="5"/>
      <c r="B125" s="86" t="s">
        <v>171</v>
      </c>
      <c r="C125" s="86"/>
      <c r="D125" s="86"/>
      <c r="E125" s="86"/>
      <c r="F125" s="86"/>
      <c r="G125" s="86"/>
      <c r="H125" s="86"/>
      <c r="I125" s="86"/>
      <c r="J125" s="5"/>
    </row>
    <row r="126" spans="1:10" ht="12.95" customHeight="1">
      <c r="A126" s="5"/>
      <c r="B126" s="86"/>
      <c r="C126" s="86"/>
      <c r="D126" s="86"/>
      <c r="E126" s="86"/>
      <c r="F126" s="86"/>
      <c r="G126" s="86"/>
      <c r="H126" s="86"/>
      <c r="I126" s="86"/>
      <c r="J126" s="5"/>
    </row>
    <row r="127" spans="1:10" ht="12.95" customHeight="1">
      <c r="A127" s="5"/>
      <c r="B127" s="86"/>
      <c r="C127" s="86"/>
      <c r="D127" s="86"/>
      <c r="E127" s="86"/>
      <c r="F127" s="86"/>
      <c r="G127" s="86"/>
      <c r="H127" s="86"/>
      <c r="I127" s="86"/>
      <c r="J127" s="5"/>
    </row>
    <row r="128" spans="1:10" ht="12.95" customHeight="1">
      <c r="A128" s="5"/>
      <c r="B128" s="5"/>
      <c r="C128" s="87" t="s">
        <v>2547</v>
      </c>
      <c r="D128" s="87"/>
      <c r="E128" s="87"/>
      <c r="F128" s="87"/>
      <c r="G128" s="5"/>
      <c r="H128" s="5"/>
      <c r="I128" s="5"/>
      <c r="J128" s="5"/>
    </row>
    <row r="129" spans="1:10" ht="12.95" customHeight="1">
      <c r="A129" s="5"/>
      <c r="B129" s="38" t="s">
        <v>173</v>
      </c>
      <c r="C129" s="87" t="s">
        <v>174</v>
      </c>
      <c r="D129" s="87"/>
      <c r="E129" s="87"/>
      <c r="F129" s="87"/>
      <c r="G129" s="5"/>
      <c r="H129" s="5"/>
      <c r="I129" s="5"/>
      <c r="J129" s="5"/>
    </row>
    <row r="130" spans="1:10" ht="120.95" customHeight="1">
      <c r="A130" s="5"/>
      <c r="B130" s="39"/>
      <c r="C130" s="85"/>
      <c r="D130" s="85"/>
      <c r="E130" s="5"/>
      <c r="F130" s="5"/>
      <c r="G130" s="5"/>
      <c r="H130" s="5"/>
      <c r="I130" s="5"/>
      <c r="J130" s="5"/>
    </row>
  </sheetData>
  <mergeCells count="6">
    <mergeCell ref="C130:D130"/>
    <mergeCell ref="B125:I125"/>
    <mergeCell ref="B126:I126"/>
    <mergeCell ref="B127:I127"/>
    <mergeCell ref="C128:F128"/>
    <mergeCell ref="C129:F129"/>
  </mergeCells>
  <hyperlinks>
    <hyperlink ref="A1" location="AxisGrowthOpportunitiesFund" display="AXISGOF" xr:uid="{00000000-0004-0000-1F00-000000000000}"/>
    <hyperlink ref="B1" location="AxisGrowthOpportunitiesFund" display="Axis Growth Opportunities Fund" xr:uid="{00000000-0004-0000-1F00-000001000000}"/>
  </hyperlinks>
  <pageMargins left="0" right="0" top="0" bottom="0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/>
  </sheetPr>
  <dimension ref="A1:J4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66</v>
      </c>
      <c r="B1" s="4" t="s">
        <v>67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742</v>
      </c>
      <c r="B7" s="19" t="s">
        <v>743</v>
      </c>
      <c r="C7" s="15" t="s">
        <v>744</v>
      </c>
      <c r="D7" s="15" t="s">
        <v>745</v>
      </c>
      <c r="E7" s="20">
        <v>26640</v>
      </c>
      <c r="F7" s="21">
        <v>308.6644</v>
      </c>
      <c r="G7" s="22">
        <v>0.20860000000000001</v>
      </c>
      <c r="H7" s="40"/>
      <c r="I7" s="24"/>
      <c r="J7" s="5"/>
    </row>
    <row r="8" spans="1:10" ht="12.95" customHeight="1">
      <c r="A8" s="18" t="s">
        <v>1727</v>
      </c>
      <c r="B8" s="19" t="s">
        <v>1728</v>
      </c>
      <c r="C8" s="15" t="s">
        <v>1729</v>
      </c>
      <c r="D8" s="15" t="s">
        <v>745</v>
      </c>
      <c r="E8" s="20">
        <v>3002</v>
      </c>
      <c r="F8" s="21">
        <v>167.7217</v>
      </c>
      <c r="G8" s="22">
        <v>0.1134</v>
      </c>
      <c r="H8" s="40"/>
      <c r="I8" s="24"/>
      <c r="J8" s="5"/>
    </row>
    <row r="9" spans="1:10" ht="12.95" customHeight="1">
      <c r="A9" s="18" t="s">
        <v>1575</v>
      </c>
      <c r="B9" s="19" t="s">
        <v>1576</v>
      </c>
      <c r="C9" s="15" t="s">
        <v>1577</v>
      </c>
      <c r="D9" s="15" t="s">
        <v>745</v>
      </c>
      <c r="E9" s="20">
        <v>12962</v>
      </c>
      <c r="F9" s="21">
        <v>153.74879999999999</v>
      </c>
      <c r="G9" s="22">
        <v>0.10390000000000001</v>
      </c>
      <c r="H9" s="40"/>
      <c r="I9" s="24"/>
      <c r="J9" s="5"/>
    </row>
    <row r="10" spans="1:10" ht="12.95" customHeight="1">
      <c r="A10" s="18" t="s">
        <v>775</v>
      </c>
      <c r="B10" s="19" t="s">
        <v>776</v>
      </c>
      <c r="C10" s="15" t="s">
        <v>777</v>
      </c>
      <c r="D10" s="15" t="s">
        <v>778</v>
      </c>
      <c r="E10" s="20">
        <v>2486</v>
      </c>
      <c r="F10" s="21">
        <v>127.72450000000001</v>
      </c>
      <c r="G10" s="22">
        <v>8.6300000000000002E-2</v>
      </c>
      <c r="H10" s="40"/>
      <c r="I10" s="24"/>
      <c r="J10" s="5"/>
    </row>
    <row r="11" spans="1:10" ht="12.95" customHeight="1">
      <c r="A11" s="18" t="s">
        <v>839</v>
      </c>
      <c r="B11" s="19" t="s">
        <v>840</v>
      </c>
      <c r="C11" s="15" t="s">
        <v>841</v>
      </c>
      <c r="D11" s="15" t="s">
        <v>745</v>
      </c>
      <c r="E11" s="20">
        <v>3147</v>
      </c>
      <c r="F11" s="21">
        <v>118.4893</v>
      </c>
      <c r="G11" s="22">
        <v>8.0100000000000005E-2</v>
      </c>
      <c r="H11" s="40"/>
      <c r="I11" s="24"/>
      <c r="J11" s="5"/>
    </row>
    <row r="12" spans="1:10" ht="12.95" customHeight="1">
      <c r="A12" s="18" t="s">
        <v>789</v>
      </c>
      <c r="B12" s="19" t="s">
        <v>790</v>
      </c>
      <c r="C12" s="15" t="s">
        <v>791</v>
      </c>
      <c r="D12" s="15" t="s">
        <v>778</v>
      </c>
      <c r="E12" s="20">
        <v>18213</v>
      </c>
      <c r="F12" s="21">
        <v>103.34059999999999</v>
      </c>
      <c r="G12" s="22">
        <v>6.9800000000000001E-2</v>
      </c>
      <c r="H12" s="40"/>
      <c r="I12" s="24"/>
      <c r="J12" s="5"/>
    </row>
    <row r="13" spans="1:10" ht="12.95" customHeight="1">
      <c r="A13" s="18" t="s">
        <v>1801</v>
      </c>
      <c r="B13" s="19" t="s">
        <v>1802</v>
      </c>
      <c r="C13" s="15" t="s">
        <v>1803</v>
      </c>
      <c r="D13" s="15" t="s">
        <v>745</v>
      </c>
      <c r="E13" s="20">
        <v>5947</v>
      </c>
      <c r="F13" s="21">
        <v>69.654200000000003</v>
      </c>
      <c r="G13" s="22">
        <v>4.7100000000000003E-2</v>
      </c>
      <c r="H13" s="40"/>
      <c r="I13" s="24"/>
      <c r="J13" s="5"/>
    </row>
    <row r="14" spans="1:10" ht="12.95" customHeight="1">
      <c r="A14" s="18" t="s">
        <v>1721</v>
      </c>
      <c r="B14" s="19" t="s">
        <v>1722</v>
      </c>
      <c r="C14" s="15" t="s">
        <v>1723</v>
      </c>
      <c r="D14" s="15" t="s">
        <v>745</v>
      </c>
      <c r="E14" s="20">
        <v>6949</v>
      </c>
      <c r="F14" s="21">
        <v>63.538200000000003</v>
      </c>
      <c r="G14" s="22">
        <v>4.2900000000000001E-2</v>
      </c>
      <c r="H14" s="40"/>
      <c r="I14" s="24"/>
      <c r="J14" s="5"/>
    </row>
    <row r="15" spans="1:10" ht="12.95" customHeight="1">
      <c r="A15" s="18" t="s">
        <v>2167</v>
      </c>
      <c r="B15" s="19" t="s">
        <v>2168</v>
      </c>
      <c r="C15" s="15" t="s">
        <v>2169</v>
      </c>
      <c r="D15" s="15" t="s">
        <v>745</v>
      </c>
      <c r="E15" s="20">
        <v>1192</v>
      </c>
      <c r="F15" s="21">
        <v>42.982300000000002</v>
      </c>
      <c r="G15" s="22">
        <v>2.9100000000000001E-2</v>
      </c>
      <c r="H15" s="40"/>
      <c r="I15" s="24"/>
      <c r="J15" s="5"/>
    </row>
    <row r="16" spans="1:10" ht="12.95" customHeight="1">
      <c r="A16" s="18" t="s">
        <v>1758</v>
      </c>
      <c r="B16" s="19" t="s">
        <v>1759</v>
      </c>
      <c r="C16" s="15" t="s">
        <v>1760</v>
      </c>
      <c r="D16" s="15" t="s">
        <v>745</v>
      </c>
      <c r="E16" s="20">
        <v>2222</v>
      </c>
      <c r="F16" s="21">
        <v>42.864600000000003</v>
      </c>
      <c r="G16" s="22">
        <v>2.9000000000000001E-2</v>
      </c>
      <c r="H16" s="40"/>
      <c r="I16" s="24"/>
      <c r="J16" s="5"/>
    </row>
    <row r="17" spans="1:10" ht="12.95" customHeight="1">
      <c r="A17" s="18" t="s">
        <v>2225</v>
      </c>
      <c r="B17" s="19" t="s">
        <v>2226</v>
      </c>
      <c r="C17" s="15" t="s">
        <v>2227</v>
      </c>
      <c r="D17" s="15" t="s">
        <v>745</v>
      </c>
      <c r="E17" s="20">
        <v>6239</v>
      </c>
      <c r="F17" s="21">
        <v>38.369900000000001</v>
      </c>
      <c r="G17" s="22">
        <v>2.5899999999999999E-2</v>
      </c>
      <c r="H17" s="40"/>
      <c r="I17" s="24"/>
      <c r="J17" s="5"/>
    </row>
    <row r="18" spans="1:10" ht="12.95" customHeight="1">
      <c r="A18" s="18" t="s">
        <v>2548</v>
      </c>
      <c r="B18" s="19" t="s">
        <v>2549</v>
      </c>
      <c r="C18" s="15" t="s">
        <v>2550</v>
      </c>
      <c r="D18" s="15" t="s">
        <v>745</v>
      </c>
      <c r="E18" s="20">
        <v>9564</v>
      </c>
      <c r="F18" s="21">
        <v>37.816099999999999</v>
      </c>
      <c r="G18" s="22">
        <v>2.5600000000000001E-2</v>
      </c>
      <c r="H18" s="40"/>
      <c r="I18" s="24"/>
      <c r="J18" s="5"/>
    </row>
    <row r="19" spans="1:10" ht="12.95" customHeight="1">
      <c r="A19" s="18" t="s">
        <v>2551</v>
      </c>
      <c r="B19" s="19" t="s">
        <v>2552</v>
      </c>
      <c r="C19" s="15" t="s">
        <v>2553</v>
      </c>
      <c r="D19" s="15" t="s">
        <v>778</v>
      </c>
      <c r="E19" s="20">
        <v>4309</v>
      </c>
      <c r="F19" s="21">
        <v>34.650799999999997</v>
      </c>
      <c r="G19" s="22">
        <v>2.3400000000000001E-2</v>
      </c>
      <c r="H19" s="40"/>
      <c r="I19" s="24"/>
      <c r="J19" s="5"/>
    </row>
    <row r="20" spans="1:10" ht="12.95" customHeight="1">
      <c r="A20" s="18" t="s">
        <v>1829</v>
      </c>
      <c r="B20" s="19" t="s">
        <v>1830</v>
      </c>
      <c r="C20" s="15" t="s">
        <v>1831</v>
      </c>
      <c r="D20" s="15" t="s">
        <v>745</v>
      </c>
      <c r="E20" s="20">
        <v>3679</v>
      </c>
      <c r="F20" s="21">
        <v>31.473800000000001</v>
      </c>
      <c r="G20" s="22">
        <v>2.1299999999999999E-2</v>
      </c>
      <c r="H20" s="40"/>
      <c r="I20" s="24"/>
      <c r="J20" s="5"/>
    </row>
    <row r="21" spans="1:10" ht="12.95" customHeight="1">
      <c r="A21" s="18" t="s">
        <v>2554</v>
      </c>
      <c r="B21" s="19" t="s">
        <v>2555</v>
      </c>
      <c r="C21" s="15" t="s">
        <v>2556</v>
      </c>
      <c r="D21" s="15" t="s">
        <v>745</v>
      </c>
      <c r="E21" s="20">
        <v>3306</v>
      </c>
      <c r="F21" s="21">
        <v>30.932600000000001</v>
      </c>
      <c r="G21" s="22">
        <v>2.0899999999999998E-2</v>
      </c>
      <c r="H21" s="40"/>
      <c r="I21" s="24"/>
      <c r="J21" s="5"/>
    </row>
    <row r="22" spans="1:10" ht="12.95" customHeight="1">
      <c r="A22" s="18" t="s">
        <v>1885</v>
      </c>
      <c r="B22" s="19" t="s">
        <v>1886</v>
      </c>
      <c r="C22" s="15" t="s">
        <v>1887</v>
      </c>
      <c r="D22" s="15" t="s">
        <v>745</v>
      </c>
      <c r="E22" s="20">
        <v>130</v>
      </c>
      <c r="F22" s="21">
        <v>30.133299999999998</v>
      </c>
      <c r="G22" s="22">
        <v>2.0400000000000001E-2</v>
      </c>
      <c r="H22" s="40"/>
      <c r="I22" s="24"/>
      <c r="J22" s="5"/>
    </row>
    <row r="23" spans="1:10" ht="12.95" customHeight="1">
      <c r="A23" s="18" t="s">
        <v>1730</v>
      </c>
      <c r="B23" s="19" t="s">
        <v>1731</v>
      </c>
      <c r="C23" s="15" t="s">
        <v>1732</v>
      </c>
      <c r="D23" s="15" t="s">
        <v>745</v>
      </c>
      <c r="E23" s="20">
        <v>10920</v>
      </c>
      <c r="F23" s="21">
        <v>29.7242</v>
      </c>
      <c r="G23" s="22">
        <v>2.01E-2</v>
      </c>
      <c r="H23" s="40"/>
      <c r="I23" s="24"/>
      <c r="J23" s="5"/>
    </row>
    <row r="24" spans="1:10" ht="12.95" customHeight="1">
      <c r="A24" s="18" t="s">
        <v>2557</v>
      </c>
      <c r="B24" s="19" t="s">
        <v>2558</v>
      </c>
      <c r="C24" s="15" t="s">
        <v>2559</v>
      </c>
      <c r="D24" s="15" t="s">
        <v>778</v>
      </c>
      <c r="E24" s="20">
        <v>840</v>
      </c>
      <c r="F24" s="21">
        <v>21.204499999999999</v>
      </c>
      <c r="G24" s="22">
        <v>1.43E-2</v>
      </c>
      <c r="H24" s="40"/>
      <c r="I24" s="24"/>
      <c r="J24" s="5"/>
    </row>
    <row r="25" spans="1:10" ht="12.95" customHeight="1">
      <c r="A25" s="18" t="s">
        <v>1755</v>
      </c>
      <c r="B25" s="19" t="s">
        <v>1756</v>
      </c>
      <c r="C25" s="15" t="s">
        <v>1757</v>
      </c>
      <c r="D25" s="15" t="s">
        <v>745</v>
      </c>
      <c r="E25" s="20">
        <v>3333</v>
      </c>
      <c r="F25" s="21">
        <v>11.8238</v>
      </c>
      <c r="G25" s="22">
        <v>8.0000000000000002E-3</v>
      </c>
      <c r="H25" s="40"/>
      <c r="I25" s="24"/>
      <c r="J25" s="5"/>
    </row>
    <row r="26" spans="1:10" ht="12.95" customHeight="1">
      <c r="A26" s="18" t="s">
        <v>1876</v>
      </c>
      <c r="B26" s="19" t="s">
        <v>1877</v>
      </c>
      <c r="C26" s="15" t="s">
        <v>1878</v>
      </c>
      <c r="D26" s="15" t="s">
        <v>778</v>
      </c>
      <c r="E26" s="20">
        <v>621</v>
      </c>
      <c r="F26" s="21">
        <v>9.0654000000000003</v>
      </c>
      <c r="G26" s="22">
        <v>6.1000000000000004E-3</v>
      </c>
      <c r="H26" s="40"/>
      <c r="I26" s="24"/>
      <c r="J26" s="5"/>
    </row>
    <row r="27" spans="1:10" ht="12.95" customHeight="1">
      <c r="A27" s="5"/>
      <c r="B27" s="14" t="s">
        <v>160</v>
      </c>
      <c r="C27" s="15"/>
      <c r="D27" s="15"/>
      <c r="E27" s="15"/>
      <c r="F27" s="25">
        <v>1473.9229</v>
      </c>
      <c r="G27" s="26">
        <v>0.99619999999999997</v>
      </c>
      <c r="H27" s="27"/>
      <c r="I27" s="28"/>
      <c r="J27" s="5"/>
    </row>
    <row r="28" spans="1:10" ht="12.95" customHeight="1">
      <c r="A28" s="5"/>
      <c r="B28" s="29" t="s">
        <v>408</v>
      </c>
      <c r="C28" s="2"/>
      <c r="D28" s="2"/>
      <c r="E28" s="2"/>
      <c r="F28" s="27" t="s">
        <v>162</v>
      </c>
      <c r="G28" s="27" t="s">
        <v>162</v>
      </c>
      <c r="H28" s="27"/>
      <c r="I28" s="28"/>
      <c r="J28" s="5"/>
    </row>
    <row r="29" spans="1:10" ht="12.95" customHeight="1">
      <c r="A29" s="5"/>
      <c r="B29" s="29" t="s">
        <v>160</v>
      </c>
      <c r="C29" s="2"/>
      <c r="D29" s="2"/>
      <c r="E29" s="2"/>
      <c r="F29" s="27" t="s">
        <v>162</v>
      </c>
      <c r="G29" s="27" t="s">
        <v>162</v>
      </c>
      <c r="H29" s="27"/>
      <c r="I29" s="28"/>
      <c r="J29" s="5"/>
    </row>
    <row r="30" spans="1:10" ht="12.95" customHeight="1">
      <c r="A30" s="5"/>
      <c r="B30" s="29" t="s">
        <v>163</v>
      </c>
      <c r="C30" s="30"/>
      <c r="D30" s="2"/>
      <c r="E30" s="30"/>
      <c r="F30" s="25">
        <v>1473.9229</v>
      </c>
      <c r="G30" s="26">
        <v>0.99619999999999997</v>
      </c>
      <c r="H30" s="27"/>
      <c r="I30" s="28"/>
      <c r="J30" s="5"/>
    </row>
    <row r="31" spans="1:10" ht="12.95" customHeight="1">
      <c r="A31" s="5"/>
      <c r="B31" s="14" t="s">
        <v>164</v>
      </c>
      <c r="C31" s="15"/>
      <c r="D31" s="15"/>
      <c r="E31" s="15"/>
      <c r="F31" s="15"/>
      <c r="G31" s="15"/>
      <c r="H31" s="16"/>
      <c r="I31" s="17"/>
      <c r="J31" s="5"/>
    </row>
    <row r="32" spans="1:10" ht="12.95" customHeight="1">
      <c r="A32" s="18" t="s">
        <v>165</v>
      </c>
      <c r="B32" s="19" t="s">
        <v>166</v>
      </c>
      <c r="C32" s="15"/>
      <c r="D32" s="15"/>
      <c r="E32" s="20"/>
      <c r="F32" s="21">
        <v>3.0888</v>
      </c>
      <c r="G32" s="22">
        <v>2.0999999999999999E-3</v>
      </c>
      <c r="H32" s="23">
        <v>6.79991948245047E-2</v>
      </c>
      <c r="I32" s="24"/>
      <c r="J32" s="5"/>
    </row>
    <row r="33" spans="1:10" ht="12.95" customHeight="1">
      <c r="A33" s="5"/>
      <c r="B33" s="14" t="s">
        <v>160</v>
      </c>
      <c r="C33" s="15"/>
      <c r="D33" s="15"/>
      <c r="E33" s="15"/>
      <c r="F33" s="25">
        <v>3.0888</v>
      </c>
      <c r="G33" s="26">
        <v>2.0999999999999999E-3</v>
      </c>
      <c r="H33" s="27"/>
      <c r="I33" s="28"/>
      <c r="J33" s="5"/>
    </row>
    <row r="34" spans="1:10" ht="12.95" customHeight="1">
      <c r="A34" s="5"/>
      <c r="B34" s="29" t="s">
        <v>163</v>
      </c>
      <c r="C34" s="30"/>
      <c r="D34" s="2"/>
      <c r="E34" s="30"/>
      <c r="F34" s="25">
        <v>3.0888</v>
      </c>
      <c r="G34" s="26">
        <v>2.0999999999999999E-3</v>
      </c>
      <c r="H34" s="27"/>
      <c r="I34" s="28"/>
      <c r="J34" s="5"/>
    </row>
    <row r="35" spans="1:10" ht="12.95" customHeight="1">
      <c r="A35" s="5"/>
      <c r="B35" s="29" t="s">
        <v>167</v>
      </c>
      <c r="C35" s="15"/>
      <c r="D35" s="2"/>
      <c r="E35" s="15"/>
      <c r="F35" s="31">
        <v>2.5682999999999998</v>
      </c>
      <c r="G35" s="26">
        <v>1.6999999999999999E-3</v>
      </c>
      <c r="H35" s="27"/>
      <c r="I35" s="28"/>
      <c r="J35" s="5"/>
    </row>
    <row r="36" spans="1:10" ht="12.95" customHeight="1">
      <c r="A36" s="5"/>
      <c r="B36" s="32" t="s">
        <v>168</v>
      </c>
      <c r="C36" s="33"/>
      <c r="D36" s="33"/>
      <c r="E36" s="33"/>
      <c r="F36" s="34">
        <v>1479.58</v>
      </c>
      <c r="G36" s="35">
        <v>1</v>
      </c>
      <c r="H36" s="36"/>
      <c r="I36" s="37"/>
      <c r="J36" s="5"/>
    </row>
    <row r="37" spans="1:10" ht="12.95" customHeight="1">
      <c r="A37" s="5"/>
      <c r="B37" s="7"/>
      <c r="C37" s="5"/>
      <c r="D37" s="5"/>
      <c r="E37" s="5"/>
      <c r="F37" s="5"/>
      <c r="G37" s="5"/>
      <c r="H37" s="5"/>
      <c r="I37" s="5"/>
      <c r="J37" s="5"/>
    </row>
    <row r="38" spans="1:10" ht="12.95" customHeight="1">
      <c r="A38" s="5"/>
      <c r="B38" s="4" t="s">
        <v>169</v>
      </c>
      <c r="C38" s="5"/>
      <c r="D38" s="5"/>
      <c r="E38" s="5"/>
      <c r="F38" s="5"/>
      <c r="G38" s="5"/>
      <c r="H38" s="5"/>
      <c r="I38" s="5"/>
      <c r="J38" s="5"/>
    </row>
    <row r="39" spans="1:10" ht="12.95" customHeight="1">
      <c r="A39" s="5"/>
      <c r="B39" s="4" t="s">
        <v>170</v>
      </c>
      <c r="C39" s="5"/>
      <c r="D39" s="5"/>
      <c r="E39" s="5"/>
      <c r="F39" s="5"/>
      <c r="G39" s="5"/>
      <c r="H39" s="5"/>
      <c r="I39" s="5"/>
      <c r="J39" s="5"/>
    </row>
    <row r="40" spans="1:10" ht="26.1" customHeight="1">
      <c r="A40" s="5"/>
      <c r="B40" s="86" t="s">
        <v>171</v>
      </c>
      <c r="C40" s="86"/>
      <c r="D40" s="86"/>
      <c r="E40" s="86"/>
      <c r="F40" s="86"/>
      <c r="G40" s="86"/>
      <c r="H40" s="86"/>
      <c r="I40" s="86"/>
      <c r="J40" s="5"/>
    </row>
    <row r="41" spans="1:10" ht="12.95" customHeight="1">
      <c r="A41" s="5"/>
      <c r="B41" s="86"/>
      <c r="C41" s="86"/>
      <c r="D41" s="86"/>
      <c r="E41" s="86"/>
      <c r="F41" s="86"/>
      <c r="G41" s="86"/>
      <c r="H41" s="86"/>
      <c r="I41" s="86"/>
      <c r="J41" s="5"/>
    </row>
    <row r="42" spans="1:10" ht="12.95" customHeight="1">
      <c r="A42" s="5"/>
      <c r="B42" s="89" t="s">
        <v>2560</v>
      </c>
      <c r="C42" s="89"/>
      <c r="D42" s="89"/>
      <c r="E42" s="89"/>
      <c r="F42" s="5"/>
      <c r="G42" s="5"/>
      <c r="H42" s="5"/>
      <c r="I42" s="5"/>
      <c r="J42" s="5"/>
    </row>
    <row r="43" spans="1:10" ht="12.95" customHeight="1">
      <c r="A43" s="5"/>
      <c r="B43" s="86"/>
      <c r="C43" s="86"/>
      <c r="D43" s="86"/>
      <c r="E43" s="86"/>
      <c r="F43" s="86"/>
      <c r="G43" s="86"/>
      <c r="H43" s="86"/>
      <c r="I43" s="86"/>
      <c r="J43" s="5"/>
    </row>
    <row r="44" spans="1:10" ht="12.95" customHeight="1">
      <c r="A44" s="5"/>
      <c r="B44" s="5"/>
      <c r="C44" s="87" t="s">
        <v>2561</v>
      </c>
      <c r="D44" s="87"/>
      <c r="E44" s="87"/>
      <c r="F44" s="87"/>
      <c r="G44" s="5"/>
      <c r="H44" s="5"/>
      <c r="I44" s="5"/>
      <c r="J44" s="5"/>
    </row>
    <row r="45" spans="1:10" ht="12.95" customHeight="1">
      <c r="A45" s="5"/>
      <c r="B45" s="38" t="s">
        <v>173</v>
      </c>
      <c r="C45" s="87" t="s">
        <v>174</v>
      </c>
      <c r="D45" s="87"/>
      <c r="E45" s="87"/>
      <c r="F45" s="87"/>
      <c r="G45" s="5"/>
      <c r="H45" s="5"/>
      <c r="I45" s="5"/>
      <c r="J45" s="5"/>
    </row>
    <row r="46" spans="1:10" ht="120.95" customHeight="1">
      <c r="A46" s="5"/>
      <c r="B46" s="39"/>
      <c r="C46" s="85"/>
      <c r="D46" s="85"/>
      <c r="E46" s="5"/>
      <c r="F46" s="5"/>
      <c r="G46" s="5"/>
      <c r="H46" s="5"/>
      <c r="I46" s="5"/>
      <c r="J46" s="5"/>
    </row>
  </sheetData>
  <mergeCells count="7">
    <mergeCell ref="C45:F45"/>
    <mergeCell ref="C46:D46"/>
    <mergeCell ref="B40:I40"/>
    <mergeCell ref="B41:I41"/>
    <mergeCell ref="B42:E42"/>
    <mergeCell ref="B43:I43"/>
    <mergeCell ref="C44:F44"/>
  </mergeCells>
  <hyperlinks>
    <hyperlink ref="A1" location="AxisNIFTYHealthcareETF" display="AXISHETF" xr:uid="{00000000-0004-0000-2000-000000000000}"/>
    <hyperlink ref="B1" location="AxisNIFTYHealthcareETF" display="Axis NIFTY Healthcare ETF" xr:uid="{00000000-0004-0000-2000-000001000000}"/>
  </hyperlinks>
  <pageMargins left="0" right="0" top="0" bottom="0" header="0" footer="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/>
  </sheetPr>
  <dimension ref="A1:J10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68</v>
      </c>
      <c r="B1" s="4" t="s">
        <v>69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409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953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2562</v>
      </c>
      <c r="B7" s="19" t="s">
        <v>2563</v>
      </c>
      <c r="C7" s="15"/>
      <c r="D7" s="15"/>
      <c r="E7" s="42"/>
      <c r="F7" s="21">
        <v>-0.745</v>
      </c>
      <c r="G7" s="40" t="s">
        <v>675</v>
      </c>
      <c r="H7" s="40"/>
      <c r="I7" s="24"/>
      <c r="J7" s="5"/>
    </row>
    <row r="8" spans="1:10" ht="12.95" customHeight="1">
      <c r="A8" s="18" t="s">
        <v>2564</v>
      </c>
      <c r="B8" s="19" t="s">
        <v>2565</v>
      </c>
      <c r="C8" s="15"/>
      <c r="D8" s="15"/>
      <c r="E8" s="42"/>
      <c r="F8" s="21">
        <v>-6.5149999999999997</v>
      </c>
      <c r="G8" s="40" t="s">
        <v>675</v>
      </c>
      <c r="H8" s="40"/>
      <c r="I8" s="24"/>
      <c r="J8" s="5"/>
    </row>
    <row r="9" spans="1:10" ht="12.95" customHeight="1">
      <c r="A9" s="18" t="s">
        <v>2566</v>
      </c>
      <c r="B9" s="19" t="s">
        <v>2567</v>
      </c>
      <c r="C9" s="15"/>
      <c r="D9" s="15"/>
      <c r="E9" s="42"/>
      <c r="F9" s="21">
        <v>-6.5724999999999998</v>
      </c>
      <c r="G9" s="40" t="s">
        <v>675</v>
      </c>
      <c r="H9" s="40"/>
      <c r="I9" s="24"/>
      <c r="J9" s="5"/>
    </row>
    <row r="10" spans="1:10" ht="12.95" customHeight="1">
      <c r="A10" s="18" t="s">
        <v>2568</v>
      </c>
      <c r="B10" s="19" t="s">
        <v>2569</v>
      </c>
      <c r="C10" s="15"/>
      <c r="D10" s="15"/>
      <c r="E10" s="42"/>
      <c r="F10" s="21">
        <v>-18.112500000000001</v>
      </c>
      <c r="G10" s="22">
        <v>-1E-4</v>
      </c>
      <c r="H10" s="40"/>
      <c r="I10" s="24"/>
      <c r="J10" s="5"/>
    </row>
    <row r="11" spans="1:10" ht="12.95" customHeight="1">
      <c r="A11" s="18" t="s">
        <v>2570</v>
      </c>
      <c r="B11" s="19" t="s">
        <v>2571</v>
      </c>
      <c r="C11" s="15"/>
      <c r="D11" s="15"/>
      <c r="E11" s="42"/>
      <c r="F11" s="21">
        <v>-23.1325</v>
      </c>
      <c r="G11" s="22">
        <v>-1E-4</v>
      </c>
      <c r="H11" s="40"/>
      <c r="I11" s="24"/>
      <c r="J11" s="5"/>
    </row>
    <row r="12" spans="1:10" ht="12.95" customHeight="1">
      <c r="A12" s="18" t="s">
        <v>2572</v>
      </c>
      <c r="B12" s="19" t="s">
        <v>2573</v>
      </c>
      <c r="C12" s="15"/>
      <c r="D12" s="15"/>
      <c r="E12" s="42"/>
      <c r="F12" s="21">
        <v>-29.131499999999999</v>
      </c>
      <c r="G12" s="22">
        <v>-2.0000000000000001E-4</v>
      </c>
      <c r="H12" s="40"/>
      <c r="I12" s="24"/>
      <c r="J12" s="5"/>
    </row>
    <row r="13" spans="1:10" ht="12.95" customHeight="1">
      <c r="A13" s="5"/>
      <c r="B13" s="14" t="s">
        <v>160</v>
      </c>
      <c r="C13" s="15"/>
      <c r="D13" s="15"/>
      <c r="E13" s="15"/>
      <c r="F13" s="25">
        <v>-84.209000000000003</v>
      </c>
      <c r="G13" s="26">
        <v>-4.0000000000000002E-4</v>
      </c>
      <c r="H13" s="27"/>
      <c r="I13" s="28"/>
      <c r="J13" s="5"/>
    </row>
    <row r="14" spans="1:10" ht="12.95" customHeight="1">
      <c r="A14" s="5"/>
      <c r="B14" s="29" t="s">
        <v>163</v>
      </c>
      <c r="C14" s="30"/>
      <c r="D14" s="2"/>
      <c r="E14" s="30"/>
      <c r="F14" s="25">
        <v>-84.209000000000003</v>
      </c>
      <c r="G14" s="26">
        <v>-4.0000000000000002E-4</v>
      </c>
      <c r="H14" s="27"/>
      <c r="I14" s="28"/>
      <c r="J14" s="5"/>
    </row>
    <row r="15" spans="1:10" ht="12.95" customHeight="1">
      <c r="A15" s="5"/>
      <c r="B15" s="14" t="s">
        <v>151</v>
      </c>
      <c r="C15" s="15"/>
      <c r="D15" s="15"/>
      <c r="E15" s="15"/>
      <c r="F15" s="15"/>
      <c r="G15" s="15"/>
      <c r="H15" s="16"/>
      <c r="I15" s="17"/>
      <c r="J15" s="5"/>
    </row>
    <row r="16" spans="1:10" ht="12.95" customHeight="1">
      <c r="A16" s="5"/>
      <c r="B16" s="14" t="s">
        <v>152</v>
      </c>
      <c r="C16" s="15"/>
      <c r="D16" s="15"/>
      <c r="E16" s="15"/>
      <c r="F16" s="5"/>
      <c r="G16" s="16"/>
      <c r="H16" s="16"/>
      <c r="I16" s="17"/>
      <c r="J16" s="5"/>
    </row>
    <row r="17" spans="1:10" ht="12.95" customHeight="1">
      <c r="A17" s="18" t="s">
        <v>2574</v>
      </c>
      <c r="B17" s="19" t="s">
        <v>2575</v>
      </c>
      <c r="C17" s="15" t="s">
        <v>2576</v>
      </c>
      <c r="D17" s="15" t="s">
        <v>156</v>
      </c>
      <c r="E17" s="20">
        <v>34500000</v>
      </c>
      <c r="F17" s="21">
        <v>34424.79</v>
      </c>
      <c r="G17" s="22">
        <v>0.17960000000000001</v>
      </c>
      <c r="H17" s="23">
        <v>7.3394000000000001E-2</v>
      </c>
      <c r="I17" s="24"/>
      <c r="J17" s="5"/>
    </row>
    <row r="18" spans="1:10" ht="12.95" customHeight="1">
      <c r="A18" s="18" t="s">
        <v>1655</v>
      </c>
      <c r="B18" s="19" t="s">
        <v>1656</v>
      </c>
      <c r="C18" s="15" t="s">
        <v>1657</v>
      </c>
      <c r="D18" s="15" t="s">
        <v>156</v>
      </c>
      <c r="E18" s="20">
        <v>10079400</v>
      </c>
      <c r="F18" s="21">
        <v>10087.211499999999</v>
      </c>
      <c r="G18" s="22">
        <v>5.2600000000000001E-2</v>
      </c>
      <c r="H18" s="23">
        <v>7.3776999999999995E-2</v>
      </c>
      <c r="I18" s="24"/>
      <c r="J18" s="5"/>
    </row>
    <row r="19" spans="1:10" ht="12.95" customHeight="1">
      <c r="A19" s="18" t="s">
        <v>911</v>
      </c>
      <c r="B19" s="19" t="s">
        <v>912</v>
      </c>
      <c r="C19" s="15" t="s">
        <v>913</v>
      </c>
      <c r="D19" s="15" t="s">
        <v>156</v>
      </c>
      <c r="E19" s="20">
        <v>8000000</v>
      </c>
      <c r="F19" s="21">
        <v>7947.0559999999996</v>
      </c>
      <c r="G19" s="22">
        <v>4.1500000000000002E-2</v>
      </c>
      <c r="H19" s="23">
        <v>7.3640999999999998E-2</v>
      </c>
      <c r="I19" s="24"/>
      <c r="J19" s="5"/>
    </row>
    <row r="20" spans="1:10" ht="12.95" customHeight="1">
      <c r="A20" s="18" t="s">
        <v>974</v>
      </c>
      <c r="B20" s="19" t="s">
        <v>975</v>
      </c>
      <c r="C20" s="15" t="s">
        <v>976</v>
      </c>
      <c r="D20" s="15" t="s">
        <v>156</v>
      </c>
      <c r="E20" s="20">
        <v>7000000</v>
      </c>
      <c r="F20" s="21">
        <v>7137.3819999999996</v>
      </c>
      <c r="G20" s="22">
        <v>3.7199999999999997E-2</v>
      </c>
      <c r="H20" s="23"/>
      <c r="I20" s="24"/>
      <c r="J20" s="5"/>
    </row>
    <row r="21" spans="1:10" ht="12.95" customHeight="1">
      <c r="A21" s="18" t="s">
        <v>2577</v>
      </c>
      <c r="B21" s="19" t="s">
        <v>2578</v>
      </c>
      <c r="C21" s="15" t="s">
        <v>2579</v>
      </c>
      <c r="D21" s="15" t="s">
        <v>2580</v>
      </c>
      <c r="E21" s="20">
        <v>5750</v>
      </c>
      <c r="F21" s="21">
        <v>5752.5357999999997</v>
      </c>
      <c r="G21" s="22">
        <v>0.03</v>
      </c>
      <c r="H21" s="23">
        <v>9.0700000000000003E-2</v>
      </c>
      <c r="I21" s="24"/>
      <c r="J21" s="5"/>
    </row>
    <row r="22" spans="1:10" ht="12.95" customHeight="1">
      <c r="A22" s="18" t="s">
        <v>1104</v>
      </c>
      <c r="B22" s="19" t="s">
        <v>1105</v>
      </c>
      <c r="C22" s="15" t="s">
        <v>1106</v>
      </c>
      <c r="D22" s="15" t="s">
        <v>179</v>
      </c>
      <c r="E22" s="20">
        <v>5000</v>
      </c>
      <c r="F22" s="21">
        <v>4951.1750000000002</v>
      </c>
      <c r="G22" s="22">
        <v>2.58E-2</v>
      </c>
      <c r="H22" s="23">
        <v>7.6950000000000005E-2</v>
      </c>
      <c r="I22" s="24"/>
      <c r="J22" s="5"/>
    </row>
    <row r="23" spans="1:10" ht="12.95" customHeight="1">
      <c r="A23" s="18" t="s">
        <v>2581</v>
      </c>
      <c r="B23" s="19" t="s">
        <v>2582</v>
      </c>
      <c r="C23" s="15" t="s">
        <v>2583</v>
      </c>
      <c r="D23" s="15" t="s">
        <v>1670</v>
      </c>
      <c r="E23" s="20">
        <v>4500</v>
      </c>
      <c r="F23" s="21">
        <v>4467.2714999999998</v>
      </c>
      <c r="G23" s="22">
        <v>2.3300000000000001E-2</v>
      </c>
      <c r="H23" s="23">
        <v>8.405E-2</v>
      </c>
      <c r="I23" s="24"/>
      <c r="J23" s="5"/>
    </row>
    <row r="24" spans="1:10" ht="12.95" customHeight="1">
      <c r="A24" s="18" t="s">
        <v>2584</v>
      </c>
      <c r="B24" s="19" t="s">
        <v>2585</v>
      </c>
      <c r="C24" s="15" t="s">
        <v>2586</v>
      </c>
      <c r="D24" s="15" t="s">
        <v>2587</v>
      </c>
      <c r="E24" s="20">
        <v>428</v>
      </c>
      <c r="F24" s="21">
        <v>4313.6792999999998</v>
      </c>
      <c r="G24" s="22">
        <v>2.2499999999999999E-2</v>
      </c>
      <c r="H24" s="23">
        <v>9.5299999999999996E-2</v>
      </c>
      <c r="I24" s="24"/>
      <c r="J24" s="5"/>
    </row>
    <row r="25" spans="1:10" ht="12.95" customHeight="1">
      <c r="A25" s="18" t="s">
        <v>2588</v>
      </c>
      <c r="B25" s="19" t="s">
        <v>2589</v>
      </c>
      <c r="C25" s="15" t="s">
        <v>2590</v>
      </c>
      <c r="D25" s="15" t="s">
        <v>1034</v>
      </c>
      <c r="E25" s="20">
        <v>4000</v>
      </c>
      <c r="F25" s="21">
        <v>3990.3119999999999</v>
      </c>
      <c r="G25" s="22">
        <v>2.0799999999999999E-2</v>
      </c>
      <c r="H25" s="23">
        <v>8.2350000000000007E-2</v>
      </c>
      <c r="I25" s="24"/>
      <c r="J25" s="5"/>
    </row>
    <row r="26" spans="1:10" ht="12.95" customHeight="1">
      <c r="A26" s="18" t="s">
        <v>496</v>
      </c>
      <c r="B26" s="19" t="s">
        <v>497</v>
      </c>
      <c r="C26" s="15" t="s">
        <v>498</v>
      </c>
      <c r="D26" s="15" t="s">
        <v>179</v>
      </c>
      <c r="E26" s="20">
        <v>400</v>
      </c>
      <c r="F26" s="21">
        <v>3974.4560000000001</v>
      </c>
      <c r="G26" s="22">
        <v>2.07E-2</v>
      </c>
      <c r="H26" s="23">
        <v>7.6799999999999993E-2</v>
      </c>
      <c r="I26" s="24"/>
      <c r="J26" s="5"/>
    </row>
    <row r="27" spans="1:10" ht="12.95" customHeight="1">
      <c r="A27" s="18" t="s">
        <v>2591</v>
      </c>
      <c r="B27" s="19" t="s">
        <v>2592</v>
      </c>
      <c r="C27" s="15" t="s">
        <v>2593</v>
      </c>
      <c r="D27" s="15" t="s">
        <v>1687</v>
      </c>
      <c r="E27" s="20">
        <v>4000</v>
      </c>
      <c r="F27" s="21">
        <v>3964.4</v>
      </c>
      <c r="G27" s="22">
        <v>2.07E-2</v>
      </c>
      <c r="H27" s="23">
        <v>0.109362</v>
      </c>
      <c r="I27" s="24"/>
      <c r="J27" s="5"/>
    </row>
    <row r="28" spans="1:10" ht="12.95" customHeight="1">
      <c r="A28" s="18" t="s">
        <v>2594</v>
      </c>
      <c r="B28" s="19" t="s">
        <v>2595</v>
      </c>
      <c r="C28" s="15" t="s">
        <v>2596</v>
      </c>
      <c r="D28" s="15" t="s">
        <v>179</v>
      </c>
      <c r="E28" s="20">
        <v>3500</v>
      </c>
      <c r="F28" s="21">
        <v>3471.6675</v>
      </c>
      <c r="G28" s="22">
        <v>1.8100000000000002E-2</v>
      </c>
      <c r="H28" s="23">
        <v>8.3299999999999999E-2</v>
      </c>
      <c r="I28" s="24"/>
      <c r="J28" s="5"/>
    </row>
    <row r="29" spans="1:10" ht="12.95" customHeight="1">
      <c r="A29" s="18" t="s">
        <v>902</v>
      </c>
      <c r="B29" s="19" t="s">
        <v>903</v>
      </c>
      <c r="C29" s="15" t="s">
        <v>904</v>
      </c>
      <c r="D29" s="15" t="s">
        <v>156</v>
      </c>
      <c r="E29" s="20">
        <v>3200000</v>
      </c>
      <c r="F29" s="21">
        <v>3178.3775999999998</v>
      </c>
      <c r="G29" s="22">
        <v>1.66E-2</v>
      </c>
      <c r="H29" s="23">
        <v>7.3802999999999994E-2</v>
      </c>
      <c r="I29" s="24"/>
      <c r="J29" s="5"/>
    </row>
    <row r="30" spans="1:10" ht="12.95" customHeight="1">
      <c r="A30" s="18" t="s">
        <v>2597</v>
      </c>
      <c r="B30" s="19" t="s">
        <v>2598</v>
      </c>
      <c r="C30" s="15" t="s">
        <v>2599</v>
      </c>
      <c r="D30" s="15" t="s">
        <v>1654</v>
      </c>
      <c r="E30" s="20">
        <v>300</v>
      </c>
      <c r="F30" s="21">
        <v>3005.2919999999999</v>
      </c>
      <c r="G30" s="22">
        <v>1.5699999999999999E-2</v>
      </c>
      <c r="H30" s="23">
        <v>8.4900000000000003E-2</v>
      </c>
      <c r="I30" s="24"/>
      <c r="J30" s="5"/>
    </row>
    <row r="31" spans="1:10" ht="12.95" customHeight="1">
      <c r="A31" s="18" t="s">
        <v>2600</v>
      </c>
      <c r="B31" s="19" t="s">
        <v>2601</v>
      </c>
      <c r="C31" s="15" t="s">
        <v>2602</v>
      </c>
      <c r="D31" s="15" t="s">
        <v>1670</v>
      </c>
      <c r="E31" s="20">
        <v>300</v>
      </c>
      <c r="F31" s="21">
        <v>2943.4409999999998</v>
      </c>
      <c r="G31" s="22">
        <v>1.54E-2</v>
      </c>
      <c r="H31" s="23">
        <v>9.0700000000000003E-2</v>
      </c>
      <c r="I31" s="24"/>
      <c r="J31" s="5"/>
    </row>
    <row r="32" spans="1:10" ht="12.95" customHeight="1">
      <c r="A32" s="18" t="s">
        <v>1671</v>
      </c>
      <c r="B32" s="19" t="s">
        <v>1672</v>
      </c>
      <c r="C32" s="15" t="s">
        <v>1673</v>
      </c>
      <c r="D32" s="15" t="s">
        <v>156</v>
      </c>
      <c r="E32" s="20">
        <v>3843000</v>
      </c>
      <c r="F32" s="21">
        <v>2892.4569999999999</v>
      </c>
      <c r="G32" s="22">
        <v>1.5100000000000001E-2</v>
      </c>
      <c r="H32" s="23">
        <v>7.4262999999999996E-2</v>
      </c>
      <c r="I32" s="24"/>
      <c r="J32" s="5"/>
    </row>
    <row r="33" spans="1:10" ht="12.95" customHeight="1">
      <c r="A33" s="18" t="s">
        <v>2603</v>
      </c>
      <c r="B33" s="19" t="s">
        <v>2604</v>
      </c>
      <c r="C33" s="15" t="s">
        <v>2605</v>
      </c>
      <c r="D33" s="15" t="s">
        <v>1654</v>
      </c>
      <c r="E33" s="20">
        <v>250</v>
      </c>
      <c r="F33" s="21">
        <v>2513.7800000000002</v>
      </c>
      <c r="G33" s="22">
        <v>1.3100000000000001E-2</v>
      </c>
      <c r="H33" s="23">
        <v>8.3748500000000003E-2</v>
      </c>
      <c r="I33" s="24"/>
      <c r="J33" s="5"/>
    </row>
    <row r="34" spans="1:10" ht="12.95" customHeight="1">
      <c r="A34" s="18" t="s">
        <v>1674</v>
      </c>
      <c r="B34" s="19" t="s">
        <v>1675</v>
      </c>
      <c r="C34" s="15" t="s">
        <v>1676</v>
      </c>
      <c r="D34" s="15" t="s">
        <v>1677</v>
      </c>
      <c r="E34" s="20">
        <v>250</v>
      </c>
      <c r="F34" s="21">
        <v>2507.0875000000001</v>
      </c>
      <c r="G34" s="22">
        <v>1.3100000000000001E-2</v>
      </c>
      <c r="H34" s="23">
        <v>9.7548999999999997E-2</v>
      </c>
      <c r="I34" s="24"/>
      <c r="J34" s="5"/>
    </row>
    <row r="35" spans="1:10" ht="12.95" customHeight="1">
      <c r="A35" s="18" t="s">
        <v>2606</v>
      </c>
      <c r="B35" s="19" t="s">
        <v>2607</v>
      </c>
      <c r="C35" s="15" t="s">
        <v>2608</v>
      </c>
      <c r="D35" s="15" t="s">
        <v>1654</v>
      </c>
      <c r="E35" s="20">
        <v>2500</v>
      </c>
      <c r="F35" s="21">
        <v>2502.7199999999998</v>
      </c>
      <c r="G35" s="22">
        <v>1.3100000000000001E-2</v>
      </c>
      <c r="H35" s="23">
        <v>8.7900000000000006E-2</v>
      </c>
      <c r="I35" s="24"/>
      <c r="J35" s="5"/>
    </row>
    <row r="36" spans="1:10" ht="12.95" customHeight="1">
      <c r="A36" s="18" t="s">
        <v>1080</v>
      </c>
      <c r="B36" s="19" t="s">
        <v>1081</v>
      </c>
      <c r="C36" s="15" t="s">
        <v>1082</v>
      </c>
      <c r="D36" s="15" t="s">
        <v>179</v>
      </c>
      <c r="E36" s="20">
        <v>2500</v>
      </c>
      <c r="F36" s="21">
        <v>2499.0925000000002</v>
      </c>
      <c r="G36" s="22">
        <v>1.2999999999999999E-2</v>
      </c>
      <c r="H36" s="23">
        <v>7.9000000000000001E-2</v>
      </c>
      <c r="I36" s="24"/>
      <c r="J36" s="5"/>
    </row>
    <row r="37" spans="1:10" ht="12.95" customHeight="1">
      <c r="A37" s="18" t="s">
        <v>2609</v>
      </c>
      <c r="B37" s="19" t="s">
        <v>2610</v>
      </c>
      <c r="C37" s="15" t="s">
        <v>2611</v>
      </c>
      <c r="D37" s="15" t="s">
        <v>2587</v>
      </c>
      <c r="E37" s="20">
        <v>250</v>
      </c>
      <c r="F37" s="21">
        <v>2494.6174999999998</v>
      </c>
      <c r="G37" s="22">
        <v>1.2999999999999999E-2</v>
      </c>
      <c r="H37" s="23">
        <v>9.4350000000000003E-2</v>
      </c>
      <c r="I37" s="24"/>
      <c r="J37" s="5"/>
    </row>
    <row r="38" spans="1:10" ht="12.95" customHeight="1">
      <c r="A38" s="18" t="s">
        <v>2612</v>
      </c>
      <c r="B38" s="19" t="s">
        <v>2613</v>
      </c>
      <c r="C38" s="15" t="s">
        <v>2614</v>
      </c>
      <c r="D38" s="15" t="s">
        <v>179</v>
      </c>
      <c r="E38" s="20">
        <v>250</v>
      </c>
      <c r="F38" s="21">
        <v>2490.66</v>
      </c>
      <c r="G38" s="22">
        <v>1.2999999999999999E-2</v>
      </c>
      <c r="H38" s="23">
        <v>7.85E-2</v>
      </c>
      <c r="I38" s="24"/>
      <c r="J38" s="5"/>
    </row>
    <row r="39" spans="1:10" ht="12.95" customHeight="1">
      <c r="A39" s="18" t="s">
        <v>2615</v>
      </c>
      <c r="B39" s="19" t="s">
        <v>2616</v>
      </c>
      <c r="C39" s="15" t="s">
        <v>2617</v>
      </c>
      <c r="D39" s="15" t="s">
        <v>179</v>
      </c>
      <c r="E39" s="20">
        <v>250</v>
      </c>
      <c r="F39" s="21">
        <v>2490.2775000000001</v>
      </c>
      <c r="G39" s="22">
        <v>1.2999999999999999E-2</v>
      </c>
      <c r="H39" s="23">
        <v>7.6902999999999999E-2</v>
      </c>
      <c r="I39" s="24"/>
      <c r="J39" s="5"/>
    </row>
    <row r="40" spans="1:10" ht="12.95" customHeight="1">
      <c r="A40" s="18" t="s">
        <v>977</v>
      </c>
      <c r="B40" s="19" t="s">
        <v>978</v>
      </c>
      <c r="C40" s="15" t="s">
        <v>979</v>
      </c>
      <c r="D40" s="15" t="s">
        <v>156</v>
      </c>
      <c r="E40" s="20">
        <v>2500000</v>
      </c>
      <c r="F40" s="21">
        <v>2490.0300000000002</v>
      </c>
      <c r="G40" s="22">
        <v>1.2999999999999999E-2</v>
      </c>
      <c r="H40" s="23">
        <v>7.3778999999999997E-2</v>
      </c>
      <c r="I40" s="24"/>
      <c r="J40" s="5"/>
    </row>
    <row r="41" spans="1:10" ht="12.95" customHeight="1">
      <c r="A41" s="18" t="s">
        <v>2618</v>
      </c>
      <c r="B41" s="19" t="s">
        <v>2619</v>
      </c>
      <c r="C41" s="15" t="s">
        <v>2620</v>
      </c>
      <c r="D41" s="15" t="s">
        <v>2621</v>
      </c>
      <c r="E41" s="20">
        <v>2500</v>
      </c>
      <c r="F41" s="21">
        <v>2486.835</v>
      </c>
      <c r="G41" s="22">
        <v>1.2999999999999999E-2</v>
      </c>
      <c r="H41" s="23">
        <v>8.3464999999999998E-2</v>
      </c>
      <c r="I41" s="24"/>
      <c r="J41" s="5"/>
    </row>
    <row r="42" spans="1:10" ht="12.95" customHeight="1">
      <c r="A42" s="18" t="s">
        <v>532</v>
      </c>
      <c r="B42" s="19" t="s">
        <v>533</v>
      </c>
      <c r="C42" s="15" t="s">
        <v>534</v>
      </c>
      <c r="D42" s="15" t="s">
        <v>179</v>
      </c>
      <c r="E42" s="20">
        <v>2500</v>
      </c>
      <c r="F42" s="21">
        <v>2486.3375000000001</v>
      </c>
      <c r="G42" s="22">
        <v>1.2999999999999999E-2</v>
      </c>
      <c r="H42" s="23">
        <v>7.6999999999999999E-2</v>
      </c>
      <c r="I42" s="24"/>
      <c r="J42" s="5"/>
    </row>
    <row r="43" spans="1:10" ht="12.95" customHeight="1">
      <c r="A43" s="18" t="s">
        <v>2622</v>
      </c>
      <c r="B43" s="19" t="s">
        <v>2623</v>
      </c>
      <c r="C43" s="15" t="s">
        <v>2624</v>
      </c>
      <c r="D43" s="15" t="s">
        <v>2625</v>
      </c>
      <c r="E43" s="20">
        <v>250000</v>
      </c>
      <c r="F43" s="21">
        <v>2485.6025</v>
      </c>
      <c r="G43" s="22">
        <v>1.2999999999999999E-2</v>
      </c>
      <c r="H43" s="23">
        <v>9.8451999999999998E-2</v>
      </c>
      <c r="I43" s="24"/>
      <c r="J43" s="5"/>
    </row>
    <row r="44" spans="1:10" ht="12.95" customHeight="1">
      <c r="A44" s="18" t="s">
        <v>1022</v>
      </c>
      <c r="B44" s="19" t="s">
        <v>1023</v>
      </c>
      <c r="C44" s="15" t="s">
        <v>1024</v>
      </c>
      <c r="D44" s="15" t="s">
        <v>156</v>
      </c>
      <c r="E44" s="20">
        <v>2500000</v>
      </c>
      <c r="F44" s="21">
        <v>2467.6875</v>
      </c>
      <c r="G44" s="22">
        <v>1.29E-2</v>
      </c>
      <c r="H44" s="23">
        <v>7.4629000000000001E-2</v>
      </c>
      <c r="I44" s="24"/>
      <c r="J44" s="5"/>
    </row>
    <row r="45" spans="1:10" ht="12.95" customHeight="1">
      <c r="A45" s="18" t="s">
        <v>2626</v>
      </c>
      <c r="B45" s="19" t="s">
        <v>2627</v>
      </c>
      <c r="C45" s="15" t="s">
        <v>2628</v>
      </c>
      <c r="D45" s="15" t="s">
        <v>179</v>
      </c>
      <c r="E45" s="20">
        <v>250</v>
      </c>
      <c r="F45" s="21">
        <v>2432.5374999999999</v>
      </c>
      <c r="G45" s="22">
        <v>1.2699999999999999E-2</v>
      </c>
      <c r="H45" s="23">
        <v>7.9792000000000002E-2</v>
      </c>
      <c r="I45" s="24"/>
      <c r="J45" s="5"/>
    </row>
    <row r="46" spans="1:10" ht="12.95" customHeight="1">
      <c r="A46" s="18" t="s">
        <v>469</v>
      </c>
      <c r="B46" s="19" t="s">
        <v>470</v>
      </c>
      <c r="C46" s="15" t="s">
        <v>471</v>
      </c>
      <c r="D46" s="15" t="s">
        <v>179</v>
      </c>
      <c r="E46" s="20">
        <v>250</v>
      </c>
      <c r="F46" s="21">
        <v>2416.5225</v>
      </c>
      <c r="G46" s="22">
        <v>1.26E-2</v>
      </c>
      <c r="H46" s="23">
        <v>6.8576999999999999E-2</v>
      </c>
      <c r="I46" s="41">
        <v>8.1420937999999998E-2</v>
      </c>
      <c r="J46" s="5"/>
    </row>
    <row r="47" spans="1:10" ht="12.95" customHeight="1">
      <c r="A47" s="18" t="s">
        <v>2629</v>
      </c>
      <c r="B47" s="19" t="s">
        <v>2630</v>
      </c>
      <c r="C47" s="15" t="s">
        <v>2631</v>
      </c>
      <c r="D47" s="15" t="s">
        <v>2625</v>
      </c>
      <c r="E47" s="20">
        <v>240000</v>
      </c>
      <c r="F47" s="21">
        <v>2402.748</v>
      </c>
      <c r="G47" s="22">
        <v>1.2500000000000001E-2</v>
      </c>
      <c r="H47" s="23">
        <v>9.7542000000000004E-2</v>
      </c>
      <c r="I47" s="41"/>
      <c r="J47" s="5"/>
    </row>
    <row r="48" spans="1:10" ht="12.95" customHeight="1">
      <c r="A48" s="18" t="s">
        <v>2632</v>
      </c>
      <c r="B48" s="19" t="s">
        <v>2633</v>
      </c>
      <c r="C48" s="15" t="s">
        <v>2634</v>
      </c>
      <c r="D48" s="15" t="s">
        <v>179</v>
      </c>
      <c r="E48" s="20">
        <v>2000</v>
      </c>
      <c r="F48" s="21">
        <v>1994.652</v>
      </c>
      <c r="G48" s="22">
        <v>1.04E-2</v>
      </c>
      <c r="H48" s="23">
        <v>8.8425000000000004E-2</v>
      </c>
      <c r="I48" s="41"/>
      <c r="J48" s="5"/>
    </row>
    <row r="49" spans="1:10" ht="12.95" customHeight="1">
      <c r="A49" s="18" t="s">
        <v>2635</v>
      </c>
      <c r="B49" s="19" t="s">
        <v>2636</v>
      </c>
      <c r="C49" s="15" t="s">
        <v>2637</v>
      </c>
      <c r="D49" s="15" t="s">
        <v>179</v>
      </c>
      <c r="E49" s="20">
        <v>2000</v>
      </c>
      <c r="F49" s="21">
        <v>1989.58</v>
      </c>
      <c r="G49" s="22">
        <v>1.04E-2</v>
      </c>
      <c r="H49" s="23">
        <v>8.3250000000000005E-2</v>
      </c>
      <c r="I49" s="41"/>
      <c r="J49" s="5"/>
    </row>
    <row r="50" spans="1:10" ht="12.95" customHeight="1">
      <c r="A50" s="18" t="s">
        <v>2638</v>
      </c>
      <c r="B50" s="19" t="s">
        <v>2639</v>
      </c>
      <c r="C50" s="15" t="s">
        <v>2640</v>
      </c>
      <c r="D50" s="15" t="s">
        <v>1695</v>
      </c>
      <c r="E50" s="20">
        <v>2000</v>
      </c>
      <c r="F50" s="21">
        <v>1984.15</v>
      </c>
      <c r="G50" s="22">
        <v>1.04E-2</v>
      </c>
      <c r="H50" s="23">
        <v>9.8498000000000002E-2</v>
      </c>
      <c r="I50" s="41"/>
      <c r="J50" s="5"/>
    </row>
    <row r="51" spans="1:10" ht="12.95" customHeight="1">
      <c r="A51" s="18" t="s">
        <v>2641</v>
      </c>
      <c r="B51" s="19" t="s">
        <v>2642</v>
      </c>
      <c r="C51" s="15" t="s">
        <v>2643</v>
      </c>
      <c r="D51" s="15" t="s">
        <v>2644</v>
      </c>
      <c r="E51" s="20">
        <v>190</v>
      </c>
      <c r="F51" s="21">
        <v>1861.4148</v>
      </c>
      <c r="G51" s="22">
        <v>9.7000000000000003E-3</v>
      </c>
      <c r="H51" s="23">
        <v>9.6588999999999994E-2</v>
      </c>
      <c r="I51" s="41"/>
      <c r="J51" s="5"/>
    </row>
    <row r="52" spans="1:10" ht="12.95" customHeight="1">
      <c r="A52" s="18" t="s">
        <v>2645</v>
      </c>
      <c r="B52" s="19" t="s">
        <v>2646</v>
      </c>
      <c r="C52" s="15" t="s">
        <v>2647</v>
      </c>
      <c r="D52" s="15" t="s">
        <v>179</v>
      </c>
      <c r="E52" s="20">
        <v>210</v>
      </c>
      <c r="F52" s="21">
        <v>1833.4638</v>
      </c>
      <c r="G52" s="22">
        <v>9.5999999999999992E-3</v>
      </c>
      <c r="H52" s="23">
        <v>8.09E-2</v>
      </c>
      <c r="I52" s="41"/>
      <c r="J52" s="5"/>
    </row>
    <row r="53" spans="1:10" ht="12.95" customHeight="1">
      <c r="A53" s="18" t="s">
        <v>1688</v>
      </c>
      <c r="B53" s="19" t="s">
        <v>1689</v>
      </c>
      <c r="C53" s="15" t="s">
        <v>1690</v>
      </c>
      <c r="D53" s="15" t="s">
        <v>1691</v>
      </c>
      <c r="E53" s="20">
        <v>1800</v>
      </c>
      <c r="F53" s="21">
        <v>1796.9849999999999</v>
      </c>
      <c r="G53" s="22">
        <v>9.4000000000000004E-3</v>
      </c>
      <c r="H53" s="23">
        <v>8.5374000000000005E-2</v>
      </c>
      <c r="I53" s="41"/>
      <c r="J53" s="5"/>
    </row>
    <row r="54" spans="1:10" ht="12.95" customHeight="1">
      <c r="A54" s="18" t="s">
        <v>2648</v>
      </c>
      <c r="B54" s="19" t="s">
        <v>2649</v>
      </c>
      <c r="C54" s="15" t="s">
        <v>2650</v>
      </c>
      <c r="D54" s="15" t="s">
        <v>1670</v>
      </c>
      <c r="E54" s="20">
        <v>180</v>
      </c>
      <c r="F54" s="21">
        <v>1786.5773999999999</v>
      </c>
      <c r="G54" s="22">
        <v>9.2999999999999992E-3</v>
      </c>
      <c r="H54" s="23">
        <v>8.1398999999999999E-2</v>
      </c>
      <c r="I54" s="41"/>
      <c r="J54" s="5"/>
    </row>
    <row r="55" spans="1:10" ht="12.95" customHeight="1">
      <c r="A55" s="18" t="s">
        <v>2651</v>
      </c>
      <c r="B55" s="19" t="s">
        <v>2652</v>
      </c>
      <c r="C55" s="15" t="s">
        <v>2653</v>
      </c>
      <c r="D55" s="15" t="s">
        <v>1670</v>
      </c>
      <c r="E55" s="20">
        <v>300</v>
      </c>
      <c r="F55" s="21">
        <v>1547.91</v>
      </c>
      <c r="G55" s="22">
        <v>8.0999999999999996E-3</v>
      </c>
      <c r="H55" s="23">
        <v>7.8251000000000001E-2</v>
      </c>
      <c r="I55" s="41"/>
      <c r="J55" s="5"/>
    </row>
    <row r="56" spans="1:10" ht="12.95" customHeight="1">
      <c r="A56" s="18" t="s">
        <v>183</v>
      </c>
      <c r="B56" s="19" t="s">
        <v>184</v>
      </c>
      <c r="C56" s="15" t="s">
        <v>185</v>
      </c>
      <c r="D56" s="15" t="s">
        <v>179</v>
      </c>
      <c r="E56" s="20">
        <v>1500</v>
      </c>
      <c r="F56" s="21">
        <v>1496.502</v>
      </c>
      <c r="G56" s="22">
        <v>7.7999999999999996E-3</v>
      </c>
      <c r="H56" s="23">
        <v>7.6799999999999993E-2</v>
      </c>
      <c r="I56" s="41"/>
      <c r="J56" s="5"/>
    </row>
    <row r="57" spans="1:10" ht="12.95" customHeight="1">
      <c r="A57" s="18" t="s">
        <v>2654</v>
      </c>
      <c r="B57" s="19" t="s">
        <v>2655</v>
      </c>
      <c r="C57" s="15" t="s">
        <v>2656</v>
      </c>
      <c r="D57" s="15" t="s">
        <v>2621</v>
      </c>
      <c r="E57" s="20">
        <v>150</v>
      </c>
      <c r="F57" s="21">
        <v>1482.7560000000001</v>
      </c>
      <c r="G57" s="22">
        <v>7.7000000000000002E-3</v>
      </c>
      <c r="H57" s="23">
        <v>7.9350000000000004E-2</v>
      </c>
      <c r="I57" s="41"/>
      <c r="J57" s="5"/>
    </row>
    <row r="58" spans="1:10" ht="12.95" customHeight="1">
      <c r="A58" s="18" t="s">
        <v>2657</v>
      </c>
      <c r="B58" s="19" t="s">
        <v>2658</v>
      </c>
      <c r="C58" s="15" t="s">
        <v>2659</v>
      </c>
      <c r="D58" s="15" t="s">
        <v>1677</v>
      </c>
      <c r="E58" s="20">
        <v>150</v>
      </c>
      <c r="F58" s="21">
        <v>1470.6614999999999</v>
      </c>
      <c r="G58" s="22">
        <v>7.7000000000000002E-3</v>
      </c>
      <c r="H58" s="23">
        <v>0.133495</v>
      </c>
      <c r="I58" s="41"/>
      <c r="J58" s="5"/>
    </row>
    <row r="59" spans="1:10" ht="12.95" customHeight="1">
      <c r="A59" s="18" t="s">
        <v>917</v>
      </c>
      <c r="B59" s="19" t="s">
        <v>918</v>
      </c>
      <c r="C59" s="15" t="s">
        <v>919</v>
      </c>
      <c r="D59" s="15" t="s">
        <v>156</v>
      </c>
      <c r="E59" s="20">
        <v>1500000</v>
      </c>
      <c r="F59" s="21">
        <v>1400.9445000000001</v>
      </c>
      <c r="G59" s="22">
        <v>7.3000000000000001E-3</v>
      </c>
      <c r="H59" s="23">
        <v>7.3524000000000006E-2</v>
      </c>
      <c r="I59" s="41"/>
      <c r="J59" s="5"/>
    </row>
    <row r="60" spans="1:10" ht="12.95" customHeight="1">
      <c r="A60" s="18" t="s">
        <v>2660</v>
      </c>
      <c r="B60" s="19" t="s">
        <v>2661</v>
      </c>
      <c r="C60" s="15" t="s">
        <v>2662</v>
      </c>
      <c r="D60" s="15" t="s">
        <v>179</v>
      </c>
      <c r="E60" s="20">
        <v>150</v>
      </c>
      <c r="F60" s="21">
        <v>1320.9435000000001</v>
      </c>
      <c r="G60" s="22">
        <v>6.8999999999999999E-3</v>
      </c>
      <c r="H60" s="23">
        <v>8.0978999999999995E-2</v>
      </c>
      <c r="I60" s="41"/>
      <c r="J60" s="5"/>
    </row>
    <row r="61" spans="1:10" ht="12.95" customHeight="1">
      <c r="A61" s="18" t="s">
        <v>2663</v>
      </c>
      <c r="B61" s="19" t="s">
        <v>2664</v>
      </c>
      <c r="C61" s="15" t="s">
        <v>2665</v>
      </c>
      <c r="D61" s="15" t="s">
        <v>1695</v>
      </c>
      <c r="E61" s="20">
        <v>190</v>
      </c>
      <c r="F61" s="21">
        <v>1127.3554999999999</v>
      </c>
      <c r="G61" s="22">
        <v>5.8999999999999999E-3</v>
      </c>
      <c r="H61" s="23">
        <v>0.13424150000000001</v>
      </c>
      <c r="I61" s="41"/>
      <c r="J61" s="5"/>
    </row>
    <row r="62" spans="1:10" ht="12.95" customHeight="1">
      <c r="A62" s="18" t="s">
        <v>899</v>
      </c>
      <c r="B62" s="19" t="s">
        <v>900</v>
      </c>
      <c r="C62" s="15" t="s">
        <v>901</v>
      </c>
      <c r="D62" s="15" t="s">
        <v>156</v>
      </c>
      <c r="E62" s="20">
        <v>1000000</v>
      </c>
      <c r="F62" s="21">
        <v>999.70299999999997</v>
      </c>
      <c r="G62" s="22">
        <v>5.1999999999999998E-3</v>
      </c>
      <c r="H62" s="23">
        <v>7.3948E-2</v>
      </c>
      <c r="I62" s="41"/>
      <c r="J62" s="5"/>
    </row>
    <row r="63" spans="1:10" ht="12.95" customHeight="1">
      <c r="A63" s="18" t="s">
        <v>2666</v>
      </c>
      <c r="B63" s="19" t="s">
        <v>2667</v>
      </c>
      <c r="C63" s="15" t="s">
        <v>2668</v>
      </c>
      <c r="D63" s="15" t="s">
        <v>1687</v>
      </c>
      <c r="E63" s="20">
        <v>100</v>
      </c>
      <c r="F63" s="21">
        <v>998</v>
      </c>
      <c r="G63" s="22">
        <v>5.1999999999999998E-3</v>
      </c>
      <c r="H63" s="23">
        <v>9.7100000000000006E-2</v>
      </c>
      <c r="I63" s="41"/>
      <c r="J63" s="5"/>
    </row>
    <row r="64" spans="1:10" ht="12.95" customHeight="1">
      <c r="A64" s="18" t="s">
        <v>2669</v>
      </c>
      <c r="B64" s="19" t="s">
        <v>2670</v>
      </c>
      <c r="C64" s="15" t="s">
        <v>2671</v>
      </c>
      <c r="D64" s="15" t="s">
        <v>179</v>
      </c>
      <c r="E64" s="20">
        <v>1000</v>
      </c>
      <c r="F64" s="21">
        <v>995.07600000000002</v>
      </c>
      <c r="G64" s="22">
        <v>5.1999999999999998E-3</v>
      </c>
      <c r="H64" s="23">
        <v>9.0010000000000007E-2</v>
      </c>
      <c r="I64" s="41"/>
      <c r="J64" s="5"/>
    </row>
    <row r="65" spans="1:10" ht="12.95" customHeight="1">
      <c r="A65" s="18" t="s">
        <v>2672</v>
      </c>
      <c r="B65" s="19" t="s">
        <v>2673</v>
      </c>
      <c r="C65" s="15" t="s">
        <v>2674</v>
      </c>
      <c r="D65" s="15" t="s">
        <v>2675</v>
      </c>
      <c r="E65" s="20">
        <v>250</v>
      </c>
      <c r="F65" s="21">
        <v>992.08</v>
      </c>
      <c r="G65" s="22">
        <v>5.1999999999999998E-3</v>
      </c>
      <c r="H65" s="23">
        <v>9.0245000000000006E-2</v>
      </c>
      <c r="I65" s="41"/>
      <c r="J65" s="5"/>
    </row>
    <row r="66" spans="1:10" ht="12.95" customHeight="1">
      <c r="A66" s="18" t="s">
        <v>2676</v>
      </c>
      <c r="B66" s="19" t="s">
        <v>2677</v>
      </c>
      <c r="C66" s="15" t="s">
        <v>2678</v>
      </c>
      <c r="D66" s="15" t="s">
        <v>179</v>
      </c>
      <c r="E66" s="20">
        <v>100</v>
      </c>
      <c r="F66" s="21">
        <v>986.64099999999996</v>
      </c>
      <c r="G66" s="22">
        <v>5.1000000000000004E-3</v>
      </c>
      <c r="H66" s="23">
        <v>8.2160999999999998E-2</v>
      </c>
      <c r="I66" s="41"/>
      <c r="J66" s="5"/>
    </row>
    <row r="67" spans="1:10" ht="12.95" customHeight="1">
      <c r="A67" s="18" t="s">
        <v>1007</v>
      </c>
      <c r="B67" s="19" t="s">
        <v>1008</v>
      </c>
      <c r="C67" s="15" t="s">
        <v>1009</v>
      </c>
      <c r="D67" s="15" t="s">
        <v>179</v>
      </c>
      <c r="E67" s="20">
        <v>100</v>
      </c>
      <c r="F67" s="21">
        <v>967.44399999999996</v>
      </c>
      <c r="G67" s="22">
        <v>5.0000000000000001E-3</v>
      </c>
      <c r="H67" s="23">
        <v>8.1788E-2</v>
      </c>
      <c r="I67" s="41"/>
      <c r="J67" s="5"/>
    </row>
    <row r="68" spans="1:10" ht="12.95" customHeight="1">
      <c r="A68" s="18" t="s">
        <v>2679</v>
      </c>
      <c r="B68" s="19" t="s">
        <v>2680</v>
      </c>
      <c r="C68" s="15" t="s">
        <v>2681</v>
      </c>
      <c r="D68" s="15" t="s">
        <v>2682</v>
      </c>
      <c r="E68" s="20">
        <v>150</v>
      </c>
      <c r="F68" s="21">
        <v>836.48249999999996</v>
      </c>
      <c r="G68" s="22">
        <v>4.4000000000000003E-3</v>
      </c>
      <c r="H68" s="23">
        <v>0.10585</v>
      </c>
      <c r="I68" s="41"/>
      <c r="J68" s="5"/>
    </row>
    <row r="69" spans="1:10" ht="12.95" customHeight="1">
      <c r="A69" s="18" t="s">
        <v>896</v>
      </c>
      <c r="B69" s="19" t="s">
        <v>897</v>
      </c>
      <c r="C69" s="15" t="s">
        <v>898</v>
      </c>
      <c r="D69" s="15" t="s">
        <v>156</v>
      </c>
      <c r="E69" s="20">
        <v>550000</v>
      </c>
      <c r="F69" s="21">
        <v>552.34960000000001</v>
      </c>
      <c r="G69" s="22">
        <v>2.8999999999999998E-3</v>
      </c>
      <c r="H69" s="23">
        <v>7.3730000000000004E-2</v>
      </c>
      <c r="I69" s="41"/>
      <c r="J69" s="5"/>
    </row>
    <row r="70" spans="1:10" ht="12.95" customHeight="1">
      <c r="A70" s="18" t="s">
        <v>908</v>
      </c>
      <c r="B70" s="19" t="s">
        <v>909</v>
      </c>
      <c r="C70" s="15" t="s">
        <v>910</v>
      </c>
      <c r="D70" s="15" t="s">
        <v>179</v>
      </c>
      <c r="E70" s="20">
        <v>500</v>
      </c>
      <c r="F70" s="21">
        <v>500.97399999999999</v>
      </c>
      <c r="G70" s="22">
        <v>2.5999999999999999E-3</v>
      </c>
      <c r="H70" s="23">
        <v>7.5999999999999998E-2</v>
      </c>
      <c r="I70" s="41"/>
      <c r="J70" s="5"/>
    </row>
    <row r="71" spans="1:10" ht="12.95" customHeight="1">
      <c r="A71" s="18" t="s">
        <v>923</v>
      </c>
      <c r="B71" s="19" t="s">
        <v>924</v>
      </c>
      <c r="C71" s="15" t="s">
        <v>925</v>
      </c>
      <c r="D71" s="15" t="s">
        <v>156</v>
      </c>
      <c r="E71" s="20">
        <v>300000</v>
      </c>
      <c r="F71" s="21">
        <v>306.19799999999998</v>
      </c>
      <c r="G71" s="22">
        <v>1.6000000000000001E-3</v>
      </c>
      <c r="H71" s="23">
        <v>7.3994000000000004E-2</v>
      </c>
      <c r="I71" s="41"/>
      <c r="J71" s="5"/>
    </row>
    <row r="72" spans="1:10" ht="12.95" customHeight="1">
      <c r="A72" s="18" t="s">
        <v>2683</v>
      </c>
      <c r="B72" s="19" t="s">
        <v>2684</v>
      </c>
      <c r="C72" s="15" t="s">
        <v>2685</v>
      </c>
      <c r="D72" s="15" t="s">
        <v>1654</v>
      </c>
      <c r="E72" s="20">
        <v>30</v>
      </c>
      <c r="F72" s="21">
        <v>294.9246</v>
      </c>
      <c r="G72" s="22">
        <v>1.5E-3</v>
      </c>
      <c r="H72" s="23">
        <v>7.5672500000000004E-2</v>
      </c>
      <c r="I72" s="41">
        <v>8.1803459999999995E-2</v>
      </c>
      <c r="J72" s="5"/>
    </row>
    <row r="73" spans="1:10" ht="12.95" customHeight="1">
      <c r="A73" s="18" t="s">
        <v>2686</v>
      </c>
      <c r="B73" s="19" t="s">
        <v>2687</v>
      </c>
      <c r="C73" s="15" t="s">
        <v>2688</v>
      </c>
      <c r="D73" s="15" t="s">
        <v>156</v>
      </c>
      <c r="E73" s="20">
        <v>150000</v>
      </c>
      <c r="F73" s="21">
        <v>154.72919999999999</v>
      </c>
      <c r="G73" s="22">
        <v>8.0000000000000004E-4</v>
      </c>
      <c r="H73" s="23">
        <v>7.3913999999999994E-2</v>
      </c>
      <c r="I73" s="41"/>
      <c r="J73" s="5"/>
    </row>
    <row r="74" spans="1:10" ht="12.95" customHeight="1">
      <c r="A74" s="18" t="s">
        <v>1496</v>
      </c>
      <c r="B74" s="19" t="s">
        <v>1497</v>
      </c>
      <c r="C74" s="15" t="s">
        <v>1498</v>
      </c>
      <c r="D74" s="15" t="s">
        <v>179</v>
      </c>
      <c r="E74" s="20">
        <v>12</v>
      </c>
      <c r="F74" s="21">
        <v>124.7462</v>
      </c>
      <c r="G74" s="22">
        <v>6.9999999999999999E-4</v>
      </c>
      <c r="H74" s="23">
        <v>7.5475E-2</v>
      </c>
      <c r="I74" s="41"/>
      <c r="J74" s="5"/>
    </row>
    <row r="75" spans="1:10" ht="12.95" customHeight="1">
      <c r="A75" s="18" t="s">
        <v>2689</v>
      </c>
      <c r="B75" s="19" t="s">
        <v>2690</v>
      </c>
      <c r="C75" s="15" t="s">
        <v>2691</v>
      </c>
      <c r="D75" s="15" t="s">
        <v>179</v>
      </c>
      <c r="E75" s="20">
        <v>6</v>
      </c>
      <c r="F75" s="21">
        <v>57.835700000000003</v>
      </c>
      <c r="G75" s="22">
        <v>2.9999999999999997E-4</v>
      </c>
      <c r="H75" s="23">
        <v>7.6600000000000001E-2</v>
      </c>
      <c r="I75" s="41"/>
      <c r="J75" s="5"/>
    </row>
    <row r="76" spans="1:10" ht="12.95" customHeight="1">
      <c r="A76" s="18" t="s">
        <v>672</v>
      </c>
      <c r="B76" s="19" t="s">
        <v>673</v>
      </c>
      <c r="C76" s="15" t="s">
        <v>674</v>
      </c>
      <c r="D76" s="15" t="s">
        <v>156</v>
      </c>
      <c r="E76" s="20">
        <v>50000</v>
      </c>
      <c r="F76" s="21">
        <v>50.125799999999998</v>
      </c>
      <c r="G76" s="22">
        <v>2.9999999999999997E-4</v>
      </c>
      <c r="H76" s="23">
        <v>6.8902000000000005E-2</v>
      </c>
      <c r="I76" s="41"/>
      <c r="J76" s="5"/>
    </row>
    <row r="77" spans="1:10" ht="12.95" customHeight="1">
      <c r="A77" s="18" t="s">
        <v>2692</v>
      </c>
      <c r="B77" s="19" t="s">
        <v>2693</v>
      </c>
      <c r="C77" s="15" t="s">
        <v>2694</v>
      </c>
      <c r="D77" s="15" t="s">
        <v>156</v>
      </c>
      <c r="E77" s="20">
        <v>48900</v>
      </c>
      <c r="F77" s="21">
        <v>48.900100000000002</v>
      </c>
      <c r="G77" s="22">
        <v>2.9999999999999997E-4</v>
      </c>
      <c r="H77" s="23">
        <v>7.3879E-2</v>
      </c>
      <c r="I77" s="41"/>
      <c r="J77" s="5"/>
    </row>
    <row r="78" spans="1:10" ht="12.95" customHeight="1">
      <c r="A78" s="18" t="s">
        <v>666</v>
      </c>
      <c r="B78" s="19" t="s">
        <v>667</v>
      </c>
      <c r="C78" s="15" t="s">
        <v>668</v>
      </c>
      <c r="D78" s="15" t="s">
        <v>156</v>
      </c>
      <c r="E78" s="20">
        <v>49400</v>
      </c>
      <c r="F78" s="21">
        <v>45.722000000000001</v>
      </c>
      <c r="G78" s="22">
        <v>2.0000000000000001E-4</v>
      </c>
      <c r="H78" s="23">
        <v>7.3551000000000005E-2</v>
      </c>
      <c r="I78" s="41"/>
      <c r="J78" s="5"/>
    </row>
    <row r="79" spans="1:10" ht="12.95" customHeight="1">
      <c r="A79" s="18" t="s">
        <v>1565</v>
      </c>
      <c r="B79" s="19" t="s">
        <v>1566</v>
      </c>
      <c r="C79" s="15" t="s">
        <v>1567</v>
      </c>
      <c r="D79" s="15" t="s">
        <v>156</v>
      </c>
      <c r="E79" s="20">
        <v>42000</v>
      </c>
      <c r="F79" s="21">
        <v>44.146099999999997</v>
      </c>
      <c r="G79" s="22">
        <v>2.0000000000000001E-4</v>
      </c>
      <c r="H79" s="23">
        <v>7.4177000000000007E-2</v>
      </c>
      <c r="I79" s="41"/>
      <c r="J79" s="5"/>
    </row>
    <row r="80" spans="1:10" ht="12.95" customHeight="1">
      <c r="A80" s="18" t="s">
        <v>2695</v>
      </c>
      <c r="B80" s="19" t="s">
        <v>2696</v>
      </c>
      <c r="C80" s="15" t="s">
        <v>2697</v>
      </c>
      <c r="D80" s="15" t="s">
        <v>156</v>
      </c>
      <c r="E80" s="20">
        <v>9400</v>
      </c>
      <c r="F80" s="21">
        <v>9.6277000000000008</v>
      </c>
      <c r="G80" s="22">
        <v>1E-4</v>
      </c>
      <c r="H80" s="23">
        <v>7.4015999999999998E-2</v>
      </c>
      <c r="I80" s="41"/>
      <c r="J80" s="5"/>
    </row>
    <row r="81" spans="1:10" ht="12.95" customHeight="1">
      <c r="A81" s="18" t="s">
        <v>2698</v>
      </c>
      <c r="B81" s="19" t="s">
        <v>2699</v>
      </c>
      <c r="C81" s="15" t="s">
        <v>2700</v>
      </c>
      <c r="D81" s="15" t="s">
        <v>156</v>
      </c>
      <c r="E81" s="20">
        <v>4000</v>
      </c>
      <c r="F81" s="21">
        <v>4.0617000000000001</v>
      </c>
      <c r="G81" s="40" t="s">
        <v>675</v>
      </c>
      <c r="H81" s="23">
        <v>7.3736999999999997E-2</v>
      </c>
      <c r="I81" s="41"/>
      <c r="J81" s="5"/>
    </row>
    <row r="82" spans="1:10" ht="12.95" customHeight="1">
      <c r="A82" s="5"/>
      <c r="B82" s="14" t="s">
        <v>160</v>
      </c>
      <c r="C82" s="15"/>
      <c r="D82" s="15"/>
      <c r="E82" s="15"/>
      <c r="F82" s="25">
        <v>175731.70300000001</v>
      </c>
      <c r="G82" s="26">
        <v>0.91679999999999995</v>
      </c>
      <c r="H82" s="27"/>
      <c r="I82" s="28"/>
      <c r="J82" s="5"/>
    </row>
    <row r="83" spans="1:10" ht="12.95" customHeight="1">
      <c r="A83" s="5"/>
      <c r="B83" s="29" t="s">
        <v>161</v>
      </c>
      <c r="C83" s="2"/>
      <c r="D83" s="2"/>
      <c r="E83" s="2"/>
      <c r="F83" s="27" t="s">
        <v>162</v>
      </c>
      <c r="G83" s="27" t="s">
        <v>162</v>
      </c>
      <c r="H83" s="27"/>
      <c r="I83" s="28"/>
      <c r="J83" s="5"/>
    </row>
    <row r="84" spans="1:10" ht="12.95" customHeight="1">
      <c r="A84" s="5"/>
      <c r="B84" s="29" t="s">
        <v>160</v>
      </c>
      <c r="C84" s="2"/>
      <c r="D84" s="2"/>
      <c r="E84" s="2"/>
      <c r="F84" s="27" t="s">
        <v>162</v>
      </c>
      <c r="G84" s="27" t="s">
        <v>162</v>
      </c>
      <c r="H84" s="27"/>
      <c r="I84" s="28"/>
      <c r="J84" s="5"/>
    </row>
    <row r="85" spans="1:10" ht="12.95" customHeight="1">
      <c r="A85" s="5"/>
      <c r="B85" s="14" t="s">
        <v>1176</v>
      </c>
      <c r="C85" s="15"/>
      <c r="D85" s="15"/>
      <c r="E85" s="15"/>
      <c r="F85" s="5"/>
      <c r="G85" s="16"/>
      <c r="H85" s="16"/>
      <c r="I85" s="17"/>
      <c r="J85" s="5"/>
    </row>
    <row r="86" spans="1:10" ht="12.95" customHeight="1">
      <c r="A86" s="18" t="s">
        <v>1181</v>
      </c>
      <c r="B86" s="19" t="s">
        <v>1182</v>
      </c>
      <c r="C86" s="15" t="s">
        <v>1183</v>
      </c>
      <c r="D86" s="15" t="s">
        <v>1180</v>
      </c>
      <c r="E86" s="20">
        <v>22</v>
      </c>
      <c r="F86" s="21">
        <v>2000.1575</v>
      </c>
      <c r="G86" s="22">
        <v>1.04E-2</v>
      </c>
      <c r="H86" s="23">
        <v>7.9027E-2</v>
      </c>
      <c r="I86" s="41"/>
      <c r="J86" s="5"/>
    </row>
    <row r="87" spans="1:10" ht="12.95" customHeight="1">
      <c r="A87" s="18" t="s">
        <v>2701</v>
      </c>
      <c r="B87" s="19" t="s">
        <v>2702</v>
      </c>
      <c r="C87" s="15" t="s">
        <v>2703</v>
      </c>
      <c r="D87" s="15" t="s">
        <v>1180</v>
      </c>
      <c r="E87" s="20">
        <v>6</v>
      </c>
      <c r="F87" s="21">
        <v>556.05669999999998</v>
      </c>
      <c r="G87" s="22">
        <v>2.8999999999999998E-3</v>
      </c>
      <c r="H87" s="23">
        <v>7.8801999999999997E-2</v>
      </c>
      <c r="I87" s="41"/>
      <c r="J87" s="5"/>
    </row>
    <row r="88" spans="1:10" ht="12.95" customHeight="1">
      <c r="A88" s="5"/>
      <c r="B88" s="14" t="s">
        <v>160</v>
      </c>
      <c r="C88" s="15"/>
      <c r="D88" s="15"/>
      <c r="E88" s="15"/>
      <c r="F88" s="25">
        <v>2556.2141999999999</v>
      </c>
      <c r="G88" s="26">
        <v>1.3299999999999999E-2</v>
      </c>
      <c r="H88" s="27"/>
      <c r="I88" s="28"/>
      <c r="J88" s="5"/>
    </row>
    <row r="89" spans="1:10" ht="12.95" customHeight="1">
      <c r="A89" s="5"/>
      <c r="B89" s="29" t="s">
        <v>163</v>
      </c>
      <c r="C89" s="30"/>
      <c r="D89" s="2"/>
      <c r="E89" s="30"/>
      <c r="F89" s="25">
        <v>178287.9172</v>
      </c>
      <c r="G89" s="26">
        <v>0.93010000000000004</v>
      </c>
      <c r="H89" s="27"/>
      <c r="I89" s="28"/>
      <c r="J89" s="5"/>
    </row>
    <row r="90" spans="1:10" ht="12.95" customHeight="1">
      <c r="A90" s="5"/>
      <c r="B90" s="14" t="s">
        <v>164</v>
      </c>
      <c r="C90" s="15"/>
      <c r="D90" s="15"/>
      <c r="E90" s="15"/>
      <c r="F90" s="15"/>
      <c r="G90" s="15"/>
      <c r="H90" s="16"/>
      <c r="I90" s="17"/>
      <c r="J90" s="5"/>
    </row>
    <row r="91" spans="1:10" ht="12.95" customHeight="1">
      <c r="A91" s="18" t="s">
        <v>165</v>
      </c>
      <c r="B91" s="19" t="s">
        <v>166</v>
      </c>
      <c r="C91" s="15"/>
      <c r="D91" s="15"/>
      <c r="E91" s="20"/>
      <c r="F91" s="21">
        <v>9643.3870000000006</v>
      </c>
      <c r="G91" s="22">
        <v>5.0299999999999997E-2</v>
      </c>
      <c r="H91" s="23">
        <v>6.7996829688028088E-2</v>
      </c>
      <c r="I91" s="41"/>
      <c r="J91" s="5"/>
    </row>
    <row r="92" spans="1:10" ht="12.95" customHeight="1">
      <c r="A92" s="5"/>
      <c r="B92" s="14" t="s">
        <v>160</v>
      </c>
      <c r="C92" s="15"/>
      <c r="D92" s="15"/>
      <c r="E92" s="15"/>
      <c r="F92" s="25">
        <v>9643.3870000000006</v>
      </c>
      <c r="G92" s="26">
        <v>5.0299999999999997E-2</v>
      </c>
      <c r="H92" s="27"/>
      <c r="I92" s="28"/>
      <c r="J92" s="5"/>
    </row>
    <row r="93" spans="1:10" ht="12.95" customHeight="1">
      <c r="A93" s="5"/>
      <c r="B93" s="29" t="s">
        <v>163</v>
      </c>
      <c r="C93" s="30"/>
      <c r="D93" s="2"/>
      <c r="E93" s="30"/>
      <c r="F93" s="25">
        <v>9643.3870000000006</v>
      </c>
      <c r="G93" s="26">
        <v>5.0299999999999997E-2</v>
      </c>
      <c r="H93" s="27"/>
      <c r="I93" s="28"/>
      <c r="J93" s="5"/>
    </row>
    <row r="94" spans="1:10" ht="12.95" customHeight="1">
      <c r="A94" s="5"/>
      <c r="B94" s="29" t="s">
        <v>167</v>
      </c>
      <c r="C94" s="15"/>
      <c r="D94" s="2"/>
      <c r="E94" s="15"/>
      <c r="F94" s="31">
        <v>3839.8047999999999</v>
      </c>
      <c r="G94" s="26">
        <v>0.02</v>
      </c>
      <c r="H94" s="27"/>
      <c r="I94" s="28"/>
      <c r="J94" s="5"/>
    </row>
    <row r="95" spans="1:10" ht="12.95" customHeight="1">
      <c r="A95" s="5"/>
      <c r="B95" s="32" t="s">
        <v>168</v>
      </c>
      <c r="C95" s="33"/>
      <c r="D95" s="33"/>
      <c r="E95" s="33"/>
      <c r="F95" s="34">
        <v>191686.9</v>
      </c>
      <c r="G95" s="35">
        <v>1</v>
      </c>
      <c r="H95" s="36"/>
      <c r="I95" s="37"/>
      <c r="J95" s="5"/>
    </row>
    <row r="96" spans="1:10" ht="12.95" customHeight="1">
      <c r="A96" s="5"/>
      <c r="B96" s="7"/>
      <c r="C96" s="5"/>
      <c r="D96" s="5"/>
      <c r="E96" s="5"/>
      <c r="F96" s="5"/>
      <c r="G96" s="5"/>
      <c r="H96" s="5"/>
      <c r="I96" s="5"/>
      <c r="J96" s="5"/>
    </row>
    <row r="97" spans="1:10" ht="12.95" customHeight="1">
      <c r="A97" s="5"/>
      <c r="B97" s="4" t="s">
        <v>2704</v>
      </c>
      <c r="C97" s="5"/>
      <c r="D97" s="5"/>
      <c r="E97" s="5"/>
      <c r="F97" s="5"/>
      <c r="G97" s="5"/>
      <c r="H97" s="5"/>
      <c r="I97" s="5"/>
      <c r="J97" s="5"/>
    </row>
    <row r="98" spans="1:10" ht="12.95" customHeight="1">
      <c r="A98" s="5"/>
      <c r="B98" s="4" t="s">
        <v>207</v>
      </c>
      <c r="C98" s="5"/>
      <c r="D98" s="5"/>
      <c r="E98" s="5"/>
      <c r="F98" s="5"/>
      <c r="G98" s="5"/>
      <c r="H98" s="5"/>
      <c r="I98" s="5"/>
      <c r="J98" s="5"/>
    </row>
    <row r="99" spans="1:10" ht="12.95" customHeight="1">
      <c r="A99" s="5"/>
      <c r="B99" s="4" t="s">
        <v>685</v>
      </c>
      <c r="C99" s="5"/>
      <c r="D99" s="5"/>
      <c r="E99" s="5"/>
      <c r="F99" s="5"/>
      <c r="G99" s="5"/>
      <c r="H99" s="5"/>
      <c r="I99" s="5"/>
      <c r="J99" s="5"/>
    </row>
    <row r="100" spans="1:10" ht="12.95" customHeight="1">
      <c r="A100" s="5"/>
      <c r="B100" s="4" t="s">
        <v>170</v>
      </c>
      <c r="C100" s="5"/>
      <c r="D100" s="5"/>
      <c r="E100" s="5"/>
      <c r="F100" s="5"/>
      <c r="G100" s="5"/>
      <c r="H100" s="5"/>
      <c r="I100" s="5"/>
      <c r="J100" s="5"/>
    </row>
    <row r="101" spans="1:10" ht="26.1" customHeight="1">
      <c r="A101" s="5"/>
      <c r="B101" s="86" t="s">
        <v>171</v>
      </c>
      <c r="C101" s="86"/>
      <c r="D101" s="86"/>
      <c r="E101" s="86"/>
      <c r="F101" s="86"/>
      <c r="G101" s="86"/>
      <c r="H101" s="86"/>
      <c r="I101" s="86"/>
      <c r="J101" s="5"/>
    </row>
    <row r="102" spans="1:10" ht="12.95" customHeight="1">
      <c r="A102" s="5"/>
      <c r="B102" s="86"/>
      <c r="C102" s="86"/>
      <c r="D102" s="86"/>
      <c r="E102" s="86"/>
      <c r="F102" s="86"/>
      <c r="G102" s="86"/>
      <c r="H102" s="86"/>
      <c r="I102" s="86"/>
      <c r="J102" s="5"/>
    </row>
    <row r="103" spans="1:10" ht="12.95" customHeight="1">
      <c r="A103" s="5"/>
      <c r="B103" s="89" t="s">
        <v>2705</v>
      </c>
      <c r="C103" s="89"/>
      <c r="D103" s="89"/>
      <c r="E103" s="89"/>
      <c r="F103" s="5"/>
      <c r="G103" s="5"/>
      <c r="H103" s="5"/>
      <c r="I103" s="5"/>
      <c r="J103" s="5"/>
    </row>
    <row r="104" spans="1:10" ht="12.95" customHeight="1">
      <c r="A104" s="5"/>
      <c r="B104" s="86"/>
      <c r="C104" s="86"/>
      <c r="D104" s="86"/>
      <c r="E104" s="86"/>
      <c r="F104" s="86"/>
      <c r="G104" s="86"/>
      <c r="H104" s="86"/>
      <c r="I104" s="86"/>
      <c r="J104" s="5"/>
    </row>
    <row r="105" spans="1:10" ht="12.95" customHeight="1">
      <c r="A105" s="5"/>
      <c r="B105" s="5"/>
      <c r="C105" s="87" t="s">
        <v>2706</v>
      </c>
      <c r="D105" s="87"/>
      <c r="E105" s="87"/>
      <c r="F105" s="87"/>
      <c r="G105" s="5"/>
      <c r="H105" s="5"/>
      <c r="I105" s="5"/>
      <c r="J105" s="5"/>
    </row>
    <row r="106" spans="1:10" ht="12.95" customHeight="1">
      <c r="A106" s="5"/>
      <c r="B106" s="38" t="s">
        <v>173</v>
      </c>
      <c r="C106" s="87" t="s">
        <v>174</v>
      </c>
      <c r="D106" s="87"/>
      <c r="E106" s="87"/>
      <c r="F106" s="87"/>
      <c r="G106" s="5"/>
      <c r="H106" s="5"/>
      <c r="I106" s="5"/>
      <c r="J106" s="5"/>
    </row>
    <row r="107" spans="1:10" ht="120.95" customHeight="1">
      <c r="A107" s="5"/>
      <c r="B107" s="39"/>
      <c r="C107" s="85"/>
      <c r="D107" s="85"/>
      <c r="E107" s="5"/>
      <c r="F107" s="5"/>
      <c r="G107" s="5"/>
      <c r="H107" s="5"/>
      <c r="I107" s="5"/>
      <c r="J107" s="5"/>
    </row>
  </sheetData>
  <mergeCells count="7">
    <mergeCell ref="C106:F106"/>
    <mergeCell ref="C107:D107"/>
    <mergeCell ref="B101:I101"/>
    <mergeCell ref="B102:I102"/>
    <mergeCell ref="B103:E103"/>
    <mergeCell ref="B104:I104"/>
    <mergeCell ref="C105:F105"/>
  </mergeCells>
  <conditionalFormatting sqref="A7:A12">
    <cfRule type="duplicateValues" dxfId="1" priority="1"/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{489EC359-E1E8-4073-BE57-9FBC8C060C7D}</x14:id>
        </ext>
      </extLst>
    </cfRule>
  </conditionalFormatting>
  <hyperlinks>
    <hyperlink ref="A1" location="AxisStrategicBondFund" display="AXISIFD" xr:uid="{00000000-0004-0000-2100-000000000000}"/>
    <hyperlink ref="B1" location="AxisStrategicBondFund" display="Axis Strategic Bond Fund" xr:uid="{00000000-0004-0000-2100-000001000000}"/>
  </hyperlinks>
  <pageMargins left="0" right="0" top="0" bottom="0" header="0" footer="0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9EC359-E1E8-4073-BE57-9FBC8C060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A7:A12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/>
  </sheetPr>
  <dimension ref="A1:J7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70</v>
      </c>
      <c r="B1" s="4" t="s">
        <v>71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2588</v>
      </c>
      <c r="B7" s="19" t="s">
        <v>2589</v>
      </c>
      <c r="C7" s="15" t="s">
        <v>2590</v>
      </c>
      <c r="D7" s="15" t="s">
        <v>1034</v>
      </c>
      <c r="E7" s="20">
        <v>3000</v>
      </c>
      <c r="F7" s="21">
        <v>2992.7339999999999</v>
      </c>
      <c r="G7" s="22">
        <v>5.7599999999999998E-2</v>
      </c>
      <c r="H7" s="23">
        <v>8.2350000000000007E-2</v>
      </c>
      <c r="I7" s="24"/>
      <c r="J7" s="5"/>
    </row>
    <row r="8" spans="1:10" ht="12.95" customHeight="1">
      <c r="A8" s="18" t="s">
        <v>1655</v>
      </c>
      <c r="B8" s="19" t="s">
        <v>1656</v>
      </c>
      <c r="C8" s="15" t="s">
        <v>1657</v>
      </c>
      <c r="D8" s="15" t="s">
        <v>156</v>
      </c>
      <c r="E8" s="20">
        <v>2550000</v>
      </c>
      <c r="F8" s="21">
        <v>2551.9762999999998</v>
      </c>
      <c r="G8" s="22">
        <v>4.9200000000000001E-2</v>
      </c>
      <c r="H8" s="23">
        <v>7.3776999999999995E-2</v>
      </c>
      <c r="I8" s="24"/>
      <c r="J8" s="5"/>
    </row>
    <row r="9" spans="1:10" ht="12.95" customHeight="1">
      <c r="A9" s="18" t="s">
        <v>2707</v>
      </c>
      <c r="B9" s="19" t="s">
        <v>2708</v>
      </c>
      <c r="C9" s="15" t="s">
        <v>2709</v>
      </c>
      <c r="D9" s="15" t="s">
        <v>1670</v>
      </c>
      <c r="E9" s="20">
        <v>2500</v>
      </c>
      <c r="F9" s="21">
        <v>2513.4324999999999</v>
      </c>
      <c r="G9" s="22">
        <v>4.8399999999999999E-2</v>
      </c>
      <c r="H9" s="23">
        <v>8.0599000000000004E-2</v>
      </c>
      <c r="I9" s="24"/>
      <c r="J9" s="5"/>
    </row>
    <row r="10" spans="1:10" ht="12.95" customHeight="1">
      <c r="A10" s="18" t="s">
        <v>2710</v>
      </c>
      <c r="B10" s="19" t="s">
        <v>2711</v>
      </c>
      <c r="C10" s="15" t="s">
        <v>2712</v>
      </c>
      <c r="D10" s="15" t="s">
        <v>1670</v>
      </c>
      <c r="E10" s="20">
        <v>235</v>
      </c>
      <c r="F10" s="21">
        <v>2345.5844000000002</v>
      </c>
      <c r="G10" s="22">
        <v>4.5199999999999997E-2</v>
      </c>
      <c r="H10" s="23">
        <v>7.9500000000000001E-2</v>
      </c>
      <c r="I10" s="24"/>
      <c r="J10" s="5"/>
    </row>
    <row r="11" spans="1:10" ht="12.95" customHeight="1">
      <c r="A11" s="18" t="s">
        <v>2713</v>
      </c>
      <c r="B11" s="19" t="s">
        <v>2714</v>
      </c>
      <c r="C11" s="15" t="s">
        <v>2715</v>
      </c>
      <c r="D11" s="15" t="s">
        <v>2587</v>
      </c>
      <c r="E11" s="20">
        <v>230</v>
      </c>
      <c r="F11" s="21">
        <v>2315.9068000000002</v>
      </c>
      <c r="G11" s="22">
        <v>4.4600000000000001E-2</v>
      </c>
      <c r="H11" s="23">
        <v>8.8249999999999995E-2</v>
      </c>
      <c r="I11" s="24"/>
      <c r="J11" s="5"/>
    </row>
    <row r="12" spans="1:10" ht="12.95" customHeight="1">
      <c r="A12" s="18" t="s">
        <v>977</v>
      </c>
      <c r="B12" s="19" t="s">
        <v>978</v>
      </c>
      <c r="C12" s="15" t="s">
        <v>979</v>
      </c>
      <c r="D12" s="15" t="s">
        <v>156</v>
      </c>
      <c r="E12" s="20">
        <v>2000000</v>
      </c>
      <c r="F12" s="21">
        <v>1992.0239999999999</v>
      </c>
      <c r="G12" s="22">
        <v>3.8399999999999997E-2</v>
      </c>
      <c r="H12" s="23">
        <v>7.3778999999999997E-2</v>
      </c>
      <c r="I12" s="24"/>
      <c r="J12" s="5"/>
    </row>
    <row r="13" spans="1:10" ht="12.95" customHeight="1">
      <c r="A13" s="18" t="s">
        <v>2635</v>
      </c>
      <c r="B13" s="19" t="s">
        <v>2636</v>
      </c>
      <c r="C13" s="15" t="s">
        <v>2637</v>
      </c>
      <c r="D13" s="15" t="s">
        <v>179</v>
      </c>
      <c r="E13" s="20">
        <v>2000</v>
      </c>
      <c r="F13" s="21">
        <v>1989.58</v>
      </c>
      <c r="G13" s="22">
        <v>3.8300000000000001E-2</v>
      </c>
      <c r="H13" s="23">
        <v>8.3250000000000005E-2</v>
      </c>
      <c r="I13" s="24"/>
      <c r="J13" s="5"/>
    </row>
    <row r="14" spans="1:10" ht="12.95" customHeight="1">
      <c r="A14" s="18" t="s">
        <v>2676</v>
      </c>
      <c r="B14" s="19" t="s">
        <v>2677</v>
      </c>
      <c r="C14" s="15" t="s">
        <v>2678</v>
      </c>
      <c r="D14" s="15" t="s">
        <v>179</v>
      </c>
      <c r="E14" s="20">
        <v>200</v>
      </c>
      <c r="F14" s="21">
        <v>1973.2819999999999</v>
      </c>
      <c r="G14" s="22">
        <v>3.7999999999999999E-2</v>
      </c>
      <c r="H14" s="23">
        <v>8.2160999999999998E-2</v>
      </c>
      <c r="I14" s="24"/>
      <c r="J14" s="5"/>
    </row>
    <row r="15" spans="1:10" ht="12.95" customHeight="1">
      <c r="A15" s="18" t="s">
        <v>2600</v>
      </c>
      <c r="B15" s="19" t="s">
        <v>2601</v>
      </c>
      <c r="C15" s="15" t="s">
        <v>2602</v>
      </c>
      <c r="D15" s="15" t="s">
        <v>1670</v>
      </c>
      <c r="E15" s="20">
        <v>200</v>
      </c>
      <c r="F15" s="21">
        <v>1962.2940000000001</v>
      </c>
      <c r="G15" s="22">
        <v>3.78E-2</v>
      </c>
      <c r="H15" s="23">
        <v>9.0700000000000003E-2</v>
      </c>
      <c r="I15" s="24"/>
      <c r="J15" s="5"/>
    </row>
    <row r="16" spans="1:10" ht="12.95" customHeight="1">
      <c r="A16" s="18" t="s">
        <v>2716</v>
      </c>
      <c r="B16" s="19" t="s">
        <v>2717</v>
      </c>
      <c r="C16" s="15" t="s">
        <v>2718</v>
      </c>
      <c r="D16" s="15" t="s">
        <v>179</v>
      </c>
      <c r="E16" s="20">
        <v>210</v>
      </c>
      <c r="F16" s="21">
        <v>1817.6759999999999</v>
      </c>
      <c r="G16" s="22">
        <v>3.5000000000000003E-2</v>
      </c>
      <c r="H16" s="23">
        <v>8.0978999999999995E-2</v>
      </c>
      <c r="I16" s="24"/>
      <c r="J16" s="5"/>
    </row>
    <row r="17" spans="1:10" ht="12.95" customHeight="1">
      <c r="A17" s="18" t="s">
        <v>2584</v>
      </c>
      <c r="B17" s="19" t="s">
        <v>2585</v>
      </c>
      <c r="C17" s="15" t="s">
        <v>2586</v>
      </c>
      <c r="D17" s="15" t="s">
        <v>2587</v>
      </c>
      <c r="E17" s="20">
        <v>155</v>
      </c>
      <c r="F17" s="21">
        <v>1562.1969999999999</v>
      </c>
      <c r="G17" s="22">
        <v>3.0099999999999998E-2</v>
      </c>
      <c r="H17" s="23">
        <v>9.5299999999999996E-2</v>
      </c>
      <c r="I17" s="24"/>
      <c r="J17" s="5"/>
    </row>
    <row r="18" spans="1:10" ht="12.95" customHeight="1">
      <c r="A18" s="18" t="s">
        <v>2666</v>
      </c>
      <c r="B18" s="19" t="s">
        <v>2667</v>
      </c>
      <c r="C18" s="15" t="s">
        <v>2668</v>
      </c>
      <c r="D18" s="15" t="s">
        <v>1687</v>
      </c>
      <c r="E18" s="20">
        <v>150</v>
      </c>
      <c r="F18" s="21">
        <v>1497</v>
      </c>
      <c r="G18" s="22">
        <v>2.8799999999999999E-2</v>
      </c>
      <c r="H18" s="23">
        <v>9.7100000000000006E-2</v>
      </c>
      <c r="I18" s="24"/>
      <c r="J18" s="5"/>
    </row>
    <row r="19" spans="1:10" ht="12.95" customHeight="1">
      <c r="A19" s="18" t="s">
        <v>2719</v>
      </c>
      <c r="B19" s="19" t="s">
        <v>2720</v>
      </c>
      <c r="C19" s="15" t="s">
        <v>2721</v>
      </c>
      <c r="D19" s="15" t="s">
        <v>2587</v>
      </c>
      <c r="E19" s="20">
        <v>150</v>
      </c>
      <c r="F19" s="21">
        <v>1496.0205000000001</v>
      </c>
      <c r="G19" s="22">
        <v>2.8799999999999999E-2</v>
      </c>
      <c r="H19" s="23">
        <v>9.6049999999999996E-2</v>
      </c>
      <c r="I19" s="24"/>
      <c r="J19" s="5"/>
    </row>
    <row r="20" spans="1:10" ht="12.95" customHeight="1">
      <c r="A20" s="18" t="s">
        <v>2581</v>
      </c>
      <c r="B20" s="19" t="s">
        <v>2582</v>
      </c>
      <c r="C20" s="15" t="s">
        <v>2583</v>
      </c>
      <c r="D20" s="15" t="s">
        <v>1670</v>
      </c>
      <c r="E20" s="20">
        <v>1500</v>
      </c>
      <c r="F20" s="21">
        <v>1489.0905</v>
      </c>
      <c r="G20" s="22">
        <v>2.87E-2</v>
      </c>
      <c r="H20" s="23">
        <v>8.405E-2</v>
      </c>
      <c r="I20" s="24"/>
      <c r="J20" s="5"/>
    </row>
    <row r="21" spans="1:10" ht="12.95" customHeight="1">
      <c r="A21" s="18" t="s">
        <v>2577</v>
      </c>
      <c r="B21" s="19" t="s">
        <v>2578</v>
      </c>
      <c r="C21" s="15" t="s">
        <v>2579</v>
      </c>
      <c r="D21" s="15" t="s">
        <v>2580</v>
      </c>
      <c r="E21" s="20">
        <v>1250</v>
      </c>
      <c r="F21" s="21">
        <v>1250.5513000000001</v>
      </c>
      <c r="G21" s="22">
        <v>2.41E-2</v>
      </c>
      <c r="H21" s="23">
        <v>9.0700000000000003E-2</v>
      </c>
      <c r="I21" s="24"/>
      <c r="J21" s="5"/>
    </row>
    <row r="22" spans="1:10" ht="12.95" customHeight="1">
      <c r="A22" s="18" t="s">
        <v>2648</v>
      </c>
      <c r="B22" s="19" t="s">
        <v>2649</v>
      </c>
      <c r="C22" s="15" t="s">
        <v>2650</v>
      </c>
      <c r="D22" s="15" t="s">
        <v>1670</v>
      </c>
      <c r="E22" s="20">
        <v>120</v>
      </c>
      <c r="F22" s="21">
        <v>1191.0516</v>
      </c>
      <c r="G22" s="22">
        <v>2.29E-2</v>
      </c>
      <c r="H22" s="23">
        <v>8.1398999999999999E-2</v>
      </c>
      <c r="I22" s="24"/>
      <c r="J22" s="5"/>
    </row>
    <row r="23" spans="1:10" ht="12.95" customHeight="1">
      <c r="A23" s="18" t="s">
        <v>2629</v>
      </c>
      <c r="B23" s="19" t="s">
        <v>2630</v>
      </c>
      <c r="C23" s="15" t="s">
        <v>2631</v>
      </c>
      <c r="D23" s="15" t="s">
        <v>2625</v>
      </c>
      <c r="E23" s="20">
        <v>110000</v>
      </c>
      <c r="F23" s="21">
        <v>1101.2594999999999</v>
      </c>
      <c r="G23" s="22">
        <v>2.12E-2</v>
      </c>
      <c r="H23" s="23">
        <v>9.7542000000000004E-2</v>
      </c>
      <c r="I23" s="24"/>
      <c r="J23" s="5"/>
    </row>
    <row r="24" spans="1:10" ht="12.95" customHeight="1">
      <c r="A24" s="18" t="s">
        <v>911</v>
      </c>
      <c r="B24" s="19" t="s">
        <v>912</v>
      </c>
      <c r="C24" s="15" t="s">
        <v>913</v>
      </c>
      <c r="D24" s="15" t="s">
        <v>156</v>
      </c>
      <c r="E24" s="20">
        <v>1000000</v>
      </c>
      <c r="F24" s="21">
        <v>993.38199999999995</v>
      </c>
      <c r="G24" s="22">
        <v>1.9099999999999999E-2</v>
      </c>
      <c r="H24" s="23">
        <v>7.3640999999999998E-2</v>
      </c>
      <c r="I24" s="24"/>
      <c r="J24" s="5"/>
    </row>
    <row r="25" spans="1:10" ht="12.95" customHeight="1">
      <c r="A25" s="18" t="s">
        <v>2594</v>
      </c>
      <c r="B25" s="19" t="s">
        <v>2595</v>
      </c>
      <c r="C25" s="15" t="s">
        <v>2596</v>
      </c>
      <c r="D25" s="15" t="s">
        <v>179</v>
      </c>
      <c r="E25" s="20">
        <v>1000</v>
      </c>
      <c r="F25" s="21">
        <v>991.90499999999997</v>
      </c>
      <c r="G25" s="22">
        <v>1.9099999999999999E-2</v>
      </c>
      <c r="H25" s="23">
        <v>8.3299999999999999E-2</v>
      </c>
      <c r="I25" s="24"/>
      <c r="J25" s="5"/>
    </row>
    <row r="26" spans="1:10" ht="12.95" customHeight="1">
      <c r="A26" s="18" t="s">
        <v>2591</v>
      </c>
      <c r="B26" s="19" t="s">
        <v>2592</v>
      </c>
      <c r="C26" s="15" t="s">
        <v>2593</v>
      </c>
      <c r="D26" s="15" t="s">
        <v>1687</v>
      </c>
      <c r="E26" s="20">
        <v>1000</v>
      </c>
      <c r="F26" s="21">
        <v>991.1</v>
      </c>
      <c r="G26" s="22">
        <v>1.9099999999999999E-2</v>
      </c>
      <c r="H26" s="23">
        <v>0.109362</v>
      </c>
      <c r="I26" s="24"/>
      <c r="J26" s="5"/>
    </row>
    <row r="27" spans="1:10" ht="12.95" customHeight="1">
      <c r="A27" s="18" t="s">
        <v>2654</v>
      </c>
      <c r="B27" s="19" t="s">
        <v>2655</v>
      </c>
      <c r="C27" s="15" t="s">
        <v>2656</v>
      </c>
      <c r="D27" s="15" t="s">
        <v>2621</v>
      </c>
      <c r="E27" s="20">
        <v>100</v>
      </c>
      <c r="F27" s="21">
        <v>988.50400000000002</v>
      </c>
      <c r="G27" s="22">
        <v>1.9E-2</v>
      </c>
      <c r="H27" s="23">
        <v>7.9350000000000004E-2</v>
      </c>
      <c r="I27" s="24"/>
      <c r="J27" s="5"/>
    </row>
    <row r="28" spans="1:10" ht="12.95" customHeight="1">
      <c r="A28" s="18" t="s">
        <v>2657</v>
      </c>
      <c r="B28" s="19" t="s">
        <v>2658</v>
      </c>
      <c r="C28" s="15" t="s">
        <v>2659</v>
      </c>
      <c r="D28" s="15" t="s">
        <v>1677</v>
      </c>
      <c r="E28" s="20">
        <v>100</v>
      </c>
      <c r="F28" s="21">
        <v>980.44100000000003</v>
      </c>
      <c r="G28" s="22">
        <v>1.89E-2</v>
      </c>
      <c r="H28" s="23">
        <v>0.133495</v>
      </c>
      <c r="I28" s="24"/>
      <c r="J28" s="5"/>
    </row>
    <row r="29" spans="1:10" ht="12.95" customHeight="1">
      <c r="A29" s="18" t="s">
        <v>2641</v>
      </c>
      <c r="B29" s="19" t="s">
        <v>2642</v>
      </c>
      <c r="C29" s="15" t="s">
        <v>2643</v>
      </c>
      <c r="D29" s="15" t="s">
        <v>2644</v>
      </c>
      <c r="E29" s="20">
        <v>100</v>
      </c>
      <c r="F29" s="21">
        <v>979.69200000000001</v>
      </c>
      <c r="G29" s="22">
        <v>1.89E-2</v>
      </c>
      <c r="H29" s="23">
        <v>9.6588999999999994E-2</v>
      </c>
      <c r="I29" s="24"/>
      <c r="J29" s="5"/>
    </row>
    <row r="30" spans="1:10" ht="12.95" customHeight="1">
      <c r="A30" s="18" t="s">
        <v>1674</v>
      </c>
      <c r="B30" s="19" t="s">
        <v>1675</v>
      </c>
      <c r="C30" s="15" t="s">
        <v>1676</v>
      </c>
      <c r="D30" s="15" t="s">
        <v>1677</v>
      </c>
      <c r="E30" s="20">
        <v>90</v>
      </c>
      <c r="F30" s="21">
        <v>902.55150000000003</v>
      </c>
      <c r="G30" s="22">
        <v>1.7399999999999999E-2</v>
      </c>
      <c r="H30" s="23">
        <v>9.7548999999999997E-2</v>
      </c>
      <c r="I30" s="24"/>
      <c r="J30" s="5"/>
    </row>
    <row r="31" spans="1:10" ht="12.95" customHeight="1">
      <c r="A31" s="18" t="s">
        <v>2722</v>
      </c>
      <c r="B31" s="19" t="s">
        <v>2723</v>
      </c>
      <c r="C31" s="15" t="s">
        <v>2724</v>
      </c>
      <c r="D31" s="15" t="s">
        <v>156</v>
      </c>
      <c r="E31" s="20">
        <v>1003600</v>
      </c>
      <c r="F31" s="21">
        <v>865.36509999999998</v>
      </c>
      <c r="G31" s="22">
        <v>1.67E-2</v>
      </c>
      <c r="H31" s="23">
        <v>7.424E-2</v>
      </c>
      <c r="I31" s="24"/>
      <c r="J31" s="5"/>
    </row>
    <row r="32" spans="1:10" ht="12.95" customHeight="1">
      <c r="A32" s="18" t="s">
        <v>2679</v>
      </c>
      <c r="B32" s="19" t="s">
        <v>2680</v>
      </c>
      <c r="C32" s="15" t="s">
        <v>2681</v>
      </c>
      <c r="D32" s="15" t="s">
        <v>2682</v>
      </c>
      <c r="E32" s="20">
        <v>150</v>
      </c>
      <c r="F32" s="21">
        <v>836.48249999999996</v>
      </c>
      <c r="G32" s="22">
        <v>1.61E-2</v>
      </c>
      <c r="H32" s="23">
        <v>0.10585</v>
      </c>
      <c r="I32" s="24"/>
      <c r="J32" s="5"/>
    </row>
    <row r="33" spans="1:10" ht="12.95" customHeight="1">
      <c r="A33" s="18" t="s">
        <v>2725</v>
      </c>
      <c r="B33" s="19" t="s">
        <v>2726</v>
      </c>
      <c r="C33" s="15" t="s">
        <v>2727</v>
      </c>
      <c r="D33" s="15" t="s">
        <v>156</v>
      </c>
      <c r="E33" s="20">
        <v>1000000</v>
      </c>
      <c r="F33" s="21">
        <v>766.19100000000003</v>
      </c>
      <c r="G33" s="22">
        <v>1.4800000000000001E-2</v>
      </c>
      <c r="H33" s="23">
        <v>7.4401999999999996E-2</v>
      </c>
      <c r="I33" s="24"/>
      <c r="J33" s="5"/>
    </row>
    <row r="34" spans="1:10" ht="12.95" customHeight="1">
      <c r="A34" s="18" t="s">
        <v>1688</v>
      </c>
      <c r="B34" s="19" t="s">
        <v>1689</v>
      </c>
      <c r="C34" s="15" t="s">
        <v>1690</v>
      </c>
      <c r="D34" s="15" t="s">
        <v>1691</v>
      </c>
      <c r="E34" s="20">
        <v>700</v>
      </c>
      <c r="F34" s="21">
        <v>698.82749999999999</v>
      </c>
      <c r="G34" s="22">
        <v>1.35E-2</v>
      </c>
      <c r="H34" s="23">
        <v>8.5374000000000005E-2</v>
      </c>
      <c r="I34" s="24"/>
      <c r="J34" s="5"/>
    </row>
    <row r="35" spans="1:10" ht="12.95" customHeight="1">
      <c r="A35" s="18" t="s">
        <v>2672</v>
      </c>
      <c r="B35" s="19" t="s">
        <v>2673</v>
      </c>
      <c r="C35" s="15" t="s">
        <v>2674</v>
      </c>
      <c r="D35" s="15" t="s">
        <v>2675</v>
      </c>
      <c r="E35" s="20">
        <v>150</v>
      </c>
      <c r="F35" s="21">
        <v>595.24800000000005</v>
      </c>
      <c r="G35" s="22">
        <v>1.15E-2</v>
      </c>
      <c r="H35" s="23">
        <v>9.0245000000000006E-2</v>
      </c>
      <c r="I35" s="24"/>
      <c r="J35" s="5"/>
    </row>
    <row r="36" spans="1:10" ht="12.95" customHeight="1">
      <c r="A36" s="18" t="s">
        <v>2669</v>
      </c>
      <c r="B36" s="19" t="s">
        <v>2670</v>
      </c>
      <c r="C36" s="15" t="s">
        <v>2671</v>
      </c>
      <c r="D36" s="15" t="s">
        <v>179</v>
      </c>
      <c r="E36" s="20">
        <v>500</v>
      </c>
      <c r="F36" s="21">
        <v>497.53800000000001</v>
      </c>
      <c r="G36" s="22">
        <v>9.5999999999999992E-3</v>
      </c>
      <c r="H36" s="23">
        <v>9.0010000000000007E-2</v>
      </c>
      <c r="I36" s="24"/>
      <c r="J36" s="5"/>
    </row>
    <row r="37" spans="1:10" ht="12.95" customHeight="1">
      <c r="A37" s="18" t="s">
        <v>2638</v>
      </c>
      <c r="B37" s="19" t="s">
        <v>2639</v>
      </c>
      <c r="C37" s="15" t="s">
        <v>2640</v>
      </c>
      <c r="D37" s="15" t="s">
        <v>1695</v>
      </c>
      <c r="E37" s="20">
        <v>500</v>
      </c>
      <c r="F37" s="21">
        <v>496.03750000000002</v>
      </c>
      <c r="G37" s="22">
        <v>9.5999999999999992E-3</v>
      </c>
      <c r="H37" s="23">
        <v>9.8498000000000002E-2</v>
      </c>
      <c r="I37" s="24"/>
      <c r="J37" s="5"/>
    </row>
    <row r="38" spans="1:10" ht="12.95" customHeight="1">
      <c r="A38" s="18" t="s">
        <v>2728</v>
      </c>
      <c r="B38" s="19" t="s">
        <v>2729</v>
      </c>
      <c r="C38" s="15" t="s">
        <v>2730</v>
      </c>
      <c r="D38" s="15" t="s">
        <v>156</v>
      </c>
      <c r="E38" s="20">
        <v>500000</v>
      </c>
      <c r="F38" s="21">
        <v>493.37650000000002</v>
      </c>
      <c r="G38" s="22">
        <v>9.4999999999999998E-3</v>
      </c>
      <c r="H38" s="23">
        <v>7.3384000000000005E-2</v>
      </c>
      <c r="I38" s="24"/>
      <c r="J38" s="5"/>
    </row>
    <row r="39" spans="1:10" ht="12.95" customHeight="1">
      <c r="A39" s="18" t="s">
        <v>2663</v>
      </c>
      <c r="B39" s="19" t="s">
        <v>2664</v>
      </c>
      <c r="C39" s="15" t="s">
        <v>2665</v>
      </c>
      <c r="D39" s="15" t="s">
        <v>1695</v>
      </c>
      <c r="E39" s="20">
        <v>70</v>
      </c>
      <c r="F39" s="21">
        <v>415.3415</v>
      </c>
      <c r="G39" s="22">
        <v>8.0000000000000002E-3</v>
      </c>
      <c r="H39" s="23">
        <v>0.13424150000000001</v>
      </c>
      <c r="I39" s="24"/>
      <c r="J39" s="5"/>
    </row>
    <row r="40" spans="1:10" ht="12.95" customHeight="1">
      <c r="A40" s="18" t="s">
        <v>496</v>
      </c>
      <c r="B40" s="19" t="s">
        <v>497</v>
      </c>
      <c r="C40" s="15" t="s">
        <v>498</v>
      </c>
      <c r="D40" s="15" t="s">
        <v>179</v>
      </c>
      <c r="E40" s="20">
        <v>40</v>
      </c>
      <c r="F40" s="21">
        <v>397.44560000000001</v>
      </c>
      <c r="G40" s="22">
        <v>7.7000000000000002E-3</v>
      </c>
      <c r="H40" s="23">
        <v>7.6799999999999993E-2</v>
      </c>
      <c r="I40" s="24"/>
      <c r="J40" s="5"/>
    </row>
    <row r="41" spans="1:10" ht="12.95" customHeight="1">
      <c r="A41" s="18" t="s">
        <v>2651</v>
      </c>
      <c r="B41" s="19" t="s">
        <v>2652</v>
      </c>
      <c r="C41" s="15" t="s">
        <v>2653</v>
      </c>
      <c r="D41" s="15" t="s">
        <v>1670</v>
      </c>
      <c r="E41" s="20">
        <v>50</v>
      </c>
      <c r="F41" s="21">
        <v>257.98500000000001</v>
      </c>
      <c r="G41" s="22">
        <v>5.0000000000000001E-3</v>
      </c>
      <c r="H41" s="23">
        <v>7.8251000000000001E-2</v>
      </c>
      <c r="I41" s="24"/>
      <c r="J41" s="5"/>
    </row>
    <row r="42" spans="1:10" ht="12.95" customHeight="1">
      <c r="A42" s="18" t="s">
        <v>2698</v>
      </c>
      <c r="B42" s="19" t="s">
        <v>2699</v>
      </c>
      <c r="C42" s="15" t="s">
        <v>2700</v>
      </c>
      <c r="D42" s="15" t="s">
        <v>156</v>
      </c>
      <c r="E42" s="20">
        <v>50000</v>
      </c>
      <c r="F42" s="21">
        <v>50.7712</v>
      </c>
      <c r="G42" s="22">
        <v>1E-3</v>
      </c>
      <c r="H42" s="23">
        <v>7.3736999999999997E-2</v>
      </c>
      <c r="I42" s="24"/>
      <c r="J42" s="5"/>
    </row>
    <row r="43" spans="1:10" ht="12.95" customHeight="1">
      <c r="A43" s="18" t="s">
        <v>514</v>
      </c>
      <c r="B43" s="19" t="s">
        <v>515</v>
      </c>
      <c r="C43" s="15" t="s">
        <v>516</v>
      </c>
      <c r="D43" s="15" t="s">
        <v>156</v>
      </c>
      <c r="E43" s="20">
        <v>6100</v>
      </c>
      <c r="F43" s="21">
        <v>6.1425000000000001</v>
      </c>
      <c r="G43" s="22">
        <v>1E-4</v>
      </c>
      <c r="H43" s="23">
        <v>7.3759000000000005E-2</v>
      </c>
      <c r="I43" s="24"/>
      <c r="J43" s="5"/>
    </row>
    <row r="44" spans="1:10" ht="12.95" customHeight="1">
      <c r="A44" s="5"/>
      <c r="B44" s="14" t="s">
        <v>160</v>
      </c>
      <c r="C44" s="15"/>
      <c r="D44" s="15"/>
      <c r="E44" s="15"/>
      <c r="F44" s="25">
        <v>45245.9876</v>
      </c>
      <c r="G44" s="26">
        <v>0.87160000000000004</v>
      </c>
      <c r="H44" s="27"/>
      <c r="I44" s="28"/>
      <c r="J44" s="5"/>
    </row>
    <row r="45" spans="1:10" ht="12.95" customHeight="1">
      <c r="A45" s="5"/>
      <c r="B45" s="29" t="s">
        <v>161</v>
      </c>
      <c r="C45" s="2"/>
      <c r="D45" s="2"/>
      <c r="E45" s="2"/>
      <c r="F45" s="27" t="s">
        <v>162</v>
      </c>
      <c r="G45" s="27" t="s">
        <v>162</v>
      </c>
      <c r="H45" s="27"/>
      <c r="I45" s="28"/>
      <c r="J45" s="5"/>
    </row>
    <row r="46" spans="1:10" ht="12.95" customHeight="1">
      <c r="A46" s="5"/>
      <c r="B46" s="29" t="s">
        <v>160</v>
      </c>
      <c r="C46" s="2"/>
      <c r="D46" s="2"/>
      <c r="E46" s="2"/>
      <c r="F46" s="27" t="s">
        <v>162</v>
      </c>
      <c r="G46" s="27" t="s">
        <v>162</v>
      </c>
      <c r="H46" s="27"/>
      <c r="I46" s="28"/>
      <c r="J46" s="5"/>
    </row>
    <row r="47" spans="1:10" ht="12.95" customHeight="1">
      <c r="A47" s="5"/>
      <c r="B47" s="14" t="s">
        <v>1176</v>
      </c>
      <c r="C47" s="15"/>
      <c r="D47" s="15"/>
      <c r="E47" s="15"/>
      <c r="F47" s="5"/>
      <c r="G47" s="16"/>
      <c r="H47" s="16"/>
      <c r="I47" s="17"/>
      <c r="J47" s="5"/>
    </row>
    <row r="48" spans="1:10" ht="12.95" customHeight="1">
      <c r="A48" s="18" t="s">
        <v>2701</v>
      </c>
      <c r="B48" s="19" t="s">
        <v>2702</v>
      </c>
      <c r="C48" s="15" t="s">
        <v>2703</v>
      </c>
      <c r="D48" s="15" t="s">
        <v>1180</v>
      </c>
      <c r="E48" s="20">
        <v>2</v>
      </c>
      <c r="F48" s="21">
        <v>185.35220000000001</v>
      </c>
      <c r="G48" s="22">
        <v>3.5999999999999999E-3</v>
      </c>
      <c r="H48" s="23">
        <v>7.8801999999999997E-2</v>
      </c>
      <c r="I48" s="24"/>
      <c r="J48" s="5"/>
    </row>
    <row r="49" spans="1:10" ht="12.95" customHeight="1">
      <c r="A49" s="5"/>
      <c r="B49" s="14" t="s">
        <v>160</v>
      </c>
      <c r="C49" s="15"/>
      <c r="D49" s="15"/>
      <c r="E49" s="15"/>
      <c r="F49" s="25">
        <v>185.35220000000001</v>
      </c>
      <c r="G49" s="26">
        <v>3.5999999999999999E-3</v>
      </c>
      <c r="H49" s="27"/>
      <c r="I49" s="28"/>
      <c r="J49" s="5"/>
    </row>
    <row r="50" spans="1:10" ht="12.95" customHeight="1">
      <c r="A50" s="5"/>
      <c r="B50" s="29" t="s">
        <v>163</v>
      </c>
      <c r="C50" s="30"/>
      <c r="D50" s="2"/>
      <c r="E50" s="30"/>
      <c r="F50" s="25">
        <v>45431.339800000002</v>
      </c>
      <c r="G50" s="26">
        <v>0.87509999999999999</v>
      </c>
      <c r="H50" s="27"/>
      <c r="I50" s="28"/>
      <c r="J50" s="5"/>
    </row>
    <row r="51" spans="1:10" ht="12.95" customHeight="1">
      <c r="A51" s="5"/>
      <c r="B51" s="14" t="s">
        <v>417</v>
      </c>
      <c r="C51" s="15"/>
      <c r="D51" s="15"/>
      <c r="E51" s="15"/>
      <c r="F51" s="15"/>
      <c r="G51" s="15"/>
      <c r="H51" s="16"/>
      <c r="I51" s="17"/>
      <c r="J51" s="5"/>
    </row>
    <row r="52" spans="1:10" ht="12.95" customHeight="1">
      <c r="A52" s="5"/>
      <c r="B52" s="14" t="s">
        <v>2100</v>
      </c>
      <c r="C52" s="15"/>
      <c r="D52" s="15"/>
      <c r="E52" s="15"/>
      <c r="F52" s="5"/>
      <c r="G52" s="16"/>
      <c r="H52" s="16"/>
      <c r="I52" s="17"/>
      <c r="J52" s="5"/>
    </row>
    <row r="53" spans="1:10" ht="12.95" customHeight="1">
      <c r="A53" s="18" t="s">
        <v>2731</v>
      </c>
      <c r="B53" s="19" t="s">
        <v>2732</v>
      </c>
      <c r="C53" s="15" t="s">
        <v>2733</v>
      </c>
      <c r="D53" s="15" t="s">
        <v>683</v>
      </c>
      <c r="E53" s="20">
        <v>500</v>
      </c>
      <c r="F53" s="21">
        <v>2467.4825000000001</v>
      </c>
      <c r="G53" s="22">
        <v>4.7500000000000001E-2</v>
      </c>
      <c r="H53" s="23">
        <v>7.4002999999999999E-2</v>
      </c>
      <c r="I53" s="24"/>
      <c r="J53" s="5"/>
    </row>
    <row r="54" spans="1:10" ht="12.95" customHeight="1">
      <c r="A54" s="18" t="s">
        <v>2734</v>
      </c>
      <c r="B54" s="19" t="s">
        <v>2735</v>
      </c>
      <c r="C54" s="15" t="s">
        <v>2736</v>
      </c>
      <c r="D54" s="15" t="s">
        <v>683</v>
      </c>
      <c r="E54" s="20">
        <v>140</v>
      </c>
      <c r="F54" s="21">
        <v>694.96979999999996</v>
      </c>
      <c r="G54" s="22">
        <v>1.34E-2</v>
      </c>
      <c r="H54" s="23">
        <v>7.1401999999999993E-2</v>
      </c>
      <c r="I54" s="24"/>
      <c r="J54" s="5"/>
    </row>
    <row r="55" spans="1:10" ht="12.95" customHeight="1">
      <c r="A55" s="5"/>
      <c r="B55" s="14" t="s">
        <v>160</v>
      </c>
      <c r="C55" s="15"/>
      <c r="D55" s="15"/>
      <c r="E55" s="15"/>
      <c r="F55" s="25">
        <v>3162.4522999999999</v>
      </c>
      <c r="G55" s="26">
        <v>6.0900000000000003E-2</v>
      </c>
      <c r="H55" s="27"/>
      <c r="I55" s="28"/>
      <c r="J55" s="5"/>
    </row>
    <row r="56" spans="1:10" ht="12.95" customHeight="1">
      <c r="A56" s="5"/>
      <c r="B56" s="29" t="s">
        <v>163</v>
      </c>
      <c r="C56" s="30"/>
      <c r="D56" s="2"/>
      <c r="E56" s="30"/>
      <c r="F56" s="25">
        <v>3162.4522999999999</v>
      </c>
      <c r="G56" s="26">
        <v>6.0900000000000003E-2</v>
      </c>
      <c r="H56" s="27"/>
      <c r="I56" s="28"/>
      <c r="J56" s="5"/>
    </row>
    <row r="57" spans="1:10" ht="12.95" customHeight="1">
      <c r="A57" s="5"/>
      <c r="B57" s="14" t="s">
        <v>164</v>
      </c>
      <c r="C57" s="15"/>
      <c r="D57" s="15"/>
      <c r="E57" s="15"/>
      <c r="F57" s="15"/>
      <c r="G57" s="15"/>
      <c r="H57" s="16"/>
      <c r="I57" s="17"/>
      <c r="J57" s="5"/>
    </row>
    <row r="58" spans="1:10" ht="12.95" customHeight="1">
      <c r="A58" s="18" t="s">
        <v>165</v>
      </c>
      <c r="B58" s="19" t="s">
        <v>166</v>
      </c>
      <c r="C58" s="15"/>
      <c r="D58" s="15"/>
      <c r="E58" s="20"/>
      <c r="F58" s="21">
        <v>2248.3823000000002</v>
      </c>
      <c r="G58" s="22">
        <v>4.3299999999999998E-2</v>
      </c>
      <c r="H58" s="23">
        <v>6.7996826035307711E-2</v>
      </c>
      <c r="I58" s="24"/>
      <c r="J58" s="5"/>
    </row>
    <row r="59" spans="1:10" ht="12.95" customHeight="1">
      <c r="A59" s="5"/>
      <c r="B59" s="14" t="s">
        <v>160</v>
      </c>
      <c r="C59" s="15"/>
      <c r="D59" s="15"/>
      <c r="E59" s="15"/>
      <c r="F59" s="25">
        <v>2248.3823000000002</v>
      </c>
      <c r="G59" s="26">
        <v>4.3299999999999998E-2</v>
      </c>
      <c r="H59" s="27"/>
      <c r="I59" s="28"/>
      <c r="J59" s="5"/>
    </row>
    <row r="60" spans="1:10" ht="12.95" customHeight="1">
      <c r="A60" s="5"/>
      <c r="B60" s="29" t="s">
        <v>163</v>
      </c>
      <c r="C60" s="30"/>
      <c r="D60" s="2"/>
      <c r="E60" s="30"/>
      <c r="F60" s="25">
        <v>2248.3823000000002</v>
      </c>
      <c r="G60" s="26">
        <v>4.3299999999999998E-2</v>
      </c>
      <c r="H60" s="27"/>
      <c r="I60" s="28"/>
      <c r="J60" s="5"/>
    </row>
    <row r="61" spans="1:10" ht="12.95" customHeight="1">
      <c r="A61" s="5"/>
      <c r="B61" s="29" t="s">
        <v>167</v>
      </c>
      <c r="C61" s="15"/>
      <c r="D61" s="2"/>
      <c r="E61" s="15"/>
      <c r="F61" s="31">
        <v>1071.1656</v>
      </c>
      <c r="G61" s="26">
        <v>2.07E-2</v>
      </c>
      <c r="H61" s="27"/>
      <c r="I61" s="28"/>
      <c r="J61" s="5"/>
    </row>
    <row r="62" spans="1:10" ht="12.95" customHeight="1">
      <c r="A62" s="5"/>
      <c r="B62" s="32" t="s">
        <v>168</v>
      </c>
      <c r="C62" s="33"/>
      <c r="D62" s="33"/>
      <c r="E62" s="33"/>
      <c r="F62" s="34">
        <v>51913.34</v>
      </c>
      <c r="G62" s="35">
        <v>1</v>
      </c>
      <c r="H62" s="36"/>
      <c r="I62" s="37"/>
      <c r="J62" s="5"/>
    </row>
    <row r="63" spans="1:10" ht="12.95" customHeight="1">
      <c r="A63" s="5"/>
      <c r="B63" s="7"/>
      <c r="C63" s="5"/>
      <c r="D63" s="5"/>
      <c r="E63" s="5"/>
      <c r="F63" s="5"/>
      <c r="G63" s="5"/>
      <c r="H63" s="5"/>
      <c r="I63" s="5"/>
      <c r="J63" s="5"/>
    </row>
    <row r="64" spans="1:10" ht="12.95" customHeight="1">
      <c r="A64" s="5"/>
      <c r="B64" s="4" t="s">
        <v>2704</v>
      </c>
      <c r="C64" s="5"/>
      <c r="D64" s="5"/>
      <c r="E64" s="5"/>
      <c r="F64" s="5"/>
      <c r="G64" s="5"/>
      <c r="H64" s="5"/>
      <c r="I64" s="5"/>
      <c r="J64" s="5"/>
    </row>
    <row r="65" spans="1:10" ht="12.95" customHeight="1">
      <c r="A65" s="5"/>
      <c r="B65" s="4" t="s">
        <v>207</v>
      </c>
      <c r="C65" s="5"/>
      <c r="D65" s="5"/>
      <c r="E65" s="5"/>
      <c r="F65" s="5"/>
      <c r="G65" s="5"/>
      <c r="H65" s="5"/>
      <c r="I65" s="5"/>
      <c r="J65" s="5"/>
    </row>
    <row r="66" spans="1:10" ht="12.95" customHeight="1">
      <c r="A66" s="5"/>
      <c r="B66" s="4" t="s">
        <v>170</v>
      </c>
      <c r="C66" s="5"/>
      <c r="D66" s="5"/>
      <c r="E66" s="5"/>
      <c r="F66" s="5"/>
      <c r="G66" s="5"/>
      <c r="H66" s="5"/>
      <c r="I66" s="5"/>
      <c r="J66" s="5"/>
    </row>
    <row r="67" spans="1:10" ht="26.1" customHeight="1">
      <c r="A67" s="5"/>
      <c r="B67" s="86" t="s">
        <v>171</v>
      </c>
      <c r="C67" s="86"/>
      <c r="D67" s="86"/>
      <c r="E67" s="86"/>
      <c r="F67" s="86"/>
      <c r="G67" s="86"/>
      <c r="H67" s="86"/>
      <c r="I67" s="86"/>
      <c r="J67" s="5"/>
    </row>
    <row r="68" spans="1:10" ht="12.95" customHeight="1">
      <c r="A68" s="5"/>
      <c r="B68" s="86"/>
      <c r="C68" s="86"/>
      <c r="D68" s="86"/>
      <c r="E68" s="86"/>
      <c r="F68" s="86"/>
      <c r="G68" s="86"/>
      <c r="H68" s="86"/>
      <c r="I68" s="86"/>
      <c r="J68" s="5"/>
    </row>
    <row r="69" spans="1:10" ht="12.95" customHeight="1">
      <c r="A69" s="5"/>
      <c r="B69" s="89" t="s">
        <v>2737</v>
      </c>
      <c r="C69" s="89"/>
      <c r="D69" s="89"/>
      <c r="E69" s="89"/>
      <c r="F69" s="5"/>
      <c r="G69" s="5"/>
      <c r="H69" s="5"/>
      <c r="I69" s="5"/>
      <c r="J69" s="5"/>
    </row>
    <row r="70" spans="1:10" ht="12.95" customHeight="1">
      <c r="A70" s="5"/>
      <c r="B70" s="86"/>
      <c r="C70" s="86"/>
      <c r="D70" s="86"/>
      <c r="E70" s="86"/>
      <c r="F70" s="86"/>
      <c r="G70" s="86"/>
      <c r="H70" s="86"/>
      <c r="I70" s="86"/>
      <c r="J70" s="5"/>
    </row>
    <row r="71" spans="1:10" ht="12.95" customHeight="1">
      <c r="A71" s="5"/>
      <c r="B71" s="5"/>
      <c r="C71" s="87" t="s">
        <v>2738</v>
      </c>
      <c r="D71" s="87"/>
      <c r="E71" s="87"/>
      <c r="F71" s="87"/>
      <c r="G71" s="5"/>
      <c r="H71" s="5"/>
      <c r="I71" s="5"/>
      <c r="J71" s="5"/>
    </row>
    <row r="72" spans="1:10" ht="12.95" customHeight="1">
      <c r="A72" s="5"/>
      <c r="B72" s="38" t="s">
        <v>173</v>
      </c>
      <c r="C72" s="87" t="s">
        <v>174</v>
      </c>
      <c r="D72" s="87"/>
      <c r="E72" s="87"/>
      <c r="F72" s="87"/>
      <c r="G72" s="5"/>
      <c r="H72" s="5"/>
      <c r="I72" s="5"/>
      <c r="J72" s="5"/>
    </row>
    <row r="73" spans="1:10" ht="120.95" customHeight="1">
      <c r="A73" s="5"/>
      <c r="B73" s="39"/>
      <c r="C73" s="85"/>
      <c r="D73" s="85"/>
      <c r="E73" s="5"/>
      <c r="F73" s="5"/>
      <c r="G73" s="5"/>
      <c r="H73" s="5"/>
      <c r="I73" s="5"/>
      <c r="J73" s="5"/>
    </row>
  </sheetData>
  <mergeCells count="7">
    <mergeCell ref="C72:F72"/>
    <mergeCell ref="C73:D73"/>
    <mergeCell ref="B67:I67"/>
    <mergeCell ref="B68:I68"/>
    <mergeCell ref="B69:E69"/>
    <mergeCell ref="B70:I70"/>
    <mergeCell ref="C71:F71"/>
  </mergeCells>
  <hyperlinks>
    <hyperlink ref="A1" location="AxisCreditRiskFund" display="AXISIOF" xr:uid="{00000000-0004-0000-2200-000000000000}"/>
    <hyperlink ref="B1" location="AxisCreditRiskFund" display="Axis Credit Risk Fund" xr:uid="{00000000-0004-0000-2200-000001000000}"/>
  </hyperlinks>
  <pageMargins left="0" right="0" top="0" bottom="0" header="0" footer="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/>
  </sheetPr>
  <dimension ref="A1:J10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72</v>
      </c>
      <c r="B1" s="4" t="s">
        <v>73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11147</v>
      </c>
      <c r="F7" s="21">
        <v>870.66430000000003</v>
      </c>
      <c r="G7" s="22">
        <v>2.01E-2</v>
      </c>
      <c r="H7" s="40"/>
      <c r="I7" s="24"/>
      <c r="J7" s="5"/>
    </row>
    <row r="8" spans="1:10" ht="12.95" customHeight="1">
      <c r="A8" s="18" t="s">
        <v>282</v>
      </c>
      <c r="B8" s="19" t="s">
        <v>283</v>
      </c>
      <c r="C8" s="15" t="s">
        <v>284</v>
      </c>
      <c r="D8" s="15" t="s">
        <v>271</v>
      </c>
      <c r="E8" s="20">
        <v>50848</v>
      </c>
      <c r="F8" s="21">
        <v>776.09299999999996</v>
      </c>
      <c r="G8" s="22">
        <v>1.7899999999999999E-2</v>
      </c>
      <c r="H8" s="40"/>
      <c r="I8" s="24"/>
      <c r="J8" s="5"/>
    </row>
    <row r="9" spans="1:10" ht="12.95" customHeight="1">
      <c r="A9" s="18" t="s">
        <v>260</v>
      </c>
      <c r="B9" s="19" t="s">
        <v>261</v>
      </c>
      <c r="C9" s="15" t="s">
        <v>262</v>
      </c>
      <c r="D9" s="15" t="s">
        <v>263</v>
      </c>
      <c r="E9" s="20">
        <v>20476</v>
      </c>
      <c r="F9" s="21">
        <v>722.51610000000005</v>
      </c>
      <c r="G9" s="22">
        <v>1.66E-2</v>
      </c>
      <c r="H9" s="40"/>
      <c r="I9" s="24"/>
      <c r="J9" s="5"/>
    </row>
    <row r="10" spans="1:10" ht="12.95" customHeight="1">
      <c r="A10" s="18" t="s">
        <v>268</v>
      </c>
      <c r="B10" s="19" t="s">
        <v>269</v>
      </c>
      <c r="C10" s="15" t="s">
        <v>270</v>
      </c>
      <c r="D10" s="15" t="s">
        <v>271</v>
      </c>
      <c r="E10" s="20">
        <v>69932</v>
      </c>
      <c r="F10" s="21">
        <v>665.68269999999995</v>
      </c>
      <c r="G10" s="22">
        <v>1.5299999999999999E-2</v>
      </c>
      <c r="H10" s="40"/>
      <c r="I10" s="24"/>
      <c r="J10" s="5"/>
    </row>
    <row r="11" spans="1:10" ht="12.95" customHeight="1">
      <c r="A11" s="18" t="s">
        <v>285</v>
      </c>
      <c r="B11" s="19" t="s">
        <v>286</v>
      </c>
      <c r="C11" s="15" t="s">
        <v>287</v>
      </c>
      <c r="D11" s="15" t="s">
        <v>263</v>
      </c>
      <c r="E11" s="20">
        <v>43112</v>
      </c>
      <c r="F11" s="21">
        <v>618.85119999999995</v>
      </c>
      <c r="G11" s="22">
        <v>1.43E-2</v>
      </c>
      <c r="H11" s="40"/>
      <c r="I11" s="24"/>
      <c r="J11" s="5"/>
    </row>
    <row r="12" spans="1:10" ht="12.95" customHeight="1">
      <c r="A12" s="18" t="s">
        <v>766</v>
      </c>
      <c r="B12" s="19" t="s">
        <v>767</v>
      </c>
      <c r="C12" s="15" t="s">
        <v>768</v>
      </c>
      <c r="D12" s="15" t="s">
        <v>403</v>
      </c>
      <c r="E12" s="20">
        <v>16039</v>
      </c>
      <c r="F12" s="21">
        <v>589.52949999999998</v>
      </c>
      <c r="G12" s="22">
        <v>1.3599999999999999E-2</v>
      </c>
      <c r="H12" s="40"/>
      <c r="I12" s="24"/>
      <c r="J12" s="5"/>
    </row>
    <row r="13" spans="1:10" ht="12.95" customHeight="1">
      <c r="A13" s="18" t="s">
        <v>248</v>
      </c>
      <c r="B13" s="19" t="s">
        <v>249</v>
      </c>
      <c r="C13" s="15" t="s">
        <v>250</v>
      </c>
      <c r="D13" s="15" t="s">
        <v>251</v>
      </c>
      <c r="E13" s="20">
        <v>22638</v>
      </c>
      <c r="F13" s="21">
        <v>530.86109999999996</v>
      </c>
      <c r="G13" s="22">
        <v>1.2200000000000001E-2</v>
      </c>
      <c r="H13" s="40"/>
      <c r="I13" s="24"/>
      <c r="J13" s="5"/>
    </row>
    <row r="14" spans="1:10" ht="12.95" customHeight="1">
      <c r="A14" s="18" t="s">
        <v>690</v>
      </c>
      <c r="B14" s="19" t="s">
        <v>691</v>
      </c>
      <c r="C14" s="15" t="s">
        <v>692</v>
      </c>
      <c r="D14" s="15" t="s">
        <v>271</v>
      </c>
      <c r="E14" s="20">
        <v>22409</v>
      </c>
      <c r="F14" s="21">
        <v>388.95299999999997</v>
      </c>
      <c r="G14" s="22">
        <v>8.9999999999999993E-3</v>
      </c>
      <c r="H14" s="40"/>
      <c r="I14" s="24"/>
      <c r="J14" s="5"/>
    </row>
    <row r="15" spans="1:10" ht="12.95" customHeight="1">
      <c r="A15" s="18" t="s">
        <v>829</v>
      </c>
      <c r="B15" s="19" t="s">
        <v>830</v>
      </c>
      <c r="C15" s="15" t="s">
        <v>831</v>
      </c>
      <c r="D15" s="15" t="s">
        <v>832</v>
      </c>
      <c r="E15" s="20">
        <v>10224</v>
      </c>
      <c r="F15" s="21">
        <v>353.03469999999999</v>
      </c>
      <c r="G15" s="22">
        <v>8.0999999999999996E-3</v>
      </c>
      <c r="H15" s="40"/>
      <c r="I15" s="24"/>
      <c r="J15" s="5"/>
    </row>
    <row r="16" spans="1:10" ht="12.95" customHeight="1">
      <c r="A16" s="18" t="s">
        <v>730</v>
      </c>
      <c r="B16" s="19" t="s">
        <v>731</v>
      </c>
      <c r="C16" s="15" t="s">
        <v>732</v>
      </c>
      <c r="D16" s="15" t="s">
        <v>281</v>
      </c>
      <c r="E16" s="20">
        <v>16000</v>
      </c>
      <c r="F16" s="21">
        <v>248.68</v>
      </c>
      <c r="G16" s="22">
        <v>5.7000000000000002E-3</v>
      </c>
      <c r="H16" s="40"/>
      <c r="I16" s="24"/>
      <c r="J16" s="5"/>
    </row>
    <row r="17" spans="1:10" ht="12.95" customHeight="1">
      <c r="A17" s="18" t="s">
        <v>400</v>
      </c>
      <c r="B17" s="19" t="s">
        <v>401</v>
      </c>
      <c r="C17" s="15" t="s">
        <v>402</v>
      </c>
      <c r="D17" s="15" t="s">
        <v>403</v>
      </c>
      <c r="E17" s="20">
        <v>17000</v>
      </c>
      <c r="F17" s="21">
        <v>227.55350000000001</v>
      </c>
      <c r="G17" s="22">
        <v>5.1999999999999998E-3</v>
      </c>
      <c r="H17" s="40"/>
      <c r="I17" s="24"/>
      <c r="J17" s="5"/>
    </row>
    <row r="18" spans="1:10" ht="12.95" customHeight="1">
      <c r="A18" s="18" t="s">
        <v>749</v>
      </c>
      <c r="B18" s="19" t="s">
        <v>750</v>
      </c>
      <c r="C18" s="15" t="s">
        <v>751</v>
      </c>
      <c r="D18" s="15" t="s">
        <v>255</v>
      </c>
      <c r="E18" s="20">
        <v>14240</v>
      </c>
      <c r="F18" s="21">
        <v>219.33160000000001</v>
      </c>
      <c r="G18" s="22">
        <v>5.1000000000000004E-3</v>
      </c>
      <c r="H18" s="40"/>
      <c r="I18" s="24"/>
      <c r="J18" s="5"/>
    </row>
    <row r="19" spans="1:10" ht="12.95" customHeight="1">
      <c r="A19" s="18" t="s">
        <v>353</v>
      </c>
      <c r="B19" s="19" t="s">
        <v>354</v>
      </c>
      <c r="C19" s="15" t="s">
        <v>355</v>
      </c>
      <c r="D19" s="15" t="s">
        <v>267</v>
      </c>
      <c r="E19" s="20">
        <v>841</v>
      </c>
      <c r="F19" s="21">
        <v>214.16069999999999</v>
      </c>
      <c r="G19" s="22">
        <v>4.8999999999999998E-3</v>
      </c>
      <c r="H19" s="40"/>
      <c r="I19" s="24"/>
      <c r="J19" s="5"/>
    </row>
    <row r="20" spans="1:10" ht="12.95" customHeight="1">
      <c r="A20" s="18" t="s">
        <v>836</v>
      </c>
      <c r="B20" s="19" t="s">
        <v>837</v>
      </c>
      <c r="C20" s="15" t="s">
        <v>838</v>
      </c>
      <c r="D20" s="15" t="s">
        <v>314</v>
      </c>
      <c r="E20" s="20">
        <v>11514</v>
      </c>
      <c r="F20" s="21">
        <v>202.45070000000001</v>
      </c>
      <c r="G20" s="22">
        <v>4.7000000000000002E-3</v>
      </c>
      <c r="H20" s="40"/>
      <c r="I20" s="24"/>
      <c r="J20" s="5"/>
    </row>
    <row r="21" spans="1:10" ht="12.95" customHeight="1">
      <c r="A21" s="18" t="s">
        <v>848</v>
      </c>
      <c r="B21" s="19" t="s">
        <v>849</v>
      </c>
      <c r="C21" s="15" t="s">
        <v>850</v>
      </c>
      <c r="D21" s="15" t="s">
        <v>255</v>
      </c>
      <c r="E21" s="20">
        <v>16500</v>
      </c>
      <c r="F21" s="21">
        <v>200.89580000000001</v>
      </c>
      <c r="G21" s="22">
        <v>4.5999999999999999E-3</v>
      </c>
      <c r="H21" s="40"/>
      <c r="I21" s="24"/>
      <c r="J21" s="5"/>
    </row>
    <row r="22" spans="1:10" ht="12.95" customHeight="1">
      <c r="A22" s="18" t="s">
        <v>2167</v>
      </c>
      <c r="B22" s="19" t="s">
        <v>2168</v>
      </c>
      <c r="C22" s="15" t="s">
        <v>2169</v>
      </c>
      <c r="D22" s="15" t="s">
        <v>745</v>
      </c>
      <c r="E22" s="20">
        <v>5500</v>
      </c>
      <c r="F22" s="21">
        <v>198.3245</v>
      </c>
      <c r="G22" s="22">
        <v>4.5999999999999999E-3</v>
      </c>
      <c r="H22" s="40"/>
      <c r="I22" s="24"/>
      <c r="J22" s="5"/>
    </row>
    <row r="23" spans="1:10" ht="12.95" customHeight="1">
      <c r="A23" s="18" t="s">
        <v>842</v>
      </c>
      <c r="B23" s="19" t="s">
        <v>843</v>
      </c>
      <c r="C23" s="15" t="s">
        <v>844</v>
      </c>
      <c r="D23" s="15" t="s">
        <v>259</v>
      </c>
      <c r="E23" s="20">
        <v>20000</v>
      </c>
      <c r="F23" s="21">
        <v>188.42</v>
      </c>
      <c r="G23" s="22">
        <v>4.3E-3</v>
      </c>
      <c r="H23" s="40"/>
      <c r="I23" s="24"/>
      <c r="J23" s="5"/>
    </row>
    <row r="24" spans="1:10" ht="12.95" customHeight="1">
      <c r="A24" s="18" t="s">
        <v>2186</v>
      </c>
      <c r="B24" s="19" t="s">
        <v>2187</v>
      </c>
      <c r="C24" s="15" t="s">
        <v>2188</v>
      </c>
      <c r="D24" s="15" t="s">
        <v>314</v>
      </c>
      <c r="E24" s="20">
        <v>5000</v>
      </c>
      <c r="F24" s="21">
        <v>188.33500000000001</v>
      </c>
      <c r="G24" s="22">
        <v>4.3E-3</v>
      </c>
      <c r="H24" s="40"/>
      <c r="I24" s="24"/>
      <c r="J24" s="5"/>
    </row>
    <row r="25" spans="1:10" ht="12.95" customHeight="1">
      <c r="A25" s="18" t="s">
        <v>860</v>
      </c>
      <c r="B25" s="19" t="s">
        <v>861</v>
      </c>
      <c r="C25" s="15" t="s">
        <v>862</v>
      </c>
      <c r="D25" s="15" t="s">
        <v>259</v>
      </c>
      <c r="E25" s="20">
        <v>278936</v>
      </c>
      <c r="F25" s="21">
        <v>179.77430000000001</v>
      </c>
      <c r="G25" s="22">
        <v>4.1000000000000003E-3</v>
      </c>
      <c r="H25" s="40"/>
      <c r="I25" s="24"/>
      <c r="J25" s="5"/>
    </row>
    <row r="26" spans="1:10" ht="12.95" customHeight="1">
      <c r="A26" s="18" t="s">
        <v>2739</v>
      </c>
      <c r="B26" s="19" t="s">
        <v>2740</v>
      </c>
      <c r="C26" s="15" t="s">
        <v>2741</v>
      </c>
      <c r="D26" s="15" t="s">
        <v>295</v>
      </c>
      <c r="E26" s="20">
        <v>3474</v>
      </c>
      <c r="F26" s="21">
        <v>177.577</v>
      </c>
      <c r="G26" s="22">
        <v>4.1000000000000003E-3</v>
      </c>
      <c r="H26" s="40"/>
      <c r="I26" s="24"/>
      <c r="J26" s="5"/>
    </row>
    <row r="27" spans="1:10" ht="12.95" customHeight="1">
      <c r="A27" s="18" t="s">
        <v>719</v>
      </c>
      <c r="B27" s="19" t="s">
        <v>720</v>
      </c>
      <c r="C27" s="15" t="s">
        <v>721</v>
      </c>
      <c r="D27" s="15" t="s">
        <v>722</v>
      </c>
      <c r="E27" s="20">
        <v>5835</v>
      </c>
      <c r="F27" s="21">
        <v>176.42410000000001</v>
      </c>
      <c r="G27" s="22">
        <v>4.1000000000000003E-3</v>
      </c>
      <c r="H27" s="40"/>
      <c r="I27" s="24"/>
      <c r="J27" s="5"/>
    </row>
    <row r="28" spans="1:10" ht="12.95" customHeight="1">
      <c r="A28" s="18" t="s">
        <v>278</v>
      </c>
      <c r="B28" s="19" t="s">
        <v>279</v>
      </c>
      <c r="C28" s="15" t="s">
        <v>280</v>
      </c>
      <c r="D28" s="15" t="s">
        <v>281</v>
      </c>
      <c r="E28" s="20">
        <v>27000</v>
      </c>
      <c r="F28" s="21">
        <v>170.154</v>
      </c>
      <c r="G28" s="22">
        <v>3.8999999999999998E-3</v>
      </c>
      <c r="H28" s="40"/>
      <c r="I28" s="24"/>
      <c r="J28" s="5"/>
    </row>
    <row r="29" spans="1:10" ht="12.95" customHeight="1">
      <c r="A29" s="18" t="s">
        <v>752</v>
      </c>
      <c r="B29" s="19" t="s">
        <v>753</v>
      </c>
      <c r="C29" s="15" t="s">
        <v>754</v>
      </c>
      <c r="D29" s="15" t="s">
        <v>755</v>
      </c>
      <c r="E29" s="20">
        <v>717</v>
      </c>
      <c r="F29" s="21">
        <v>161.37450000000001</v>
      </c>
      <c r="G29" s="22">
        <v>3.7000000000000002E-3</v>
      </c>
      <c r="H29" s="40"/>
      <c r="I29" s="24"/>
      <c r="J29" s="5"/>
    </row>
    <row r="30" spans="1:10" ht="12.95" customHeight="1">
      <c r="A30" s="18" t="s">
        <v>851</v>
      </c>
      <c r="B30" s="19" t="s">
        <v>852</v>
      </c>
      <c r="C30" s="15" t="s">
        <v>853</v>
      </c>
      <c r="D30" s="15" t="s">
        <v>259</v>
      </c>
      <c r="E30" s="20">
        <v>26578</v>
      </c>
      <c r="F30" s="21">
        <v>159.3218</v>
      </c>
      <c r="G30" s="22">
        <v>3.7000000000000002E-3</v>
      </c>
      <c r="H30" s="40"/>
      <c r="I30" s="24"/>
      <c r="J30" s="5"/>
    </row>
    <row r="31" spans="1:10" ht="12.95" customHeight="1">
      <c r="A31" s="18" t="s">
        <v>854</v>
      </c>
      <c r="B31" s="19" t="s">
        <v>855</v>
      </c>
      <c r="C31" s="15" t="s">
        <v>856</v>
      </c>
      <c r="D31" s="15" t="s">
        <v>314</v>
      </c>
      <c r="E31" s="20">
        <v>11013</v>
      </c>
      <c r="F31" s="21">
        <v>155.20070000000001</v>
      </c>
      <c r="G31" s="22">
        <v>3.5999999999999999E-3</v>
      </c>
      <c r="H31" s="40"/>
      <c r="I31" s="24"/>
      <c r="J31" s="5"/>
    </row>
    <row r="32" spans="1:10" ht="12.95" customHeight="1">
      <c r="A32" s="18" t="s">
        <v>742</v>
      </c>
      <c r="B32" s="19" t="s">
        <v>743</v>
      </c>
      <c r="C32" s="15" t="s">
        <v>744</v>
      </c>
      <c r="D32" s="15" t="s">
        <v>745</v>
      </c>
      <c r="E32" s="20">
        <v>13000</v>
      </c>
      <c r="F32" s="21">
        <v>150.62450000000001</v>
      </c>
      <c r="G32" s="22">
        <v>3.5000000000000001E-3</v>
      </c>
      <c r="H32" s="40"/>
      <c r="I32" s="24"/>
      <c r="J32" s="5"/>
    </row>
    <row r="33" spans="1:10" ht="12.95" customHeight="1">
      <c r="A33" s="18" t="s">
        <v>2264</v>
      </c>
      <c r="B33" s="19" t="s">
        <v>2265</v>
      </c>
      <c r="C33" s="15" t="s">
        <v>2266</v>
      </c>
      <c r="D33" s="15" t="s">
        <v>778</v>
      </c>
      <c r="E33" s="20">
        <v>14277</v>
      </c>
      <c r="F33" s="21">
        <v>146.8175</v>
      </c>
      <c r="G33" s="22">
        <v>3.3999999999999998E-3</v>
      </c>
      <c r="H33" s="40"/>
      <c r="I33" s="24"/>
      <c r="J33" s="5"/>
    </row>
    <row r="34" spans="1:10" ht="12.95" customHeight="1">
      <c r="A34" s="18" t="s">
        <v>887</v>
      </c>
      <c r="B34" s="19" t="s">
        <v>888</v>
      </c>
      <c r="C34" s="15" t="s">
        <v>889</v>
      </c>
      <c r="D34" s="15" t="s">
        <v>890</v>
      </c>
      <c r="E34" s="20">
        <v>25000</v>
      </c>
      <c r="F34" s="21">
        <v>141.55000000000001</v>
      </c>
      <c r="G34" s="22">
        <v>3.3E-3</v>
      </c>
      <c r="H34" s="40"/>
      <c r="I34" s="24"/>
      <c r="J34" s="5"/>
    </row>
    <row r="35" spans="1:10" ht="12.95" customHeight="1">
      <c r="A35" s="18" t="s">
        <v>833</v>
      </c>
      <c r="B35" s="19" t="s">
        <v>834</v>
      </c>
      <c r="C35" s="15" t="s">
        <v>835</v>
      </c>
      <c r="D35" s="15" t="s">
        <v>306</v>
      </c>
      <c r="E35" s="20">
        <v>5560</v>
      </c>
      <c r="F35" s="21">
        <v>141.09059999999999</v>
      </c>
      <c r="G35" s="22">
        <v>3.2000000000000002E-3</v>
      </c>
      <c r="H35" s="40"/>
      <c r="I35" s="24"/>
      <c r="J35" s="5"/>
    </row>
    <row r="36" spans="1:10" ht="12.95" customHeight="1">
      <c r="A36" s="18" t="s">
        <v>891</v>
      </c>
      <c r="B36" s="19" t="s">
        <v>892</v>
      </c>
      <c r="C36" s="15" t="s">
        <v>893</v>
      </c>
      <c r="D36" s="15" t="s">
        <v>255</v>
      </c>
      <c r="E36" s="20">
        <v>4466</v>
      </c>
      <c r="F36" s="21">
        <v>137.14859999999999</v>
      </c>
      <c r="G36" s="22">
        <v>3.2000000000000002E-3</v>
      </c>
      <c r="H36" s="40"/>
      <c r="I36" s="24"/>
      <c r="J36" s="5"/>
    </row>
    <row r="37" spans="1:10" ht="12.95" customHeight="1">
      <c r="A37" s="18" t="s">
        <v>345</v>
      </c>
      <c r="B37" s="19" t="s">
        <v>346</v>
      </c>
      <c r="C37" s="15" t="s">
        <v>347</v>
      </c>
      <c r="D37" s="15" t="s">
        <v>348</v>
      </c>
      <c r="E37" s="20">
        <v>5500</v>
      </c>
      <c r="F37" s="21">
        <v>135.608</v>
      </c>
      <c r="G37" s="22">
        <v>3.0999999999999999E-3</v>
      </c>
      <c r="H37" s="40"/>
      <c r="I37" s="24"/>
      <c r="J37" s="5"/>
    </row>
    <row r="38" spans="1:10" ht="12.95" customHeight="1">
      <c r="A38" s="18" t="s">
        <v>2228</v>
      </c>
      <c r="B38" s="19" t="s">
        <v>2229</v>
      </c>
      <c r="C38" s="15" t="s">
        <v>2230</v>
      </c>
      <c r="D38" s="15" t="s">
        <v>890</v>
      </c>
      <c r="E38" s="20">
        <v>10000</v>
      </c>
      <c r="F38" s="21">
        <v>130.95500000000001</v>
      </c>
      <c r="G38" s="22">
        <v>3.0000000000000001E-3</v>
      </c>
      <c r="H38" s="40"/>
      <c r="I38" s="24"/>
      <c r="J38" s="5"/>
    </row>
    <row r="39" spans="1:10" ht="12.95" customHeight="1">
      <c r="A39" s="18" t="s">
        <v>256</v>
      </c>
      <c r="B39" s="19" t="s">
        <v>257</v>
      </c>
      <c r="C39" s="15" t="s">
        <v>258</v>
      </c>
      <c r="D39" s="15" t="s">
        <v>259</v>
      </c>
      <c r="E39" s="20">
        <v>22000</v>
      </c>
      <c r="F39" s="21">
        <v>128.34800000000001</v>
      </c>
      <c r="G39" s="22">
        <v>3.0000000000000001E-3</v>
      </c>
      <c r="H39" s="40"/>
      <c r="I39" s="24"/>
      <c r="J39" s="5"/>
    </row>
    <row r="40" spans="1:10" ht="12.95" customHeight="1">
      <c r="A40" s="18" t="s">
        <v>869</v>
      </c>
      <c r="B40" s="19" t="s">
        <v>870</v>
      </c>
      <c r="C40" s="15" t="s">
        <v>871</v>
      </c>
      <c r="D40" s="15" t="s">
        <v>832</v>
      </c>
      <c r="E40" s="20">
        <v>29187</v>
      </c>
      <c r="F40" s="21">
        <v>123.2859</v>
      </c>
      <c r="G40" s="22">
        <v>2.8E-3</v>
      </c>
      <c r="H40" s="40"/>
      <c r="I40" s="24"/>
      <c r="J40" s="5"/>
    </row>
    <row r="41" spans="1:10" ht="12.95" customHeight="1">
      <c r="A41" s="18" t="s">
        <v>318</v>
      </c>
      <c r="B41" s="19" t="s">
        <v>319</v>
      </c>
      <c r="C41" s="15" t="s">
        <v>320</v>
      </c>
      <c r="D41" s="15" t="s">
        <v>263</v>
      </c>
      <c r="E41" s="20">
        <v>2342</v>
      </c>
      <c r="F41" s="21">
        <v>122.0147</v>
      </c>
      <c r="G41" s="22">
        <v>2.8E-3</v>
      </c>
      <c r="H41" s="40"/>
      <c r="I41" s="24"/>
      <c r="J41" s="5"/>
    </row>
    <row r="42" spans="1:10" ht="12.95" customHeight="1">
      <c r="A42" s="18" t="s">
        <v>866</v>
      </c>
      <c r="B42" s="19" t="s">
        <v>867</v>
      </c>
      <c r="C42" s="15" t="s">
        <v>868</v>
      </c>
      <c r="D42" s="15" t="s">
        <v>403</v>
      </c>
      <c r="E42" s="20">
        <v>100000</v>
      </c>
      <c r="F42" s="21">
        <v>101.5</v>
      </c>
      <c r="G42" s="22">
        <v>2.3E-3</v>
      </c>
      <c r="H42" s="40"/>
      <c r="I42" s="24"/>
      <c r="J42" s="5"/>
    </row>
    <row r="43" spans="1:10" ht="12.95" customHeight="1">
      <c r="A43" s="18" t="s">
        <v>331</v>
      </c>
      <c r="B43" s="19" t="s">
        <v>332</v>
      </c>
      <c r="C43" s="15" t="s">
        <v>333</v>
      </c>
      <c r="D43" s="15" t="s">
        <v>334</v>
      </c>
      <c r="E43" s="20">
        <v>14850</v>
      </c>
      <c r="F43" s="21">
        <v>84.325699999999998</v>
      </c>
      <c r="G43" s="22">
        <v>1.9E-3</v>
      </c>
      <c r="H43" s="40"/>
      <c r="I43" s="24"/>
      <c r="J43" s="5"/>
    </row>
    <row r="44" spans="1:10" ht="12.95" customHeight="1">
      <c r="A44" s="18" t="s">
        <v>845</v>
      </c>
      <c r="B44" s="19" t="s">
        <v>846</v>
      </c>
      <c r="C44" s="15" t="s">
        <v>847</v>
      </c>
      <c r="D44" s="15" t="s">
        <v>778</v>
      </c>
      <c r="E44" s="20">
        <v>21442</v>
      </c>
      <c r="F44" s="21">
        <v>72.892099999999999</v>
      </c>
      <c r="G44" s="22">
        <v>1.6999999999999999E-3</v>
      </c>
      <c r="H44" s="40"/>
      <c r="I44" s="24"/>
      <c r="J44" s="5"/>
    </row>
    <row r="45" spans="1:10" ht="12.95" customHeight="1">
      <c r="A45" s="18" t="s">
        <v>359</v>
      </c>
      <c r="B45" s="19" t="s">
        <v>360</v>
      </c>
      <c r="C45" s="15" t="s">
        <v>361</v>
      </c>
      <c r="D45" s="15" t="s">
        <v>255</v>
      </c>
      <c r="E45" s="20">
        <v>22638</v>
      </c>
      <c r="F45" s="21">
        <v>52.339100000000002</v>
      </c>
      <c r="G45" s="22">
        <v>1.1999999999999999E-3</v>
      </c>
      <c r="H45" s="40"/>
      <c r="I45" s="24"/>
      <c r="J45" s="5"/>
    </row>
    <row r="46" spans="1:10" ht="12.95" customHeight="1">
      <c r="A46" s="18" t="s">
        <v>1617</v>
      </c>
      <c r="B46" s="19" t="s">
        <v>1618</v>
      </c>
      <c r="C46" s="15" t="s">
        <v>1619</v>
      </c>
      <c r="D46" s="15" t="s">
        <v>745</v>
      </c>
      <c r="E46" s="20">
        <v>2217</v>
      </c>
      <c r="F46" s="21">
        <v>39.8018</v>
      </c>
      <c r="G46" s="22">
        <v>8.9999999999999998E-4</v>
      </c>
      <c r="H46" s="40"/>
      <c r="I46" s="24"/>
      <c r="J46" s="5"/>
    </row>
    <row r="47" spans="1:10" ht="12.95" customHeight="1">
      <c r="A47" s="18" t="s">
        <v>2176</v>
      </c>
      <c r="B47" s="19" t="s">
        <v>2177</v>
      </c>
      <c r="C47" s="15" t="s">
        <v>2178</v>
      </c>
      <c r="D47" s="15" t="s">
        <v>255</v>
      </c>
      <c r="E47" s="20">
        <v>3549</v>
      </c>
      <c r="F47" s="21">
        <v>2.9544999999999999</v>
      </c>
      <c r="G47" s="22">
        <v>1E-4</v>
      </c>
      <c r="H47" s="40"/>
      <c r="I47" s="24"/>
      <c r="J47" s="5"/>
    </row>
    <row r="48" spans="1:10" ht="12.95" customHeight="1">
      <c r="A48" s="18" t="s">
        <v>2179</v>
      </c>
      <c r="B48" s="19" t="s">
        <v>2180</v>
      </c>
      <c r="C48" s="15" t="s">
        <v>2181</v>
      </c>
      <c r="D48" s="15" t="s">
        <v>2182</v>
      </c>
      <c r="E48" s="20">
        <v>58</v>
      </c>
      <c r="F48" s="21">
        <v>1.5068999999999999</v>
      </c>
      <c r="G48" s="40" t="s">
        <v>675</v>
      </c>
      <c r="H48" s="40"/>
      <c r="I48" s="24"/>
      <c r="J48" s="5"/>
    </row>
    <row r="49" spans="1:10" ht="12.95" customHeight="1">
      <c r="A49" s="5"/>
      <c r="B49" s="14" t="s">
        <v>160</v>
      </c>
      <c r="C49" s="15"/>
      <c r="D49" s="15"/>
      <c r="E49" s="15"/>
      <c r="F49" s="25">
        <v>10296.926600000001</v>
      </c>
      <c r="G49" s="26">
        <v>0.23719999999999999</v>
      </c>
      <c r="H49" s="27"/>
      <c r="I49" s="28"/>
      <c r="J49" s="5"/>
    </row>
    <row r="50" spans="1:10" ht="12.95" customHeight="1">
      <c r="A50" s="5"/>
      <c r="B50" s="29" t="s">
        <v>408</v>
      </c>
      <c r="C50" s="2"/>
      <c r="D50" s="2"/>
      <c r="E50" s="2"/>
      <c r="F50" s="27" t="s">
        <v>162</v>
      </c>
      <c r="G50" s="27" t="s">
        <v>162</v>
      </c>
      <c r="H50" s="27"/>
      <c r="I50" s="28"/>
      <c r="J50" s="5"/>
    </row>
    <row r="51" spans="1:10" ht="12.95" customHeight="1">
      <c r="A51" s="5"/>
      <c r="B51" s="29" t="s">
        <v>160</v>
      </c>
      <c r="C51" s="2"/>
      <c r="D51" s="2"/>
      <c r="E51" s="2"/>
      <c r="F51" s="27" t="s">
        <v>162</v>
      </c>
      <c r="G51" s="27" t="s">
        <v>162</v>
      </c>
      <c r="H51" s="27"/>
      <c r="I51" s="28"/>
      <c r="J51" s="5"/>
    </row>
    <row r="52" spans="1:10" ht="12.95" customHeight="1">
      <c r="A52" s="5"/>
      <c r="B52" s="29" t="s">
        <v>163</v>
      </c>
      <c r="C52" s="30"/>
      <c r="D52" s="2"/>
      <c r="E52" s="30"/>
      <c r="F52" s="25">
        <v>10296.926600000001</v>
      </c>
      <c r="G52" s="26">
        <v>0.23719999999999999</v>
      </c>
      <c r="H52" s="27"/>
      <c r="I52" s="28"/>
      <c r="J52" s="5"/>
    </row>
    <row r="53" spans="1:10" ht="12.95" customHeight="1">
      <c r="A53" s="5"/>
      <c r="B53" s="14" t="s">
        <v>409</v>
      </c>
      <c r="C53" s="15"/>
      <c r="D53" s="15"/>
      <c r="E53" s="15"/>
      <c r="F53" s="15"/>
      <c r="G53" s="15"/>
      <c r="H53" s="16"/>
      <c r="I53" s="17"/>
      <c r="J53" s="5"/>
    </row>
    <row r="54" spans="1:10" ht="12.95" customHeight="1">
      <c r="A54" s="5"/>
      <c r="B54" s="14" t="s">
        <v>953</v>
      </c>
      <c r="C54" s="15"/>
      <c r="D54" s="15"/>
      <c r="E54" s="15"/>
      <c r="F54" s="5"/>
      <c r="G54" s="16"/>
      <c r="H54" s="16"/>
      <c r="I54" s="17"/>
      <c r="J54" s="5"/>
    </row>
    <row r="55" spans="1:10" ht="12.95" customHeight="1">
      <c r="A55" s="18" t="s">
        <v>2742</v>
      </c>
      <c r="B55" s="19" t="s">
        <v>2743</v>
      </c>
      <c r="C55" s="15"/>
      <c r="D55" s="15"/>
      <c r="E55" s="20"/>
      <c r="F55" s="21">
        <v>-16.437000000000001</v>
      </c>
      <c r="G55" s="22">
        <v>-4.0000000000000002E-4</v>
      </c>
      <c r="H55" s="40"/>
      <c r="I55" s="24"/>
      <c r="J55" s="5"/>
    </row>
    <row r="56" spans="1:10" ht="12.95" customHeight="1">
      <c r="A56" s="18" t="s">
        <v>2744</v>
      </c>
      <c r="B56" s="19" t="s">
        <v>2745</v>
      </c>
      <c r="C56" s="15"/>
      <c r="D56" s="15"/>
      <c r="E56" s="20"/>
      <c r="F56" s="21">
        <v>-17.724</v>
      </c>
      <c r="G56" s="22">
        <v>-4.0000000000000002E-4</v>
      </c>
      <c r="H56" s="40"/>
      <c r="I56" s="24"/>
      <c r="J56" s="5"/>
    </row>
    <row r="57" spans="1:10" ht="12.95" customHeight="1">
      <c r="A57" s="18" t="s">
        <v>2746</v>
      </c>
      <c r="B57" s="19" t="s">
        <v>2747</v>
      </c>
      <c r="C57" s="15"/>
      <c r="D57" s="15"/>
      <c r="E57" s="20"/>
      <c r="F57" s="21">
        <v>-31.444500000000001</v>
      </c>
      <c r="G57" s="22">
        <v>-6.9999999999999999E-4</v>
      </c>
      <c r="H57" s="40"/>
      <c r="I57" s="24"/>
      <c r="J57" s="5"/>
    </row>
    <row r="58" spans="1:10" ht="12.95" customHeight="1">
      <c r="A58" s="5"/>
      <c r="B58" s="14" t="s">
        <v>160</v>
      </c>
      <c r="C58" s="15"/>
      <c r="D58" s="15"/>
      <c r="E58" s="15"/>
      <c r="F58" s="25">
        <v>-65.605500000000006</v>
      </c>
      <c r="G58" s="26">
        <v>-1.5E-3</v>
      </c>
      <c r="H58" s="27"/>
      <c r="I58" s="28"/>
      <c r="J58" s="5"/>
    </row>
    <row r="59" spans="1:10" ht="12.95" customHeight="1">
      <c r="A59" s="5"/>
      <c r="B59" s="29" t="s">
        <v>163</v>
      </c>
      <c r="C59" s="30"/>
      <c r="D59" s="2"/>
      <c r="E59" s="30"/>
      <c r="F59" s="25">
        <v>-65.605500000000006</v>
      </c>
      <c r="G59" s="26">
        <v>-1.5E-3</v>
      </c>
      <c r="H59" s="27"/>
      <c r="I59" s="28"/>
      <c r="J59" s="5"/>
    </row>
    <row r="60" spans="1:10" ht="12.95" customHeight="1">
      <c r="A60" s="5"/>
      <c r="B60" s="14" t="s">
        <v>151</v>
      </c>
      <c r="C60" s="15"/>
      <c r="D60" s="15"/>
      <c r="E60" s="15"/>
      <c r="F60" s="15"/>
      <c r="G60" s="15"/>
      <c r="H60" s="16"/>
      <c r="I60" s="17"/>
      <c r="J60" s="5"/>
    </row>
    <row r="61" spans="1:10" ht="12.95" customHeight="1">
      <c r="A61" s="5"/>
      <c r="B61" s="14" t="s">
        <v>152</v>
      </c>
      <c r="C61" s="15"/>
      <c r="D61" s="15"/>
      <c r="E61" s="15"/>
      <c r="F61" s="5"/>
      <c r="G61" s="16"/>
      <c r="H61" s="16"/>
      <c r="I61" s="17"/>
      <c r="J61" s="5"/>
    </row>
    <row r="62" spans="1:10" ht="12.95" customHeight="1">
      <c r="A62" s="18" t="s">
        <v>1655</v>
      </c>
      <c r="B62" s="19" t="s">
        <v>1656</v>
      </c>
      <c r="C62" s="15" t="s">
        <v>1657</v>
      </c>
      <c r="D62" s="15" t="s">
        <v>156</v>
      </c>
      <c r="E62" s="20">
        <v>6500000</v>
      </c>
      <c r="F62" s="21">
        <v>6505.0375000000004</v>
      </c>
      <c r="G62" s="22">
        <v>0.14979999999999999</v>
      </c>
      <c r="H62" s="23">
        <v>7.3776999999999995E-2</v>
      </c>
      <c r="I62" s="24"/>
      <c r="J62" s="5"/>
    </row>
    <row r="63" spans="1:10" ht="12.95" customHeight="1">
      <c r="A63" s="18" t="s">
        <v>974</v>
      </c>
      <c r="B63" s="19" t="s">
        <v>975</v>
      </c>
      <c r="C63" s="15" t="s">
        <v>976</v>
      </c>
      <c r="D63" s="15" t="s">
        <v>156</v>
      </c>
      <c r="E63" s="20">
        <v>4500000</v>
      </c>
      <c r="F63" s="21">
        <v>4588.317</v>
      </c>
      <c r="G63" s="22">
        <v>0.1057</v>
      </c>
      <c r="H63" s="23"/>
      <c r="I63" s="24"/>
      <c r="J63" s="5"/>
    </row>
    <row r="64" spans="1:10" ht="12.95" customHeight="1">
      <c r="A64" s="18" t="s">
        <v>1681</v>
      </c>
      <c r="B64" s="19" t="s">
        <v>1682</v>
      </c>
      <c r="C64" s="15" t="s">
        <v>1683</v>
      </c>
      <c r="D64" s="15" t="s">
        <v>179</v>
      </c>
      <c r="E64" s="20">
        <v>2500</v>
      </c>
      <c r="F64" s="21">
        <v>2480.11</v>
      </c>
      <c r="G64" s="22">
        <v>5.7099999999999998E-2</v>
      </c>
      <c r="H64" s="23">
        <v>7.8450000000000006E-2</v>
      </c>
      <c r="I64" s="24"/>
      <c r="J64" s="5"/>
    </row>
    <row r="65" spans="1:10" ht="12.95" customHeight="1">
      <c r="A65" s="18" t="s">
        <v>899</v>
      </c>
      <c r="B65" s="19" t="s">
        <v>900</v>
      </c>
      <c r="C65" s="15" t="s">
        <v>901</v>
      </c>
      <c r="D65" s="15" t="s">
        <v>156</v>
      </c>
      <c r="E65" s="20">
        <v>2200000</v>
      </c>
      <c r="F65" s="21">
        <v>2199.3465999999999</v>
      </c>
      <c r="G65" s="22">
        <v>5.0700000000000002E-2</v>
      </c>
      <c r="H65" s="23">
        <v>7.3948E-2</v>
      </c>
      <c r="I65" s="24"/>
      <c r="J65" s="5"/>
    </row>
    <row r="66" spans="1:10" ht="12.95" customHeight="1">
      <c r="A66" s="18" t="s">
        <v>908</v>
      </c>
      <c r="B66" s="19" t="s">
        <v>909</v>
      </c>
      <c r="C66" s="15" t="s">
        <v>910</v>
      </c>
      <c r="D66" s="15" t="s">
        <v>179</v>
      </c>
      <c r="E66" s="20">
        <v>2000</v>
      </c>
      <c r="F66" s="21">
        <v>2003.896</v>
      </c>
      <c r="G66" s="22">
        <v>4.6199999999999998E-2</v>
      </c>
      <c r="H66" s="23">
        <v>7.5999999999999998E-2</v>
      </c>
      <c r="I66" s="24"/>
      <c r="J66" s="5"/>
    </row>
    <row r="67" spans="1:10" ht="12.95" customHeight="1">
      <c r="A67" s="18" t="s">
        <v>2597</v>
      </c>
      <c r="B67" s="19" t="s">
        <v>2598</v>
      </c>
      <c r="C67" s="15" t="s">
        <v>2599</v>
      </c>
      <c r="D67" s="15" t="s">
        <v>1654</v>
      </c>
      <c r="E67" s="20">
        <v>150</v>
      </c>
      <c r="F67" s="21">
        <v>1502.646</v>
      </c>
      <c r="G67" s="22">
        <v>3.4599999999999999E-2</v>
      </c>
      <c r="H67" s="23">
        <v>8.4900000000000003E-2</v>
      </c>
      <c r="I67" s="24"/>
      <c r="J67" s="5"/>
    </row>
    <row r="68" spans="1:10" ht="12.95" customHeight="1">
      <c r="A68" s="18" t="s">
        <v>1074</v>
      </c>
      <c r="B68" s="19" t="s">
        <v>1075</v>
      </c>
      <c r="C68" s="15" t="s">
        <v>1076</v>
      </c>
      <c r="D68" s="15" t="s">
        <v>179</v>
      </c>
      <c r="E68" s="20">
        <v>1000</v>
      </c>
      <c r="F68" s="21">
        <v>1002.2910000000001</v>
      </c>
      <c r="G68" s="22">
        <v>2.3099999999999999E-2</v>
      </c>
      <c r="H68" s="23">
        <v>7.6850000000000002E-2</v>
      </c>
      <c r="I68" s="24"/>
      <c r="J68" s="5"/>
    </row>
    <row r="69" spans="1:10" ht="12.95" customHeight="1">
      <c r="A69" s="18" t="s">
        <v>2748</v>
      </c>
      <c r="B69" s="19" t="s">
        <v>2749</v>
      </c>
      <c r="C69" s="15" t="s">
        <v>2750</v>
      </c>
      <c r="D69" s="15" t="s">
        <v>1654</v>
      </c>
      <c r="E69" s="20">
        <v>1000</v>
      </c>
      <c r="F69" s="21">
        <v>1001.997</v>
      </c>
      <c r="G69" s="22">
        <v>2.3099999999999999E-2</v>
      </c>
      <c r="H69" s="23">
        <v>8.3650000000000002E-2</v>
      </c>
      <c r="I69" s="24"/>
      <c r="J69" s="5"/>
    </row>
    <row r="70" spans="1:10" ht="12.95" customHeight="1">
      <c r="A70" s="18" t="s">
        <v>986</v>
      </c>
      <c r="B70" s="19" t="s">
        <v>987</v>
      </c>
      <c r="C70" s="15" t="s">
        <v>988</v>
      </c>
      <c r="D70" s="15" t="s">
        <v>156</v>
      </c>
      <c r="E70" s="20">
        <v>1000000</v>
      </c>
      <c r="F70" s="21">
        <v>998.71699999999998</v>
      </c>
      <c r="G70" s="22">
        <v>2.3E-2</v>
      </c>
      <c r="H70" s="23"/>
      <c r="I70" s="24"/>
      <c r="J70" s="5"/>
    </row>
    <row r="71" spans="1:10" ht="12.95" customHeight="1">
      <c r="A71" s="18" t="s">
        <v>2588</v>
      </c>
      <c r="B71" s="19" t="s">
        <v>2589</v>
      </c>
      <c r="C71" s="15" t="s">
        <v>2590</v>
      </c>
      <c r="D71" s="15" t="s">
        <v>1034</v>
      </c>
      <c r="E71" s="20">
        <v>1000</v>
      </c>
      <c r="F71" s="21">
        <v>997.57799999999997</v>
      </c>
      <c r="G71" s="22">
        <v>2.3E-2</v>
      </c>
      <c r="H71" s="23">
        <v>8.2350000000000007E-2</v>
      </c>
      <c r="I71" s="24"/>
      <c r="J71" s="5"/>
    </row>
    <row r="72" spans="1:10" ht="12.95" customHeight="1">
      <c r="A72" s="18" t="s">
        <v>2626</v>
      </c>
      <c r="B72" s="19" t="s">
        <v>2627</v>
      </c>
      <c r="C72" s="15" t="s">
        <v>2628</v>
      </c>
      <c r="D72" s="15" t="s">
        <v>179</v>
      </c>
      <c r="E72" s="20">
        <v>100</v>
      </c>
      <c r="F72" s="21">
        <v>973.01499999999999</v>
      </c>
      <c r="G72" s="22">
        <v>2.24E-2</v>
      </c>
      <c r="H72" s="23">
        <v>7.9792000000000002E-2</v>
      </c>
      <c r="I72" s="24"/>
      <c r="J72" s="5"/>
    </row>
    <row r="73" spans="1:10" ht="12.95" customHeight="1">
      <c r="A73" s="18" t="s">
        <v>2751</v>
      </c>
      <c r="B73" s="19" t="s">
        <v>2752</v>
      </c>
      <c r="C73" s="15" t="s">
        <v>2753</v>
      </c>
      <c r="D73" s="15" t="s">
        <v>156</v>
      </c>
      <c r="E73" s="20">
        <v>1048500</v>
      </c>
      <c r="F73" s="21">
        <v>803.67110000000002</v>
      </c>
      <c r="G73" s="22">
        <v>1.8499999999999999E-2</v>
      </c>
      <c r="H73" s="23">
        <v>7.4402999999999997E-2</v>
      </c>
      <c r="I73" s="24"/>
      <c r="J73" s="5"/>
    </row>
    <row r="74" spans="1:10" ht="12.95" customHeight="1">
      <c r="A74" s="18" t="s">
        <v>927</v>
      </c>
      <c r="B74" s="19" t="s">
        <v>928</v>
      </c>
      <c r="C74" s="15" t="s">
        <v>929</v>
      </c>
      <c r="D74" s="15" t="s">
        <v>156</v>
      </c>
      <c r="E74" s="20">
        <v>800000</v>
      </c>
      <c r="F74" s="21">
        <v>798.23839999999996</v>
      </c>
      <c r="G74" s="22">
        <v>1.84E-2</v>
      </c>
      <c r="H74" s="23">
        <v>7.3570999999999998E-2</v>
      </c>
      <c r="I74" s="24"/>
      <c r="J74" s="5"/>
    </row>
    <row r="75" spans="1:10" ht="12.95" customHeight="1">
      <c r="A75" s="18" t="s">
        <v>2754</v>
      </c>
      <c r="B75" s="19" t="s">
        <v>2755</v>
      </c>
      <c r="C75" s="15" t="s">
        <v>2756</v>
      </c>
      <c r="D75" s="15" t="s">
        <v>156</v>
      </c>
      <c r="E75" s="20">
        <v>1048500</v>
      </c>
      <c r="F75" s="21">
        <v>775.81449999999995</v>
      </c>
      <c r="G75" s="22">
        <v>1.7899999999999999E-2</v>
      </c>
      <c r="H75" s="23">
        <v>7.4247999999999995E-2</v>
      </c>
      <c r="I75" s="24"/>
      <c r="J75" s="5"/>
    </row>
    <row r="76" spans="1:10" ht="12.95" customHeight="1">
      <c r="A76" s="18" t="s">
        <v>2757</v>
      </c>
      <c r="B76" s="19" t="s">
        <v>2758</v>
      </c>
      <c r="C76" s="15" t="s">
        <v>2759</v>
      </c>
      <c r="D76" s="15" t="s">
        <v>1654</v>
      </c>
      <c r="E76" s="20">
        <v>50</v>
      </c>
      <c r="F76" s="21">
        <v>508.15649999999999</v>
      </c>
      <c r="G76" s="22">
        <v>1.17E-2</v>
      </c>
      <c r="H76" s="23">
        <v>8.2993499999999998E-2</v>
      </c>
      <c r="I76" s="41">
        <v>7.5942234999999997E-2</v>
      </c>
      <c r="J76" s="5"/>
    </row>
    <row r="77" spans="1:10" ht="12.95" customHeight="1">
      <c r="A77" s="18" t="s">
        <v>2629</v>
      </c>
      <c r="B77" s="19" t="s">
        <v>2630</v>
      </c>
      <c r="C77" s="15" t="s">
        <v>2631</v>
      </c>
      <c r="D77" s="15" t="s">
        <v>2625</v>
      </c>
      <c r="E77" s="20">
        <v>50000</v>
      </c>
      <c r="F77" s="21">
        <v>500.57249999999999</v>
      </c>
      <c r="G77" s="22">
        <v>1.15E-2</v>
      </c>
      <c r="H77" s="23">
        <v>9.7542000000000004E-2</v>
      </c>
      <c r="I77" s="41"/>
      <c r="J77" s="5"/>
    </row>
    <row r="78" spans="1:10" ht="12.95" customHeight="1">
      <c r="A78" s="18" t="s">
        <v>1059</v>
      </c>
      <c r="B78" s="19" t="s">
        <v>1060</v>
      </c>
      <c r="C78" s="15" t="s">
        <v>1061</v>
      </c>
      <c r="D78" s="15" t="s">
        <v>432</v>
      </c>
      <c r="E78" s="20">
        <v>50</v>
      </c>
      <c r="F78" s="21">
        <v>500.3965</v>
      </c>
      <c r="G78" s="22">
        <v>1.15E-2</v>
      </c>
      <c r="H78" s="23">
        <v>7.7062000000000005E-2</v>
      </c>
      <c r="I78" s="41"/>
      <c r="J78" s="5"/>
    </row>
    <row r="79" spans="1:10" ht="12.95" customHeight="1">
      <c r="A79" s="18" t="s">
        <v>1688</v>
      </c>
      <c r="B79" s="19" t="s">
        <v>1689</v>
      </c>
      <c r="C79" s="15" t="s">
        <v>1690</v>
      </c>
      <c r="D79" s="15" t="s">
        <v>1691</v>
      </c>
      <c r="E79" s="20">
        <v>500</v>
      </c>
      <c r="F79" s="21">
        <v>499.16250000000002</v>
      </c>
      <c r="G79" s="22">
        <v>1.15E-2</v>
      </c>
      <c r="H79" s="23">
        <v>8.5374000000000005E-2</v>
      </c>
      <c r="I79" s="41"/>
      <c r="J79" s="5"/>
    </row>
    <row r="80" spans="1:10" ht="12.95" customHeight="1">
      <c r="A80" s="18" t="s">
        <v>2760</v>
      </c>
      <c r="B80" s="19" t="s">
        <v>2761</v>
      </c>
      <c r="C80" s="15" t="s">
        <v>2762</v>
      </c>
      <c r="D80" s="15" t="s">
        <v>179</v>
      </c>
      <c r="E80" s="20">
        <v>50</v>
      </c>
      <c r="F80" s="21">
        <v>496.99</v>
      </c>
      <c r="G80" s="22">
        <v>1.14E-2</v>
      </c>
      <c r="H80" s="23">
        <v>7.7600000000000002E-2</v>
      </c>
      <c r="I80" s="41"/>
      <c r="J80" s="5"/>
    </row>
    <row r="81" spans="1:10" ht="12.95" customHeight="1">
      <c r="A81" s="18" t="s">
        <v>1667</v>
      </c>
      <c r="B81" s="19" t="s">
        <v>1668</v>
      </c>
      <c r="C81" s="15" t="s">
        <v>1669</v>
      </c>
      <c r="D81" s="15" t="s">
        <v>1670</v>
      </c>
      <c r="E81" s="20">
        <v>50</v>
      </c>
      <c r="F81" s="21">
        <v>495.6395</v>
      </c>
      <c r="G81" s="22">
        <v>1.14E-2</v>
      </c>
      <c r="H81" s="23">
        <v>8.2549999999999998E-2</v>
      </c>
      <c r="I81" s="41"/>
      <c r="J81" s="5"/>
    </row>
    <row r="82" spans="1:10" ht="12.95" customHeight="1">
      <c r="A82" s="18" t="s">
        <v>1684</v>
      </c>
      <c r="B82" s="19" t="s">
        <v>1685</v>
      </c>
      <c r="C82" s="15" t="s">
        <v>1686</v>
      </c>
      <c r="D82" s="15" t="s">
        <v>1687</v>
      </c>
      <c r="E82" s="20">
        <v>500</v>
      </c>
      <c r="F82" s="21">
        <v>495.18299999999999</v>
      </c>
      <c r="G82" s="22">
        <v>1.14E-2</v>
      </c>
      <c r="H82" s="23">
        <v>0.10947999999999999</v>
      </c>
      <c r="I82" s="41"/>
      <c r="J82" s="5"/>
    </row>
    <row r="83" spans="1:10" ht="12.95" customHeight="1">
      <c r="A83" s="18" t="s">
        <v>2763</v>
      </c>
      <c r="B83" s="19" t="s">
        <v>2764</v>
      </c>
      <c r="C83" s="15" t="s">
        <v>2765</v>
      </c>
      <c r="D83" s="15" t="s">
        <v>179</v>
      </c>
      <c r="E83" s="20">
        <v>50</v>
      </c>
      <c r="F83" s="21">
        <v>491.83699999999999</v>
      </c>
      <c r="G83" s="22">
        <v>1.1299999999999999E-2</v>
      </c>
      <c r="H83" s="23">
        <v>8.1284999999999996E-2</v>
      </c>
      <c r="I83" s="41"/>
      <c r="J83" s="5"/>
    </row>
    <row r="84" spans="1:10" ht="12.95" customHeight="1">
      <c r="A84" s="18" t="s">
        <v>896</v>
      </c>
      <c r="B84" s="19" t="s">
        <v>897</v>
      </c>
      <c r="C84" s="15" t="s">
        <v>898</v>
      </c>
      <c r="D84" s="15" t="s">
        <v>156</v>
      </c>
      <c r="E84" s="20">
        <v>450000</v>
      </c>
      <c r="F84" s="21">
        <v>451.92239999999998</v>
      </c>
      <c r="G84" s="22">
        <v>1.04E-2</v>
      </c>
      <c r="H84" s="23">
        <v>7.3730000000000004E-2</v>
      </c>
      <c r="I84" s="41"/>
      <c r="J84" s="5"/>
    </row>
    <row r="85" spans="1:10" ht="12.95" customHeight="1">
      <c r="A85" s="18" t="s">
        <v>2663</v>
      </c>
      <c r="B85" s="19" t="s">
        <v>2664</v>
      </c>
      <c r="C85" s="15" t="s">
        <v>2665</v>
      </c>
      <c r="D85" s="15" t="s">
        <v>1695</v>
      </c>
      <c r="E85" s="20">
        <v>70</v>
      </c>
      <c r="F85" s="21">
        <v>415.3415</v>
      </c>
      <c r="G85" s="22">
        <v>9.5999999999999992E-3</v>
      </c>
      <c r="H85" s="23">
        <v>0.13424150000000001</v>
      </c>
      <c r="I85" s="41"/>
      <c r="J85" s="5"/>
    </row>
    <row r="86" spans="1:10" ht="12.95" customHeight="1">
      <c r="A86" s="18" t="s">
        <v>1674</v>
      </c>
      <c r="B86" s="19" t="s">
        <v>1675</v>
      </c>
      <c r="C86" s="15" t="s">
        <v>1676</v>
      </c>
      <c r="D86" s="15" t="s">
        <v>1677</v>
      </c>
      <c r="E86" s="20">
        <v>40</v>
      </c>
      <c r="F86" s="21">
        <v>401.13400000000001</v>
      </c>
      <c r="G86" s="22">
        <v>9.1999999999999998E-3</v>
      </c>
      <c r="H86" s="23">
        <v>9.7548999999999997E-2</v>
      </c>
      <c r="I86" s="41"/>
      <c r="J86" s="5"/>
    </row>
    <row r="87" spans="1:10" ht="12.95" customHeight="1">
      <c r="A87" s="18" t="s">
        <v>2651</v>
      </c>
      <c r="B87" s="19" t="s">
        <v>2652</v>
      </c>
      <c r="C87" s="15" t="s">
        <v>2653</v>
      </c>
      <c r="D87" s="15" t="s">
        <v>1670</v>
      </c>
      <c r="E87" s="20">
        <v>50</v>
      </c>
      <c r="F87" s="21">
        <v>257.98500000000001</v>
      </c>
      <c r="G87" s="22">
        <v>5.8999999999999999E-3</v>
      </c>
      <c r="H87" s="23">
        <v>7.8251000000000001E-2</v>
      </c>
      <c r="I87" s="41"/>
      <c r="J87" s="5"/>
    </row>
    <row r="88" spans="1:10" ht="12.95" customHeight="1">
      <c r="A88" s="18" t="s">
        <v>920</v>
      </c>
      <c r="B88" s="19" t="s">
        <v>921</v>
      </c>
      <c r="C88" s="15" t="s">
        <v>922</v>
      </c>
      <c r="D88" s="15" t="s">
        <v>156</v>
      </c>
      <c r="E88" s="20">
        <v>20000</v>
      </c>
      <c r="F88" s="21">
        <v>18.3612</v>
      </c>
      <c r="G88" s="22">
        <v>4.0000000000000002E-4</v>
      </c>
      <c r="H88" s="23">
        <v>7.4206999999999995E-2</v>
      </c>
      <c r="I88" s="41"/>
      <c r="J88" s="5"/>
    </row>
    <row r="89" spans="1:10" ht="12.95" customHeight="1">
      <c r="A89" s="5"/>
      <c r="B89" s="14" t="s">
        <v>160</v>
      </c>
      <c r="C89" s="15"/>
      <c r="D89" s="15"/>
      <c r="E89" s="15"/>
      <c r="F89" s="25">
        <v>32163.3567</v>
      </c>
      <c r="G89" s="26">
        <v>0.74080000000000001</v>
      </c>
      <c r="H89" s="27"/>
      <c r="I89" s="28"/>
      <c r="J89" s="5"/>
    </row>
    <row r="90" spans="1:10" ht="12.95" customHeight="1">
      <c r="A90" s="5"/>
      <c r="B90" s="29" t="s">
        <v>161</v>
      </c>
      <c r="C90" s="2"/>
      <c r="D90" s="2"/>
      <c r="E90" s="2"/>
      <c r="F90" s="27" t="s">
        <v>162</v>
      </c>
      <c r="G90" s="27" t="s">
        <v>162</v>
      </c>
      <c r="H90" s="27"/>
      <c r="I90" s="28"/>
      <c r="J90" s="5"/>
    </row>
    <row r="91" spans="1:10" ht="12.95" customHeight="1">
      <c r="A91" s="5"/>
      <c r="B91" s="29" t="s">
        <v>160</v>
      </c>
      <c r="C91" s="2"/>
      <c r="D91" s="2"/>
      <c r="E91" s="2"/>
      <c r="F91" s="27" t="s">
        <v>162</v>
      </c>
      <c r="G91" s="27" t="s">
        <v>162</v>
      </c>
      <c r="H91" s="27"/>
      <c r="I91" s="28"/>
      <c r="J91" s="5"/>
    </row>
    <row r="92" spans="1:10" ht="12.95" customHeight="1">
      <c r="A92" s="5"/>
      <c r="B92" s="29" t="s">
        <v>163</v>
      </c>
      <c r="C92" s="30"/>
      <c r="D92" s="2"/>
      <c r="E92" s="30"/>
      <c r="F92" s="25">
        <v>32163.3567</v>
      </c>
      <c r="G92" s="26">
        <v>0.74080000000000001</v>
      </c>
      <c r="H92" s="27"/>
      <c r="I92" s="28"/>
      <c r="J92" s="5"/>
    </row>
    <row r="93" spans="1:10" ht="12.95" customHeight="1">
      <c r="A93" s="5"/>
      <c r="B93" s="14" t="s">
        <v>164</v>
      </c>
      <c r="C93" s="15"/>
      <c r="D93" s="15"/>
      <c r="E93" s="15"/>
      <c r="F93" s="15"/>
      <c r="G93" s="15"/>
      <c r="H93" s="16"/>
      <c r="I93" s="17"/>
      <c r="J93" s="5"/>
    </row>
    <row r="94" spans="1:10" ht="12.95" customHeight="1">
      <c r="A94" s="18" t="s">
        <v>165</v>
      </c>
      <c r="B94" s="19" t="s">
        <v>166</v>
      </c>
      <c r="C94" s="15"/>
      <c r="D94" s="15"/>
      <c r="E94" s="20"/>
      <c r="F94" s="21">
        <v>641.17110000000002</v>
      </c>
      <c r="G94" s="22">
        <v>1.4800000000000001E-2</v>
      </c>
      <c r="H94" s="23">
        <v>6.7996809598066005E-2</v>
      </c>
      <c r="I94" s="41"/>
      <c r="J94" s="5"/>
    </row>
    <row r="95" spans="1:10" ht="12.95" customHeight="1">
      <c r="A95" s="5"/>
      <c r="B95" s="14" t="s">
        <v>160</v>
      </c>
      <c r="C95" s="15"/>
      <c r="D95" s="15"/>
      <c r="E95" s="15"/>
      <c r="F95" s="25">
        <v>641.17110000000002</v>
      </c>
      <c r="G95" s="26">
        <v>1.4800000000000001E-2</v>
      </c>
      <c r="H95" s="27"/>
      <c r="I95" s="28"/>
      <c r="J95" s="5"/>
    </row>
    <row r="96" spans="1:10" ht="12.95" customHeight="1">
      <c r="A96" s="5"/>
      <c r="B96" s="29" t="s">
        <v>163</v>
      </c>
      <c r="C96" s="30"/>
      <c r="D96" s="2"/>
      <c r="E96" s="30"/>
      <c r="F96" s="25">
        <v>641.17110000000002</v>
      </c>
      <c r="G96" s="26">
        <v>1.4800000000000001E-2</v>
      </c>
      <c r="H96" s="27"/>
      <c r="I96" s="28"/>
      <c r="J96" s="5"/>
    </row>
    <row r="97" spans="1:10" ht="12.95" customHeight="1">
      <c r="A97" s="5"/>
      <c r="B97" s="29" t="s">
        <v>167</v>
      </c>
      <c r="C97" s="15"/>
      <c r="D97" s="2"/>
      <c r="E97" s="15"/>
      <c r="F97" s="31">
        <v>378.58109999999999</v>
      </c>
      <c r="G97" s="26">
        <v>8.6999999999999994E-3</v>
      </c>
      <c r="H97" s="27"/>
      <c r="I97" s="28"/>
      <c r="J97" s="5"/>
    </row>
    <row r="98" spans="1:10" ht="12.95" customHeight="1">
      <c r="A98" s="5"/>
      <c r="B98" s="32" t="s">
        <v>168</v>
      </c>
      <c r="C98" s="33"/>
      <c r="D98" s="33"/>
      <c r="E98" s="33"/>
      <c r="F98" s="34">
        <v>43414.43</v>
      </c>
      <c r="G98" s="35">
        <v>1</v>
      </c>
      <c r="H98" s="36"/>
      <c r="I98" s="37"/>
      <c r="J98" s="5"/>
    </row>
    <row r="99" spans="1:10" ht="12.95" customHeight="1">
      <c r="A99" s="5"/>
      <c r="B99" s="7"/>
      <c r="C99" s="5"/>
      <c r="D99" s="5"/>
      <c r="E99" s="5"/>
      <c r="F99" s="5"/>
      <c r="G99" s="5"/>
      <c r="H99" s="5"/>
      <c r="I99" s="5"/>
      <c r="J99" s="5"/>
    </row>
    <row r="100" spans="1:10" ht="12.95" customHeight="1">
      <c r="A100" s="5"/>
      <c r="B100" s="4" t="s">
        <v>2704</v>
      </c>
      <c r="C100" s="5"/>
      <c r="D100" s="5"/>
      <c r="E100" s="5"/>
      <c r="F100" s="5"/>
      <c r="G100" s="5"/>
      <c r="H100" s="5"/>
      <c r="I100" s="5"/>
      <c r="J100" s="5"/>
    </row>
    <row r="101" spans="1:10" ht="12.95" customHeight="1">
      <c r="A101" s="5"/>
      <c r="B101" s="4" t="s">
        <v>207</v>
      </c>
      <c r="C101" s="5"/>
      <c r="D101" s="5"/>
      <c r="E101" s="5"/>
      <c r="F101" s="5"/>
      <c r="G101" s="5"/>
      <c r="H101" s="5"/>
      <c r="I101" s="5"/>
      <c r="J101" s="5"/>
    </row>
    <row r="102" spans="1:10" ht="12.95" customHeight="1">
      <c r="A102" s="5"/>
      <c r="B102" s="4" t="s">
        <v>685</v>
      </c>
      <c r="C102" s="5"/>
      <c r="D102" s="5"/>
      <c r="E102" s="5"/>
      <c r="F102" s="5"/>
      <c r="G102" s="5"/>
      <c r="H102" s="5"/>
      <c r="I102" s="5"/>
      <c r="J102" s="5"/>
    </row>
    <row r="103" spans="1:10" ht="12.95" customHeight="1">
      <c r="A103" s="5"/>
      <c r="B103" s="4" t="s">
        <v>170</v>
      </c>
      <c r="C103" s="5"/>
      <c r="D103" s="5"/>
      <c r="E103" s="5"/>
      <c r="F103" s="5"/>
      <c r="G103" s="5"/>
      <c r="H103" s="5"/>
      <c r="I103" s="5"/>
      <c r="J103" s="5"/>
    </row>
    <row r="104" spans="1:10" ht="26.1" customHeight="1">
      <c r="A104" s="5"/>
      <c r="B104" s="86" t="s">
        <v>171</v>
      </c>
      <c r="C104" s="86"/>
      <c r="D104" s="86"/>
      <c r="E104" s="86"/>
      <c r="F104" s="86"/>
      <c r="G104" s="86"/>
      <c r="H104" s="86"/>
      <c r="I104" s="86"/>
      <c r="J104" s="5"/>
    </row>
    <row r="105" spans="1:10" ht="12.95" customHeight="1">
      <c r="A105" s="5"/>
      <c r="B105" s="86"/>
      <c r="C105" s="86"/>
      <c r="D105" s="86"/>
      <c r="E105" s="86"/>
      <c r="F105" s="86"/>
      <c r="G105" s="86"/>
      <c r="H105" s="86"/>
      <c r="I105" s="86"/>
      <c r="J105" s="5"/>
    </row>
    <row r="106" spans="1:10" ht="12.95" customHeight="1">
      <c r="A106" s="5"/>
      <c r="B106" s="86"/>
      <c r="C106" s="86"/>
      <c r="D106" s="86"/>
      <c r="E106" s="86"/>
      <c r="F106" s="86"/>
      <c r="G106" s="86"/>
      <c r="H106" s="86"/>
      <c r="I106" s="86"/>
      <c r="J106" s="5"/>
    </row>
    <row r="107" spans="1:10" ht="12.95" customHeight="1">
      <c r="A107" s="5"/>
      <c r="B107" s="5"/>
      <c r="C107" s="87" t="s">
        <v>2766</v>
      </c>
      <c r="D107" s="87"/>
      <c r="E107" s="87"/>
      <c r="F107" s="87"/>
      <c r="G107" s="5"/>
      <c r="H107" s="5"/>
      <c r="I107" s="5"/>
      <c r="J107" s="5"/>
    </row>
    <row r="108" spans="1:10" ht="12.95" customHeight="1">
      <c r="A108" s="5"/>
      <c r="B108" s="38" t="s">
        <v>173</v>
      </c>
      <c r="C108" s="87" t="s">
        <v>174</v>
      </c>
      <c r="D108" s="87"/>
      <c r="E108" s="87"/>
      <c r="F108" s="87"/>
      <c r="G108" s="5"/>
      <c r="H108" s="5"/>
      <c r="I108" s="5"/>
      <c r="J108" s="5"/>
    </row>
    <row r="109" spans="1:10" ht="120.95" customHeight="1">
      <c r="A109" s="5"/>
      <c r="B109" s="39"/>
      <c r="C109" s="85"/>
      <c r="D109" s="85"/>
      <c r="E109" s="5"/>
      <c r="F109" s="5"/>
      <c r="G109" s="5"/>
      <c r="H109" s="5"/>
      <c r="I109" s="5"/>
      <c r="J109" s="5"/>
    </row>
  </sheetData>
  <mergeCells count="6">
    <mergeCell ref="C109:D109"/>
    <mergeCell ref="B104:I104"/>
    <mergeCell ref="B105:I105"/>
    <mergeCell ref="B106:I106"/>
    <mergeCell ref="C107:F107"/>
    <mergeCell ref="C108:F108"/>
  </mergeCells>
  <hyperlinks>
    <hyperlink ref="A1" location="AxisRegularSaverFund" display="AXISISF" xr:uid="{00000000-0004-0000-2300-000000000000}"/>
    <hyperlink ref="B1" location="AxisRegularSaverFund" display="Axis Regular Saver Fund" xr:uid="{00000000-0004-0000-2300-000001000000}"/>
  </hyperlinks>
  <pageMargins left="0" right="0" top="0" bottom="0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/>
  </sheetPr>
  <dimension ref="A1:J3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74</v>
      </c>
      <c r="B1" s="4" t="s">
        <v>75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2767</v>
      </c>
      <c r="B7" s="19" t="s">
        <v>2768</v>
      </c>
      <c r="C7" s="15" t="s">
        <v>2769</v>
      </c>
      <c r="D7" s="15" t="s">
        <v>156</v>
      </c>
      <c r="E7" s="20">
        <v>14800000</v>
      </c>
      <c r="F7" s="21">
        <v>14736.36</v>
      </c>
      <c r="G7" s="22">
        <v>0.80379999999999996</v>
      </c>
      <c r="H7" s="23">
        <v>7.5324000000000002E-2</v>
      </c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14736.36</v>
      </c>
      <c r="G8" s="26">
        <v>0.80379999999999996</v>
      </c>
      <c r="H8" s="27"/>
      <c r="I8" s="28"/>
      <c r="J8" s="5"/>
    </row>
    <row r="9" spans="1:10" ht="12.95" customHeight="1">
      <c r="A9" s="5"/>
      <c r="B9" s="29" t="s">
        <v>161</v>
      </c>
      <c r="C9" s="2"/>
      <c r="D9" s="2"/>
      <c r="E9" s="2"/>
      <c r="F9" s="27" t="s">
        <v>162</v>
      </c>
      <c r="G9" s="27" t="s">
        <v>162</v>
      </c>
      <c r="H9" s="27"/>
      <c r="I9" s="28"/>
      <c r="J9" s="5"/>
    </row>
    <row r="10" spans="1:10" ht="12.95" customHeight="1">
      <c r="A10" s="5"/>
      <c r="B10" s="29" t="s">
        <v>160</v>
      </c>
      <c r="C10" s="2"/>
      <c r="D10" s="2"/>
      <c r="E10" s="2"/>
      <c r="F10" s="27" t="s">
        <v>162</v>
      </c>
      <c r="G10" s="27" t="s">
        <v>162</v>
      </c>
      <c r="H10" s="27"/>
      <c r="I10" s="28"/>
      <c r="J10" s="5"/>
    </row>
    <row r="11" spans="1:10" ht="12.95" customHeight="1">
      <c r="A11" s="5"/>
      <c r="B11" s="29" t="s">
        <v>163</v>
      </c>
      <c r="C11" s="30"/>
      <c r="D11" s="2"/>
      <c r="E11" s="30"/>
      <c r="F11" s="25">
        <v>14736.36</v>
      </c>
      <c r="G11" s="26">
        <v>0.80379999999999996</v>
      </c>
      <c r="H11" s="27"/>
      <c r="I11" s="28"/>
      <c r="J11" s="5"/>
    </row>
    <row r="12" spans="1:10" ht="12.95" customHeight="1">
      <c r="A12" s="5"/>
      <c r="B12" s="14" t="s">
        <v>417</v>
      </c>
      <c r="C12" s="15"/>
      <c r="D12" s="15"/>
      <c r="E12" s="15"/>
      <c r="F12" s="15"/>
      <c r="G12" s="15"/>
      <c r="H12" s="16"/>
      <c r="I12" s="17"/>
      <c r="J12" s="5"/>
    </row>
    <row r="13" spans="1:10" ht="12.95" customHeight="1">
      <c r="A13" s="5"/>
      <c r="B13" s="14" t="s">
        <v>418</v>
      </c>
      <c r="C13" s="15"/>
      <c r="D13" s="15"/>
      <c r="E13" s="15"/>
      <c r="F13" s="5"/>
      <c r="G13" s="16"/>
      <c r="H13" s="16"/>
      <c r="I13" s="17"/>
      <c r="J13" s="5"/>
    </row>
    <row r="14" spans="1:10" ht="12.95" customHeight="1">
      <c r="A14" s="18" t="s">
        <v>2131</v>
      </c>
      <c r="B14" s="19" t="s">
        <v>2132</v>
      </c>
      <c r="C14" s="15" t="s">
        <v>2133</v>
      </c>
      <c r="D14" s="15" t="s">
        <v>156</v>
      </c>
      <c r="E14" s="20">
        <v>500000</v>
      </c>
      <c r="F14" s="21">
        <v>485.2835</v>
      </c>
      <c r="G14" s="22">
        <v>2.6499999999999999E-2</v>
      </c>
      <c r="H14" s="23">
        <v>7.0055999999999993E-2</v>
      </c>
      <c r="I14" s="24"/>
      <c r="J14" s="5"/>
    </row>
    <row r="15" spans="1:10" ht="12.95" customHeight="1">
      <c r="A15" s="5"/>
      <c r="B15" s="14" t="s">
        <v>160</v>
      </c>
      <c r="C15" s="15"/>
      <c r="D15" s="15"/>
      <c r="E15" s="15"/>
      <c r="F15" s="25">
        <v>485.2835</v>
      </c>
      <c r="G15" s="26">
        <v>2.6499999999999999E-2</v>
      </c>
      <c r="H15" s="27"/>
      <c r="I15" s="28"/>
      <c r="J15" s="5"/>
    </row>
    <row r="16" spans="1:10" ht="12.95" customHeight="1">
      <c r="A16" s="5"/>
      <c r="B16" s="29" t="s">
        <v>163</v>
      </c>
      <c r="C16" s="30"/>
      <c r="D16" s="2"/>
      <c r="E16" s="30"/>
      <c r="F16" s="25">
        <v>485.2835</v>
      </c>
      <c r="G16" s="26">
        <v>2.6499999999999999E-2</v>
      </c>
      <c r="H16" s="27"/>
      <c r="I16" s="28"/>
      <c r="J16" s="5"/>
    </row>
    <row r="17" spans="1:10" ht="12.95" customHeight="1">
      <c r="A17" s="5"/>
      <c r="B17" s="14" t="s">
        <v>164</v>
      </c>
      <c r="C17" s="15"/>
      <c r="D17" s="15"/>
      <c r="E17" s="15"/>
      <c r="F17" s="15"/>
      <c r="G17" s="15"/>
      <c r="H17" s="16"/>
      <c r="I17" s="17"/>
      <c r="J17" s="5"/>
    </row>
    <row r="18" spans="1:10" ht="12.95" customHeight="1">
      <c r="A18" s="18" t="s">
        <v>165</v>
      </c>
      <c r="B18" s="19" t="s">
        <v>166</v>
      </c>
      <c r="C18" s="15"/>
      <c r="D18" s="15"/>
      <c r="E18" s="20"/>
      <c r="F18" s="21">
        <v>3040.2872000000002</v>
      </c>
      <c r="G18" s="22">
        <v>0.1658</v>
      </c>
      <c r="H18" s="23">
        <v>6.7996827861667899E-2</v>
      </c>
      <c r="I18" s="24"/>
      <c r="J18" s="5"/>
    </row>
    <row r="19" spans="1:10" ht="12.95" customHeight="1">
      <c r="A19" s="5"/>
      <c r="B19" s="14" t="s">
        <v>160</v>
      </c>
      <c r="C19" s="15"/>
      <c r="D19" s="15"/>
      <c r="E19" s="15"/>
      <c r="F19" s="25">
        <v>3040.2872000000002</v>
      </c>
      <c r="G19" s="26">
        <v>0.1658</v>
      </c>
      <c r="H19" s="27"/>
      <c r="I19" s="28"/>
      <c r="J19" s="5"/>
    </row>
    <row r="20" spans="1:10" ht="12.95" customHeight="1">
      <c r="A20" s="5"/>
      <c r="B20" s="29" t="s">
        <v>163</v>
      </c>
      <c r="C20" s="30"/>
      <c r="D20" s="2"/>
      <c r="E20" s="30"/>
      <c r="F20" s="25">
        <v>3040.2872000000002</v>
      </c>
      <c r="G20" s="26">
        <v>0.1658</v>
      </c>
      <c r="H20" s="27"/>
      <c r="I20" s="28"/>
      <c r="J20" s="5"/>
    </row>
    <row r="21" spans="1:10" ht="12.95" customHeight="1">
      <c r="A21" s="5"/>
      <c r="B21" s="29" t="s">
        <v>167</v>
      </c>
      <c r="C21" s="15"/>
      <c r="D21" s="2"/>
      <c r="E21" s="15"/>
      <c r="F21" s="31">
        <v>71.369299999999996</v>
      </c>
      <c r="G21" s="26">
        <v>3.8999999999999998E-3</v>
      </c>
      <c r="H21" s="27"/>
      <c r="I21" s="28"/>
      <c r="J21" s="5"/>
    </row>
    <row r="22" spans="1:10" ht="12.95" customHeight="1">
      <c r="A22" s="5"/>
      <c r="B22" s="32" t="s">
        <v>168</v>
      </c>
      <c r="C22" s="33"/>
      <c r="D22" s="33"/>
      <c r="E22" s="33"/>
      <c r="F22" s="34">
        <v>18333.3</v>
      </c>
      <c r="G22" s="35">
        <v>1</v>
      </c>
      <c r="H22" s="36"/>
      <c r="I22" s="37"/>
      <c r="J22" s="5"/>
    </row>
    <row r="23" spans="1:10" ht="12.95" customHeight="1">
      <c r="A23" s="5"/>
      <c r="B23" s="7"/>
      <c r="C23" s="5"/>
      <c r="D23" s="5"/>
      <c r="E23" s="5"/>
      <c r="F23" s="5"/>
      <c r="G23" s="5"/>
      <c r="H23" s="5"/>
      <c r="I23" s="5"/>
      <c r="J23" s="5"/>
    </row>
    <row r="24" spans="1:10" ht="12.95" customHeight="1">
      <c r="A24" s="5"/>
      <c r="B24" s="4" t="s">
        <v>169</v>
      </c>
      <c r="C24" s="5"/>
      <c r="D24" s="5"/>
      <c r="E24" s="5"/>
      <c r="F24" s="5"/>
      <c r="G24" s="5"/>
      <c r="H24" s="5"/>
      <c r="I24" s="5"/>
      <c r="J24" s="5"/>
    </row>
    <row r="25" spans="1:10" ht="12.95" customHeight="1">
      <c r="A25" s="5"/>
      <c r="B25" s="4" t="s">
        <v>170</v>
      </c>
      <c r="C25" s="5"/>
      <c r="D25" s="5"/>
      <c r="E25" s="5"/>
      <c r="F25" s="5"/>
      <c r="G25" s="5"/>
      <c r="H25" s="5"/>
      <c r="I25" s="5"/>
      <c r="J25" s="5"/>
    </row>
    <row r="26" spans="1:10" ht="26.1" customHeight="1">
      <c r="A26" s="5"/>
      <c r="B26" s="86" t="s">
        <v>171</v>
      </c>
      <c r="C26" s="86"/>
      <c r="D26" s="86"/>
      <c r="E26" s="86"/>
      <c r="F26" s="86"/>
      <c r="G26" s="86"/>
      <c r="H26" s="86"/>
      <c r="I26" s="86"/>
      <c r="J26" s="5"/>
    </row>
    <row r="27" spans="1:10" ht="12.95" customHeight="1">
      <c r="A27" s="5"/>
      <c r="B27" s="86"/>
      <c r="C27" s="86"/>
      <c r="D27" s="86"/>
      <c r="E27" s="86"/>
      <c r="F27" s="86"/>
      <c r="G27" s="86"/>
      <c r="H27" s="86"/>
      <c r="I27" s="86"/>
      <c r="J27" s="5"/>
    </row>
    <row r="28" spans="1:10" ht="12.95" customHeight="1">
      <c r="A28" s="5"/>
      <c r="B28" s="89" t="s">
        <v>2770</v>
      </c>
      <c r="C28" s="89"/>
      <c r="D28" s="89"/>
      <c r="E28" s="89"/>
      <c r="F28" s="5"/>
      <c r="G28" s="5"/>
      <c r="H28" s="5"/>
      <c r="I28" s="5"/>
      <c r="J28" s="5"/>
    </row>
    <row r="29" spans="1:10" ht="12.95" customHeight="1">
      <c r="A29" s="5"/>
      <c r="B29" s="86"/>
      <c r="C29" s="86"/>
      <c r="D29" s="86"/>
      <c r="E29" s="86"/>
      <c r="F29" s="86"/>
      <c r="G29" s="86"/>
      <c r="H29" s="86"/>
      <c r="I29" s="86"/>
      <c r="J29" s="5"/>
    </row>
    <row r="30" spans="1:10" ht="12.95" customHeight="1">
      <c r="A30" s="5"/>
      <c r="B30" s="5"/>
      <c r="C30" s="87" t="s">
        <v>2771</v>
      </c>
      <c r="D30" s="87"/>
      <c r="E30" s="87"/>
      <c r="F30" s="87"/>
      <c r="G30" s="5"/>
      <c r="H30" s="5"/>
      <c r="I30" s="5"/>
      <c r="J30" s="5"/>
    </row>
    <row r="31" spans="1:10" ht="12.95" customHeight="1">
      <c r="A31" s="5"/>
      <c r="B31" s="38" t="s">
        <v>173</v>
      </c>
      <c r="C31" s="87" t="s">
        <v>174</v>
      </c>
      <c r="D31" s="87"/>
      <c r="E31" s="87"/>
      <c r="F31" s="87"/>
      <c r="G31" s="5"/>
      <c r="H31" s="5"/>
      <c r="I31" s="5"/>
      <c r="J31" s="5"/>
    </row>
    <row r="32" spans="1:10" ht="120.95" customHeight="1">
      <c r="A32" s="5"/>
      <c r="B32" s="39"/>
      <c r="C32" s="85"/>
      <c r="D32" s="85"/>
      <c r="E32" s="5"/>
      <c r="F32" s="5"/>
      <c r="G32" s="5"/>
      <c r="H32" s="5"/>
      <c r="I32" s="5"/>
      <c r="J32" s="5"/>
    </row>
  </sheetData>
  <mergeCells count="7">
    <mergeCell ref="C31:F31"/>
    <mergeCell ref="C32:D32"/>
    <mergeCell ref="B26:I26"/>
    <mergeCell ref="B27:I27"/>
    <mergeCell ref="B28:E28"/>
    <mergeCell ref="B29:I29"/>
    <mergeCell ref="C30:F30"/>
  </mergeCells>
  <hyperlinks>
    <hyperlink ref="A1" location="AxisLongDurationFund" display="AXISLDF" xr:uid="{00000000-0004-0000-2400-000000000000}"/>
    <hyperlink ref="B1" location="AxisLongDurationFund" display="Axis Long Duration Fund" xr:uid="{00000000-0004-0000-2400-000001000000}"/>
  </hyperlinks>
  <pageMargins left="0" right="0" top="0" bottom="0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/>
  </sheetPr>
  <dimension ref="A1:J11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76</v>
      </c>
      <c r="B1" s="4" t="s">
        <v>77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417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679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2772</v>
      </c>
      <c r="B7" s="19" t="s">
        <v>2773</v>
      </c>
      <c r="C7" s="15" t="s">
        <v>2774</v>
      </c>
      <c r="D7" s="15" t="s">
        <v>2099</v>
      </c>
      <c r="E7" s="20">
        <v>18000</v>
      </c>
      <c r="F7" s="21">
        <v>88754.76</v>
      </c>
      <c r="G7" s="22">
        <v>4.1000000000000002E-2</v>
      </c>
      <c r="H7" s="23">
        <v>6.9202E-2</v>
      </c>
      <c r="I7" s="24"/>
      <c r="J7" s="5"/>
    </row>
    <row r="8" spans="1:10" ht="12.95" customHeight="1">
      <c r="A8" s="18" t="s">
        <v>1184</v>
      </c>
      <c r="B8" s="19" t="s">
        <v>1185</v>
      </c>
      <c r="C8" s="15" t="s">
        <v>1186</v>
      </c>
      <c r="D8" s="15" t="s">
        <v>1187</v>
      </c>
      <c r="E8" s="20">
        <v>10000</v>
      </c>
      <c r="F8" s="21">
        <v>49818.5</v>
      </c>
      <c r="G8" s="22">
        <v>2.3E-2</v>
      </c>
      <c r="H8" s="23">
        <v>6.9996000000000003E-2</v>
      </c>
      <c r="I8" s="24"/>
      <c r="J8" s="5"/>
    </row>
    <row r="9" spans="1:10" ht="12.95" customHeight="1">
      <c r="A9" s="18" t="s">
        <v>2775</v>
      </c>
      <c r="B9" s="19" t="s">
        <v>2776</v>
      </c>
      <c r="C9" s="15" t="s">
        <v>2777</v>
      </c>
      <c r="D9" s="15" t="s">
        <v>683</v>
      </c>
      <c r="E9" s="20">
        <v>10000</v>
      </c>
      <c r="F9" s="21">
        <v>49522.400000000001</v>
      </c>
      <c r="G9" s="22">
        <v>2.29E-2</v>
      </c>
      <c r="H9" s="23">
        <v>7.0400000000000004E-2</v>
      </c>
      <c r="I9" s="24"/>
      <c r="J9" s="5"/>
    </row>
    <row r="10" spans="1:10" ht="12.95" customHeight="1">
      <c r="A10" s="18" t="s">
        <v>2778</v>
      </c>
      <c r="B10" s="19" t="s">
        <v>2779</v>
      </c>
      <c r="C10" s="15" t="s">
        <v>2780</v>
      </c>
      <c r="D10" s="15" t="s">
        <v>1187</v>
      </c>
      <c r="E10" s="20">
        <v>10000</v>
      </c>
      <c r="F10" s="21">
        <v>49237.85</v>
      </c>
      <c r="G10" s="22">
        <v>2.2800000000000001E-2</v>
      </c>
      <c r="H10" s="23">
        <v>6.9750999999999994E-2</v>
      </c>
      <c r="I10" s="24"/>
      <c r="J10" s="5"/>
    </row>
    <row r="11" spans="1:10" ht="12.95" customHeight="1">
      <c r="A11" s="18" t="s">
        <v>2781</v>
      </c>
      <c r="B11" s="19" t="s">
        <v>2782</v>
      </c>
      <c r="C11" s="15" t="s">
        <v>2783</v>
      </c>
      <c r="D11" s="15" t="s">
        <v>1187</v>
      </c>
      <c r="E11" s="20">
        <v>9000</v>
      </c>
      <c r="F11" s="21">
        <v>44431.154999999999</v>
      </c>
      <c r="G11" s="22">
        <v>2.0500000000000001E-2</v>
      </c>
      <c r="H11" s="23">
        <v>6.9750000000000006E-2</v>
      </c>
      <c r="I11" s="24"/>
      <c r="J11" s="5"/>
    </row>
    <row r="12" spans="1:10" ht="12.95" customHeight="1">
      <c r="A12" s="18" t="s">
        <v>2784</v>
      </c>
      <c r="B12" s="19" t="s">
        <v>2785</v>
      </c>
      <c r="C12" s="15" t="s">
        <v>2786</v>
      </c>
      <c r="D12" s="15" t="s">
        <v>1187</v>
      </c>
      <c r="E12" s="20">
        <v>8500</v>
      </c>
      <c r="F12" s="21">
        <v>41982.137499999997</v>
      </c>
      <c r="G12" s="22">
        <v>1.9400000000000001E-2</v>
      </c>
      <c r="H12" s="23">
        <v>7.0349999999999996E-2</v>
      </c>
      <c r="I12" s="24"/>
      <c r="J12" s="5"/>
    </row>
    <row r="13" spans="1:10" ht="12.95" customHeight="1">
      <c r="A13" s="18" t="s">
        <v>2787</v>
      </c>
      <c r="B13" s="19" t="s">
        <v>2788</v>
      </c>
      <c r="C13" s="15" t="s">
        <v>2789</v>
      </c>
      <c r="D13" s="15" t="s">
        <v>683</v>
      </c>
      <c r="E13" s="20">
        <v>8000</v>
      </c>
      <c r="F13" s="21">
        <v>39441.440000000002</v>
      </c>
      <c r="G13" s="22">
        <v>1.8200000000000001E-2</v>
      </c>
      <c r="H13" s="23">
        <v>6.9851999999999997E-2</v>
      </c>
      <c r="I13" s="24"/>
      <c r="J13" s="5"/>
    </row>
    <row r="14" spans="1:10" ht="12.95" customHeight="1">
      <c r="A14" s="18" t="s">
        <v>2790</v>
      </c>
      <c r="B14" s="19" t="s">
        <v>2791</v>
      </c>
      <c r="C14" s="15" t="s">
        <v>2792</v>
      </c>
      <c r="D14" s="15" t="s">
        <v>683</v>
      </c>
      <c r="E14" s="20">
        <v>6000</v>
      </c>
      <c r="F14" s="21">
        <v>29817.15</v>
      </c>
      <c r="G14" s="22">
        <v>1.38E-2</v>
      </c>
      <c r="H14" s="23">
        <v>6.9946999999999995E-2</v>
      </c>
      <c r="I14" s="24"/>
      <c r="J14" s="5"/>
    </row>
    <row r="15" spans="1:10" ht="12.95" customHeight="1">
      <c r="A15" s="18" t="s">
        <v>2793</v>
      </c>
      <c r="B15" s="19" t="s">
        <v>2794</v>
      </c>
      <c r="C15" s="15" t="s">
        <v>2795</v>
      </c>
      <c r="D15" s="15" t="s">
        <v>1187</v>
      </c>
      <c r="E15" s="20">
        <v>6000</v>
      </c>
      <c r="F15" s="21">
        <v>29587.26</v>
      </c>
      <c r="G15" s="22">
        <v>1.37E-2</v>
      </c>
      <c r="H15" s="23">
        <v>6.9750000000000006E-2</v>
      </c>
      <c r="I15" s="24"/>
      <c r="J15" s="5"/>
    </row>
    <row r="16" spans="1:10" ht="12.95" customHeight="1">
      <c r="A16" s="18" t="s">
        <v>2796</v>
      </c>
      <c r="B16" s="19" t="s">
        <v>2797</v>
      </c>
      <c r="C16" s="15" t="s">
        <v>2798</v>
      </c>
      <c r="D16" s="15" t="s">
        <v>1187</v>
      </c>
      <c r="E16" s="20">
        <v>5000</v>
      </c>
      <c r="F16" s="21">
        <v>24748.974999999999</v>
      </c>
      <c r="G16" s="22">
        <v>1.14E-2</v>
      </c>
      <c r="H16" s="23">
        <v>6.9851999999999997E-2</v>
      </c>
      <c r="I16" s="24"/>
      <c r="J16" s="5"/>
    </row>
    <row r="17" spans="1:10" ht="12.95" customHeight="1">
      <c r="A17" s="18" t="s">
        <v>2799</v>
      </c>
      <c r="B17" s="19" t="s">
        <v>2800</v>
      </c>
      <c r="C17" s="15" t="s">
        <v>2801</v>
      </c>
      <c r="D17" s="15" t="s">
        <v>683</v>
      </c>
      <c r="E17" s="20">
        <v>5000</v>
      </c>
      <c r="F17" s="21">
        <v>24747.474999999999</v>
      </c>
      <c r="G17" s="22">
        <v>1.14E-2</v>
      </c>
      <c r="H17" s="23">
        <v>7.0273000000000002E-2</v>
      </c>
      <c r="I17" s="24"/>
      <c r="J17" s="5"/>
    </row>
    <row r="18" spans="1:10" ht="12.95" customHeight="1">
      <c r="A18" s="18" t="s">
        <v>2802</v>
      </c>
      <c r="B18" s="19" t="s">
        <v>2803</v>
      </c>
      <c r="C18" s="15" t="s">
        <v>2804</v>
      </c>
      <c r="D18" s="15" t="s">
        <v>683</v>
      </c>
      <c r="E18" s="20">
        <v>5000</v>
      </c>
      <c r="F18" s="21">
        <v>24742.75</v>
      </c>
      <c r="G18" s="22">
        <v>1.14E-2</v>
      </c>
      <c r="H18" s="23">
        <v>7.0276000000000005E-2</v>
      </c>
      <c r="I18" s="24"/>
      <c r="J18" s="5"/>
    </row>
    <row r="19" spans="1:10" ht="12.95" customHeight="1">
      <c r="A19" s="18" t="s">
        <v>2805</v>
      </c>
      <c r="B19" s="19" t="s">
        <v>2806</v>
      </c>
      <c r="C19" s="15" t="s">
        <v>2807</v>
      </c>
      <c r="D19" s="15" t="s">
        <v>683</v>
      </c>
      <c r="E19" s="20">
        <v>5000</v>
      </c>
      <c r="F19" s="21">
        <v>24692.85</v>
      </c>
      <c r="G19" s="22">
        <v>1.14E-2</v>
      </c>
      <c r="H19" s="23">
        <v>6.9848999999999994E-2</v>
      </c>
      <c r="I19" s="24"/>
      <c r="J19" s="5"/>
    </row>
    <row r="20" spans="1:10" ht="12.95" customHeight="1">
      <c r="A20" s="18" t="s">
        <v>2808</v>
      </c>
      <c r="B20" s="19" t="s">
        <v>2809</v>
      </c>
      <c r="C20" s="15" t="s">
        <v>2810</v>
      </c>
      <c r="D20" s="15" t="s">
        <v>1187</v>
      </c>
      <c r="E20" s="20">
        <v>3500</v>
      </c>
      <c r="F20" s="21">
        <v>17463.162499999999</v>
      </c>
      <c r="G20" s="22">
        <v>8.0999999999999996E-3</v>
      </c>
      <c r="H20" s="23">
        <v>7.0000999999999994E-2</v>
      </c>
      <c r="I20" s="24"/>
      <c r="J20" s="5"/>
    </row>
    <row r="21" spans="1:10" ht="12.95" customHeight="1">
      <c r="A21" s="18" t="s">
        <v>2811</v>
      </c>
      <c r="B21" s="19" t="s">
        <v>2812</v>
      </c>
      <c r="C21" s="15" t="s">
        <v>2813</v>
      </c>
      <c r="D21" s="15" t="s">
        <v>683</v>
      </c>
      <c r="E21" s="20">
        <v>500</v>
      </c>
      <c r="F21" s="21">
        <v>2475.5625</v>
      </c>
      <c r="G21" s="22">
        <v>1.1000000000000001E-3</v>
      </c>
      <c r="H21" s="23">
        <v>7.0649000000000003E-2</v>
      </c>
      <c r="I21" s="24"/>
      <c r="J21" s="5"/>
    </row>
    <row r="22" spans="1:10" ht="12.95" customHeight="1">
      <c r="A22" s="5"/>
      <c r="B22" s="14" t="s">
        <v>160</v>
      </c>
      <c r="C22" s="15"/>
      <c r="D22" s="15"/>
      <c r="E22" s="15"/>
      <c r="F22" s="25">
        <v>541463.42749999999</v>
      </c>
      <c r="G22" s="26">
        <v>0.25030000000000002</v>
      </c>
      <c r="H22" s="27"/>
      <c r="I22" s="28"/>
      <c r="J22" s="5"/>
    </row>
    <row r="23" spans="1:10" ht="12.95" customHeight="1">
      <c r="A23" s="5"/>
      <c r="B23" s="14" t="s">
        <v>2100</v>
      </c>
      <c r="C23" s="15"/>
      <c r="D23" s="15"/>
      <c r="E23" s="15"/>
      <c r="F23" s="5"/>
      <c r="G23" s="16"/>
      <c r="H23" s="16"/>
      <c r="I23" s="17"/>
      <c r="J23" s="5"/>
    </row>
    <row r="24" spans="1:10" ht="12.95" customHeight="1">
      <c r="A24" s="18" t="s">
        <v>2814</v>
      </c>
      <c r="B24" s="19" t="s">
        <v>2815</v>
      </c>
      <c r="C24" s="15" t="s">
        <v>2816</v>
      </c>
      <c r="D24" s="15" t="s">
        <v>2817</v>
      </c>
      <c r="E24" s="20">
        <v>19000</v>
      </c>
      <c r="F24" s="21">
        <v>93768.42</v>
      </c>
      <c r="G24" s="22">
        <v>4.3299999999999998E-2</v>
      </c>
      <c r="H24" s="23">
        <v>7.0499000000000006E-2</v>
      </c>
      <c r="I24" s="24"/>
      <c r="J24" s="5"/>
    </row>
    <row r="25" spans="1:10" ht="12.95" customHeight="1">
      <c r="A25" s="18" t="s">
        <v>2818</v>
      </c>
      <c r="B25" s="19" t="s">
        <v>2819</v>
      </c>
      <c r="C25" s="15" t="s">
        <v>2820</v>
      </c>
      <c r="D25" s="15" t="s">
        <v>2099</v>
      </c>
      <c r="E25" s="20">
        <v>18500</v>
      </c>
      <c r="F25" s="21">
        <v>91173.642500000002</v>
      </c>
      <c r="G25" s="22">
        <v>4.2099999999999999E-2</v>
      </c>
      <c r="H25" s="23">
        <v>7.0800000000000002E-2</v>
      </c>
      <c r="I25" s="24"/>
      <c r="J25" s="5"/>
    </row>
    <row r="26" spans="1:10" ht="12.95" customHeight="1">
      <c r="A26" s="18" t="s">
        <v>2821</v>
      </c>
      <c r="B26" s="19" t="s">
        <v>2822</v>
      </c>
      <c r="C26" s="15" t="s">
        <v>2823</v>
      </c>
      <c r="D26" s="15" t="s">
        <v>683</v>
      </c>
      <c r="E26" s="20">
        <v>17000</v>
      </c>
      <c r="F26" s="21">
        <v>84123.225000000006</v>
      </c>
      <c r="G26" s="22">
        <v>3.8899999999999997E-2</v>
      </c>
      <c r="H26" s="23">
        <v>7.0447999999999997E-2</v>
      </c>
      <c r="I26" s="24"/>
      <c r="J26" s="5"/>
    </row>
    <row r="27" spans="1:10" ht="12.95" customHeight="1">
      <c r="A27" s="18" t="s">
        <v>2824</v>
      </c>
      <c r="B27" s="19" t="s">
        <v>2825</v>
      </c>
      <c r="C27" s="15" t="s">
        <v>2826</v>
      </c>
      <c r="D27" s="15" t="s">
        <v>2099</v>
      </c>
      <c r="E27" s="20">
        <v>15000</v>
      </c>
      <c r="F27" s="21">
        <v>74254.2</v>
      </c>
      <c r="G27" s="22">
        <v>3.4299999999999997E-2</v>
      </c>
      <c r="H27" s="23">
        <v>7.0499999999999993E-2</v>
      </c>
      <c r="I27" s="24"/>
      <c r="J27" s="5"/>
    </row>
    <row r="28" spans="1:10" ht="12.95" customHeight="1">
      <c r="A28" s="18" t="s">
        <v>2827</v>
      </c>
      <c r="B28" s="19" t="s">
        <v>2828</v>
      </c>
      <c r="C28" s="15" t="s">
        <v>2829</v>
      </c>
      <c r="D28" s="15" t="s">
        <v>2817</v>
      </c>
      <c r="E28" s="20">
        <v>14500</v>
      </c>
      <c r="F28" s="21">
        <v>71494.787500000006</v>
      </c>
      <c r="G28" s="22">
        <v>3.3099999999999997E-2</v>
      </c>
      <c r="H28" s="23">
        <v>7.0302000000000003E-2</v>
      </c>
      <c r="I28" s="24"/>
      <c r="J28" s="5"/>
    </row>
    <row r="29" spans="1:10" ht="12.95" customHeight="1">
      <c r="A29" s="18" t="s">
        <v>2830</v>
      </c>
      <c r="B29" s="19" t="s">
        <v>2831</v>
      </c>
      <c r="C29" s="15" t="s">
        <v>2832</v>
      </c>
      <c r="D29" s="15" t="s">
        <v>683</v>
      </c>
      <c r="E29" s="20">
        <v>10000</v>
      </c>
      <c r="F29" s="21">
        <v>49712.95</v>
      </c>
      <c r="G29" s="22">
        <v>2.3E-2</v>
      </c>
      <c r="H29" s="23">
        <v>7.0251999999999995E-2</v>
      </c>
      <c r="I29" s="24"/>
      <c r="J29" s="5"/>
    </row>
    <row r="30" spans="1:10" ht="12.95" customHeight="1">
      <c r="A30" s="18" t="s">
        <v>2833</v>
      </c>
      <c r="B30" s="19" t="s">
        <v>2834</v>
      </c>
      <c r="C30" s="15" t="s">
        <v>2835</v>
      </c>
      <c r="D30" s="15" t="s">
        <v>2099</v>
      </c>
      <c r="E30" s="20">
        <v>10000</v>
      </c>
      <c r="F30" s="21">
        <v>49358.55</v>
      </c>
      <c r="G30" s="22">
        <v>2.2800000000000001E-2</v>
      </c>
      <c r="H30" s="23">
        <v>7.0800000000000002E-2</v>
      </c>
      <c r="I30" s="24"/>
      <c r="J30" s="5"/>
    </row>
    <row r="31" spans="1:10" ht="12.95" customHeight="1">
      <c r="A31" s="18" t="s">
        <v>2836</v>
      </c>
      <c r="B31" s="19" t="s">
        <v>2837</v>
      </c>
      <c r="C31" s="15" t="s">
        <v>2838</v>
      </c>
      <c r="D31" s="15" t="s">
        <v>683</v>
      </c>
      <c r="E31" s="20">
        <v>8000</v>
      </c>
      <c r="F31" s="21">
        <v>39504.04</v>
      </c>
      <c r="G31" s="22">
        <v>1.83E-2</v>
      </c>
      <c r="H31" s="23">
        <v>7.0499999999999993E-2</v>
      </c>
      <c r="I31" s="24"/>
      <c r="J31" s="5"/>
    </row>
    <row r="32" spans="1:10" ht="12.95" customHeight="1">
      <c r="A32" s="18" t="s">
        <v>2839</v>
      </c>
      <c r="B32" s="19" t="s">
        <v>2840</v>
      </c>
      <c r="C32" s="15" t="s">
        <v>2841</v>
      </c>
      <c r="D32" s="15" t="s">
        <v>683</v>
      </c>
      <c r="E32" s="20">
        <v>8000</v>
      </c>
      <c r="F32" s="21">
        <v>39376.480000000003</v>
      </c>
      <c r="G32" s="22">
        <v>1.8200000000000001E-2</v>
      </c>
      <c r="H32" s="23">
        <v>7.4098999999999998E-2</v>
      </c>
      <c r="I32" s="24"/>
      <c r="J32" s="5"/>
    </row>
    <row r="33" spans="1:10" ht="12.95" customHeight="1">
      <c r="A33" s="18" t="s">
        <v>2842</v>
      </c>
      <c r="B33" s="19" t="s">
        <v>2843</v>
      </c>
      <c r="C33" s="15" t="s">
        <v>2844</v>
      </c>
      <c r="D33" s="15" t="s">
        <v>2099</v>
      </c>
      <c r="E33" s="20">
        <v>7000</v>
      </c>
      <c r="F33" s="21">
        <v>34634.144999999997</v>
      </c>
      <c r="G33" s="22">
        <v>1.6E-2</v>
      </c>
      <c r="H33" s="23">
        <v>7.4147000000000005E-2</v>
      </c>
      <c r="I33" s="24"/>
      <c r="J33" s="5"/>
    </row>
    <row r="34" spans="1:10" ht="12.95" customHeight="1">
      <c r="A34" s="18" t="s">
        <v>2845</v>
      </c>
      <c r="B34" s="19" t="s">
        <v>2846</v>
      </c>
      <c r="C34" s="15" t="s">
        <v>2847</v>
      </c>
      <c r="D34" s="15" t="s">
        <v>683</v>
      </c>
      <c r="E34" s="20">
        <v>7000</v>
      </c>
      <c r="F34" s="21">
        <v>34487.565000000002</v>
      </c>
      <c r="G34" s="22">
        <v>1.5900000000000001E-2</v>
      </c>
      <c r="H34" s="23">
        <v>7.3289000000000007E-2</v>
      </c>
      <c r="I34" s="24"/>
      <c r="J34" s="5"/>
    </row>
    <row r="35" spans="1:10" ht="12.95" customHeight="1">
      <c r="A35" s="18" t="s">
        <v>2848</v>
      </c>
      <c r="B35" s="19" t="s">
        <v>2849</v>
      </c>
      <c r="C35" s="15" t="s">
        <v>2850</v>
      </c>
      <c r="D35" s="15" t="s">
        <v>2817</v>
      </c>
      <c r="E35" s="20">
        <v>6500</v>
      </c>
      <c r="F35" s="21">
        <v>32141.232499999998</v>
      </c>
      <c r="G35" s="22">
        <v>1.49E-2</v>
      </c>
      <c r="H35" s="23">
        <v>7.0248000000000005E-2</v>
      </c>
      <c r="I35" s="24"/>
      <c r="J35" s="5"/>
    </row>
    <row r="36" spans="1:10" ht="12.95" customHeight="1">
      <c r="A36" s="18" t="s">
        <v>2851</v>
      </c>
      <c r="B36" s="19" t="s">
        <v>2852</v>
      </c>
      <c r="C36" s="15" t="s">
        <v>2853</v>
      </c>
      <c r="D36" s="15" t="s">
        <v>683</v>
      </c>
      <c r="E36" s="20">
        <v>6000</v>
      </c>
      <c r="F36" s="21">
        <v>29712.84</v>
      </c>
      <c r="G36" s="22">
        <v>1.37E-2</v>
      </c>
      <c r="H36" s="23">
        <v>7.0551000000000003E-2</v>
      </c>
      <c r="I36" s="24"/>
      <c r="J36" s="5"/>
    </row>
    <row r="37" spans="1:10" ht="12.95" customHeight="1">
      <c r="A37" s="18" t="s">
        <v>2854</v>
      </c>
      <c r="B37" s="19" t="s">
        <v>2855</v>
      </c>
      <c r="C37" s="15" t="s">
        <v>2856</v>
      </c>
      <c r="D37" s="15" t="s">
        <v>2099</v>
      </c>
      <c r="E37" s="20">
        <v>6000</v>
      </c>
      <c r="F37" s="21">
        <v>29698.35</v>
      </c>
      <c r="G37" s="22">
        <v>1.37E-2</v>
      </c>
      <c r="H37" s="23">
        <v>7.4150999999999995E-2</v>
      </c>
      <c r="I37" s="24"/>
      <c r="J37" s="5"/>
    </row>
    <row r="38" spans="1:10" ht="12.95" customHeight="1">
      <c r="A38" s="18" t="s">
        <v>2857</v>
      </c>
      <c r="B38" s="19" t="s">
        <v>2858</v>
      </c>
      <c r="C38" s="15" t="s">
        <v>2859</v>
      </c>
      <c r="D38" s="15" t="s">
        <v>683</v>
      </c>
      <c r="E38" s="20">
        <v>6000</v>
      </c>
      <c r="F38" s="21">
        <v>29633.94</v>
      </c>
      <c r="G38" s="22">
        <v>1.37E-2</v>
      </c>
      <c r="H38" s="23">
        <v>7.0452000000000001E-2</v>
      </c>
      <c r="I38" s="24"/>
      <c r="J38" s="5"/>
    </row>
    <row r="39" spans="1:10" ht="12.95" customHeight="1">
      <c r="A39" s="18" t="s">
        <v>2860</v>
      </c>
      <c r="B39" s="19" t="s">
        <v>2861</v>
      </c>
      <c r="C39" s="15" t="s">
        <v>2862</v>
      </c>
      <c r="D39" s="15" t="s">
        <v>2817</v>
      </c>
      <c r="E39" s="20">
        <v>5000</v>
      </c>
      <c r="F39" s="21">
        <v>24924.575000000001</v>
      </c>
      <c r="G39" s="22">
        <v>1.15E-2</v>
      </c>
      <c r="H39" s="23">
        <v>7.3649999999999993E-2</v>
      </c>
      <c r="I39" s="24"/>
      <c r="J39" s="5"/>
    </row>
    <row r="40" spans="1:10" ht="12.95" customHeight="1">
      <c r="A40" s="18" t="s">
        <v>2863</v>
      </c>
      <c r="B40" s="19" t="s">
        <v>2864</v>
      </c>
      <c r="C40" s="15" t="s">
        <v>2865</v>
      </c>
      <c r="D40" s="15" t="s">
        <v>683</v>
      </c>
      <c r="E40" s="20">
        <v>5000</v>
      </c>
      <c r="F40" s="21">
        <v>24924.45</v>
      </c>
      <c r="G40" s="22">
        <v>1.15E-2</v>
      </c>
      <c r="H40" s="23">
        <v>7.3758000000000004E-2</v>
      </c>
      <c r="I40" s="24"/>
      <c r="J40" s="5"/>
    </row>
    <row r="41" spans="1:10" ht="12.95" customHeight="1">
      <c r="A41" s="18" t="s">
        <v>2866</v>
      </c>
      <c r="B41" s="19" t="s">
        <v>2867</v>
      </c>
      <c r="C41" s="15" t="s">
        <v>2868</v>
      </c>
      <c r="D41" s="15" t="s">
        <v>683</v>
      </c>
      <c r="E41" s="20">
        <v>5000</v>
      </c>
      <c r="F41" s="21">
        <v>24889</v>
      </c>
      <c r="G41" s="22">
        <v>1.15E-2</v>
      </c>
      <c r="H41" s="23">
        <v>7.4000999999999997E-2</v>
      </c>
      <c r="I41" s="24"/>
      <c r="J41" s="5"/>
    </row>
    <row r="42" spans="1:10" ht="12.95" customHeight="1">
      <c r="A42" s="18" t="s">
        <v>2869</v>
      </c>
      <c r="B42" s="19" t="s">
        <v>2870</v>
      </c>
      <c r="C42" s="15" t="s">
        <v>2871</v>
      </c>
      <c r="D42" s="15" t="s">
        <v>683</v>
      </c>
      <c r="E42" s="20">
        <v>5000</v>
      </c>
      <c r="F42" s="21">
        <v>24875.174999999999</v>
      </c>
      <c r="G42" s="22">
        <v>1.15E-2</v>
      </c>
      <c r="H42" s="23">
        <v>7.0453000000000002E-2</v>
      </c>
      <c r="I42" s="24"/>
      <c r="J42" s="5"/>
    </row>
    <row r="43" spans="1:10" ht="12.95" customHeight="1">
      <c r="A43" s="18" t="s">
        <v>2872</v>
      </c>
      <c r="B43" s="19" t="s">
        <v>2873</v>
      </c>
      <c r="C43" s="15" t="s">
        <v>2874</v>
      </c>
      <c r="D43" s="15" t="s">
        <v>683</v>
      </c>
      <c r="E43" s="20">
        <v>5000</v>
      </c>
      <c r="F43" s="21">
        <v>24808.625</v>
      </c>
      <c r="G43" s="22">
        <v>1.15E-2</v>
      </c>
      <c r="H43" s="23">
        <v>7.4099999999999999E-2</v>
      </c>
      <c r="I43" s="24"/>
      <c r="J43" s="5"/>
    </row>
    <row r="44" spans="1:10" ht="12.95" customHeight="1">
      <c r="A44" s="18" t="s">
        <v>2875</v>
      </c>
      <c r="B44" s="19" t="s">
        <v>2876</v>
      </c>
      <c r="C44" s="15" t="s">
        <v>2877</v>
      </c>
      <c r="D44" s="15" t="s">
        <v>683</v>
      </c>
      <c r="E44" s="20">
        <v>5000</v>
      </c>
      <c r="F44" s="21">
        <v>24743.825000000001</v>
      </c>
      <c r="G44" s="22">
        <v>1.14E-2</v>
      </c>
      <c r="H44" s="23">
        <v>7.4098999999999998E-2</v>
      </c>
      <c r="I44" s="24"/>
      <c r="J44" s="5"/>
    </row>
    <row r="45" spans="1:10" ht="12.95" customHeight="1">
      <c r="A45" s="18" t="s">
        <v>2878</v>
      </c>
      <c r="B45" s="19" t="s">
        <v>2879</v>
      </c>
      <c r="C45" s="15" t="s">
        <v>2880</v>
      </c>
      <c r="D45" s="15" t="s">
        <v>683</v>
      </c>
      <c r="E45" s="20">
        <v>5000</v>
      </c>
      <c r="F45" s="21">
        <v>24729.1</v>
      </c>
      <c r="G45" s="22">
        <v>1.14E-2</v>
      </c>
      <c r="H45" s="23">
        <v>7.4049000000000004E-2</v>
      </c>
      <c r="I45" s="24"/>
      <c r="J45" s="5"/>
    </row>
    <row r="46" spans="1:10" ht="12.95" customHeight="1">
      <c r="A46" s="18" t="s">
        <v>2881</v>
      </c>
      <c r="B46" s="19" t="s">
        <v>2882</v>
      </c>
      <c r="C46" s="15" t="s">
        <v>2883</v>
      </c>
      <c r="D46" s="15" t="s">
        <v>683</v>
      </c>
      <c r="E46" s="20">
        <v>5000</v>
      </c>
      <c r="F46" s="21">
        <v>24709.45</v>
      </c>
      <c r="G46" s="22">
        <v>1.14E-2</v>
      </c>
      <c r="H46" s="23">
        <v>7.4001999999999998E-2</v>
      </c>
      <c r="I46" s="24"/>
      <c r="J46" s="5"/>
    </row>
    <row r="47" spans="1:10" ht="12.95" customHeight="1">
      <c r="A47" s="18" t="s">
        <v>2101</v>
      </c>
      <c r="B47" s="19" t="s">
        <v>2102</v>
      </c>
      <c r="C47" s="15" t="s">
        <v>2103</v>
      </c>
      <c r="D47" s="15" t="s">
        <v>683</v>
      </c>
      <c r="E47" s="20">
        <v>5000</v>
      </c>
      <c r="F47" s="21">
        <v>24679.35</v>
      </c>
      <c r="G47" s="22">
        <v>1.14E-2</v>
      </c>
      <c r="H47" s="23">
        <v>7.4102000000000001E-2</v>
      </c>
      <c r="I47" s="24"/>
      <c r="J47" s="5"/>
    </row>
    <row r="48" spans="1:10" ht="12.95" customHeight="1">
      <c r="A48" s="18" t="s">
        <v>2884</v>
      </c>
      <c r="B48" s="19" t="s">
        <v>2885</v>
      </c>
      <c r="C48" s="15" t="s">
        <v>2886</v>
      </c>
      <c r="D48" s="15" t="s">
        <v>2817</v>
      </c>
      <c r="E48" s="20">
        <v>4000</v>
      </c>
      <c r="F48" s="21">
        <v>19846.66</v>
      </c>
      <c r="G48" s="22">
        <v>9.1999999999999998E-3</v>
      </c>
      <c r="H48" s="23">
        <v>7.0499999999999993E-2</v>
      </c>
      <c r="I48" s="24"/>
      <c r="J48" s="5"/>
    </row>
    <row r="49" spans="1:10" ht="12.95" customHeight="1">
      <c r="A49" s="18" t="s">
        <v>2887</v>
      </c>
      <c r="B49" s="19" t="s">
        <v>2888</v>
      </c>
      <c r="C49" s="15" t="s">
        <v>2889</v>
      </c>
      <c r="D49" s="15" t="s">
        <v>683</v>
      </c>
      <c r="E49" s="20">
        <v>4000</v>
      </c>
      <c r="F49" s="21">
        <v>19770.88</v>
      </c>
      <c r="G49" s="22">
        <v>9.1000000000000004E-3</v>
      </c>
      <c r="H49" s="23">
        <v>7.0499999999999993E-2</v>
      </c>
      <c r="I49" s="24"/>
      <c r="J49" s="5"/>
    </row>
    <row r="50" spans="1:10" ht="12.95" customHeight="1">
      <c r="A50" s="18" t="s">
        <v>2890</v>
      </c>
      <c r="B50" s="19" t="s">
        <v>2891</v>
      </c>
      <c r="C50" s="15" t="s">
        <v>2892</v>
      </c>
      <c r="D50" s="15" t="s">
        <v>683</v>
      </c>
      <c r="E50" s="20">
        <v>4000</v>
      </c>
      <c r="F50" s="21">
        <v>19763.439999999999</v>
      </c>
      <c r="G50" s="22">
        <v>9.1000000000000004E-3</v>
      </c>
      <c r="H50" s="23">
        <v>7.4049000000000004E-2</v>
      </c>
      <c r="I50" s="24"/>
      <c r="J50" s="5"/>
    </row>
    <row r="51" spans="1:10" ht="12.95" customHeight="1">
      <c r="A51" s="18" t="s">
        <v>2893</v>
      </c>
      <c r="B51" s="19" t="s">
        <v>2894</v>
      </c>
      <c r="C51" s="15" t="s">
        <v>2895</v>
      </c>
      <c r="D51" s="15" t="s">
        <v>683</v>
      </c>
      <c r="E51" s="20">
        <v>4000</v>
      </c>
      <c r="F51" s="21">
        <v>19732.72</v>
      </c>
      <c r="G51" s="22">
        <v>9.1000000000000004E-3</v>
      </c>
      <c r="H51" s="23">
        <v>8.2399E-2</v>
      </c>
      <c r="I51" s="24"/>
      <c r="J51" s="5"/>
    </row>
    <row r="52" spans="1:10" ht="12.95" customHeight="1">
      <c r="A52" s="18" t="s">
        <v>2896</v>
      </c>
      <c r="B52" s="19" t="s">
        <v>2897</v>
      </c>
      <c r="C52" s="15" t="s">
        <v>2898</v>
      </c>
      <c r="D52" s="15" t="s">
        <v>683</v>
      </c>
      <c r="E52" s="20">
        <v>4000</v>
      </c>
      <c r="F52" s="21">
        <v>19732.68</v>
      </c>
      <c r="G52" s="22">
        <v>9.1000000000000004E-3</v>
      </c>
      <c r="H52" s="23">
        <v>7.3800000000000004E-2</v>
      </c>
      <c r="I52" s="24"/>
      <c r="J52" s="5"/>
    </row>
    <row r="53" spans="1:10" ht="12.95" customHeight="1">
      <c r="A53" s="18" t="s">
        <v>2899</v>
      </c>
      <c r="B53" s="19" t="s">
        <v>2900</v>
      </c>
      <c r="C53" s="15" t="s">
        <v>2901</v>
      </c>
      <c r="D53" s="15" t="s">
        <v>2817</v>
      </c>
      <c r="E53" s="20">
        <v>4000</v>
      </c>
      <c r="F53" s="21">
        <v>19676.22</v>
      </c>
      <c r="G53" s="22">
        <v>9.1000000000000004E-3</v>
      </c>
      <c r="H53" s="23">
        <v>7.4150999999999995E-2</v>
      </c>
      <c r="I53" s="24"/>
      <c r="J53" s="5"/>
    </row>
    <row r="54" spans="1:10" ht="12.95" customHeight="1">
      <c r="A54" s="18" t="s">
        <v>2902</v>
      </c>
      <c r="B54" s="19" t="s">
        <v>2903</v>
      </c>
      <c r="C54" s="15" t="s">
        <v>2904</v>
      </c>
      <c r="D54" s="15" t="s">
        <v>683</v>
      </c>
      <c r="E54" s="20">
        <v>3000</v>
      </c>
      <c r="F54" s="21">
        <v>14921.295</v>
      </c>
      <c r="G54" s="22">
        <v>6.8999999999999999E-3</v>
      </c>
      <c r="H54" s="23">
        <v>7.4054999999999996E-2</v>
      </c>
      <c r="I54" s="24"/>
      <c r="J54" s="5"/>
    </row>
    <row r="55" spans="1:10" ht="12.95" customHeight="1">
      <c r="A55" s="18" t="s">
        <v>2905</v>
      </c>
      <c r="B55" s="19" t="s">
        <v>2906</v>
      </c>
      <c r="C55" s="15" t="s">
        <v>2907</v>
      </c>
      <c r="D55" s="15" t="s">
        <v>683</v>
      </c>
      <c r="E55" s="20">
        <v>3000</v>
      </c>
      <c r="F55" s="21">
        <v>14851.695</v>
      </c>
      <c r="G55" s="22">
        <v>6.8999999999999999E-3</v>
      </c>
      <c r="H55" s="23">
        <v>7.2900000000000006E-2</v>
      </c>
      <c r="I55" s="24"/>
      <c r="J55" s="5"/>
    </row>
    <row r="56" spans="1:10" ht="12.95" customHeight="1">
      <c r="A56" s="18" t="s">
        <v>2908</v>
      </c>
      <c r="B56" s="19" t="s">
        <v>2909</v>
      </c>
      <c r="C56" s="15" t="s">
        <v>2910</v>
      </c>
      <c r="D56" s="15" t="s">
        <v>683</v>
      </c>
      <c r="E56" s="20">
        <v>3000</v>
      </c>
      <c r="F56" s="21">
        <v>14851.035</v>
      </c>
      <c r="G56" s="22">
        <v>6.8999999999999999E-3</v>
      </c>
      <c r="H56" s="23">
        <v>7.7896999999999994E-2</v>
      </c>
      <c r="I56" s="24"/>
      <c r="J56" s="5"/>
    </row>
    <row r="57" spans="1:10" ht="12.95" customHeight="1">
      <c r="A57" s="18" t="s">
        <v>2911</v>
      </c>
      <c r="B57" s="19" t="s">
        <v>2912</v>
      </c>
      <c r="C57" s="15" t="s">
        <v>2913</v>
      </c>
      <c r="D57" s="15" t="s">
        <v>683</v>
      </c>
      <c r="E57" s="20">
        <v>3000</v>
      </c>
      <c r="F57" s="21">
        <v>14832.03</v>
      </c>
      <c r="G57" s="22">
        <v>6.8999999999999999E-3</v>
      </c>
      <c r="H57" s="23">
        <v>7.6550999999999994E-2</v>
      </c>
      <c r="I57" s="24"/>
      <c r="J57" s="5"/>
    </row>
    <row r="58" spans="1:10" ht="12.95" customHeight="1">
      <c r="A58" s="18" t="s">
        <v>2914</v>
      </c>
      <c r="B58" s="19" t="s">
        <v>2915</v>
      </c>
      <c r="C58" s="15" t="s">
        <v>2916</v>
      </c>
      <c r="D58" s="15" t="s">
        <v>683</v>
      </c>
      <c r="E58" s="20">
        <v>3000</v>
      </c>
      <c r="F58" s="21">
        <v>14825.445</v>
      </c>
      <c r="G58" s="22">
        <v>6.8999999999999999E-3</v>
      </c>
      <c r="H58" s="23">
        <v>7.0451E-2</v>
      </c>
      <c r="I58" s="24"/>
      <c r="J58" s="5"/>
    </row>
    <row r="59" spans="1:10" ht="12.95" customHeight="1">
      <c r="A59" s="18" t="s">
        <v>2917</v>
      </c>
      <c r="B59" s="19" t="s">
        <v>2918</v>
      </c>
      <c r="C59" s="15" t="s">
        <v>2919</v>
      </c>
      <c r="D59" s="15" t="s">
        <v>683</v>
      </c>
      <c r="E59" s="20">
        <v>3000</v>
      </c>
      <c r="F59" s="21">
        <v>14820.54</v>
      </c>
      <c r="G59" s="22">
        <v>6.8999999999999999E-3</v>
      </c>
      <c r="H59" s="23">
        <v>8.1850000000000006E-2</v>
      </c>
      <c r="I59" s="24"/>
      <c r="J59" s="5"/>
    </row>
    <row r="60" spans="1:10" ht="12.95" customHeight="1">
      <c r="A60" s="18" t="s">
        <v>2920</v>
      </c>
      <c r="B60" s="19" t="s">
        <v>2921</v>
      </c>
      <c r="C60" s="15" t="s">
        <v>2922</v>
      </c>
      <c r="D60" s="15" t="s">
        <v>683</v>
      </c>
      <c r="E60" s="20">
        <v>3000</v>
      </c>
      <c r="F60" s="21">
        <v>14794.26</v>
      </c>
      <c r="G60" s="22">
        <v>6.7999999999999996E-3</v>
      </c>
      <c r="H60" s="23">
        <v>7.0500999999999994E-2</v>
      </c>
      <c r="I60" s="24"/>
      <c r="J60" s="5"/>
    </row>
    <row r="61" spans="1:10" ht="12.95" customHeight="1">
      <c r="A61" s="18" t="s">
        <v>2923</v>
      </c>
      <c r="B61" s="19" t="s">
        <v>2924</v>
      </c>
      <c r="C61" s="15" t="s">
        <v>2925</v>
      </c>
      <c r="D61" s="15" t="s">
        <v>683</v>
      </c>
      <c r="E61" s="20">
        <v>2500</v>
      </c>
      <c r="F61" s="21">
        <v>12321.1625</v>
      </c>
      <c r="G61" s="22">
        <v>5.7000000000000002E-3</v>
      </c>
      <c r="H61" s="23">
        <v>8.8298000000000001E-2</v>
      </c>
      <c r="I61" s="24"/>
      <c r="J61" s="5"/>
    </row>
    <row r="62" spans="1:10" ht="12.95" customHeight="1">
      <c r="A62" s="18" t="s">
        <v>2926</v>
      </c>
      <c r="B62" s="19" t="s">
        <v>2927</v>
      </c>
      <c r="C62" s="15" t="s">
        <v>2928</v>
      </c>
      <c r="D62" s="15" t="s">
        <v>1187</v>
      </c>
      <c r="E62" s="20">
        <v>2000</v>
      </c>
      <c r="F62" s="21">
        <v>9981.34</v>
      </c>
      <c r="G62" s="22">
        <v>4.5999999999999999E-3</v>
      </c>
      <c r="H62" s="23">
        <v>7.5838000000000003E-2</v>
      </c>
      <c r="I62" s="24"/>
      <c r="J62" s="5"/>
    </row>
    <row r="63" spans="1:10" ht="12.95" customHeight="1">
      <c r="A63" s="18" t="s">
        <v>2929</v>
      </c>
      <c r="B63" s="19" t="s">
        <v>2930</v>
      </c>
      <c r="C63" s="15" t="s">
        <v>2931</v>
      </c>
      <c r="D63" s="15" t="s">
        <v>1187</v>
      </c>
      <c r="E63" s="20">
        <v>2000</v>
      </c>
      <c r="F63" s="21">
        <v>9966.86</v>
      </c>
      <c r="G63" s="22">
        <v>4.5999999999999999E-3</v>
      </c>
      <c r="H63" s="23">
        <v>7.5852000000000003E-2</v>
      </c>
      <c r="I63" s="24"/>
      <c r="J63" s="5"/>
    </row>
    <row r="64" spans="1:10" ht="12.95" customHeight="1">
      <c r="A64" s="18" t="s">
        <v>2932</v>
      </c>
      <c r="B64" s="19" t="s">
        <v>2933</v>
      </c>
      <c r="C64" s="15" t="s">
        <v>2934</v>
      </c>
      <c r="D64" s="15" t="s">
        <v>1187</v>
      </c>
      <c r="E64" s="20">
        <v>2000</v>
      </c>
      <c r="F64" s="21">
        <v>9963.5</v>
      </c>
      <c r="G64" s="22">
        <v>4.5999999999999999E-3</v>
      </c>
      <c r="H64" s="23">
        <v>7.8655000000000003E-2</v>
      </c>
      <c r="I64" s="24"/>
      <c r="J64" s="5"/>
    </row>
    <row r="65" spans="1:10" ht="12.95" customHeight="1">
      <c r="A65" s="18" t="s">
        <v>2935</v>
      </c>
      <c r="B65" s="19" t="s">
        <v>2936</v>
      </c>
      <c r="C65" s="15" t="s">
        <v>2937</v>
      </c>
      <c r="D65" s="15" t="s">
        <v>2817</v>
      </c>
      <c r="E65" s="20">
        <v>2000</v>
      </c>
      <c r="F65" s="21">
        <v>9921.4</v>
      </c>
      <c r="G65" s="22">
        <v>4.5999999999999999E-3</v>
      </c>
      <c r="H65" s="23">
        <v>7.4149000000000007E-2</v>
      </c>
      <c r="I65" s="24"/>
      <c r="J65" s="5"/>
    </row>
    <row r="66" spans="1:10" ht="12.95" customHeight="1">
      <c r="A66" s="18" t="s">
        <v>2938</v>
      </c>
      <c r="B66" s="19" t="s">
        <v>2939</v>
      </c>
      <c r="C66" s="15" t="s">
        <v>2940</v>
      </c>
      <c r="D66" s="15" t="s">
        <v>2817</v>
      </c>
      <c r="E66" s="20">
        <v>2000</v>
      </c>
      <c r="F66" s="21">
        <v>9894.14</v>
      </c>
      <c r="G66" s="22">
        <v>4.5999999999999999E-3</v>
      </c>
      <c r="H66" s="23">
        <v>7.5101000000000001E-2</v>
      </c>
      <c r="I66" s="24"/>
      <c r="J66" s="5"/>
    </row>
    <row r="67" spans="1:10" ht="12.95" customHeight="1">
      <c r="A67" s="18" t="s">
        <v>2941</v>
      </c>
      <c r="B67" s="19" t="s">
        <v>2942</v>
      </c>
      <c r="C67" s="15" t="s">
        <v>2943</v>
      </c>
      <c r="D67" s="15" t="s">
        <v>683</v>
      </c>
      <c r="E67" s="20">
        <v>2000</v>
      </c>
      <c r="F67" s="21">
        <v>9890.24</v>
      </c>
      <c r="G67" s="22">
        <v>4.5999999999999999E-3</v>
      </c>
      <c r="H67" s="23">
        <v>7.7901999999999999E-2</v>
      </c>
      <c r="I67" s="24"/>
      <c r="J67" s="5"/>
    </row>
    <row r="68" spans="1:10" ht="12.95" customHeight="1">
      <c r="A68" s="18" t="s">
        <v>2944</v>
      </c>
      <c r="B68" s="19" t="s">
        <v>2945</v>
      </c>
      <c r="C68" s="15" t="s">
        <v>2946</v>
      </c>
      <c r="D68" s="15" t="s">
        <v>683</v>
      </c>
      <c r="E68" s="20">
        <v>2000</v>
      </c>
      <c r="F68" s="21">
        <v>9857.75</v>
      </c>
      <c r="G68" s="22">
        <v>4.5999999999999999E-3</v>
      </c>
      <c r="H68" s="23">
        <v>8.2300999999999999E-2</v>
      </c>
      <c r="I68" s="24"/>
      <c r="J68" s="5"/>
    </row>
    <row r="69" spans="1:10" ht="12.95" customHeight="1">
      <c r="A69" s="18" t="s">
        <v>2947</v>
      </c>
      <c r="B69" s="19" t="s">
        <v>2948</v>
      </c>
      <c r="C69" s="15" t="s">
        <v>2949</v>
      </c>
      <c r="D69" s="15" t="s">
        <v>683</v>
      </c>
      <c r="E69" s="20">
        <v>2000</v>
      </c>
      <c r="F69" s="21">
        <v>9844.23</v>
      </c>
      <c r="G69" s="22">
        <v>4.5999999999999999E-3</v>
      </c>
      <c r="H69" s="23">
        <v>7.8048000000000006E-2</v>
      </c>
      <c r="I69" s="24"/>
      <c r="J69" s="5"/>
    </row>
    <row r="70" spans="1:10" ht="12.95" customHeight="1">
      <c r="A70" s="18" t="s">
        <v>2950</v>
      </c>
      <c r="B70" s="19" t="s">
        <v>2951</v>
      </c>
      <c r="C70" s="15" t="s">
        <v>2952</v>
      </c>
      <c r="D70" s="15" t="s">
        <v>683</v>
      </c>
      <c r="E70" s="20">
        <v>2000</v>
      </c>
      <c r="F70" s="21">
        <v>9840.19</v>
      </c>
      <c r="G70" s="22">
        <v>4.4999999999999997E-3</v>
      </c>
      <c r="H70" s="23">
        <v>7.4099999999999999E-2</v>
      </c>
      <c r="I70" s="24"/>
      <c r="J70" s="5"/>
    </row>
    <row r="71" spans="1:10" ht="12.95" customHeight="1">
      <c r="A71" s="18" t="s">
        <v>2953</v>
      </c>
      <c r="B71" s="19" t="s">
        <v>2954</v>
      </c>
      <c r="C71" s="15" t="s">
        <v>2955</v>
      </c>
      <c r="D71" s="15" t="s">
        <v>683</v>
      </c>
      <c r="E71" s="20">
        <v>2000</v>
      </c>
      <c r="F71" s="21">
        <v>9836.23</v>
      </c>
      <c r="G71" s="22">
        <v>4.4999999999999997E-3</v>
      </c>
      <c r="H71" s="23">
        <v>8.3251000000000006E-2</v>
      </c>
      <c r="I71" s="24"/>
      <c r="J71" s="5"/>
    </row>
    <row r="72" spans="1:10" ht="12.95" customHeight="1">
      <c r="A72" s="18" t="s">
        <v>2956</v>
      </c>
      <c r="B72" s="19" t="s">
        <v>2957</v>
      </c>
      <c r="C72" s="15" t="s">
        <v>2958</v>
      </c>
      <c r="D72" s="15" t="s">
        <v>683</v>
      </c>
      <c r="E72" s="20">
        <v>1600</v>
      </c>
      <c r="F72" s="21">
        <v>7951.6080000000002</v>
      </c>
      <c r="G72" s="22">
        <v>3.7000000000000002E-3</v>
      </c>
      <c r="H72" s="23">
        <v>7.4050000000000005E-2</v>
      </c>
      <c r="I72" s="24"/>
      <c r="J72" s="5"/>
    </row>
    <row r="73" spans="1:10" ht="12.95" customHeight="1">
      <c r="A73" s="18" t="s">
        <v>2959</v>
      </c>
      <c r="B73" s="19" t="s">
        <v>2960</v>
      </c>
      <c r="C73" s="15" t="s">
        <v>2961</v>
      </c>
      <c r="D73" s="15" t="s">
        <v>683</v>
      </c>
      <c r="E73" s="20">
        <v>1500</v>
      </c>
      <c r="F73" s="21">
        <v>7456.0349999999999</v>
      </c>
      <c r="G73" s="22">
        <v>3.3999999999999998E-3</v>
      </c>
      <c r="H73" s="23">
        <v>7.1748000000000006E-2</v>
      </c>
      <c r="I73" s="24"/>
      <c r="J73" s="5"/>
    </row>
    <row r="74" spans="1:10" ht="12.95" customHeight="1">
      <c r="A74" s="18" t="s">
        <v>2962</v>
      </c>
      <c r="B74" s="19" t="s">
        <v>2963</v>
      </c>
      <c r="C74" s="15" t="s">
        <v>2964</v>
      </c>
      <c r="D74" s="15" t="s">
        <v>2817</v>
      </c>
      <c r="E74" s="20">
        <v>1500</v>
      </c>
      <c r="F74" s="21">
        <v>7396.65</v>
      </c>
      <c r="G74" s="22">
        <v>3.3999999999999998E-3</v>
      </c>
      <c r="H74" s="23">
        <v>8.5000000000000006E-2</v>
      </c>
      <c r="I74" s="24"/>
      <c r="J74" s="5"/>
    </row>
    <row r="75" spans="1:10" ht="12.95" customHeight="1">
      <c r="A75" s="18" t="s">
        <v>2965</v>
      </c>
      <c r="B75" s="19" t="s">
        <v>2966</v>
      </c>
      <c r="C75" s="15" t="s">
        <v>2967</v>
      </c>
      <c r="D75" s="15" t="s">
        <v>683</v>
      </c>
      <c r="E75" s="20">
        <v>1000</v>
      </c>
      <c r="F75" s="21">
        <v>4983.01</v>
      </c>
      <c r="G75" s="22">
        <v>2.3E-3</v>
      </c>
      <c r="H75" s="23">
        <v>7.3205999999999993E-2</v>
      </c>
      <c r="I75" s="24"/>
      <c r="J75" s="5"/>
    </row>
    <row r="76" spans="1:10" ht="12.95" customHeight="1">
      <c r="A76" s="18" t="s">
        <v>2968</v>
      </c>
      <c r="B76" s="19" t="s">
        <v>2969</v>
      </c>
      <c r="C76" s="15" t="s">
        <v>2970</v>
      </c>
      <c r="D76" s="15" t="s">
        <v>2817</v>
      </c>
      <c r="E76" s="20">
        <v>1000</v>
      </c>
      <c r="F76" s="21">
        <v>4959.8900000000003</v>
      </c>
      <c r="G76" s="22">
        <v>2.3E-3</v>
      </c>
      <c r="H76" s="23">
        <v>7.3797000000000001E-2</v>
      </c>
      <c r="I76" s="24"/>
      <c r="J76" s="5"/>
    </row>
    <row r="77" spans="1:10" ht="12.95" customHeight="1">
      <c r="A77" s="18" t="s">
        <v>2971</v>
      </c>
      <c r="B77" s="19" t="s">
        <v>2972</v>
      </c>
      <c r="C77" s="15" t="s">
        <v>2973</v>
      </c>
      <c r="D77" s="15" t="s">
        <v>683</v>
      </c>
      <c r="E77" s="20">
        <v>1000</v>
      </c>
      <c r="F77" s="21">
        <v>4929.51</v>
      </c>
      <c r="G77" s="22">
        <v>2.3E-3</v>
      </c>
      <c r="H77" s="23">
        <v>7.7900999999999998E-2</v>
      </c>
      <c r="I77" s="24"/>
      <c r="J77" s="5"/>
    </row>
    <row r="78" spans="1:10" ht="12.95" customHeight="1">
      <c r="A78" s="18" t="s">
        <v>2974</v>
      </c>
      <c r="B78" s="19" t="s">
        <v>2975</v>
      </c>
      <c r="C78" s="15" t="s">
        <v>2976</v>
      </c>
      <c r="D78" s="15" t="s">
        <v>683</v>
      </c>
      <c r="E78" s="20">
        <v>700</v>
      </c>
      <c r="F78" s="21">
        <v>3478.076</v>
      </c>
      <c r="G78" s="22">
        <v>1.6000000000000001E-3</v>
      </c>
      <c r="H78" s="23">
        <v>7.1899000000000005E-2</v>
      </c>
      <c r="I78" s="24"/>
      <c r="J78" s="5"/>
    </row>
    <row r="79" spans="1:10" ht="12.95" customHeight="1">
      <c r="A79" s="18" t="s">
        <v>2977</v>
      </c>
      <c r="B79" s="19" t="s">
        <v>2978</v>
      </c>
      <c r="C79" s="15" t="s">
        <v>2979</v>
      </c>
      <c r="D79" s="15" t="s">
        <v>683</v>
      </c>
      <c r="E79" s="20">
        <v>600</v>
      </c>
      <c r="F79" s="21">
        <v>2981.8530000000001</v>
      </c>
      <c r="G79" s="22">
        <v>1.4E-3</v>
      </c>
      <c r="H79" s="23">
        <v>7.4050000000000005E-2</v>
      </c>
      <c r="I79" s="24"/>
      <c r="J79" s="5"/>
    </row>
    <row r="80" spans="1:10" ht="12.95" customHeight="1">
      <c r="A80" s="18" t="s">
        <v>2980</v>
      </c>
      <c r="B80" s="19" t="s">
        <v>2981</v>
      </c>
      <c r="C80" s="15" t="s">
        <v>2982</v>
      </c>
      <c r="D80" s="15" t="s">
        <v>2099</v>
      </c>
      <c r="E80" s="20">
        <v>500</v>
      </c>
      <c r="F80" s="21">
        <v>2476.0875000000001</v>
      </c>
      <c r="G80" s="22">
        <v>1.1000000000000001E-3</v>
      </c>
      <c r="H80" s="23">
        <v>7.0499999999999993E-2</v>
      </c>
      <c r="I80" s="24"/>
      <c r="J80" s="5"/>
    </row>
    <row r="81" spans="1:10" ht="12.95" customHeight="1">
      <c r="A81" s="5"/>
      <c r="B81" s="14" t="s">
        <v>160</v>
      </c>
      <c r="C81" s="15"/>
      <c r="D81" s="15"/>
      <c r="E81" s="15"/>
      <c r="F81" s="25">
        <v>1386706.5795</v>
      </c>
      <c r="G81" s="26">
        <v>0.6411</v>
      </c>
      <c r="H81" s="27"/>
      <c r="I81" s="28"/>
      <c r="J81" s="5"/>
    </row>
    <row r="82" spans="1:10" ht="12.95" customHeight="1">
      <c r="A82" s="5"/>
      <c r="B82" s="14" t="s">
        <v>418</v>
      </c>
      <c r="C82" s="15"/>
      <c r="D82" s="15"/>
      <c r="E82" s="15"/>
      <c r="F82" s="5"/>
      <c r="G82" s="16"/>
      <c r="H82" s="16"/>
      <c r="I82" s="17"/>
      <c r="J82" s="5"/>
    </row>
    <row r="83" spans="1:10" ht="12.95" customHeight="1">
      <c r="A83" s="18" t="s">
        <v>2983</v>
      </c>
      <c r="B83" s="19" t="s">
        <v>2984</v>
      </c>
      <c r="C83" s="15" t="s">
        <v>2985</v>
      </c>
      <c r="D83" s="15" t="s">
        <v>156</v>
      </c>
      <c r="E83" s="20">
        <v>80728900</v>
      </c>
      <c r="F83" s="21">
        <v>79534.031600000002</v>
      </c>
      <c r="G83" s="22">
        <v>3.6799999999999999E-2</v>
      </c>
      <c r="H83" s="23">
        <v>6.7699999999999996E-2</v>
      </c>
      <c r="I83" s="24"/>
      <c r="J83" s="5"/>
    </row>
    <row r="84" spans="1:10" ht="12.95" customHeight="1">
      <c r="A84" s="18" t="s">
        <v>2986</v>
      </c>
      <c r="B84" s="19" t="s">
        <v>2987</v>
      </c>
      <c r="C84" s="15" t="s">
        <v>2988</v>
      </c>
      <c r="D84" s="15" t="s">
        <v>156</v>
      </c>
      <c r="E84" s="20">
        <v>59500000</v>
      </c>
      <c r="F84" s="21">
        <v>59077.074000000001</v>
      </c>
      <c r="G84" s="22">
        <v>2.7300000000000001E-2</v>
      </c>
      <c r="H84" s="23">
        <v>6.7000000000000004E-2</v>
      </c>
      <c r="I84" s="24"/>
      <c r="J84" s="5"/>
    </row>
    <row r="85" spans="1:10" ht="12.95" customHeight="1">
      <c r="A85" s="18" t="s">
        <v>2989</v>
      </c>
      <c r="B85" s="19" t="s">
        <v>2990</v>
      </c>
      <c r="C85" s="15" t="s">
        <v>2991</v>
      </c>
      <c r="D85" s="15" t="s">
        <v>156</v>
      </c>
      <c r="E85" s="20">
        <v>50000000</v>
      </c>
      <c r="F85" s="21">
        <v>49898.55</v>
      </c>
      <c r="G85" s="22">
        <v>2.3099999999999999E-2</v>
      </c>
      <c r="H85" s="23">
        <v>6.7449999999999996E-2</v>
      </c>
      <c r="I85" s="24"/>
      <c r="J85" s="5"/>
    </row>
    <row r="86" spans="1:10" ht="12.95" customHeight="1">
      <c r="A86" s="18" t="s">
        <v>2992</v>
      </c>
      <c r="B86" s="19" t="s">
        <v>2993</v>
      </c>
      <c r="C86" s="15" t="s">
        <v>2994</v>
      </c>
      <c r="D86" s="15" t="s">
        <v>156</v>
      </c>
      <c r="E86" s="20">
        <v>50000000</v>
      </c>
      <c r="F86" s="21">
        <v>49771.6</v>
      </c>
      <c r="G86" s="22">
        <v>2.3E-2</v>
      </c>
      <c r="H86" s="23">
        <v>6.7000000000000004E-2</v>
      </c>
      <c r="I86" s="24"/>
      <c r="J86" s="5"/>
    </row>
    <row r="87" spans="1:10" ht="12.95" customHeight="1">
      <c r="A87" s="18" t="s">
        <v>2995</v>
      </c>
      <c r="B87" s="19" t="s">
        <v>2996</v>
      </c>
      <c r="C87" s="15" t="s">
        <v>2997</v>
      </c>
      <c r="D87" s="15" t="s">
        <v>156</v>
      </c>
      <c r="E87" s="20">
        <v>50000000</v>
      </c>
      <c r="F87" s="21">
        <v>49516.7</v>
      </c>
      <c r="G87" s="22">
        <v>2.29E-2</v>
      </c>
      <c r="H87" s="23">
        <v>6.7213999999999996E-2</v>
      </c>
      <c r="I87" s="24"/>
      <c r="J87" s="5"/>
    </row>
    <row r="88" spans="1:10" ht="12.95" customHeight="1">
      <c r="A88" s="18" t="s">
        <v>2998</v>
      </c>
      <c r="B88" s="19" t="s">
        <v>2999</v>
      </c>
      <c r="C88" s="15" t="s">
        <v>3000</v>
      </c>
      <c r="D88" s="15" t="s">
        <v>156</v>
      </c>
      <c r="E88" s="20">
        <v>49000000</v>
      </c>
      <c r="F88" s="21">
        <v>48339.235000000001</v>
      </c>
      <c r="G88" s="22">
        <v>2.23E-2</v>
      </c>
      <c r="H88" s="23">
        <v>6.7426E-2</v>
      </c>
      <c r="I88" s="24"/>
      <c r="J88" s="5"/>
    </row>
    <row r="89" spans="1:10" ht="12.95" customHeight="1">
      <c r="A89" s="18" t="s">
        <v>3001</v>
      </c>
      <c r="B89" s="19" t="s">
        <v>3002</v>
      </c>
      <c r="C89" s="15" t="s">
        <v>3003</v>
      </c>
      <c r="D89" s="15" t="s">
        <v>156</v>
      </c>
      <c r="E89" s="20">
        <v>46000000</v>
      </c>
      <c r="F89" s="21">
        <v>45439.904000000002</v>
      </c>
      <c r="G89" s="22">
        <v>2.1000000000000001E-2</v>
      </c>
      <c r="H89" s="23">
        <v>6.7150000000000001E-2</v>
      </c>
      <c r="I89" s="24"/>
      <c r="J89" s="5"/>
    </row>
    <row r="90" spans="1:10" ht="12.95" customHeight="1">
      <c r="A90" s="18" t="s">
        <v>3004</v>
      </c>
      <c r="B90" s="19" t="s">
        <v>3005</v>
      </c>
      <c r="C90" s="15" t="s">
        <v>3006</v>
      </c>
      <c r="D90" s="15" t="s">
        <v>156</v>
      </c>
      <c r="E90" s="20">
        <v>35000000</v>
      </c>
      <c r="F90" s="21">
        <v>34528.025000000001</v>
      </c>
      <c r="G90" s="22">
        <v>1.6E-2</v>
      </c>
      <c r="H90" s="23">
        <v>6.7426E-2</v>
      </c>
      <c r="I90" s="24"/>
      <c r="J90" s="5"/>
    </row>
    <row r="91" spans="1:10" ht="12.95" customHeight="1">
      <c r="A91" s="18" t="s">
        <v>3007</v>
      </c>
      <c r="B91" s="19" t="s">
        <v>3008</v>
      </c>
      <c r="C91" s="15" t="s">
        <v>3009</v>
      </c>
      <c r="D91" s="15" t="s">
        <v>156</v>
      </c>
      <c r="E91" s="20">
        <v>25500000</v>
      </c>
      <c r="F91" s="21">
        <v>25222.203000000001</v>
      </c>
      <c r="G91" s="22">
        <v>1.17E-2</v>
      </c>
      <c r="H91" s="23">
        <v>6.7000000000000004E-2</v>
      </c>
      <c r="I91" s="24"/>
      <c r="J91" s="5"/>
    </row>
    <row r="92" spans="1:10" ht="12.95" customHeight="1">
      <c r="A92" s="18" t="s">
        <v>3010</v>
      </c>
      <c r="B92" s="19" t="s">
        <v>3011</v>
      </c>
      <c r="C92" s="15" t="s">
        <v>3012</v>
      </c>
      <c r="D92" s="15" t="s">
        <v>156</v>
      </c>
      <c r="E92" s="20">
        <v>25000000</v>
      </c>
      <c r="F92" s="21">
        <v>24854</v>
      </c>
      <c r="G92" s="22">
        <v>1.15E-2</v>
      </c>
      <c r="H92" s="23">
        <v>6.7000000000000004E-2</v>
      </c>
      <c r="I92" s="24"/>
      <c r="J92" s="5"/>
    </row>
    <row r="93" spans="1:10" ht="12.95" customHeight="1">
      <c r="A93" s="18" t="s">
        <v>3013</v>
      </c>
      <c r="B93" s="19" t="s">
        <v>3014</v>
      </c>
      <c r="C93" s="15" t="s">
        <v>3015</v>
      </c>
      <c r="D93" s="15" t="s">
        <v>156</v>
      </c>
      <c r="E93" s="20">
        <v>22000000</v>
      </c>
      <c r="F93" s="21">
        <v>21760.331999999999</v>
      </c>
      <c r="G93" s="22">
        <v>1.01E-2</v>
      </c>
      <c r="H93" s="23">
        <v>6.7000000000000004E-2</v>
      </c>
      <c r="I93" s="24"/>
      <c r="J93" s="5"/>
    </row>
    <row r="94" spans="1:10" ht="12.95" customHeight="1">
      <c r="A94" s="18" t="s">
        <v>1702</v>
      </c>
      <c r="B94" s="19" t="s">
        <v>1703</v>
      </c>
      <c r="C94" s="15" t="s">
        <v>1704</v>
      </c>
      <c r="D94" s="15" t="s">
        <v>156</v>
      </c>
      <c r="E94" s="20">
        <v>10000000</v>
      </c>
      <c r="F94" s="21">
        <v>9878.24</v>
      </c>
      <c r="G94" s="22">
        <v>4.5999999999999999E-3</v>
      </c>
      <c r="H94" s="23">
        <v>6.7150000000000001E-2</v>
      </c>
      <c r="I94" s="24"/>
      <c r="J94" s="5"/>
    </row>
    <row r="95" spans="1:10" ht="12.95" customHeight="1">
      <c r="A95" s="18" t="s">
        <v>3016</v>
      </c>
      <c r="B95" s="19" t="s">
        <v>3017</v>
      </c>
      <c r="C95" s="15" t="s">
        <v>3018</v>
      </c>
      <c r="D95" s="15" t="s">
        <v>156</v>
      </c>
      <c r="E95" s="20">
        <v>2500000</v>
      </c>
      <c r="F95" s="21">
        <v>2472.7649999999999</v>
      </c>
      <c r="G95" s="22">
        <v>1.1000000000000001E-3</v>
      </c>
      <c r="H95" s="23">
        <v>6.7000000000000004E-2</v>
      </c>
      <c r="I95" s="24"/>
      <c r="J95" s="5"/>
    </row>
    <row r="96" spans="1:10" ht="12.95" customHeight="1">
      <c r="A96" s="5"/>
      <c r="B96" s="14" t="s">
        <v>160</v>
      </c>
      <c r="C96" s="15"/>
      <c r="D96" s="15"/>
      <c r="E96" s="15"/>
      <c r="F96" s="25">
        <v>500292.65960000001</v>
      </c>
      <c r="G96" s="26">
        <v>0.23130000000000001</v>
      </c>
      <c r="H96" s="27"/>
      <c r="I96" s="28"/>
      <c r="J96" s="5"/>
    </row>
    <row r="97" spans="1:10" ht="12.95" customHeight="1">
      <c r="A97" s="5"/>
      <c r="B97" s="29" t="s">
        <v>163</v>
      </c>
      <c r="C97" s="30"/>
      <c r="D97" s="2"/>
      <c r="E97" s="30"/>
      <c r="F97" s="25">
        <v>2428462.6666000001</v>
      </c>
      <c r="G97" s="26">
        <v>1.1226</v>
      </c>
      <c r="H97" s="27"/>
      <c r="I97" s="28"/>
      <c r="J97" s="5"/>
    </row>
    <row r="98" spans="1:10" ht="12.95" customHeight="1">
      <c r="A98" s="5"/>
      <c r="B98" s="14" t="s">
        <v>164</v>
      </c>
      <c r="C98" s="15"/>
      <c r="D98" s="15"/>
      <c r="E98" s="15"/>
      <c r="F98" s="15"/>
      <c r="G98" s="15"/>
      <c r="H98" s="16"/>
      <c r="I98" s="17"/>
      <c r="J98" s="5"/>
    </row>
    <row r="99" spans="1:10" ht="12.95" customHeight="1">
      <c r="A99" s="18" t="s">
        <v>165</v>
      </c>
      <c r="B99" s="19" t="s">
        <v>166</v>
      </c>
      <c r="C99" s="15"/>
      <c r="D99" s="15"/>
      <c r="E99" s="20"/>
      <c r="F99" s="21">
        <v>6151.3280999999997</v>
      </c>
      <c r="G99" s="22">
        <v>2.8E-3</v>
      </c>
      <c r="H99" s="23">
        <v>6.7996831514388276E-2</v>
      </c>
      <c r="I99" s="24"/>
      <c r="J99" s="5"/>
    </row>
    <row r="100" spans="1:10" ht="12.95" customHeight="1">
      <c r="A100" s="5"/>
      <c r="B100" s="14" t="s">
        <v>160</v>
      </c>
      <c r="C100" s="15"/>
      <c r="D100" s="15"/>
      <c r="E100" s="15"/>
      <c r="F100" s="25">
        <v>6151.3280999999997</v>
      </c>
      <c r="G100" s="26">
        <v>2.8E-3</v>
      </c>
      <c r="H100" s="27"/>
      <c r="I100" s="28"/>
      <c r="J100" s="5"/>
    </row>
    <row r="101" spans="1:10" ht="12.95" customHeight="1">
      <c r="A101" s="5"/>
      <c r="B101" s="29" t="s">
        <v>163</v>
      </c>
      <c r="C101" s="30"/>
      <c r="D101" s="2"/>
      <c r="E101" s="30"/>
      <c r="F101" s="25">
        <v>6151.3280999999997</v>
      </c>
      <c r="G101" s="26">
        <v>2.8E-3</v>
      </c>
      <c r="H101" s="27"/>
      <c r="I101" s="28"/>
      <c r="J101" s="5"/>
    </row>
    <row r="102" spans="1:10" ht="12.95" customHeight="1">
      <c r="A102" s="5"/>
      <c r="B102" s="29" t="s">
        <v>167</v>
      </c>
      <c r="C102" s="15"/>
      <c r="D102" s="2"/>
      <c r="E102" s="15"/>
      <c r="F102" s="31">
        <v>-271458.09470000002</v>
      </c>
      <c r="G102" s="26">
        <v>-0.12540000000000001</v>
      </c>
      <c r="H102" s="27"/>
      <c r="I102" s="28"/>
      <c r="J102" s="5"/>
    </row>
    <row r="103" spans="1:10" ht="12.95" customHeight="1">
      <c r="A103" s="5"/>
      <c r="B103" s="32" t="s">
        <v>168</v>
      </c>
      <c r="C103" s="33"/>
      <c r="D103" s="33"/>
      <c r="E103" s="33"/>
      <c r="F103" s="34">
        <v>2163155.9</v>
      </c>
      <c r="G103" s="35">
        <v>1</v>
      </c>
      <c r="H103" s="36"/>
      <c r="I103" s="37"/>
      <c r="J103" s="5"/>
    </row>
    <row r="104" spans="1:10" ht="12.95" customHeight="1">
      <c r="A104" s="5"/>
      <c r="B104" s="7"/>
      <c r="C104" s="5"/>
      <c r="D104" s="5"/>
      <c r="E104" s="5"/>
      <c r="F104" s="5"/>
      <c r="G104" s="5"/>
      <c r="H104" s="5"/>
      <c r="I104" s="5"/>
      <c r="J104" s="5"/>
    </row>
    <row r="105" spans="1:10" ht="12.95" customHeight="1">
      <c r="A105" s="5"/>
      <c r="B105" s="4" t="s">
        <v>169</v>
      </c>
      <c r="C105" s="5"/>
      <c r="D105" s="5"/>
      <c r="E105" s="5"/>
      <c r="F105" s="5"/>
      <c r="G105" s="5"/>
      <c r="H105" s="5"/>
      <c r="I105" s="5"/>
      <c r="J105" s="5"/>
    </row>
    <row r="106" spans="1:10" ht="12.95" customHeight="1">
      <c r="A106" s="5"/>
      <c r="B106" s="4" t="s">
        <v>207</v>
      </c>
      <c r="C106" s="5"/>
      <c r="D106" s="5"/>
      <c r="E106" s="5"/>
      <c r="F106" s="5"/>
      <c r="G106" s="5"/>
      <c r="H106" s="5"/>
      <c r="I106" s="5"/>
      <c r="J106" s="5"/>
    </row>
    <row r="107" spans="1:10" ht="12.95" customHeight="1">
      <c r="A107" s="5"/>
      <c r="B107" s="4" t="s">
        <v>170</v>
      </c>
      <c r="C107" s="5"/>
      <c r="D107" s="5"/>
      <c r="E107" s="5"/>
      <c r="F107" s="5"/>
      <c r="G107" s="5"/>
      <c r="H107" s="5"/>
      <c r="I107" s="5"/>
      <c r="J107" s="5"/>
    </row>
    <row r="108" spans="1:10" ht="26.1" customHeight="1">
      <c r="A108" s="5"/>
      <c r="B108" s="86" t="s">
        <v>171</v>
      </c>
      <c r="C108" s="86"/>
      <c r="D108" s="86"/>
      <c r="E108" s="86"/>
      <c r="F108" s="86"/>
      <c r="G108" s="86"/>
      <c r="H108" s="86"/>
      <c r="I108" s="86"/>
      <c r="J108" s="5"/>
    </row>
    <row r="109" spans="1:10" ht="12.95" customHeight="1">
      <c r="A109" s="5"/>
      <c r="B109" s="86"/>
      <c r="C109" s="86"/>
      <c r="D109" s="86"/>
      <c r="E109" s="86"/>
      <c r="F109" s="86"/>
      <c r="G109" s="86"/>
      <c r="H109" s="86"/>
      <c r="I109" s="86"/>
      <c r="J109" s="5"/>
    </row>
    <row r="110" spans="1:10" ht="12.95" customHeight="1">
      <c r="A110" s="5"/>
      <c r="B110" s="86"/>
      <c r="C110" s="86"/>
      <c r="D110" s="86"/>
      <c r="E110" s="86"/>
      <c r="F110" s="86"/>
      <c r="G110" s="86"/>
      <c r="H110" s="86"/>
      <c r="I110" s="86"/>
      <c r="J110" s="5"/>
    </row>
    <row r="111" spans="1:10" ht="12.95" customHeight="1">
      <c r="A111" s="5"/>
      <c r="B111" s="5"/>
      <c r="C111" s="87" t="s">
        <v>3019</v>
      </c>
      <c r="D111" s="87"/>
      <c r="E111" s="87"/>
      <c r="F111" s="87"/>
      <c r="G111" s="5"/>
      <c r="H111" s="5"/>
      <c r="I111" s="5"/>
      <c r="J111" s="5"/>
    </row>
    <row r="112" spans="1:10" ht="12.95" customHeight="1">
      <c r="A112" s="5"/>
      <c r="B112" s="38" t="s">
        <v>173</v>
      </c>
      <c r="C112" s="87" t="s">
        <v>174</v>
      </c>
      <c r="D112" s="87"/>
      <c r="E112" s="87"/>
      <c r="F112" s="87"/>
      <c r="G112" s="5"/>
      <c r="H112" s="5"/>
      <c r="I112" s="5"/>
      <c r="J112" s="5"/>
    </row>
    <row r="113" spans="1:10" ht="120.95" customHeight="1">
      <c r="A113" s="5"/>
      <c r="B113" s="39"/>
      <c r="C113" s="85"/>
      <c r="D113" s="85"/>
      <c r="E113" s="5"/>
      <c r="F113" s="5"/>
      <c r="G113" s="5"/>
      <c r="H113" s="5"/>
      <c r="I113" s="5"/>
      <c r="J113" s="5"/>
    </row>
  </sheetData>
  <mergeCells count="6">
    <mergeCell ref="C113:D113"/>
    <mergeCell ref="B108:I108"/>
    <mergeCell ref="B109:I109"/>
    <mergeCell ref="B110:I110"/>
    <mergeCell ref="C111:F111"/>
    <mergeCell ref="C112:F112"/>
  </mergeCells>
  <hyperlinks>
    <hyperlink ref="A1" location="AxisLiquidFund" display="AXISLFA" xr:uid="{00000000-0004-0000-2500-000000000000}"/>
    <hyperlink ref="B1" location="AxisLiquidFund" display="Axis Liquid Fund" xr:uid="{00000000-0004-0000-2500-000001000000}"/>
  </hyperlinks>
  <pageMargins left="0" right="0" top="0" bottom="0" header="0" footer="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/>
  </sheetPr>
  <dimension ref="A1:J4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78</v>
      </c>
      <c r="B1" s="4" t="s">
        <v>79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409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953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3020</v>
      </c>
      <c r="B7" s="19" t="s">
        <v>3021</v>
      </c>
      <c r="C7" s="15"/>
      <c r="D7" s="15"/>
      <c r="E7" s="42"/>
      <c r="F7" s="21">
        <v>-0.29799999999999999</v>
      </c>
      <c r="G7" s="40" t="s">
        <v>675</v>
      </c>
      <c r="H7" s="40"/>
      <c r="I7" s="24"/>
      <c r="J7" s="5"/>
    </row>
    <row r="8" spans="1:10" ht="12.95" customHeight="1">
      <c r="A8" s="18" t="s">
        <v>3022</v>
      </c>
      <c r="B8" s="19" t="s">
        <v>3023</v>
      </c>
      <c r="C8" s="15"/>
      <c r="D8" s="15"/>
      <c r="E8" s="42"/>
      <c r="F8" s="21">
        <v>-3.6225000000000001</v>
      </c>
      <c r="G8" s="22">
        <v>-2.0000000000000001E-4</v>
      </c>
      <c r="H8" s="40"/>
      <c r="I8" s="24"/>
      <c r="J8" s="5"/>
    </row>
    <row r="9" spans="1:10" ht="12.95" customHeight="1">
      <c r="A9" s="18" t="s">
        <v>3024</v>
      </c>
      <c r="B9" s="19" t="s">
        <v>3025</v>
      </c>
      <c r="C9" s="15"/>
      <c r="D9" s="15"/>
      <c r="E9" s="42"/>
      <c r="F9" s="21">
        <v>-26.585999999999999</v>
      </c>
      <c r="G9" s="22">
        <v>-1.1999999999999999E-3</v>
      </c>
      <c r="H9" s="40"/>
      <c r="I9" s="24"/>
      <c r="J9" s="5"/>
    </row>
    <row r="10" spans="1:10" ht="12.95" customHeight="1">
      <c r="A10" s="5"/>
      <c r="B10" s="14" t="s">
        <v>160</v>
      </c>
      <c r="C10" s="15"/>
      <c r="D10" s="15"/>
      <c r="E10" s="15"/>
      <c r="F10" s="25">
        <v>-30.506499999999999</v>
      </c>
      <c r="G10" s="26">
        <v>-1.4E-3</v>
      </c>
      <c r="H10" s="27"/>
      <c r="I10" s="28"/>
      <c r="J10" s="5"/>
    </row>
    <row r="11" spans="1:10" ht="12.95" customHeight="1">
      <c r="A11" s="5"/>
      <c r="B11" s="29" t="s">
        <v>163</v>
      </c>
      <c r="C11" s="30"/>
      <c r="D11" s="2"/>
      <c r="E11" s="30"/>
      <c r="F11" s="25">
        <v>-30.506499999999999</v>
      </c>
      <c r="G11" s="26">
        <v>-1.4E-3</v>
      </c>
      <c r="H11" s="27"/>
      <c r="I11" s="28"/>
      <c r="J11" s="5"/>
    </row>
    <row r="12" spans="1:10" ht="12.95" customHeight="1">
      <c r="A12" s="5"/>
      <c r="B12" s="14" t="s">
        <v>151</v>
      </c>
      <c r="C12" s="15"/>
      <c r="D12" s="15"/>
      <c r="E12" s="15"/>
      <c r="F12" s="15"/>
      <c r="G12" s="15"/>
      <c r="H12" s="16"/>
      <c r="I12" s="17"/>
      <c r="J12" s="5"/>
    </row>
    <row r="13" spans="1:10" ht="12.95" customHeight="1">
      <c r="A13" s="5"/>
      <c r="B13" s="14" t="s">
        <v>152</v>
      </c>
      <c r="C13" s="15"/>
      <c r="D13" s="15"/>
      <c r="E13" s="15"/>
      <c r="F13" s="5"/>
      <c r="G13" s="16"/>
      <c r="H13" s="16"/>
      <c r="I13" s="17"/>
      <c r="J13" s="5"/>
    </row>
    <row r="14" spans="1:10" ht="12.95" customHeight="1">
      <c r="A14" s="18" t="s">
        <v>2574</v>
      </c>
      <c r="B14" s="19" t="s">
        <v>2575</v>
      </c>
      <c r="C14" s="15" t="s">
        <v>2576</v>
      </c>
      <c r="D14" s="15" t="s">
        <v>156</v>
      </c>
      <c r="E14" s="20">
        <v>5500000</v>
      </c>
      <c r="F14" s="21">
        <v>5488.01</v>
      </c>
      <c r="G14" s="22">
        <v>0.25790000000000002</v>
      </c>
      <c r="H14" s="23">
        <v>7.3394000000000001E-2</v>
      </c>
      <c r="I14" s="24"/>
      <c r="J14" s="5"/>
    </row>
    <row r="15" spans="1:10" ht="12.95" customHeight="1">
      <c r="A15" s="18" t="s">
        <v>974</v>
      </c>
      <c r="B15" s="19" t="s">
        <v>975</v>
      </c>
      <c r="C15" s="15" t="s">
        <v>976</v>
      </c>
      <c r="D15" s="15" t="s">
        <v>156</v>
      </c>
      <c r="E15" s="20">
        <v>3000000</v>
      </c>
      <c r="F15" s="21">
        <v>3058.8780000000002</v>
      </c>
      <c r="G15" s="22">
        <v>0.14380000000000001</v>
      </c>
      <c r="H15" s="23"/>
      <c r="I15" s="24"/>
      <c r="J15" s="5"/>
    </row>
    <row r="16" spans="1:10" ht="12.95" customHeight="1">
      <c r="A16" s="18" t="s">
        <v>896</v>
      </c>
      <c r="B16" s="19" t="s">
        <v>897</v>
      </c>
      <c r="C16" s="15" t="s">
        <v>898</v>
      </c>
      <c r="D16" s="15" t="s">
        <v>156</v>
      </c>
      <c r="E16" s="20">
        <v>3000000</v>
      </c>
      <c r="F16" s="21">
        <v>3012.8159999999998</v>
      </c>
      <c r="G16" s="22">
        <v>0.1416</v>
      </c>
      <c r="H16" s="23">
        <v>7.3730000000000004E-2</v>
      </c>
      <c r="I16" s="24"/>
      <c r="J16" s="5"/>
    </row>
    <row r="17" spans="1:10" ht="12.95" customHeight="1">
      <c r="A17" s="18" t="s">
        <v>911</v>
      </c>
      <c r="B17" s="19" t="s">
        <v>912</v>
      </c>
      <c r="C17" s="15" t="s">
        <v>913</v>
      </c>
      <c r="D17" s="15" t="s">
        <v>156</v>
      </c>
      <c r="E17" s="20">
        <v>3000000</v>
      </c>
      <c r="F17" s="21">
        <v>2980.1460000000002</v>
      </c>
      <c r="G17" s="22">
        <v>0.1401</v>
      </c>
      <c r="H17" s="23">
        <v>7.3640999999999998E-2</v>
      </c>
      <c r="I17" s="24"/>
      <c r="J17" s="5"/>
    </row>
    <row r="18" spans="1:10" ht="12.95" customHeight="1">
      <c r="A18" s="18" t="s">
        <v>977</v>
      </c>
      <c r="B18" s="19" t="s">
        <v>978</v>
      </c>
      <c r="C18" s="15" t="s">
        <v>979</v>
      </c>
      <c r="D18" s="15" t="s">
        <v>156</v>
      </c>
      <c r="E18" s="20">
        <v>2000000</v>
      </c>
      <c r="F18" s="21">
        <v>1992.0239999999999</v>
      </c>
      <c r="G18" s="22">
        <v>9.3600000000000003E-2</v>
      </c>
      <c r="H18" s="23">
        <v>7.3778999999999997E-2</v>
      </c>
      <c r="I18" s="24"/>
      <c r="J18" s="5"/>
    </row>
    <row r="19" spans="1:10" ht="12.95" customHeight="1">
      <c r="A19" s="18" t="s">
        <v>1022</v>
      </c>
      <c r="B19" s="19" t="s">
        <v>1023</v>
      </c>
      <c r="C19" s="15" t="s">
        <v>1024</v>
      </c>
      <c r="D19" s="15" t="s">
        <v>156</v>
      </c>
      <c r="E19" s="20">
        <v>1000000</v>
      </c>
      <c r="F19" s="21">
        <v>987.07500000000005</v>
      </c>
      <c r="G19" s="22">
        <v>4.6399999999999997E-2</v>
      </c>
      <c r="H19" s="23">
        <v>7.4629000000000001E-2</v>
      </c>
      <c r="I19" s="24"/>
      <c r="J19" s="5"/>
    </row>
    <row r="20" spans="1:10" ht="12.95" customHeight="1">
      <c r="A20" s="18" t="s">
        <v>2725</v>
      </c>
      <c r="B20" s="19" t="s">
        <v>2726</v>
      </c>
      <c r="C20" s="15" t="s">
        <v>2727</v>
      </c>
      <c r="D20" s="15" t="s">
        <v>156</v>
      </c>
      <c r="E20" s="20">
        <v>907500</v>
      </c>
      <c r="F20" s="21">
        <v>695.31830000000002</v>
      </c>
      <c r="G20" s="22">
        <v>3.27E-2</v>
      </c>
      <c r="H20" s="23">
        <v>7.4401999999999996E-2</v>
      </c>
      <c r="I20" s="24"/>
      <c r="J20" s="5"/>
    </row>
    <row r="21" spans="1:10" ht="12.95" customHeight="1">
      <c r="A21" s="18" t="s">
        <v>986</v>
      </c>
      <c r="B21" s="19" t="s">
        <v>987</v>
      </c>
      <c r="C21" s="15" t="s">
        <v>988</v>
      </c>
      <c r="D21" s="15" t="s">
        <v>156</v>
      </c>
      <c r="E21" s="20">
        <v>500000</v>
      </c>
      <c r="F21" s="21">
        <v>499.35849999999999</v>
      </c>
      <c r="G21" s="22">
        <v>2.35E-2</v>
      </c>
      <c r="H21" s="23"/>
      <c r="I21" s="24"/>
      <c r="J21" s="5"/>
    </row>
    <row r="22" spans="1:10" ht="12.95" customHeight="1">
      <c r="A22" s="5"/>
      <c r="B22" s="14" t="s">
        <v>160</v>
      </c>
      <c r="C22" s="15"/>
      <c r="D22" s="15"/>
      <c r="E22" s="15"/>
      <c r="F22" s="25">
        <v>18713.625800000002</v>
      </c>
      <c r="G22" s="26">
        <v>0.87949999999999995</v>
      </c>
      <c r="H22" s="27"/>
      <c r="I22" s="28"/>
      <c r="J22" s="5"/>
    </row>
    <row r="23" spans="1:10" ht="12.95" customHeight="1">
      <c r="A23" s="5"/>
      <c r="B23" s="29" t="s">
        <v>161</v>
      </c>
      <c r="C23" s="2"/>
      <c r="D23" s="2"/>
      <c r="E23" s="2"/>
      <c r="F23" s="27" t="s">
        <v>162</v>
      </c>
      <c r="G23" s="27" t="s">
        <v>162</v>
      </c>
      <c r="H23" s="27"/>
      <c r="I23" s="28"/>
      <c r="J23" s="5"/>
    </row>
    <row r="24" spans="1:10" ht="12.95" customHeight="1">
      <c r="A24" s="5"/>
      <c r="B24" s="29" t="s">
        <v>160</v>
      </c>
      <c r="C24" s="2"/>
      <c r="D24" s="2"/>
      <c r="E24" s="2"/>
      <c r="F24" s="27" t="s">
        <v>162</v>
      </c>
      <c r="G24" s="27" t="s">
        <v>162</v>
      </c>
      <c r="H24" s="27"/>
      <c r="I24" s="28"/>
      <c r="J24" s="5"/>
    </row>
    <row r="25" spans="1:10" ht="12.95" customHeight="1">
      <c r="A25" s="5"/>
      <c r="B25" s="29" t="s">
        <v>163</v>
      </c>
      <c r="C25" s="30"/>
      <c r="D25" s="2"/>
      <c r="E25" s="30"/>
      <c r="F25" s="25">
        <v>18713.625800000002</v>
      </c>
      <c r="G25" s="26">
        <v>0.87949999999999995</v>
      </c>
      <c r="H25" s="27"/>
      <c r="I25" s="28"/>
      <c r="J25" s="5"/>
    </row>
    <row r="26" spans="1:10" ht="12.95" customHeight="1">
      <c r="A26" s="5"/>
      <c r="B26" s="14" t="s">
        <v>164</v>
      </c>
      <c r="C26" s="15"/>
      <c r="D26" s="15"/>
      <c r="E26" s="15"/>
      <c r="F26" s="15"/>
      <c r="G26" s="15"/>
      <c r="H26" s="16"/>
      <c r="I26" s="17"/>
      <c r="J26" s="5"/>
    </row>
    <row r="27" spans="1:10" ht="12.95" customHeight="1">
      <c r="A27" s="18" t="s">
        <v>165</v>
      </c>
      <c r="B27" s="19" t="s">
        <v>166</v>
      </c>
      <c r="C27" s="15"/>
      <c r="D27" s="15"/>
      <c r="E27" s="20"/>
      <c r="F27" s="21">
        <v>2252.5807</v>
      </c>
      <c r="G27" s="22">
        <v>0.10589999999999999</v>
      </c>
      <c r="H27" s="23">
        <v>6.7996827861667899E-2</v>
      </c>
      <c r="I27" s="24"/>
      <c r="J27" s="5"/>
    </row>
    <row r="28" spans="1:10" ht="12.95" customHeight="1">
      <c r="A28" s="5"/>
      <c r="B28" s="14" t="s">
        <v>160</v>
      </c>
      <c r="C28" s="15"/>
      <c r="D28" s="15"/>
      <c r="E28" s="15"/>
      <c r="F28" s="25">
        <v>2252.5807</v>
      </c>
      <c r="G28" s="26">
        <v>0.10589999999999999</v>
      </c>
      <c r="H28" s="27"/>
      <c r="I28" s="28"/>
      <c r="J28" s="5"/>
    </row>
    <row r="29" spans="1:10" ht="12.95" customHeight="1">
      <c r="A29" s="5"/>
      <c r="B29" s="29" t="s">
        <v>163</v>
      </c>
      <c r="C29" s="30"/>
      <c r="D29" s="2"/>
      <c r="E29" s="30"/>
      <c r="F29" s="25">
        <v>2252.5807</v>
      </c>
      <c r="G29" s="26">
        <v>0.10589999999999999</v>
      </c>
      <c r="H29" s="27"/>
      <c r="I29" s="28"/>
      <c r="J29" s="5"/>
    </row>
    <row r="30" spans="1:10" ht="12.95" customHeight="1">
      <c r="A30" s="5"/>
      <c r="B30" s="29" t="s">
        <v>167</v>
      </c>
      <c r="C30" s="15"/>
      <c r="D30" s="2"/>
      <c r="E30" s="15"/>
      <c r="F30" s="31">
        <v>342.23</v>
      </c>
      <c r="G30" s="26">
        <v>1.6E-2</v>
      </c>
      <c r="H30" s="27"/>
      <c r="I30" s="28"/>
      <c r="J30" s="5"/>
    </row>
    <row r="31" spans="1:10" ht="12.95" customHeight="1">
      <c r="A31" s="5"/>
      <c r="B31" s="32" t="s">
        <v>168</v>
      </c>
      <c r="C31" s="33"/>
      <c r="D31" s="33"/>
      <c r="E31" s="33"/>
      <c r="F31" s="34">
        <v>21277.93</v>
      </c>
      <c r="G31" s="35">
        <v>1</v>
      </c>
      <c r="H31" s="36"/>
      <c r="I31" s="37"/>
      <c r="J31" s="5"/>
    </row>
    <row r="32" spans="1:10" ht="12.95" customHeight="1">
      <c r="A32" s="5"/>
      <c r="B32" s="7"/>
      <c r="C32" s="5"/>
      <c r="D32" s="5"/>
      <c r="E32" s="5"/>
      <c r="F32" s="5"/>
      <c r="G32" s="5"/>
      <c r="H32" s="5"/>
      <c r="I32" s="5"/>
      <c r="J32" s="5"/>
    </row>
    <row r="33" spans="1:10" ht="12.95" customHeight="1">
      <c r="A33" s="5"/>
      <c r="B33" s="4" t="s">
        <v>169</v>
      </c>
      <c r="C33" s="5"/>
      <c r="D33" s="5"/>
      <c r="E33" s="5"/>
      <c r="F33" s="5"/>
      <c r="G33" s="5"/>
      <c r="H33" s="5"/>
      <c r="I33" s="5"/>
      <c r="J33" s="5"/>
    </row>
    <row r="34" spans="1:10" ht="12.95" customHeight="1">
      <c r="A34" s="5"/>
      <c r="B34" s="4" t="s">
        <v>685</v>
      </c>
      <c r="C34" s="5"/>
      <c r="D34" s="5"/>
      <c r="E34" s="5"/>
      <c r="F34" s="5"/>
      <c r="G34" s="5"/>
      <c r="H34" s="5"/>
      <c r="I34" s="5"/>
      <c r="J34" s="5"/>
    </row>
    <row r="35" spans="1:10" ht="12.95" customHeight="1">
      <c r="A35" s="5"/>
      <c r="B35" s="4" t="s">
        <v>170</v>
      </c>
      <c r="C35" s="5"/>
      <c r="D35" s="5"/>
      <c r="E35" s="5"/>
      <c r="F35" s="5"/>
      <c r="G35" s="5"/>
      <c r="H35" s="5"/>
      <c r="I35" s="5"/>
      <c r="J35" s="5"/>
    </row>
    <row r="36" spans="1:10" ht="26.1" customHeight="1">
      <c r="A36" s="5"/>
      <c r="B36" s="86" t="s">
        <v>171</v>
      </c>
      <c r="C36" s="86"/>
      <c r="D36" s="86"/>
      <c r="E36" s="86"/>
      <c r="F36" s="86"/>
      <c r="G36" s="86"/>
      <c r="H36" s="86"/>
      <c r="I36" s="86"/>
      <c r="J36" s="5"/>
    </row>
    <row r="37" spans="1:10" ht="12.95" customHeight="1">
      <c r="A37" s="5"/>
      <c r="B37" s="86"/>
      <c r="C37" s="86"/>
      <c r="D37" s="86"/>
      <c r="E37" s="86"/>
      <c r="F37" s="86"/>
      <c r="G37" s="86"/>
      <c r="H37" s="86"/>
      <c r="I37" s="86"/>
      <c r="J37" s="5"/>
    </row>
    <row r="38" spans="1:10" ht="12.95" customHeight="1">
      <c r="A38" s="5"/>
      <c r="B38" s="86"/>
      <c r="C38" s="86"/>
      <c r="D38" s="86"/>
      <c r="E38" s="86"/>
      <c r="F38" s="86"/>
      <c r="G38" s="86"/>
      <c r="H38" s="86"/>
      <c r="I38" s="86"/>
      <c r="J38" s="5"/>
    </row>
    <row r="39" spans="1:10" ht="12.95" customHeight="1">
      <c r="A39" s="5"/>
      <c r="B39" s="5"/>
      <c r="C39" s="87" t="s">
        <v>3026</v>
      </c>
      <c r="D39" s="87"/>
      <c r="E39" s="87"/>
      <c r="F39" s="87"/>
      <c r="G39" s="5"/>
      <c r="H39" s="5"/>
      <c r="I39" s="5"/>
      <c r="J39" s="5"/>
    </row>
    <row r="40" spans="1:10" ht="12.95" customHeight="1">
      <c r="A40" s="5"/>
      <c r="B40" s="38" t="s">
        <v>173</v>
      </c>
      <c r="C40" s="87" t="s">
        <v>174</v>
      </c>
      <c r="D40" s="87"/>
      <c r="E40" s="87"/>
      <c r="F40" s="87"/>
      <c r="G40" s="5"/>
      <c r="H40" s="5"/>
      <c r="I40" s="5"/>
      <c r="J40" s="5"/>
    </row>
    <row r="41" spans="1:10" ht="120.95" customHeight="1">
      <c r="A41" s="5"/>
      <c r="B41" s="39"/>
      <c r="C41" s="85"/>
      <c r="D41" s="85"/>
      <c r="E41" s="5"/>
      <c r="F41" s="5"/>
      <c r="G41" s="5"/>
      <c r="H41" s="5"/>
      <c r="I41" s="5"/>
      <c r="J41" s="5"/>
    </row>
  </sheetData>
  <mergeCells count="6">
    <mergeCell ref="C41:D41"/>
    <mergeCell ref="B36:I36"/>
    <mergeCell ref="B37:I37"/>
    <mergeCell ref="B38:I38"/>
    <mergeCell ref="C39:F39"/>
    <mergeCell ref="C40:F40"/>
  </mergeCells>
  <hyperlinks>
    <hyperlink ref="A1" location="AxisGiltFund" display="AXISM10" xr:uid="{00000000-0004-0000-2600-000000000000}"/>
    <hyperlink ref="B1" location="AxisGiltFund" display="Axis Gilt Fund" xr:uid="{00000000-0004-0000-2600-000001000000}"/>
  </hyperlinks>
  <pageMargins left="0" right="0" top="0" bottom="0" header="0" footer="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/>
  </sheetPr>
  <dimension ref="A1:J9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80</v>
      </c>
      <c r="B1" s="4" t="s">
        <v>81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848</v>
      </c>
      <c r="B7" s="19" t="s">
        <v>849</v>
      </c>
      <c r="C7" s="15" t="s">
        <v>850</v>
      </c>
      <c r="D7" s="15" t="s">
        <v>255</v>
      </c>
      <c r="E7" s="20">
        <v>8894643</v>
      </c>
      <c r="F7" s="21">
        <v>108296.7258</v>
      </c>
      <c r="G7" s="22">
        <v>4.7800000000000002E-2</v>
      </c>
      <c r="H7" s="40"/>
      <c r="I7" s="24"/>
      <c r="J7" s="5"/>
    </row>
    <row r="8" spans="1:10" ht="12.95" customHeight="1">
      <c r="A8" s="18" t="s">
        <v>2457</v>
      </c>
      <c r="B8" s="19" t="s">
        <v>2458</v>
      </c>
      <c r="C8" s="15" t="s">
        <v>2459</v>
      </c>
      <c r="D8" s="15" t="s">
        <v>295</v>
      </c>
      <c r="E8" s="20">
        <v>2242346</v>
      </c>
      <c r="F8" s="21">
        <v>92418.290399999998</v>
      </c>
      <c r="G8" s="22">
        <v>4.0800000000000003E-2</v>
      </c>
      <c r="H8" s="40"/>
      <c r="I8" s="24"/>
      <c r="J8" s="5"/>
    </row>
    <row r="9" spans="1:10" ht="12.95" customHeight="1">
      <c r="A9" s="18" t="s">
        <v>805</v>
      </c>
      <c r="B9" s="19" t="s">
        <v>806</v>
      </c>
      <c r="C9" s="15" t="s">
        <v>807</v>
      </c>
      <c r="D9" s="15" t="s">
        <v>808</v>
      </c>
      <c r="E9" s="20">
        <v>19466737</v>
      </c>
      <c r="F9" s="21">
        <v>80027.755799999999</v>
      </c>
      <c r="G9" s="22">
        <v>3.5299999999999998E-2</v>
      </c>
      <c r="H9" s="40"/>
      <c r="I9" s="24"/>
      <c r="J9" s="5"/>
    </row>
    <row r="10" spans="1:10" ht="12.95" customHeight="1">
      <c r="A10" s="18" t="s">
        <v>782</v>
      </c>
      <c r="B10" s="19" t="s">
        <v>783</v>
      </c>
      <c r="C10" s="15" t="s">
        <v>784</v>
      </c>
      <c r="D10" s="15" t="s">
        <v>403</v>
      </c>
      <c r="E10" s="20">
        <v>3771809</v>
      </c>
      <c r="F10" s="21">
        <v>78459.284899999999</v>
      </c>
      <c r="G10" s="22">
        <v>3.4599999999999999E-2</v>
      </c>
      <c r="H10" s="40"/>
      <c r="I10" s="24"/>
      <c r="J10" s="5"/>
    </row>
    <row r="11" spans="1:10" ht="12.95" customHeight="1">
      <c r="A11" s="18" t="s">
        <v>727</v>
      </c>
      <c r="B11" s="19" t="s">
        <v>728</v>
      </c>
      <c r="C11" s="15" t="s">
        <v>729</v>
      </c>
      <c r="D11" s="15" t="s">
        <v>255</v>
      </c>
      <c r="E11" s="20">
        <v>939573</v>
      </c>
      <c r="F11" s="21">
        <v>73387.698099999994</v>
      </c>
      <c r="G11" s="22">
        <v>3.2399999999999998E-2</v>
      </c>
      <c r="H11" s="40"/>
      <c r="I11" s="24"/>
      <c r="J11" s="5"/>
    </row>
    <row r="12" spans="1:10" ht="12.95" customHeight="1">
      <c r="A12" s="18" t="s">
        <v>268</v>
      </c>
      <c r="B12" s="19" t="s">
        <v>269</v>
      </c>
      <c r="C12" s="15" t="s">
        <v>270</v>
      </c>
      <c r="D12" s="15" t="s">
        <v>271</v>
      </c>
      <c r="E12" s="20">
        <v>7407750</v>
      </c>
      <c r="F12" s="21">
        <v>70514.372300000003</v>
      </c>
      <c r="G12" s="22">
        <v>3.1099999999999999E-2</v>
      </c>
      <c r="H12" s="40"/>
      <c r="I12" s="24"/>
      <c r="J12" s="5"/>
    </row>
    <row r="13" spans="1:10" ht="12.95" customHeight="1">
      <c r="A13" s="18" t="s">
        <v>1572</v>
      </c>
      <c r="B13" s="19" t="s">
        <v>1573</v>
      </c>
      <c r="C13" s="15" t="s">
        <v>1574</v>
      </c>
      <c r="D13" s="15" t="s">
        <v>263</v>
      </c>
      <c r="E13" s="20">
        <v>1200635</v>
      </c>
      <c r="F13" s="21">
        <v>69597.209000000003</v>
      </c>
      <c r="G13" s="22">
        <v>3.0700000000000002E-2</v>
      </c>
      <c r="H13" s="40"/>
      <c r="I13" s="24"/>
      <c r="J13" s="5"/>
    </row>
    <row r="14" spans="1:10" ht="12.95" customHeight="1">
      <c r="A14" s="18" t="s">
        <v>2454</v>
      </c>
      <c r="B14" s="19" t="s">
        <v>2455</v>
      </c>
      <c r="C14" s="15" t="s">
        <v>2456</v>
      </c>
      <c r="D14" s="15" t="s">
        <v>295</v>
      </c>
      <c r="E14" s="20">
        <v>3589762</v>
      </c>
      <c r="F14" s="21">
        <v>68652.403399999996</v>
      </c>
      <c r="G14" s="22">
        <v>3.0300000000000001E-2</v>
      </c>
      <c r="H14" s="40"/>
      <c r="I14" s="24"/>
      <c r="J14" s="5"/>
    </row>
    <row r="15" spans="1:10" ht="12.95" customHeight="1">
      <c r="A15" s="18" t="s">
        <v>1581</v>
      </c>
      <c r="B15" s="19" t="s">
        <v>1582</v>
      </c>
      <c r="C15" s="15" t="s">
        <v>1583</v>
      </c>
      <c r="D15" s="15" t="s">
        <v>281</v>
      </c>
      <c r="E15" s="20">
        <v>4089507</v>
      </c>
      <c r="F15" s="21">
        <v>62234.1175</v>
      </c>
      <c r="G15" s="22">
        <v>2.75E-2</v>
      </c>
      <c r="H15" s="40"/>
      <c r="I15" s="24"/>
      <c r="J15" s="5"/>
    </row>
    <row r="16" spans="1:10" ht="12.95" customHeight="1">
      <c r="A16" s="18" t="s">
        <v>256</v>
      </c>
      <c r="B16" s="19" t="s">
        <v>257</v>
      </c>
      <c r="C16" s="15" t="s">
        <v>258</v>
      </c>
      <c r="D16" s="15" t="s">
        <v>259</v>
      </c>
      <c r="E16" s="20">
        <v>10106515</v>
      </c>
      <c r="F16" s="21">
        <v>58961.408499999998</v>
      </c>
      <c r="G16" s="22">
        <v>2.5999999999999999E-2</v>
      </c>
      <c r="H16" s="40"/>
      <c r="I16" s="24"/>
      <c r="J16" s="5"/>
    </row>
    <row r="17" spans="1:10" ht="12.95" customHeight="1">
      <c r="A17" s="18" t="s">
        <v>328</v>
      </c>
      <c r="B17" s="19" t="s">
        <v>329</v>
      </c>
      <c r="C17" s="15" t="s">
        <v>330</v>
      </c>
      <c r="D17" s="15" t="s">
        <v>259</v>
      </c>
      <c r="E17" s="20">
        <v>1749342</v>
      </c>
      <c r="F17" s="21">
        <v>57988.938000000002</v>
      </c>
      <c r="G17" s="22">
        <v>2.5600000000000001E-2</v>
      </c>
      <c r="H17" s="40"/>
      <c r="I17" s="24"/>
      <c r="J17" s="5"/>
    </row>
    <row r="18" spans="1:10" ht="12.95" customHeight="1">
      <c r="A18" s="18" t="s">
        <v>3027</v>
      </c>
      <c r="B18" s="19" t="s">
        <v>3028</v>
      </c>
      <c r="C18" s="15" t="s">
        <v>3029</v>
      </c>
      <c r="D18" s="15" t="s">
        <v>832</v>
      </c>
      <c r="E18" s="20">
        <v>4652378</v>
      </c>
      <c r="F18" s="21">
        <v>53330.209000000003</v>
      </c>
      <c r="G18" s="22">
        <v>2.35E-2</v>
      </c>
      <c r="H18" s="40"/>
      <c r="I18" s="24"/>
      <c r="J18" s="5"/>
    </row>
    <row r="19" spans="1:10" ht="12.95" customHeight="1">
      <c r="A19" s="18" t="s">
        <v>829</v>
      </c>
      <c r="B19" s="19" t="s">
        <v>830</v>
      </c>
      <c r="C19" s="15" t="s">
        <v>831</v>
      </c>
      <c r="D19" s="15" t="s">
        <v>832</v>
      </c>
      <c r="E19" s="20">
        <v>1494513</v>
      </c>
      <c r="F19" s="21">
        <v>51605.533900000002</v>
      </c>
      <c r="G19" s="22">
        <v>2.2800000000000001E-2</v>
      </c>
      <c r="H19" s="40"/>
      <c r="I19" s="24"/>
      <c r="J19" s="5"/>
    </row>
    <row r="20" spans="1:10" ht="12.95" customHeight="1">
      <c r="A20" s="18" t="s">
        <v>851</v>
      </c>
      <c r="B20" s="19" t="s">
        <v>852</v>
      </c>
      <c r="C20" s="15" t="s">
        <v>853</v>
      </c>
      <c r="D20" s="15" t="s">
        <v>259</v>
      </c>
      <c r="E20" s="20">
        <v>8567489</v>
      </c>
      <c r="F20" s="21">
        <v>51357.8128</v>
      </c>
      <c r="G20" s="22">
        <v>2.2700000000000001E-2</v>
      </c>
      <c r="H20" s="40"/>
      <c r="I20" s="24"/>
      <c r="J20" s="5"/>
    </row>
    <row r="21" spans="1:10" ht="12.95" customHeight="1">
      <c r="A21" s="18" t="s">
        <v>2448</v>
      </c>
      <c r="B21" s="19" t="s">
        <v>2449</v>
      </c>
      <c r="C21" s="15" t="s">
        <v>2450</v>
      </c>
      <c r="D21" s="15" t="s">
        <v>1816</v>
      </c>
      <c r="E21" s="20">
        <v>11461580</v>
      </c>
      <c r="F21" s="21">
        <v>50683.106800000001</v>
      </c>
      <c r="G21" s="22">
        <v>2.24E-2</v>
      </c>
      <c r="H21" s="40"/>
      <c r="I21" s="24"/>
      <c r="J21" s="5"/>
    </row>
    <row r="22" spans="1:10" ht="12.95" customHeight="1">
      <c r="A22" s="18" t="s">
        <v>3030</v>
      </c>
      <c r="B22" s="19" t="s">
        <v>3031</v>
      </c>
      <c r="C22" s="15" t="s">
        <v>3032</v>
      </c>
      <c r="D22" s="15" t="s">
        <v>295</v>
      </c>
      <c r="E22" s="20">
        <v>2800715</v>
      </c>
      <c r="F22" s="21">
        <v>47508.5285</v>
      </c>
      <c r="G22" s="22">
        <v>2.1000000000000001E-2</v>
      </c>
      <c r="H22" s="40"/>
      <c r="I22" s="24"/>
      <c r="J22" s="5"/>
    </row>
    <row r="23" spans="1:10" ht="12.95" customHeight="1">
      <c r="A23" s="18" t="s">
        <v>3033</v>
      </c>
      <c r="B23" s="19" t="s">
        <v>3034</v>
      </c>
      <c r="C23" s="15" t="s">
        <v>3035</v>
      </c>
      <c r="D23" s="15" t="s">
        <v>726</v>
      </c>
      <c r="E23" s="20">
        <v>2252127</v>
      </c>
      <c r="F23" s="21">
        <v>43527.984600000003</v>
      </c>
      <c r="G23" s="22">
        <v>1.9199999999999998E-2</v>
      </c>
      <c r="H23" s="40"/>
      <c r="I23" s="24"/>
      <c r="J23" s="5"/>
    </row>
    <row r="24" spans="1:10" ht="12.95" customHeight="1">
      <c r="A24" s="18" t="s">
        <v>1584</v>
      </c>
      <c r="B24" s="19" t="s">
        <v>1585</v>
      </c>
      <c r="C24" s="15" t="s">
        <v>1586</v>
      </c>
      <c r="D24" s="15" t="s">
        <v>263</v>
      </c>
      <c r="E24" s="20">
        <v>848144</v>
      </c>
      <c r="F24" s="21">
        <v>43293.0864</v>
      </c>
      <c r="G24" s="22">
        <v>1.9099999999999999E-2</v>
      </c>
      <c r="H24" s="40"/>
      <c r="I24" s="24"/>
      <c r="J24" s="5"/>
    </row>
    <row r="25" spans="1:10" ht="12.95" customHeight="1">
      <c r="A25" s="18" t="s">
        <v>845</v>
      </c>
      <c r="B25" s="19" t="s">
        <v>846</v>
      </c>
      <c r="C25" s="15" t="s">
        <v>847</v>
      </c>
      <c r="D25" s="15" t="s">
        <v>778</v>
      </c>
      <c r="E25" s="20">
        <v>12632371</v>
      </c>
      <c r="F25" s="21">
        <v>42943.745199999998</v>
      </c>
      <c r="G25" s="22">
        <v>1.9E-2</v>
      </c>
      <c r="H25" s="40"/>
      <c r="I25" s="24"/>
      <c r="J25" s="5"/>
    </row>
    <row r="26" spans="1:10" ht="12.95" customHeight="1">
      <c r="A26" s="18" t="s">
        <v>1850</v>
      </c>
      <c r="B26" s="19" t="s">
        <v>1851</v>
      </c>
      <c r="C26" s="15" t="s">
        <v>1852</v>
      </c>
      <c r="D26" s="15" t="s">
        <v>1816</v>
      </c>
      <c r="E26" s="20">
        <v>1000213</v>
      </c>
      <c r="F26" s="21">
        <v>40991.229299999999</v>
      </c>
      <c r="G26" s="22">
        <v>1.8100000000000002E-2</v>
      </c>
      <c r="H26" s="40"/>
      <c r="I26" s="24"/>
      <c r="J26" s="5"/>
    </row>
    <row r="27" spans="1:10" ht="12.95" customHeight="1">
      <c r="A27" s="18" t="s">
        <v>385</v>
      </c>
      <c r="B27" s="19" t="s">
        <v>386</v>
      </c>
      <c r="C27" s="15" t="s">
        <v>387</v>
      </c>
      <c r="D27" s="15" t="s">
        <v>255</v>
      </c>
      <c r="E27" s="20">
        <v>12781167</v>
      </c>
      <c r="F27" s="21">
        <v>38516.046799999996</v>
      </c>
      <c r="G27" s="22">
        <v>1.7000000000000001E-2</v>
      </c>
      <c r="H27" s="40"/>
      <c r="I27" s="24"/>
      <c r="J27" s="5"/>
    </row>
    <row r="28" spans="1:10" ht="12.95" customHeight="1">
      <c r="A28" s="18" t="s">
        <v>1885</v>
      </c>
      <c r="B28" s="19" t="s">
        <v>1886</v>
      </c>
      <c r="C28" s="15" t="s">
        <v>1887</v>
      </c>
      <c r="D28" s="15" t="s">
        <v>745</v>
      </c>
      <c r="E28" s="20">
        <v>164230</v>
      </c>
      <c r="F28" s="21">
        <v>38067.610699999997</v>
      </c>
      <c r="G28" s="22">
        <v>1.6799999999999999E-2</v>
      </c>
      <c r="H28" s="40"/>
      <c r="I28" s="24"/>
      <c r="J28" s="5"/>
    </row>
    <row r="29" spans="1:10" ht="12.95" customHeight="1">
      <c r="A29" s="18" t="s">
        <v>2475</v>
      </c>
      <c r="B29" s="19" t="s">
        <v>2476</v>
      </c>
      <c r="C29" s="15" t="s">
        <v>2477</v>
      </c>
      <c r="D29" s="15" t="s">
        <v>334</v>
      </c>
      <c r="E29" s="20">
        <v>1995692</v>
      </c>
      <c r="F29" s="21">
        <v>36208.837800000001</v>
      </c>
      <c r="G29" s="22">
        <v>1.6E-2</v>
      </c>
      <c r="H29" s="40"/>
      <c r="I29" s="24"/>
      <c r="J29" s="5"/>
    </row>
    <row r="30" spans="1:10" ht="12.95" customHeight="1">
      <c r="A30" s="18" t="s">
        <v>1891</v>
      </c>
      <c r="B30" s="19" t="s">
        <v>1892</v>
      </c>
      <c r="C30" s="15" t="s">
        <v>1893</v>
      </c>
      <c r="D30" s="15" t="s">
        <v>267</v>
      </c>
      <c r="E30" s="20">
        <v>1106405</v>
      </c>
      <c r="F30" s="21">
        <v>35177.593800000002</v>
      </c>
      <c r="G30" s="22">
        <v>1.55E-2</v>
      </c>
      <c r="H30" s="40"/>
      <c r="I30" s="24"/>
      <c r="J30" s="5"/>
    </row>
    <row r="31" spans="1:10" ht="12.95" customHeight="1">
      <c r="A31" s="18" t="s">
        <v>891</v>
      </c>
      <c r="B31" s="19" t="s">
        <v>892</v>
      </c>
      <c r="C31" s="15" t="s">
        <v>893</v>
      </c>
      <c r="D31" s="15" t="s">
        <v>255</v>
      </c>
      <c r="E31" s="20">
        <v>1113679</v>
      </c>
      <c r="F31" s="21">
        <v>34200.525300000001</v>
      </c>
      <c r="G31" s="22">
        <v>1.5100000000000001E-2</v>
      </c>
      <c r="H31" s="40"/>
      <c r="I31" s="24"/>
      <c r="J31" s="5"/>
    </row>
    <row r="32" spans="1:10" ht="12.95" customHeight="1">
      <c r="A32" s="18" t="s">
        <v>699</v>
      </c>
      <c r="B32" s="19" t="s">
        <v>700</v>
      </c>
      <c r="C32" s="15" t="s">
        <v>701</v>
      </c>
      <c r="D32" s="15" t="s">
        <v>271</v>
      </c>
      <c r="E32" s="20">
        <v>23144434</v>
      </c>
      <c r="F32" s="21">
        <v>34068.606800000001</v>
      </c>
      <c r="G32" s="22">
        <v>1.4999999999999999E-2</v>
      </c>
      <c r="H32" s="40"/>
      <c r="I32" s="24"/>
      <c r="J32" s="5"/>
    </row>
    <row r="33" spans="1:10" ht="12.95" customHeight="1">
      <c r="A33" s="18" t="s">
        <v>766</v>
      </c>
      <c r="B33" s="19" t="s">
        <v>767</v>
      </c>
      <c r="C33" s="15" t="s">
        <v>768</v>
      </c>
      <c r="D33" s="15" t="s">
        <v>403</v>
      </c>
      <c r="E33" s="20">
        <v>904844</v>
      </c>
      <c r="F33" s="21">
        <v>33258.446100000001</v>
      </c>
      <c r="G33" s="22">
        <v>1.47E-2</v>
      </c>
      <c r="H33" s="40"/>
      <c r="I33" s="24"/>
      <c r="J33" s="5"/>
    </row>
    <row r="34" spans="1:10" ht="12.95" customHeight="1">
      <c r="A34" s="18" t="s">
        <v>282</v>
      </c>
      <c r="B34" s="19" t="s">
        <v>283</v>
      </c>
      <c r="C34" s="15" t="s">
        <v>284</v>
      </c>
      <c r="D34" s="15" t="s">
        <v>271</v>
      </c>
      <c r="E34" s="20">
        <v>2145000</v>
      </c>
      <c r="F34" s="21">
        <v>32739.134999999998</v>
      </c>
      <c r="G34" s="22">
        <v>1.4500000000000001E-2</v>
      </c>
      <c r="H34" s="40"/>
      <c r="I34" s="24"/>
      <c r="J34" s="5"/>
    </row>
    <row r="35" spans="1:10" ht="12.95" customHeight="1">
      <c r="A35" s="18" t="s">
        <v>2170</v>
      </c>
      <c r="B35" s="19" t="s">
        <v>2171</v>
      </c>
      <c r="C35" s="15" t="s">
        <v>2172</v>
      </c>
      <c r="D35" s="15" t="s">
        <v>263</v>
      </c>
      <c r="E35" s="20">
        <v>1374193</v>
      </c>
      <c r="F35" s="21">
        <v>32659.070800000001</v>
      </c>
      <c r="G35" s="22">
        <v>1.44E-2</v>
      </c>
      <c r="H35" s="40"/>
      <c r="I35" s="24"/>
      <c r="J35" s="5"/>
    </row>
    <row r="36" spans="1:10" ht="12.95" customHeight="1">
      <c r="A36" s="18" t="s">
        <v>2469</v>
      </c>
      <c r="B36" s="19" t="s">
        <v>2470</v>
      </c>
      <c r="C36" s="15" t="s">
        <v>2471</v>
      </c>
      <c r="D36" s="15" t="s">
        <v>295</v>
      </c>
      <c r="E36" s="20">
        <v>1522117</v>
      </c>
      <c r="F36" s="21">
        <v>31639.485000000001</v>
      </c>
      <c r="G36" s="22">
        <v>1.4E-2</v>
      </c>
      <c r="H36" s="40"/>
      <c r="I36" s="24"/>
      <c r="J36" s="5"/>
    </row>
    <row r="37" spans="1:10" ht="12.95" customHeight="1">
      <c r="A37" s="18" t="s">
        <v>2186</v>
      </c>
      <c r="B37" s="19" t="s">
        <v>2187</v>
      </c>
      <c r="C37" s="15" t="s">
        <v>2188</v>
      </c>
      <c r="D37" s="15" t="s">
        <v>314</v>
      </c>
      <c r="E37" s="20">
        <v>820207</v>
      </c>
      <c r="F37" s="21">
        <v>30894.737099999998</v>
      </c>
      <c r="G37" s="22">
        <v>1.3599999999999999E-2</v>
      </c>
      <c r="H37" s="40"/>
      <c r="I37" s="24"/>
      <c r="J37" s="5"/>
    </row>
    <row r="38" spans="1:10" ht="12.95" customHeight="1">
      <c r="A38" s="18" t="s">
        <v>2404</v>
      </c>
      <c r="B38" s="19" t="s">
        <v>2405</v>
      </c>
      <c r="C38" s="15" t="s">
        <v>2406</v>
      </c>
      <c r="D38" s="15" t="s">
        <v>314</v>
      </c>
      <c r="E38" s="20">
        <v>461771</v>
      </c>
      <c r="F38" s="21">
        <v>27492.9218</v>
      </c>
      <c r="G38" s="22">
        <v>1.21E-2</v>
      </c>
      <c r="H38" s="40"/>
      <c r="I38" s="24"/>
      <c r="J38" s="5"/>
    </row>
    <row r="39" spans="1:10" ht="12.95" customHeight="1">
      <c r="A39" s="18" t="s">
        <v>3036</v>
      </c>
      <c r="B39" s="19" t="s">
        <v>3037</v>
      </c>
      <c r="C39" s="15" t="s">
        <v>3038</v>
      </c>
      <c r="D39" s="15" t="s">
        <v>259</v>
      </c>
      <c r="E39" s="20">
        <v>1044732</v>
      </c>
      <c r="F39" s="21">
        <v>26722.1551</v>
      </c>
      <c r="G39" s="22">
        <v>1.18E-2</v>
      </c>
      <c r="H39" s="40"/>
      <c r="I39" s="24"/>
      <c r="J39" s="5"/>
    </row>
    <row r="40" spans="1:10" ht="12.95" customHeight="1">
      <c r="A40" s="18" t="s">
        <v>3039</v>
      </c>
      <c r="B40" s="19" t="s">
        <v>3040</v>
      </c>
      <c r="C40" s="15" t="s">
        <v>3041</v>
      </c>
      <c r="D40" s="15" t="s">
        <v>324</v>
      </c>
      <c r="E40" s="20">
        <v>1659007</v>
      </c>
      <c r="F40" s="21">
        <v>26683.4686</v>
      </c>
      <c r="G40" s="22">
        <v>1.18E-2</v>
      </c>
      <c r="H40" s="40"/>
      <c r="I40" s="24"/>
      <c r="J40" s="5"/>
    </row>
    <row r="41" spans="1:10" ht="12.95" customHeight="1">
      <c r="A41" s="18" t="s">
        <v>3042</v>
      </c>
      <c r="B41" s="19" t="s">
        <v>3043</v>
      </c>
      <c r="C41" s="15" t="s">
        <v>3044</v>
      </c>
      <c r="D41" s="15" t="s">
        <v>3045</v>
      </c>
      <c r="E41" s="20">
        <v>77057</v>
      </c>
      <c r="F41" s="21">
        <v>24508.6338</v>
      </c>
      <c r="G41" s="22">
        <v>1.0800000000000001E-2</v>
      </c>
      <c r="H41" s="40"/>
      <c r="I41" s="24"/>
      <c r="J41" s="5"/>
    </row>
    <row r="42" spans="1:10" ht="12.95" customHeight="1">
      <c r="A42" s="18" t="s">
        <v>2167</v>
      </c>
      <c r="B42" s="19" t="s">
        <v>2168</v>
      </c>
      <c r="C42" s="15" t="s">
        <v>2169</v>
      </c>
      <c r="D42" s="15" t="s">
        <v>745</v>
      </c>
      <c r="E42" s="20">
        <v>639250</v>
      </c>
      <c r="F42" s="21">
        <v>23050.715800000002</v>
      </c>
      <c r="G42" s="22">
        <v>1.0200000000000001E-2</v>
      </c>
      <c r="H42" s="40"/>
      <c r="I42" s="24"/>
      <c r="J42" s="5"/>
    </row>
    <row r="43" spans="1:10" ht="12.95" customHeight="1">
      <c r="A43" s="18" t="s">
        <v>860</v>
      </c>
      <c r="B43" s="19" t="s">
        <v>861</v>
      </c>
      <c r="C43" s="15" t="s">
        <v>862</v>
      </c>
      <c r="D43" s="15" t="s">
        <v>259</v>
      </c>
      <c r="E43" s="20">
        <v>32547885</v>
      </c>
      <c r="F43" s="21">
        <v>20977.1119</v>
      </c>
      <c r="G43" s="22">
        <v>9.2999999999999992E-3</v>
      </c>
      <c r="H43" s="40"/>
      <c r="I43" s="24"/>
      <c r="J43" s="5"/>
    </row>
    <row r="44" spans="1:10" ht="12.95" customHeight="1">
      <c r="A44" s="18" t="s">
        <v>2478</v>
      </c>
      <c r="B44" s="19" t="s">
        <v>2479</v>
      </c>
      <c r="C44" s="15" t="s">
        <v>2480</v>
      </c>
      <c r="D44" s="15" t="s">
        <v>259</v>
      </c>
      <c r="E44" s="20">
        <v>1310983</v>
      </c>
      <c r="F44" s="21">
        <v>20866.260900000001</v>
      </c>
      <c r="G44" s="22">
        <v>9.1999999999999998E-3</v>
      </c>
      <c r="H44" s="40"/>
      <c r="I44" s="24"/>
      <c r="J44" s="5"/>
    </row>
    <row r="45" spans="1:10" ht="12.95" customHeight="1">
      <c r="A45" s="18" t="s">
        <v>2739</v>
      </c>
      <c r="B45" s="19" t="s">
        <v>2740</v>
      </c>
      <c r="C45" s="15" t="s">
        <v>2741</v>
      </c>
      <c r="D45" s="15" t="s">
        <v>295</v>
      </c>
      <c r="E45" s="20">
        <v>405071</v>
      </c>
      <c r="F45" s="21">
        <v>20705.609199999999</v>
      </c>
      <c r="G45" s="22">
        <v>9.1000000000000004E-3</v>
      </c>
      <c r="H45" s="40"/>
      <c r="I45" s="24"/>
      <c r="J45" s="5"/>
    </row>
    <row r="46" spans="1:10" ht="12.95" customHeight="1">
      <c r="A46" s="18" t="s">
        <v>2451</v>
      </c>
      <c r="B46" s="19" t="s">
        <v>2452</v>
      </c>
      <c r="C46" s="15" t="s">
        <v>2453</v>
      </c>
      <c r="D46" s="15" t="s">
        <v>259</v>
      </c>
      <c r="E46" s="20">
        <v>126307</v>
      </c>
      <c r="F46" s="21">
        <v>19641.622599999999</v>
      </c>
      <c r="G46" s="22">
        <v>8.6999999999999994E-3</v>
      </c>
      <c r="H46" s="40"/>
      <c r="I46" s="24"/>
      <c r="J46" s="5"/>
    </row>
    <row r="47" spans="1:10" ht="12.95" customHeight="1">
      <c r="A47" s="18" t="s">
        <v>400</v>
      </c>
      <c r="B47" s="19" t="s">
        <v>401</v>
      </c>
      <c r="C47" s="15" t="s">
        <v>402</v>
      </c>
      <c r="D47" s="15" t="s">
        <v>403</v>
      </c>
      <c r="E47" s="20">
        <v>1411327</v>
      </c>
      <c r="F47" s="21">
        <v>18891.317599999998</v>
      </c>
      <c r="G47" s="22">
        <v>8.3000000000000001E-3</v>
      </c>
      <c r="H47" s="40"/>
      <c r="I47" s="24"/>
      <c r="J47" s="5"/>
    </row>
    <row r="48" spans="1:10" ht="12.95" customHeight="1">
      <c r="A48" s="18" t="s">
        <v>3046</v>
      </c>
      <c r="B48" s="19" t="s">
        <v>3047</v>
      </c>
      <c r="C48" s="15" t="s">
        <v>3048</v>
      </c>
      <c r="D48" s="15" t="s">
        <v>403</v>
      </c>
      <c r="E48" s="20">
        <v>7970757</v>
      </c>
      <c r="F48" s="21">
        <v>17077.3469</v>
      </c>
      <c r="G48" s="22">
        <v>7.4999999999999997E-3</v>
      </c>
      <c r="H48" s="40"/>
      <c r="I48" s="24"/>
      <c r="J48" s="5"/>
    </row>
    <row r="49" spans="1:10" ht="12.95" customHeight="1">
      <c r="A49" s="18" t="s">
        <v>299</v>
      </c>
      <c r="B49" s="19" t="s">
        <v>300</v>
      </c>
      <c r="C49" s="15" t="s">
        <v>301</v>
      </c>
      <c r="D49" s="15" t="s">
        <v>302</v>
      </c>
      <c r="E49" s="20">
        <v>2051400</v>
      </c>
      <c r="F49" s="21">
        <v>15449.0934</v>
      </c>
      <c r="G49" s="22">
        <v>6.7999999999999996E-3</v>
      </c>
      <c r="H49" s="40"/>
      <c r="I49" s="24"/>
      <c r="J49" s="5"/>
    </row>
    <row r="50" spans="1:10" ht="12.95" customHeight="1">
      <c r="A50" s="18" t="s">
        <v>2161</v>
      </c>
      <c r="B50" s="19" t="s">
        <v>2162</v>
      </c>
      <c r="C50" s="15" t="s">
        <v>2163</v>
      </c>
      <c r="D50" s="15" t="s">
        <v>314</v>
      </c>
      <c r="E50" s="20">
        <v>307724</v>
      </c>
      <c r="F50" s="21">
        <v>14755.673500000001</v>
      </c>
      <c r="G50" s="22">
        <v>6.4999999999999997E-3</v>
      </c>
      <c r="H50" s="40"/>
      <c r="I50" s="24"/>
      <c r="J50" s="5"/>
    </row>
    <row r="51" spans="1:10" ht="12.95" customHeight="1">
      <c r="A51" s="18" t="s">
        <v>1598</v>
      </c>
      <c r="B51" s="19" t="s">
        <v>1599</v>
      </c>
      <c r="C51" s="15" t="s">
        <v>1600</v>
      </c>
      <c r="D51" s="15" t="s">
        <v>267</v>
      </c>
      <c r="E51" s="20">
        <v>1602199</v>
      </c>
      <c r="F51" s="21">
        <v>14583.2153</v>
      </c>
      <c r="G51" s="22">
        <v>6.4000000000000003E-3</v>
      </c>
      <c r="H51" s="40"/>
      <c r="I51" s="24"/>
      <c r="J51" s="5"/>
    </row>
    <row r="52" spans="1:10" ht="12.95" customHeight="1">
      <c r="A52" s="18" t="s">
        <v>371</v>
      </c>
      <c r="B52" s="19" t="s">
        <v>372</v>
      </c>
      <c r="C52" s="15" t="s">
        <v>373</v>
      </c>
      <c r="D52" s="15" t="s">
        <v>324</v>
      </c>
      <c r="E52" s="20">
        <v>1631760</v>
      </c>
      <c r="F52" s="21">
        <v>14086.9841</v>
      </c>
      <c r="G52" s="22">
        <v>6.1999999999999998E-3</v>
      </c>
      <c r="H52" s="40"/>
      <c r="I52" s="24"/>
      <c r="J52" s="5"/>
    </row>
    <row r="53" spans="1:10" ht="12.95" customHeight="1">
      <c r="A53" s="18" t="s">
        <v>311</v>
      </c>
      <c r="B53" s="19" t="s">
        <v>312</v>
      </c>
      <c r="C53" s="15" t="s">
        <v>313</v>
      </c>
      <c r="D53" s="15" t="s">
        <v>314</v>
      </c>
      <c r="E53" s="20">
        <v>290469</v>
      </c>
      <c r="F53" s="21">
        <v>14000.605799999999</v>
      </c>
      <c r="G53" s="22">
        <v>6.1999999999999998E-3</v>
      </c>
      <c r="H53" s="40"/>
      <c r="I53" s="24"/>
      <c r="J53" s="5"/>
    </row>
    <row r="54" spans="1:10" ht="12.95" customHeight="1">
      <c r="A54" s="18" t="s">
        <v>1838</v>
      </c>
      <c r="B54" s="19" t="s">
        <v>1839</v>
      </c>
      <c r="C54" s="15" t="s">
        <v>1840</v>
      </c>
      <c r="D54" s="15" t="s">
        <v>324</v>
      </c>
      <c r="E54" s="20">
        <v>4371655</v>
      </c>
      <c r="F54" s="21">
        <v>13545.573</v>
      </c>
      <c r="G54" s="22">
        <v>6.0000000000000001E-3</v>
      </c>
      <c r="H54" s="40"/>
      <c r="I54" s="24"/>
      <c r="J54" s="5"/>
    </row>
    <row r="55" spans="1:10" ht="12.95" customHeight="1">
      <c r="A55" s="18" t="s">
        <v>1823</v>
      </c>
      <c r="B55" s="19" t="s">
        <v>1824</v>
      </c>
      <c r="C55" s="15" t="s">
        <v>1825</v>
      </c>
      <c r="D55" s="15" t="s">
        <v>295</v>
      </c>
      <c r="E55" s="20">
        <v>1233267</v>
      </c>
      <c r="F55" s="21">
        <v>13462.3426</v>
      </c>
      <c r="G55" s="22">
        <v>5.8999999999999999E-3</v>
      </c>
      <c r="H55" s="40"/>
      <c r="I55" s="24"/>
      <c r="J55" s="5"/>
    </row>
    <row r="56" spans="1:10" ht="12.95" customHeight="1">
      <c r="A56" s="18" t="s">
        <v>3049</v>
      </c>
      <c r="B56" s="19" t="s">
        <v>3050</v>
      </c>
      <c r="C56" s="15" t="s">
        <v>3051</v>
      </c>
      <c r="D56" s="15" t="s">
        <v>295</v>
      </c>
      <c r="E56" s="20">
        <v>1142052</v>
      </c>
      <c r="F56" s="21">
        <v>13441.951999999999</v>
      </c>
      <c r="G56" s="22">
        <v>5.8999999999999999E-3</v>
      </c>
      <c r="H56" s="40"/>
      <c r="I56" s="24"/>
      <c r="J56" s="5"/>
    </row>
    <row r="57" spans="1:10" ht="12.95" customHeight="1">
      <c r="A57" s="18" t="s">
        <v>3052</v>
      </c>
      <c r="B57" s="19" t="s">
        <v>3053</v>
      </c>
      <c r="C57" s="15" t="s">
        <v>3054</v>
      </c>
      <c r="D57" s="15" t="s">
        <v>1616</v>
      </c>
      <c r="E57" s="20">
        <v>3114479</v>
      </c>
      <c r="F57" s="21">
        <v>13171.1317</v>
      </c>
      <c r="G57" s="22">
        <v>5.7999999999999996E-3</v>
      </c>
      <c r="H57" s="40"/>
      <c r="I57" s="24"/>
      <c r="J57" s="5"/>
    </row>
    <row r="58" spans="1:10" ht="12.95" customHeight="1">
      <c r="A58" s="18" t="s">
        <v>799</v>
      </c>
      <c r="B58" s="19" t="s">
        <v>800</v>
      </c>
      <c r="C58" s="15" t="s">
        <v>801</v>
      </c>
      <c r="D58" s="15" t="s">
        <v>291</v>
      </c>
      <c r="E58" s="20">
        <v>3998333</v>
      </c>
      <c r="F58" s="21">
        <v>10487.627500000001</v>
      </c>
      <c r="G58" s="22">
        <v>4.5999999999999999E-3</v>
      </c>
      <c r="H58" s="40"/>
      <c r="I58" s="24"/>
      <c r="J58" s="5"/>
    </row>
    <row r="59" spans="1:10" ht="12.95" customHeight="1">
      <c r="A59" s="18" t="s">
        <v>2554</v>
      </c>
      <c r="B59" s="19" t="s">
        <v>2555</v>
      </c>
      <c r="C59" s="15" t="s">
        <v>2556</v>
      </c>
      <c r="D59" s="15" t="s">
        <v>745</v>
      </c>
      <c r="E59" s="20">
        <v>1045336</v>
      </c>
      <c r="F59" s="21">
        <v>9780.6862999999994</v>
      </c>
      <c r="G59" s="22">
        <v>4.3E-3</v>
      </c>
      <c r="H59" s="40"/>
      <c r="I59" s="24"/>
      <c r="J59" s="5"/>
    </row>
    <row r="60" spans="1:10" ht="12.95" customHeight="1">
      <c r="A60" s="18" t="s">
        <v>824</v>
      </c>
      <c r="B60" s="19" t="s">
        <v>825</v>
      </c>
      <c r="C60" s="15" t="s">
        <v>826</v>
      </c>
      <c r="D60" s="15" t="s">
        <v>302</v>
      </c>
      <c r="E60" s="20">
        <v>24691</v>
      </c>
      <c r="F60" s="21">
        <v>9624.2185000000009</v>
      </c>
      <c r="G60" s="22">
        <v>4.1999999999999997E-3</v>
      </c>
      <c r="H60" s="40"/>
      <c r="I60" s="24"/>
      <c r="J60" s="5"/>
    </row>
    <row r="61" spans="1:10" ht="12.95" customHeight="1">
      <c r="A61" s="18" t="s">
        <v>3055</v>
      </c>
      <c r="B61" s="19" t="s">
        <v>3056</v>
      </c>
      <c r="C61" s="15" t="s">
        <v>3057</v>
      </c>
      <c r="D61" s="15" t="s">
        <v>808</v>
      </c>
      <c r="E61" s="20">
        <v>1797190</v>
      </c>
      <c r="F61" s="21">
        <v>9580.8199000000004</v>
      </c>
      <c r="G61" s="22">
        <v>4.1999999999999997E-3</v>
      </c>
      <c r="H61" s="40"/>
      <c r="I61" s="24"/>
      <c r="J61" s="5"/>
    </row>
    <row r="62" spans="1:10" ht="12.95" customHeight="1">
      <c r="A62" s="18" t="s">
        <v>869</v>
      </c>
      <c r="B62" s="19" t="s">
        <v>870</v>
      </c>
      <c r="C62" s="15" t="s">
        <v>871</v>
      </c>
      <c r="D62" s="15" t="s">
        <v>832</v>
      </c>
      <c r="E62" s="20">
        <v>2222646</v>
      </c>
      <c r="F62" s="21">
        <v>9388.4567000000006</v>
      </c>
      <c r="G62" s="22">
        <v>4.1000000000000003E-3</v>
      </c>
      <c r="H62" s="40"/>
      <c r="I62" s="24"/>
      <c r="J62" s="5"/>
    </row>
    <row r="63" spans="1:10" ht="12.95" customHeight="1">
      <c r="A63" s="18" t="s">
        <v>872</v>
      </c>
      <c r="B63" s="19" t="s">
        <v>873</v>
      </c>
      <c r="C63" s="15" t="s">
        <v>874</v>
      </c>
      <c r="D63" s="15" t="s">
        <v>352</v>
      </c>
      <c r="E63" s="20">
        <v>22665</v>
      </c>
      <c r="F63" s="21">
        <v>9032.8523999999998</v>
      </c>
      <c r="G63" s="22">
        <v>4.0000000000000001E-3</v>
      </c>
      <c r="H63" s="40"/>
      <c r="I63" s="24"/>
      <c r="J63" s="5"/>
    </row>
    <row r="64" spans="1:10" ht="12.95" customHeight="1">
      <c r="A64" s="18" t="s">
        <v>866</v>
      </c>
      <c r="B64" s="19" t="s">
        <v>867</v>
      </c>
      <c r="C64" s="15" t="s">
        <v>868</v>
      </c>
      <c r="D64" s="15" t="s">
        <v>403</v>
      </c>
      <c r="E64" s="20">
        <v>8045416</v>
      </c>
      <c r="F64" s="21">
        <v>8166.0972000000002</v>
      </c>
      <c r="G64" s="22">
        <v>3.5999999999999999E-3</v>
      </c>
      <c r="H64" s="40"/>
      <c r="I64" s="24"/>
      <c r="J64" s="5"/>
    </row>
    <row r="65" spans="1:10" ht="12.95" customHeight="1">
      <c r="A65" s="18" t="s">
        <v>1617</v>
      </c>
      <c r="B65" s="19" t="s">
        <v>1618</v>
      </c>
      <c r="C65" s="15" t="s">
        <v>1619</v>
      </c>
      <c r="D65" s="15" t="s">
        <v>745</v>
      </c>
      <c r="E65" s="20">
        <v>401434</v>
      </c>
      <c r="F65" s="21">
        <v>7206.9445999999998</v>
      </c>
      <c r="G65" s="22">
        <v>3.2000000000000002E-3</v>
      </c>
      <c r="H65" s="40"/>
      <c r="I65" s="24"/>
      <c r="J65" s="5"/>
    </row>
    <row r="66" spans="1:10" ht="12.95" customHeight="1">
      <c r="A66" s="18" t="s">
        <v>1860</v>
      </c>
      <c r="B66" s="19" t="s">
        <v>1861</v>
      </c>
      <c r="C66" s="15" t="s">
        <v>1862</v>
      </c>
      <c r="D66" s="15" t="s">
        <v>788</v>
      </c>
      <c r="E66" s="20">
        <v>430472</v>
      </c>
      <c r="F66" s="21">
        <v>6702.4489999999996</v>
      </c>
      <c r="G66" s="22">
        <v>3.0000000000000001E-3</v>
      </c>
      <c r="H66" s="40"/>
      <c r="I66" s="24"/>
      <c r="J66" s="5"/>
    </row>
    <row r="67" spans="1:10" ht="12.95" customHeight="1">
      <c r="A67" s="18" t="s">
        <v>3058</v>
      </c>
      <c r="B67" s="19" t="s">
        <v>3059</v>
      </c>
      <c r="C67" s="15" t="s">
        <v>3060</v>
      </c>
      <c r="D67" s="15" t="s">
        <v>306</v>
      </c>
      <c r="E67" s="20">
        <v>507252</v>
      </c>
      <c r="F67" s="21">
        <v>5231.2898999999998</v>
      </c>
      <c r="G67" s="22">
        <v>2.3E-3</v>
      </c>
      <c r="H67" s="40"/>
      <c r="I67" s="24"/>
      <c r="J67" s="5"/>
    </row>
    <row r="68" spans="1:10" ht="12.95" customHeight="1">
      <c r="A68" s="18" t="s">
        <v>3061</v>
      </c>
      <c r="B68" s="19" t="s">
        <v>3062</v>
      </c>
      <c r="C68" s="15" t="s">
        <v>3063</v>
      </c>
      <c r="D68" s="15" t="s">
        <v>295</v>
      </c>
      <c r="E68" s="20">
        <v>146775</v>
      </c>
      <c r="F68" s="21">
        <v>4543.4201000000003</v>
      </c>
      <c r="G68" s="22">
        <v>2E-3</v>
      </c>
      <c r="H68" s="40"/>
      <c r="I68" s="24"/>
      <c r="J68" s="5"/>
    </row>
    <row r="69" spans="1:10" ht="12.95" customHeight="1">
      <c r="A69" s="18" t="s">
        <v>3064</v>
      </c>
      <c r="B69" s="19" t="s">
        <v>3065</v>
      </c>
      <c r="C69" s="15" t="s">
        <v>3066</v>
      </c>
      <c r="D69" s="15" t="s">
        <v>314</v>
      </c>
      <c r="E69" s="20">
        <v>50360</v>
      </c>
      <c r="F69" s="21">
        <v>3548.1642000000002</v>
      </c>
      <c r="G69" s="22">
        <v>1.6000000000000001E-3</v>
      </c>
      <c r="H69" s="40"/>
      <c r="I69" s="24"/>
      <c r="J69" s="5"/>
    </row>
    <row r="70" spans="1:10" ht="12.95" customHeight="1">
      <c r="A70" s="18" t="s">
        <v>252</v>
      </c>
      <c r="B70" s="19" t="s">
        <v>253</v>
      </c>
      <c r="C70" s="15" t="s">
        <v>254</v>
      </c>
      <c r="D70" s="15" t="s">
        <v>255</v>
      </c>
      <c r="E70" s="20">
        <v>204175</v>
      </c>
      <c r="F70" s="21">
        <v>2685.9220999999998</v>
      </c>
      <c r="G70" s="22">
        <v>1.1999999999999999E-3</v>
      </c>
      <c r="H70" s="40"/>
      <c r="I70" s="24"/>
      <c r="J70" s="5"/>
    </row>
    <row r="71" spans="1:10" ht="12.95" customHeight="1">
      <c r="A71" s="18" t="s">
        <v>2472</v>
      </c>
      <c r="B71" s="19" t="s">
        <v>2473</v>
      </c>
      <c r="C71" s="15" t="s">
        <v>2474</v>
      </c>
      <c r="D71" s="15" t="s">
        <v>259</v>
      </c>
      <c r="E71" s="20">
        <v>193764</v>
      </c>
      <c r="F71" s="21">
        <v>2441.8139000000001</v>
      </c>
      <c r="G71" s="22">
        <v>1.1000000000000001E-3</v>
      </c>
      <c r="H71" s="40"/>
      <c r="I71" s="24"/>
      <c r="J71" s="5"/>
    </row>
    <row r="72" spans="1:10" ht="12.95" customHeight="1">
      <c r="A72" s="18" t="s">
        <v>863</v>
      </c>
      <c r="B72" s="19" t="s">
        <v>864</v>
      </c>
      <c r="C72" s="15" t="s">
        <v>865</v>
      </c>
      <c r="D72" s="15" t="s">
        <v>745</v>
      </c>
      <c r="E72" s="20">
        <v>3190</v>
      </c>
      <c r="F72" s="21">
        <v>47.279000000000003</v>
      </c>
      <c r="G72" s="40" t="s">
        <v>675</v>
      </c>
      <c r="H72" s="40"/>
      <c r="I72" s="24"/>
      <c r="J72" s="5"/>
    </row>
    <row r="73" spans="1:10" ht="12.95" customHeight="1">
      <c r="A73" s="5"/>
      <c r="B73" s="14" t="s">
        <v>160</v>
      </c>
      <c r="C73" s="15"/>
      <c r="D73" s="15"/>
      <c r="E73" s="15"/>
      <c r="F73" s="25">
        <v>2094791.3123000001</v>
      </c>
      <c r="G73" s="26">
        <v>0.92459999999999998</v>
      </c>
      <c r="H73" s="27"/>
      <c r="I73" s="28"/>
      <c r="J73" s="5"/>
    </row>
    <row r="74" spans="1:10" ht="12.95" customHeight="1">
      <c r="A74" s="5"/>
      <c r="B74" s="29" t="s">
        <v>408</v>
      </c>
      <c r="C74" s="2"/>
      <c r="D74" s="2"/>
      <c r="E74" s="2"/>
      <c r="F74" s="27" t="s">
        <v>162</v>
      </c>
      <c r="G74" s="27" t="s">
        <v>162</v>
      </c>
      <c r="H74" s="27"/>
      <c r="I74" s="28"/>
      <c r="J74" s="5"/>
    </row>
    <row r="75" spans="1:10" ht="12.95" customHeight="1">
      <c r="A75" s="5"/>
      <c r="B75" s="29" t="s">
        <v>160</v>
      </c>
      <c r="C75" s="2"/>
      <c r="D75" s="2"/>
      <c r="E75" s="2"/>
      <c r="F75" s="27" t="s">
        <v>162</v>
      </c>
      <c r="G75" s="27" t="s">
        <v>162</v>
      </c>
      <c r="H75" s="27"/>
      <c r="I75" s="28"/>
      <c r="J75" s="5"/>
    </row>
    <row r="76" spans="1:10" ht="12.95" customHeight="1">
      <c r="A76" s="5"/>
      <c r="B76" s="29" t="s">
        <v>163</v>
      </c>
      <c r="C76" s="30"/>
      <c r="D76" s="2"/>
      <c r="E76" s="30"/>
      <c r="F76" s="25">
        <v>2094791.3123000001</v>
      </c>
      <c r="G76" s="26">
        <v>0.92459999999999998</v>
      </c>
      <c r="H76" s="27"/>
      <c r="I76" s="28"/>
      <c r="J76" s="5"/>
    </row>
    <row r="77" spans="1:10" ht="12.95" customHeight="1">
      <c r="A77" s="5"/>
      <c r="B77" s="14" t="s">
        <v>417</v>
      </c>
      <c r="C77" s="15"/>
      <c r="D77" s="15"/>
      <c r="E77" s="15"/>
      <c r="F77" s="15"/>
      <c r="G77" s="15"/>
      <c r="H77" s="16"/>
      <c r="I77" s="17"/>
      <c r="J77" s="5"/>
    </row>
    <row r="78" spans="1:10" ht="12.95" customHeight="1">
      <c r="A78" s="5"/>
      <c r="B78" s="14" t="s">
        <v>418</v>
      </c>
      <c r="C78" s="15"/>
      <c r="D78" s="15"/>
      <c r="E78" s="15"/>
      <c r="F78" s="5"/>
      <c r="G78" s="16"/>
      <c r="H78" s="16"/>
      <c r="I78" s="17"/>
      <c r="J78" s="5"/>
    </row>
    <row r="79" spans="1:10" ht="12.95" customHeight="1">
      <c r="A79" s="18" t="s">
        <v>2116</v>
      </c>
      <c r="B79" s="19" t="s">
        <v>2117</v>
      </c>
      <c r="C79" s="15" t="s">
        <v>2118</v>
      </c>
      <c r="D79" s="15" t="s">
        <v>156</v>
      </c>
      <c r="E79" s="20">
        <v>11500000</v>
      </c>
      <c r="F79" s="21">
        <v>11329.788500000001</v>
      </c>
      <c r="G79" s="22">
        <v>5.0000000000000001E-3</v>
      </c>
      <c r="H79" s="23">
        <v>6.7699999999999996E-2</v>
      </c>
      <c r="I79" s="24"/>
      <c r="J79" s="5"/>
    </row>
    <row r="80" spans="1:10" ht="12.95" customHeight="1">
      <c r="A80" s="5"/>
      <c r="B80" s="14" t="s">
        <v>160</v>
      </c>
      <c r="C80" s="15"/>
      <c r="D80" s="15"/>
      <c r="E80" s="15"/>
      <c r="F80" s="25">
        <v>11329.788500000001</v>
      </c>
      <c r="G80" s="26">
        <v>5.0000000000000001E-3</v>
      </c>
      <c r="H80" s="27"/>
      <c r="I80" s="28"/>
      <c r="J80" s="5"/>
    </row>
    <row r="81" spans="1:10" ht="12.95" customHeight="1">
      <c r="A81" s="5"/>
      <c r="B81" s="29" t="s">
        <v>163</v>
      </c>
      <c r="C81" s="30"/>
      <c r="D81" s="2"/>
      <c r="E81" s="30"/>
      <c r="F81" s="25">
        <v>11329.788500000001</v>
      </c>
      <c r="G81" s="26">
        <v>5.0000000000000001E-3</v>
      </c>
      <c r="H81" s="27"/>
      <c r="I81" s="28"/>
      <c r="J81" s="5"/>
    </row>
    <row r="82" spans="1:10" ht="12.95" customHeight="1">
      <c r="A82" s="5"/>
      <c r="B82" s="14" t="s">
        <v>164</v>
      </c>
      <c r="C82" s="15"/>
      <c r="D82" s="15"/>
      <c r="E82" s="15"/>
      <c r="F82" s="15"/>
      <c r="G82" s="15"/>
      <c r="H82" s="16"/>
      <c r="I82" s="17"/>
      <c r="J82" s="5"/>
    </row>
    <row r="83" spans="1:10" ht="12.95" customHeight="1">
      <c r="A83" s="18" t="s">
        <v>165</v>
      </c>
      <c r="B83" s="19" t="s">
        <v>166</v>
      </c>
      <c r="C83" s="15"/>
      <c r="D83" s="15"/>
      <c r="E83" s="20"/>
      <c r="F83" s="21">
        <v>151639.3414</v>
      </c>
      <c r="G83" s="22">
        <v>6.6900000000000001E-2</v>
      </c>
      <c r="H83" s="23">
        <v>6.7996829688028088E-2</v>
      </c>
      <c r="I83" s="24"/>
      <c r="J83" s="5"/>
    </row>
    <row r="84" spans="1:10" ht="12.95" customHeight="1">
      <c r="A84" s="5"/>
      <c r="B84" s="14" t="s">
        <v>160</v>
      </c>
      <c r="C84" s="15"/>
      <c r="D84" s="15"/>
      <c r="E84" s="15"/>
      <c r="F84" s="25">
        <v>151639.3414</v>
      </c>
      <c r="G84" s="26">
        <v>6.6900000000000001E-2</v>
      </c>
      <c r="H84" s="27"/>
      <c r="I84" s="28"/>
      <c r="J84" s="5"/>
    </row>
    <row r="85" spans="1:10" ht="12.95" customHeight="1">
      <c r="A85" s="5"/>
      <c r="B85" s="29" t="s">
        <v>163</v>
      </c>
      <c r="C85" s="30"/>
      <c r="D85" s="2"/>
      <c r="E85" s="30"/>
      <c r="F85" s="25">
        <v>151639.3414</v>
      </c>
      <c r="G85" s="26">
        <v>6.6900000000000001E-2</v>
      </c>
      <c r="H85" s="27"/>
      <c r="I85" s="28"/>
      <c r="J85" s="5"/>
    </row>
    <row r="86" spans="1:10" ht="12.95" customHeight="1">
      <c r="A86" s="5"/>
      <c r="B86" s="29" t="s">
        <v>167</v>
      </c>
      <c r="C86" s="15"/>
      <c r="D86" s="2"/>
      <c r="E86" s="15"/>
      <c r="F86" s="31">
        <v>7809.3778000000002</v>
      </c>
      <c r="G86" s="26">
        <v>3.5000000000000001E-3</v>
      </c>
      <c r="H86" s="27"/>
      <c r="I86" s="28"/>
      <c r="J86" s="5"/>
    </row>
    <row r="87" spans="1:10" ht="12.95" customHeight="1">
      <c r="A87" s="5"/>
      <c r="B87" s="32" t="s">
        <v>168</v>
      </c>
      <c r="C87" s="33"/>
      <c r="D87" s="33"/>
      <c r="E87" s="33"/>
      <c r="F87" s="34">
        <v>2265569.8199999998</v>
      </c>
      <c r="G87" s="35">
        <v>1</v>
      </c>
      <c r="H87" s="36"/>
      <c r="I87" s="37"/>
      <c r="J87" s="5"/>
    </row>
    <row r="88" spans="1:10" ht="12.95" customHeight="1">
      <c r="A88" s="5"/>
      <c r="B88" s="7"/>
      <c r="C88" s="5"/>
      <c r="D88" s="5"/>
      <c r="E88" s="5"/>
      <c r="F88" s="5"/>
      <c r="G88" s="5"/>
      <c r="H88" s="5"/>
      <c r="I88" s="5"/>
      <c r="J88" s="5"/>
    </row>
    <row r="89" spans="1:10" ht="12.95" customHeight="1">
      <c r="A89" s="5"/>
      <c r="B89" s="4" t="s">
        <v>169</v>
      </c>
      <c r="C89" s="5"/>
      <c r="D89" s="5"/>
      <c r="E89" s="5"/>
      <c r="F89" s="5"/>
      <c r="G89" s="5"/>
      <c r="H89" s="5"/>
      <c r="I89" s="5"/>
      <c r="J89" s="5"/>
    </row>
    <row r="90" spans="1:10" ht="12.95" customHeight="1">
      <c r="A90" s="5"/>
      <c r="B90" s="4" t="s">
        <v>685</v>
      </c>
      <c r="C90" s="5"/>
      <c r="D90" s="5"/>
      <c r="E90" s="5"/>
      <c r="F90" s="5"/>
      <c r="G90" s="5"/>
      <c r="H90" s="5"/>
      <c r="I90" s="5"/>
      <c r="J90" s="5"/>
    </row>
    <row r="91" spans="1:10" ht="12.95" customHeight="1">
      <c r="A91" s="5"/>
      <c r="B91" s="4" t="s">
        <v>170</v>
      </c>
      <c r="C91" s="5"/>
      <c r="D91" s="5"/>
      <c r="E91" s="5"/>
      <c r="F91" s="5"/>
      <c r="G91" s="5"/>
      <c r="H91" s="5"/>
      <c r="I91" s="5"/>
      <c r="J91" s="5"/>
    </row>
    <row r="92" spans="1:10" ht="26.1" customHeight="1">
      <c r="A92" s="5"/>
      <c r="B92" s="86" t="s">
        <v>171</v>
      </c>
      <c r="C92" s="86"/>
      <c r="D92" s="86"/>
      <c r="E92" s="86"/>
      <c r="F92" s="86"/>
      <c r="G92" s="86"/>
      <c r="H92" s="86"/>
      <c r="I92" s="86"/>
      <c r="J92" s="5"/>
    </row>
    <row r="93" spans="1:10" ht="12.95" customHeight="1">
      <c r="A93" s="5"/>
      <c r="B93" s="86"/>
      <c r="C93" s="86"/>
      <c r="D93" s="86"/>
      <c r="E93" s="86"/>
      <c r="F93" s="86"/>
      <c r="G93" s="86"/>
      <c r="H93" s="86"/>
      <c r="I93" s="86"/>
      <c r="J93" s="5"/>
    </row>
    <row r="94" spans="1:10" ht="12.95" customHeight="1">
      <c r="A94" s="5"/>
      <c r="B94" s="86"/>
      <c r="C94" s="86"/>
      <c r="D94" s="86"/>
      <c r="E94" s="86"/>
      <c r="F94" s="86"/>
      <c r="G94" s="86"/>
      <c r="H94" s="86"/>
      <c r="I94" s="86"/>
      <c r="J94" s="5"/>
    </row>
    <row r="95" spans="1:10" ht="12.95" customHeight="1">
      <c r="A95" s="5"/>
      <c r="B95" s="5"/>
      <c r="C95" s="87" t="s">
        <v>3067</v>
      </c>
      <c r="D95" s="87"/>
      <c r="E95" s="87"/>
      <c r="F95" s="87"/>
      <c r="G95" s="5"/>
      <c r="H95" s="5"/>
      <c r="I95" s="5"/>
      <c r="J95" s="5"/>
    </row>
    <row r="96" spans="1:10" ht="12.95" customHeight="1">
      <c r="A96" s="5"/>
      <c r="B96" s="38" t="s">
        <v>173</v>
      </c>
      <c r="C96" s="87" t="s">
        <v>174</v>
      </c>
      <c r="D96" s="87"/>
      <c r="E96" s="87"/>
      <c r="F96" s="87"/>
      <c r="G96" s="5"/>
      <c r="H96" s="5"/>
      <c r="I96" s="5"/>
      <c r="J96" s="5"/>
    </row>
    <row r="97" spans="1:10" ht="120.95" customHeight="1">
      <c r="A97" s="5"/>
      <c r="B97" s="39"/>
      <c r="C97" s="85"/>
      <c r="D97" s="85"/>
      <c r="E97" s="5"/>
      <c r="F97" s="5"/>
      <c r="G97" s="5"/>
      <c r="H97" s="5"/>
      <c r="I97" s="5"/>
      <c r="J97" s="5"/>
    </row>
  </sheetData>
  <mergeCells count="6">
    <mergeCell ref="C97:D97"/>
    <mergeCell ref="B92:I92"/>
    <mergeCell ref="B93:I93"/>
    <mergeCell ref="B94:I94"/>
    <mergeCell ref="C95:F95"/>
    <mergeCell ref="C96:F96"/>
  </mergeCells>
  <hyperlinks>
    <hyperlink ref="A1" location="AxisMidcapFund" display="AXISMCF" xr:uid="{00000000-0004-0000-2700-000000000000}"/>
    <hyperlink ref="B1" location="AxisMidcapFund" display="Axis Midcap Fund" xr:uid="{00000000-0004-0000-2700-000001000000}"/>
  </hyperlinks>
  <pageMargins left="0" right="0" top="0" bottom="0" header="0" footer="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/>
  </sheetPr>
  <dimension ref="A1:J8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82</v>
      </c>
      <c r="B1" s="4" t="s">
        <v>83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268</v>
      </c>
      <c r="B7" s="19" t="s">
        <v>269</v>
      </c>
      <c r="C7" s="15" t="s">
        <v>270</v>
      </c>
      <c r="D7" s="15" t="s">
        <v>271</v>
      </c>
      <c r="E7" s="20">
        <v>2760340</v>
      </c>
      <c r="F7" s="21">
        <v>26275.676500000001</v>
      </c>
      <c r="G7" s="22">
        <v>6.0100000000000001E-2</v>
      </c>
      <c r="H7" s="40"/>
      <c r="I7" s="24"/>
      <c r="J7" s="5"/>
    </row>
    <row r="8" spans="1:10" ht="12.95" customHeight="1">
      <c r="A8" s="18" t="s">
        <v>848</v>
      </c>
      <c r="B8" s="19" t="s">
        <v>849</v>
      </c>
      <c r="C8" s="15" t="s">
        <v>850</v>
      </c>
      <c r="D8" s="15" t="s">
        <v>255</v>
      </c>
      <c r="E8" s="20">
        <v>1565193</v>
      </c>
      <c r="F8" s="21">
        <v>19057.007399999999</v>
      </c>
      <c r="G8" s="22">
        <v>4.36E-2</v>
      </c>
      <c r="H8" s="40"/>
      <c r="I8" s="24"/>
      <c r="J8" s="5"/>
    </row>
    <row r="9" spans="1:10" ht="12.95" customHeight="1">
      <c r="A9" s="18" t="s">
        <v>1724</v>
      </c>
      <c r="B9" s="19" t="s">
        <v>1725</v>
      </c>
      <c r="C9" s="15" t="s">
        <v>1726</v>
      </c>
      <c r="D9" s="15" t="s">
        <v>263</v>
      </c>
      <c r="E9" s="20">
        <v>3698937</v>
      </c>
      <c r="F9" s="21">
        <v>17878.812000000002</v>
      </c>
      <c r="G9" s="22">
        <v>4.0899999999999999E-2</v>
      </c>
      <c r="H9" s="40"/>
      <c r="I9" s="24"/>
      <c r="J9" s="5"/>
    </row>
    <row r="10" spans="1:10" ht="12.95" customHeight="1">
      <c r="A10" s="18" t="s">
        <v>727</v>
      </c>
      <c r="B10" s="19" t="s">
        <v>728</v>
      </c>
      <c r="C10" s="15" t="s">
        <v>729</v>
      </c>
      <c r="D10" s="15" t="s">
        <v>255</v>
      </c>
      <c r="E10" s="20">
        <v>219000</v>
      </c>
      <c r="F10" s="21">
        <v>17105.5425</v>
      </c>
      <c r="G10" s="22">
        <v>3.9100000000000003E-2</v>
      </c>
      <c r="H10" s="40"/>
      <c r="I10" s="24"/>
      <c r="J10" s="5"/>
    </row>
    <row r="11" spans="1:10" ht="12.95" customHeight="1">
      <c r="A11" s="18" t="s">
        <v>2475</v>
      </c>
      <c r="B11" s="19" t="s">
        <v>2476</v>
      </c>
      <c r="C11" s="15" t="s">
        <v>2477</v>
      </c>
      <c r="D11" s="15" t="s">
        <v>334</v>
      </c>
      <c r="E11" s="20">
        <v>904528</v>
      </c>
      <c r="F11" s="21">
        <v>16411.303800000002</v>
      </c>
      <c r="G11" s="22">
        <v>3.7499999999999999E-2</v>
      </c>
      <c r="H11" s="40"/>
      <c r="I11" s="24"/>
      <c r="J11" s="5"/>
    </row>
    <row r="12" spans="1:10" ht="12.95" customHeight="1">
      <c r="A12" s="18" t="s">
        <v>1572</v>
      </c>
      <c r="B12" s="19" t="s">
        <v>1573</v>
      </c>
      <c r="C12" s="15" t="s">
        <v>1574</v>
      </c>
      <c r="D12" s="15" t="s">
        <v>263</v>
      </c>
      <c r="E12" s="20">
        <v>271730</v>
      </c>
      <c r="F12" s="21">
        <v>15751.3729</v>
      </c>
      <c r="G12" s="22">
        <v>3.5999999999999997E-2</v>
      </c>
      <c r="H12" s="40"/>
      <c r="I12" s="24"/>
      <c r="J12" s="5"/>
    </row>
    <row r="13" spans="1:10" ht="12.95" customHeight="1">
      <c r="A13" s="18" t="s">
        <v>782</v>
      </c>
      <c r="B13" s="19" t="s">
        <v>783</v>
      </c>
      <c r="C13" s="15" t="s">
        <v>784</v>
      </c>
      <c r="D13" s="15" t="s">
        <v>403</v>
      </c>
      <c r="E13" s="20">
        <v>676876</v>
      </c>
      <c r="F13" s="21">
        <v>14080.036099999999</v>
      </c>
      <c r="G13" s="22">
        <v>3.2199999999999999E-2</v>
      </c>
      <c r="H13" s="40"/>
      <c r="I13" s="24"/>
      <c r="J13" s="5"/>
    </row>
    <row r="14" spans="1:10" ht="12.95" customHeight="1">
      <c r="A14" s="18" t="s">
        <v>282</v>
      </c>
      <c r="B14" s="19" t="s">
        <v>283</v>
      </c>
      <c r="C14" s="15" t="s">
        <v>284</v>
      </c>
      <c r="D14" s="15" t="s">
        <v>271</v>
      </c>
      <c r="E14" s="20">
        <v>776852</v>
      </c>
      <c r="F14" s="21">
        <v>11857.0921</v>
      </c>
      <c r="G14" s="22">
        <v>2.7099999999999999E-2</v>
      </c>
      <c r="H14" s="40"/>
      <c r="I14" s="24"/>
      <c r="J14" s="5"/>
    </row>
    <row r="15" spans="1:10" ht="12.95" customHeight="1">
      <c r="A15" s="18" t="s">
        <v>891</v>
      </c>
      <c r="B15" s="19" t="s">
        <v>892</v>
      </c>
      <c r="C15" s="15" t="s">
        <v>893</v>
      </c>
      <c r="D15" s="15" t="s">
        <v>255</v>
      </c>
      <c r="E15" s="20">
        <v>378451</v>
      </c>
      <c r="F15" s="21">
        <v>11622.040999999999</v>
      </c>
      <c r="G15" s="22">
        <v>2.6599999999999999E-2</v>
      </c>
      <c r="H15" s="40"/>
      <c r="I15" s="24"/>
      <c r="J15" s="5"/>
    </row>
    <row r="16" spans="1:10" ht="12.95" customHeight="1">
      <c r="A16" s="18" t="s">
        <v>730</v>
      </c>
      <c r="B16" s="19" t="s">
        <v>731</v>
      </c>
      <c r="C16" s="15" t="s">
        <v>732</v>
      </c>
      <c r="D16" s="15" t="s">
        <v>281</v>
      </c>
      <c r="E16" s="20">
        <v>736460</v>
      </c>
      <c r="F16" s="21">
        <v>11446.429599999999</v>
      </c>
      <c r="G16" s="22">
        <v>2.6200000000000001E-2</v>
      </c>
      <c r="H16" s="40"/>
      <c r="I16" s="24"/>
      <c r="J16" s="5"/>
    </row>
    <row r="17" spans="1:10" ht="12.95" customHeight="1">
      <c r="A17" s="18" t="s">
        <v>3068</v>
      </c>
      <c r="B17" s="19" t="s">
        <v>3069</v>
      </c>
      <c r="C17" s="15" t="s">
        <v>3070</v>
      </c>
      <c r="D17" s="15" t="s">
        <v>778</v>
      </c>
      <c r="E17" s="20">
        <v>568220</v>
      </c>
      <c r="F17" s="21">
        <v>11232.573</v>
      </c>
      <c r="G17" s="22">
        <v>2.5700000000000001E-2</v>
      </c>
      <c r="H17" s="40"/>
      <c r="I17" s="24"/>
      <c r="J17" s="5"/>
    </row>
    <row r="18" spans="1:10" ht="12.95" customHeight="1">
      <c r="A18" s="18" t="s">
        <v>3071</v>
      </c>
      <c r="B18" s="19" t="s">
        <v>3072</v>
      </c>
      <c r="C18" s="15" t="s">
        <v>3073</v>
      </c>
      <c r="D18" s="15" t="s">
        <v>778</v>
      </c>
      <c r="E18" s="20">
        <v>1015334</v>
      </c>
      <c r="F18" s="21">
        <v>11021.4506</v>
      </c>
      <c r="G18" s="22">
        <v>2.52E-2</v>
      </c>
      <c r="H18" s="40"/>
      <c r="I18" s="24"/>
      <c r="J18" s="5"/>
    </row>
    <row r="19" spans="1:10" ht="12.95" customHeight="1">
      <c r="A19" s="18" t="s">
        <v>285</v>
      </c>
      <c r="B19" s="19" t="s">
        <v>286</v>
      </c>
      <c r="C19" s="15" t="s">
        <v>287</v>
      </c>
      <c r="D19" s="15" t="s">
        <v>263</v>
      </c>
      <c r="E19" s="20">
        <v>713250</v>
      </c>
      <c r="F19" s="21">
        <v>10238.347100000001</v>
      </c>
      <c r="G19" s="22">
        <v>2.3400000000000001E-2</v>
      </c>
      <c r="H19" s="40"/>
      <c r="I19" s="24"/>
      <c r="J19" s="5"/>
    </row>
    <row r="20" spans="1:10" ht="12.95" customHeight="1">
      <c r="A20" s="18" t="s">
        <v>3074</v>
      </c>
      <c r="B20" s="19" t="s">
        <v>3075</v>
      </c>
      <c r="C20" s="15" t="s">
        <v>3076</v>
      </c>
      <c r="D20" s="15" t="s">
        <v>324</v>
      </c>
      <c r="E20" s="20">
        <v>1160902</v>
      </c>
      <c r="F20" s="21">
        <v>10160.2143</v>
      </c>
      <c r="G20" s="22">
        <v>2.3199999999999998E-2</v>
      </c>
      <c r="H20" s="40"/>
      <c r="I20" s="24"/>
      <c r="J20" s="5"/>
    </row>
    <row r="21" spans="1:10" ht="12.95" customHeight="1">
      <c r="A21" s="18" t="s">
        <v>845</v>
      </c>
      <c r="B21" s="19" t="s">
        <v>846</v>
      </c>
      <c r="C21" s="15" t="s">
        <v>847</v>
      </c>
      <c r="D21" s="15" t="s">
        <v>778</v>
      </c>
      <c r="E21" s="20">
        <v>2886245</v>
      </c>
      <c r="F21" s="21">
        <v>9811.7898999999998</v>
      </c>
      <c r="G21" s="22">
        <v>2.24E-2</v>
      </c>
      <c r="H21" s="40"/>
      <c r="I21" s="24"/>
      <c r="J21" s="5"/>
    </row>
    <row r="22" spans="1:10" ht="12.95" customHeight="1">
      <c r="A22" s="18" t="s">
        <v>296</v>
      </c>
      <c r="B22" s="19" t="s">
        <v>297</v>
      </c>
      <c r="C22" s="15" t="s">
        <v>298</v>
      </c>
      <c r="D22" s="15" t="s">
        <v>259</v>
      </c>
      <c r="E22" s="20">
        <v>2019867</v>
      </c>
      <c r="F22" s="21">
        <v>9710.5105999999996</v>
      </c>
      <c r="G22" s="22">
        <v>2.2200000000000001E-2</v>
      </c>
      <c r="H22" s="40"/>
      <c r="I22" s="24"/>
      <c r="J22" s="5"/>
    </row>
    <row r="23" spans="1:10" ht="12.95" customHeight="1">
      <c r="A23" s="18" t="s">
        <v>397</v>
      </c>
      <c r="B23" s="19" t="s">
        <v>398</v>
      </c>
      <c r="C23" s="15" t="s">
        <v>399</v>
      </c>
      <c r="D23" s="15" t="s">
        <v>259</v>
      </c>
      <c r="E23" s="20">
        <v>2830251</v>
      </c>
      <c r="F23" s="21">
        <v>9424.7358000000004</v>
      </c>
      <c r="G23" s="22">
        <v>2.1600000000000001E-2</v>
      </c>
      <c r="H23" s="40"/>
      <c r="I23" s="24"/>
      <c r="J23" s="5"/>
    </row>
    <row r="24" spans="1:10" ht="12.95" customHeight="1">
      <c r="A24" s="18" t="s">
        <v>719</v>
      </c>
      <c r="B24" s="19" t="s">
        <v>720</v>
      </c>
      <c r="C24" s="15" t="s">
        <v>721</v>
      </c>
      <c r="D24" s="15" t="s">
        <v>722</v>
      </c>
      <c r="E24" s="20">
        <v>290327</v>
      </c>
      <c r="F24" s="21">
        <v>8778.1820000000007</v>
      </c>
      <c r="G24" s="22">
        <v>2.01E-2</v>
      </c>
      <c r="H24" s="40"/>
      <c r="I24" s="24"/>
      <c r="J24" s="5"/>
    </row>
    <row r="25" spans="1:10" ht="12.95" customHeight="1">
      <c r="A25" s="18" t="s">
        <v>331</v>
      </c>
      <c r="B25" s="19" t="s">
        <v>332</v>
      </c>
      <c r="C25" s="15" t="s">
        <v>333</v>
      </c>
      <c r="D25" s="15" t="s">
        <v>334</v>
      </c>
      <c r="E25" s="20">
        <v>1444946</v>
      </c>
      <c r="F25" s="21">
        <v>8205.1258999999991</v>
      </c>
      <c r="G25" s="22">
        <v>1.8800000000000001E-2</v>
      </c>
      <c r="H25" s="40"/>
      <c r="I25" s="24"/>
      <c r="J25" s="5"/>
    </row>
    <row r="26" spans="1:10" ht="12.95" customHeight="1">
      <c r="A26" s="18" t="s">
        <v>1584</v>
      </c>
      <c r="B26" s="19" t="s">
        <v>1585</v>
      </c>
      <c r="C26" s="15" t="s">
        <v>1586</v>
      </c>
      <c r="D26" s="15" t="s">
        <v>263</v>
      </c>
      <c r="E26" s="20">
        <v>160128</v>
      </c>
      <c r="F26" s="21">
        <v>8173.6536999999998</v>
      </c>
      <c r="G26" s="22">
        <v>1.8700000000000001E-2</v>
      </c>
      <c r="H26" s="40"/>
      <c r="I26" s="24"/>
      <c r="J26" s="5"/>
    </row>
    <row r="27" spans="1:10" ht="12.95" customHeight="1">
      <c r="A27" s="18" t="s">
        <v>3077</v>
      </c>
      <c r="B27" s="19" t="s">
        <v>3078</v>
      </c>
      <c r="C27" s="15" t="s">
        <v>3079</v>
      </c>
      <c r="D27" s="15" t="s">
        <v>314</v>
      </c>
      <c r="E27" s="20">
        <v>298583</v>
      </c>
      <c r="F27" s="21">
        <v>7590.5770000000002</v>
      </c>
      <c r="G27" s="22">
        <v>1.7399999999999999E-2</v>
      </c>
      <c r="H27" s="40"/>
      <c r="I27" s="24"/>
      <c r="J27" s="5"/>
    </row>
    <row r="28" spans="1:10" ht="12.95" customHeight="1">
      <c r="A28" s="18" t="s">
        <v>842</v>
      </c>
      <c r="B28" s="19" t="s">
        <v>843</v>
      </c>
      <c r="C28" s="15" t="s">
        <v>844</v>
      </c>
      <c r="D28" s="15" t="s">
        <v>259</v>
      </c>
      <c r="E28" s="20">
        <v>735034</v>
      </c>
      <c r="F28" s="21">
        <v>6924.7552999999998</v>
      </c>
      <c r="G28" s="22">
        <v>1.5800000000000002E-2</v>
      </c>
      <c r="H28" s="40"/>
      <c r="I28" s="24"/>
      <c r="J28" s="5"/>
    </row>
    <row r="29" spans="1:10" ht="12.95" customHeight="1">
      <c r="A29" s="18" t="s">
        <v>851</v>
      </c>
      <c r="B29" s="19" t="s">
        <v>852</v>
      </c>
      <c r="C29" s="15" t="s">
        <v>853</v>
      </c>
      <c r="D29" s="15" t="s">
        <v>259</v>
      </c>
      <c r="E29" s="20">
        <v>1118258</v>
      </c>
      <c r="F29" s="21">
        <v>6703.3976000000002</v>
      </c>
      <c r="G29" s="22">
        <v>1.5299999999999999E-2</v>
      </c>
      <c r="H29" s="40"/>
      <c r="I29" s="24"/>
      <c r="J29" s="5"/>
    </row>
    <row r="30" spans="1:10" ht="12.95" customHeight="1">
      <c r="A30" s="18" t="s">
        <v>1581</v>
      </c>
      <c r="B30" s="19" t="s">
        <v>1582</v>
      </c>
      <c r="C30" s="15" t="s">
        <v>1583</v>
      </c>
      <c r="D30" s="15" t="s">
        <v>281</v>
      </c>
      <c r="E30" s="20">
        <v>432728</v>
      </c>
      <c r="F30" s="21">
        <v>6585.2547000000004</v>
      </c>
      <c r="G30" s="22">
        <v>1.5100000000000001E-2</v>
      </c>
      <c r="H30" s="40"/>
      <c r="I30" s="24"/>
      <c r="J30" s="5"/>
    </row>
    <row r="31" spans="1:10" ht="12.95" customHeight="1">
      <c r="A31" s="18" t="s">
        <v>260</v>
      </c>
      <c r="B31" s="19" t="s">
        <v>261</v>
      </c>
      <c r="C31" s="15" t="s">
        <v>262</v>
      </c>
      <c r="D31" s="15" t="s">
        <v>263</v>
      </c>
      <c r="E31" s="20">
        <v>174163</v>
      </c>
      <c r="F31" s="21">
        <v>6145.5155999999997</v>
      </c>
      <c r="G31" s="22">
        <v>1.41E-2</v>
      </c>
      <c r="H31" s="40"/>
      <c r="I31" s="24"/>
      <c r="J31" s="5"/>
    </row>
    <row r="32" spans="1:10" ht="12.95" customHeight="1">
      <c r="A32" s="18" t="s">
        <v>863</v>
      </c>
      <c r="B32" s="19" t="s">
        <v>864</v>
      </c>
      <c r="C32" s="15" t="s">
        <v>865</v>
      </c>
      <c r="D32" s="15" t="s">
        <v>745</v>
      </c>
      <c r="E32" s="20">
        <v>414262</v>
      </c>
      <c r="F32" s="21">
        <v>6139.7771000000002</v>
      </c>
      <c r="G32" s="22">
        <v>1.4E-2</v>
      </c>
      <c r="H32" s="40"/>
      <c r="I32" s="24"/>
      <c r="J32" s="5"/>
    </row>
    <row r="33" spans="1:10" ht="12.95" customHeight="1">
      <c r="A33" s="18" t="s">
        <v>2170</v>
      </c>
      <c r="B33" s="19" t="s">
        <v>2171</v>
      </c>
      <c r="C33" s="15" t="s">
        <v>2172</v>
      </c>
      <c r="D33" s="15" t="s">
        <v>263</v>
      </c>
      <c r="E33" s="20">
        <v>258134</v>
      </c>
      <c r="F33" s="21">
        <v>6134.8126000000002</v>
      </c>
      <c r="G33" s="22">
        <v>1.4E-2</v>
      </c>
      <c r="H33" s="40"/>
      <c r="I33" s="24"/>
      <c r="J33" s="5"/>
    </row>
    <row r="34" spans="1:10" ht="12.95" customHeight="1">
      <c r="A34" s="18" t="s">
        <v>278</v>
      </c>
      <c r="B34" s="19" t="s">
        <v>279</v>
      </c>
      <c r="C34" s="15" t="s">
        <v>280</v>
      </c>
      <c r="D34" s="15" t="s">
        <v>281</v>
      </c>
      <c r="E34" s="20">
        <v>959617</v>
      </c>
      <c r="F34" s="21">
        <v>6047.5063</v>
      </c>
      <c r="G34" s="22">
        <v>1.38E-2</v>
      </c>
      <c r="H34" s="40"/>
      <c r="I34" s="24"/>
      <c r="J34" s="5"/>
    </row>
    <row r="35" spans="1:10" ht="12.95" customHeight="1">
      <c r="A35" s="18" t="s">
        <v>3039</v>
      </c>
      <c r="B35" s="19" t="s">
        <v>3040</v>
      </c>
      <c r="C35" s="15" t="s">
        <v>3041</v>
      </c>
      <c r="D35" s="15" t="s">
        <v>324</v>
      </c>
      <c r="E35" s="20">
        <v>367911</v>
      </c>
      <c r="F35" s="21">
        <v>5917.4804999999997</v>
      </c>
      <c r="G35" s="22">
        <v>1.35E-2</v>
      </c>
      <c r="H35" s="40"/>
      <c r="I35" s="24"/>
      <c r="J35" s="5"/>
    </row>
    <row r="36" spans="1:10" ht="12.95" customHeight="1">
      <c r="A36" s="18" t="s">
        <v>2161</v>
      </c>
      <c r="B36" s="19" t="s">
        <v>2162</v>
      </c>
      <c r="C36" s="15" t="s">
        <v>2163</v>
      </c>
      <c r="D36" s="15" t="s">
        <v>314</v>
      </c>
      <c r="E36" s="20">
        <v>121580</v>
      </c>
      <c r="F36" s="21">
        <v>5829.8825999999999</v>
      </c>
      <c r="G36" s="22">
        <v>1.3299999999999999E-2</v>
      </c>
      <c r="H36" s="40"/>
      <c r="I36" s="24"/>
      <c r="J36" s="5"/>
    </row>
    <row r="37" spans="1:10" ht="12.95" customHeight="1">
      <c r="A37" s="18" t="s">
        <v>349</v>
      </c>
      <c r="B37" s="19" t="s">
        <v>350</v>
      </c>
      <c r="C37" s="15" t="s">
        <v>351</v>
      </c>
      <c r="D37" s="15" t="s">
        <v>352</v>
      </c>
      <c r="E37" s="20">
        <v>244141</v>
      </c>
      <c r="F37" s="21">
        <v>5615.9754000000003</v>
      </c>
      <c r="G37" s="22">
        <v>1.2800000000000001E-2</v>
      </c>
      <c r="H37" s="40"/>
      <c r="I37" s="24"/>
      <c r="J37" s="5"/>
    </row>
    <row r="38" spans="1:10" ht="12.95" customHeight="1">
      <c r="A38" s="18" t="s">
        <v>1841</v>
      </c>
      <c r="B38" s="19" t="s">
        <v>1842</v>
      </c>
      <c r="C38" s="15" t="s">
        <v>1843</v>
      </c>
      <c r="D38" s="15" t="s">
        <v>295</v>
      </c>
      <c r="E38" s="20">
        <v>103942</v>
      </c>
      <c r="F38" s="21">
        <v>5553.6729999999998</v>
      </c>
      <c r="G38" s="22">
        <v>1.2699999999999999E-2</v>
      </c>
      <c r="H38" s="40"/>
      <c r="I38" s="24"/>
      <c r="J38" s="5"/>
    </row>
    <row r="39" spans="1:10" ht="12.95" customHeight="1">
      <c r="A39" s="18" t="s">
        <v>275</v>
      </c>
      <c r="B39" s="19" t="s">
        <v>276</v>
      </c>
      <c r="C39" s="15" t="s">
        <v>277</v>
      </c>
      <c r="D39" s="15" t="s">
        <v>271</v>
      </c>
      <c r="E39" s="20">
        <v>917290</v>
      </c>
      <c r="F39" s="21">
        <v>5490.4393</v>
      </c>
      <c r="G39" s="22">
        <v>1.26E-2</v>
      </c>
      <c r="H39" s="40"/>
      <c r="I39" s="24"/>
      <c r="J39" s="5"/>
    </row>
    <row r="40" spans="1:10" ht="12.95" customHeight="1">
      <c r="A40" s="18" t="s">
        <v>3080</v>
      </c>
      <c r="B40" s="19" t="s">
        <v>3081</v>
      </c>
      <c r="C40" s="15" t="s">
        <v>3082</v>
      </c>
      <c r="D40" s="15" t="s">
        <v>310</v>
      </c>
      <c r="E40" s="20">
        <v>823205</v>
      </c>
      <c r="F40" s="21">
        <v>5315.4346999999998</v>
      </c>
      <c r="G40" s="22">
        <v>1.2200000000000001E-2</v>
      </c>
      <c r="H40" s="40"/>
      <c r="I40" s="24"/>
      <c r="J40" s="5"/>
    </row>
    <row r="41" spans="1:10" ht="12.95" customHeight="1">
      <c r="A41" s="18" t="s">
        <v>2264</v>
      </c>
      <c r="B41" s="19" t="s">
        <v>2265</v>
      </c>
      <c r="C41" s="15" t="s">
        <v>2266</v>
      </c>
      <c r="D41" s="15" t="s">
        <v>778</v>
      </c>
      <c r="E41" s="20">
        <v>497021</v>
      </c>
      <c r="F41" s="21">
        <v>5111.1154999999999</v>
      </c>
      <c r="G41" s="22">
        <v>1.17E-2</v>
      </c>
      <c r="H41" s="40"/>
      <c r="I41" s="24"/>
      <c r="J41" s="5"/>
    </row>
    <row r="42" spans="1:10" ht="12.95" customHeight="1">
      <c r="A42" s="18" t="s">
        <v>2261</v>
      </c>
      <c r="B42" s="19" t="s">
        <v>2262</v>
      </c>
      <c r="C42" s="15" t="s">
        <v>2263</v>
      </c>
      <c r="D42" s="15" t="s">
        <v>403</v>
      </c>
      <c r="E42" s="20">
        <v>398730</v>
      </c>
      <c r="F42" s="21">
        <v>5058.4880999999996</v>
      </c>
      <c r="G42" s="22">
        <v>1.1599999999999999E-2</v>
      </c>
      <c r="H42" s="40"/>
      <c r="I42" s="24"/>
      <c r="J42" s="5"/>
    </row>
    <row r="43" spans="1:10" ht="12.95" customHeight="1">
      <c r="A43" s="18" t="s">
        <v>866</v>
      </c>
      <c r="B43" s="19" t="s">
        <v>867</v>
      </c>
      <c r="C43" s="15" t="s">
        <v>868</v>
      </c>
      <c r="D43" s="15" t="s">
        <v>403</v>
      </c>
      <c r="E43" s="20">
        <v>4735808</v>
      </c>
      <c r="F43" s="21">
        <v>4806.8450999999995</v>
      </c>
      <c r="G43" s="22">
        <v>1.0999999999999999E-2</v>
      </c>
      <c r="H43" s="40"/>
      <c r="I43" s="24"/>
      <c r="J43" s="5"/>
    </row>
    <row r="44" spans="1:10" ht="12.95" customHeight="1">
      <c r="A44" s="18" t="s">
        <v>860</v>
      </c>
      <c r="B44" s="19" t="s">
        <v>861</v>
      </c>
      <c r="C44" s="15" t="s">
        <v>862</v>
      </c>
      <c r="D44" s="15" t="s">
        <v>259</v>
      </c>
      <c r="E44" s="20">
        <v>7117383</v>
      </c>
      <c r="F44" s="21">
        <v>4587.1532999999999</v>
      </c>
      <c r="G44" s="22">
        <v>1.0500000000000001E-2</v>
      </c>
      <c r="H44" s="40"/>
      <c r="I44" s="24"/>
      <c r="J44" s="5"/>
    </row>
    <row r="45" spans="1:10" ht="12.95" customHeight="1">
      <c r="A45" s="18" t="s">
        <v>338</v>
      </c>
      <c r="B45" s="19" t="s">
        <v>339</v>
      </c>
      <c r="C45" s="15" t="s">
        <v>340</v>
      </c>
      <c r="D45" s="15" t="s">
        <v>334</v>
      </c>
      <c r="E45" s="20">
        <v>843440</v>
      </c>
      <c r="F45" s="21">
        <v>4477.8230000000003</v>
      </c>
      <c r="G45" s="22">
        <v>1.0200000000000001E-2</v>
      </c>
      <c r="H45" s="40"/>
      <c r="I45" s="24"/>
      <c r="J45" s="5"/>
    </row>
    <row r="46" spans="1:10" ht="12.95" customHeight="1">
      <c r="A46" s="18" t="s">
        <v>878</v>
      </c>
      <c r="B46" s="19" t="s">
        <v>879</v>
      </c>
      <c r="C46" s="15" t="s">
        <v>880</v>
      </c>
      <c r="D46" s="15" t="s">
        <v>255</v>
      </c>
      <c r="E46" s="20">
        <v>544014</v>
      </c>
      <c r="F46" s="21">
        <v>4160.6190999999999</v>
      </c>
      <c r="G46" s="22">
        <v>9.4999999999999998E-3</v>
      </c>
      <c r="H46" s="40"/>
      <c r="I46" s="24"/>
      <c r="J46" s="5"/>
    </row>
    <row r="47" spans="1:10" ht="12.95" customHeight="1">
      <c r="A47" s="18" t="s">
        <v>3083</v>
      </c>
      <c r="B47" s="19" t="s">
        <v>3084</v>
      </c>
      <c r="C47" s="15" t="s">
        <v>3085</v>
      </c>
      <c r="D47" s="15" t="s">
        <v>259</v>
      </c>
      <c r="E47" s="20">
        <v>182756</v>
      </c>
      <c r="F47" s="21">
        <v>4024.1044000000002</v>
      </c>
      <c r="G47" s="22">
        <v>9.1999999999999998E-3</v>
      </c>
      <c r="H47" s="40"/>
      <c r="I47" s="24"/>
      <c r="J47" s="5"/>
    </row>
    <row r="48" spans="1:10" ht="12.95" customHeight="1">
      <c r="A48" s="18" t="s">
        <v>1838</v>
      </c>
      <c r="B48" s="19" t="s">
        <v>1839</v>
      </c>
      <c r="C48" s="15" t="s">
        <v>1840</v>
      </c>
      <c r="D48" s="15" t="s">
        <v>324</v>
      </c>
      <c r="E48" s="20">
        <v>1283987</v>
      </c>
      <c r="F48" s="21">
        <v>3978.4337</v>
      </c>
      <c r="G48" s="22">
        <v>9.1000000000000004E-3</v>
      </c>
      <c r="H48" s="40"/>
      <c r="I48" s="24"/>
      <c r="J48" s="5"/>
    </row>
    <row r="49" spans="1:10" ht="12.95" customHeight="1">
      <c r="A49" s="18" t="s">
        <v>256</v>
      </c>
      <c r="B49" s="19" t="s">
        <v>257</v>
      </c>
      <c r="C49" s="15" t="s">
        <v>258</v>
      </c>
      <c r="D49" s="15" t="s">
        <v>259</v>
      </c>
      <c r="E49" s="20">
        <v>660312</v>
      </c>
      <c r="F49" s="21">
        <v>3852.2602000000002</v>
      </c>
      <c r="G49" s="22">
        <v>8.8000000000000005E-3</v>
      </c>
      <c r="H49" s="40"/>
      <c r="I49" s="24"/>
      <c r="J49" s="5"/>
    </row>
    <row r="50" spans="1:10" ht="12.95" customHeight="1">
      <c r="A50" s="18" t="s">
        <v>2219</v>
      </c>
      <c r="B50" s="19" t="s">
        <v>2220</v>
      </c>
      <c r="C50" s="15" t="s">
        <v>2221</v>
      </c>
      <c r="D50" s="15" t="s">
        <v>259</v>
      </c>
      <c r="E50" s="20">
        <v>79136</v>
      </c>
      <c r="F50" s="21">
        <v>3668.3096999999998</v>
      </c>
      <c r="G50" s="22">
        <v>8.3999999999999995E-3</v>
      </c>
      <c r="H50" s="40"/>
      <c r="I50" s="24"/>
      <c r="J50" s="5"/>
    </row>
    <row r="51" spans="1:10" ht="12.95" customHeight="1">
      <c r="A51" s="18" t="s">
        <v>359</v>
      </c>
      <c r="B51" s="19" t="s">
        <v>360</v>
      </c>
      <c r="C51" s="15" t="s">
        <v>361</v>
      </c>
      <c r="D51" s="15" t="s">
        <v>255</v>
      </c>
      <c r="E51" s="20">
        <v>1523406</v>
      </c>
      <c r="F51" s="21">
        <v>3522.1147000000001</v>
      </c>
      <c r="G51" s="22">
        <v>8.0999999999999996E-3</v>
      </c>
      <c r="H51" s="40"/>
      <c r="I51" s="24"/>
      <c r="J51" s="5"/>
    </row>
    <row r="52" spans="1:10" ht="12.95" customHeight="1">
      <c r="A52" s="18" t="s">
        <v>2216</v>
      </c>
      <c r="B52" s="19" t="s">
        <v>2217</v>
      </c>
      <c r="C52" s="15" t="s">
        <v>2218</v>
      </c>
      <c r="D52" s="15" t="s">
        <v>755</v>
      </c>
      <c r="E52" s="20">
        <v>313306</v>
      </c>
      <c r="F52" s="21">
        <v>3266.8416999999999</v>
      </c>
      <c r="G52" s="22">
        <v>7.4999999999999997E-3</v>
      </c>
      <c r="H52" s="40"/>
      <c r="I52" s="24"/>
      <c r="J52" s="5"/>
    </row>
    <row r="53" spans="1:10" ht="12.95" customHeight="1">
      <c r="A53" s="18" t="s">
        <v>371</v>
      </c>
      <c r="B53" s="19" t="s">
        <v>372</v>
      </c>
      <c r="C53" s="15" t="s">
        <v>373</v>
      </c>
      <c r="D53" s="15" t="s">
        <v>324</v>
      </c>
      <c r="E53" s="20">
        <v>351911</v>
      </c>
      <c r="F53" s="21">
        <v>3038.0477000000001</v>
      </c>
      <c r="G53" s="22">
        <v>6.8999999999999999E-3</v>
      </c>
      <c r="H53" s="40"/>
      <c r="I53" s="24"/>
      <c r="J53" s="5"/>
    </row>
    <row r="54" spans="1:10" ht="12.95" customHeight="1">
      <c r="A54" s="18" t="s">
        <v>264</v>
      </c>
      <c r="B54" s="19" t="s">
        <v>265</v>
      </c>
      <c r="C54" s="15" t="s">
        <v>266</v>
      </c>
      <c r="D54" s="15" t="s">
        <v>267</v>
      </c>
      <c r="E54" s="20">
        <v>34966</v>
      </c>
      <c r="F54" s="21">
        <v>2886.3908999999999</v>
      </c>
      <c r="G54" s="22">
        <v>6.6E-3</v>
      </c>
      <c r="H54" s="40"/>
      <c r="I54" s="24"/>
      <c r="J54" s="5"/>
    </row>
    <row r="55" spans="1:10" ht="12.95" customHeight="1">
      <c r="A55" s="18" t="s">
        <v>733</v>
      </c>
      <c r="B55" s="19" t="s">
        <v>734</v>
      </c>
      <c r="C55" s="15" t="s">
        <v>735</v>
      </c>
      <c r="D55" s="15" t="s">
        <v>281</v>
      </c>
      <c r="E55" s="20">
        <v>24817</v>
      </c>
      <c r="F55" s="21">
        <v>2633.2325999999998</v>
      </c>
      <c r="G55" s="22">
        <v>6.0000000000000001E-3</v>
      </c>
      <c r="H55" s="40"/>
      <c r="I55" s="24"/>
      <c r="J55" s="5"/>
    </row>
    <row r="56" spans="1:10" ht="12.95" customHeight="1">
      <c r="A56" s="18" t="s">
        <v>815</v>
      </c>
      <c r="B56" s="19" t="s">
        <v>816</v>
      </c>
      <c r="C56" s="15" t="s">
        <v>817</v>
      </c>
      <c r="D56" s="15" t="s">
        <v>788</v>
      </c>
      <c r="E56" s="20">
        <v>255758</v>
      </c>
      <c r="F56" s="21">
        <v>2576.1224999999999</v>
      </c>
      <c r="G56" s="22">
        <v>5.8999999999999999E-3</v>
      </c>
      <c r="H56" s="40"/>
      <c r="I56" s="24"/>
      <c r="J56" s="5"/>
    </row>
    <row r="57" spans="1:10" ht="12.95" customHeight="1">
      <c r="A57" s="18" t="s">
        <v>1617</v>
      </c>
      <c r="B57" s="19" t="s">
        <v>1618</v>
      </c>
      <c r="C57" s="15" t="s">
        <v>1619</v>
      </c>
      <c r="D57" s="15" t="s">
        <v>745</v>
      </c>
      <c r="E57" s="20">
        <v>126321</v>
      </c>
      <c r="F57" s="21">
        <v>2267.8409000000001</v>
      </c>
      <c r="G57" s="22">
        <v>5.1999999999999998E-3</v>
      </c>
      <c r="H57" s="40"/>
      <c r="I57" s="24"/>
      <c r="J57" s="5"/>
    </row>
    <row r="58" spans="1:10" ht="12.95" customHeight="1">
      <c r="A58" s="18" t="s">
        <v>288</v>
      </c>
      <c r="B58" s="19" t="s">
        <v>289</v>
      </c>
      <c r="C58" s="15" t="s">
        <v>290</v>
      </c>
      <c r="D58" s="15" t="s">
        <v>291</v>
      </c>
      <c r="E58" s="20">
        <v>892241</v>
      </c>
      <c r="F58" s="21">
        <v>2190.8978000000002</v>
      </c>
      <c r="G58" s="22">
        <v>5.0000000000000001E-3</v>
      </c>
      <c r="H58" s="40"/>
      <c r="I58" s="24"/>
      <c r="J58" s="5"/>
    </row>
    <row r="59" spans="1:10" ht="12.95" customHeight="1">
      <c r="A59" s="18" t="s">
        <v>385</v>
      </c>
      <c r="B59" s="19" t="s">
        <v>386</v>
      </c>
      <c r="C59" s="15" t="s">
        <v>387</v>
      </c>
      <c r="D59" s="15" t="s">
        <v>255</v>
      </c>
      <c r="E59" s="20">
        <v>651838</v>
      </c>
      <c r="F59" s="21">
        <v>1964.3137999999999</v>
      </c>
      <c r="G59" s="22">
        <v>4.4999999999999997E-3</v>
      </c>
      <c r="H59" s="40"/>
      <c r="I59" s="24"/>
      <c r="J59" s="5"/>
    </row>
    <row r="60" spans="1:10" ht="12.95" customHeight="1">
      <c r="A60" s="18" t="s">
        <v>1598</v>
      </c>
      <c r="B60" s="19" t="s">
        <v>1599</v>
      </c>
      <c r="C60" s="15" t="s">
        <v>1600</v>
      </c>
      <c r="D60" s="15" t="s">
        <v>267</v>
      </c>
      <c r="E60" s="20">
        <v>215587</v>
      </c>
      <c r="F60" s="21">
        <v>1962.2728999999999</v>
      </c>
      <c r="G60" s="22">
        <v>4.4999999999999997E-3</v>
      </c>
      <c r="H60" s="40"/>
      <c r="I60" s="24"/>
      <c r="J60" s="5"/>
    </row>
    <row r="61" spans="1:10" ht="12.95" customHeight="1">
      <c r="A61" s="18" t="s">
        <v>2186</v>
      </c>
      <c r="B61" s="19" t="s">
        <v>2187</v>
      </c>
      <c r="C61" s="15" t="s">
        <v>2188</v>
      </c>
      <c r="D61" s="15" t="s">
        <v>314</v>
      </c>
      <c r="E61" s="20">
        <v>50000</v>
      </c>
      <c r="F61" s="21">
        <v>1883.35</v>
      </c>
      <c r="G61" s="22">
        <v>4.3E-3</v>
      </c>
      <c r="H61" s="40"/>
      <c r="I61" s="24"/>
      <c r="J61" s="5"/>
    </row>
    <row r="62" spans="1:10" ht="12.95" customHeight="1">
      <c r="A62" s="18" t="s">
        <v>311</v>
      </c>
      <c r="B62" s="19" t="s">
        <v>312</v>
      </c>
      <c r="C62" s="15" t="s">
        <v>313</v>
      </c>
      <c r="D62" s="15" t="s">
        <v>314</v>
      </c>
      <c r="E62" s="20">
        <v>38000</v>
      </c>
      <c r="F62" s="21">
        <v>1831.6</v>
      </c>
      <c r="G62" s="22">
        <v>4.1999999999999997E-3</v>
      </c>
      <c r="H62" s="40"/>
      <c r="I62" s="24"/>
      <c r="J62" s="5"/>
    </row>
    <row r="63" spans="1:10" ht="12.95" customHeight="1">
      <c r="A63" s="18" t="s">
        <v>887</v>
      </c>
      <c r="B63" s="19" t="s">
        <v>888</v>
      </c>
      <c r="C63" s="15" t="s">
        <v>889</v>
      </c>
      <c r="D63" s="15" t="s">
        <v>890</v>
      </c>
      <c r="E63" s="20">
        <v>313466</v>
      </c>
      <c r="F63" s="21">
        <v>1774.8444999999999</v>
      </c>
      <c r="G63" s="22">
        <v>4.1000000000000003E-3</v>
      </c>
      <c r="H63" s="40"/>
      <c r="I63" s="24"/>
      <c r="J63" s="5"/>
    </row>
    <row r="64" spans="1:10" ht="12.95" customHeight="1">
      <c r="A64" s="18" t="s">
        <v>3030</v>
      </c>
      <c r="B64" s="19" t="s">
        <v>3031</v>
      </c>
      <c r="C64" s="15" t="s">
        <v>3032</v>
      </c>
      <c r="D64" s="15" t="s">
        <v>295</v>
      </c>
      <c r="E64" s="20">
        <v>100000</v>
      </c>
      <c r="F64" s="21">
        <v>1696.3</v>
      </c>
      <c r="G64" s="22">
        <v>3.8999999999999998E-3</v>
      </c>
      <c r="H64" s="40"/>
      <c r="I64" s="24"/>
      <c r="J64" s="5"/>
    </row>
    <row r="65" spans="1:10" ht="12.95" customHeight="1">
      <c r="A65" s="18" t="s">
        <v>1891</v>
      </c>
      <c r="B65" s="19" t="s">
        <v>1892</v>
      </c>
      <c r="C65" s="15" t="s">
        <v>1893</v>
      </c>
      <c r="D65" s="15" t="s">
        <v>267</v>
      </c>
      <c r="E65" s="20">
        <v>40697</v>
      </c>
      <c r="F65" s="21">
        <v>1293.9408000000001</v>
      </c>
      <c r="G65" s="22">
        <v>3.0000000000000001E-3</v>
      </c>
      <c r="H65" s="40"/>
      <c r="I65" s="24"/>
      <c r="J65" s="5"/>
    </row>
    <row r="66" spans="1:10" ht="12.95" customHeight="1">
      <c r="A66" s="18" t="s">
        <v>365</v>
      </c>
      <c r="B66" s="19" t="s">
        <v>366</v>
      </c>
      <c r="C66" s="15" t="s">
        <v>367</v>
      </c>
      <c r="D66" s="15" t="s">
        <v>314</v>
      </c>
      <c r="E66" s="20">
        <v>10570</v>
      </c>
      <c r="F66" s="21">
        <v>102.3652</v>
      </c>
      <c r="G66" s="22">
        <v>2.0000000000000001E-4</v>
      </c>
      <c r="H66" s="40"/>
      <c r="I66" s="24"/>
      <c r="J66" s="5"/>
    </row>
    <row r="67" spans="1:10" ht="12.95" customHeight="1">
      <c r="A67" s="5"/>
      <c r="B67" s="14" t="s">
        <v>160</v>
      </c>
      <c r="C67" s="15"/>
      <c r="D67" s="15"/>
      <c r="E67" s="15"/>
      <c r="F67" s="25">
        <v>422852.0062</v>
      </c>
      <c r="G67" s="26">
        <v>0.96709999999999996</v>
      </c>
      <c r="H67" s="27"/>
      <c r="I67" s="28"/>
      <c r="J67" s="5"/>
    </row>
    <row r="68" spans="1:10" ht="12.95" customHeight="1">
      <c r="A68" s="5"/>
      <c r="B68" s="29" t="s">
        <v>408</v>
      </c>
      <c r="C68" s="2"/>
      <c r="D68" s="2"/>
      <c r="E68" s="2"/>
      <c r="F68" s="27" t="s">
        <v>162</v>
      </c>
      <c r="G68" s="27" t="s">
        <v>162</v>
      </c>
      <c r="H68" s="27"/>
      <c r="I68" s="28"/>
      <c r="J68" s="5"/>
    </row>
    <row r="69" spans="1:10" ht="12.95" customHeight="1">
      <c r="A69" s="5"/>
      <c r="B69" s="29" t="s">
        <v>160</v>
      </c>
      <c r="C69" s="2"/>
      <c r="D69" s="2"/>
      <c r="E69" s="2"/>
      <c r="F69" s="27" t="s">
        <v>162</v>
      </c>
      <c r="G69" s="27" t="s">
        <v>162</v>
      </c>
      <c r="H69" s="27"/>
      <c r="I69" s="28"/>
      <c r="J69" s="5"/>
    </row>
    <row r="70" spans="1:10" ht="12.95" customHeight="1">
      <c r="A70" s="5"/>
      <c r="B70" s="29" t="s">
        <v>163</v>
      </c>
      <c r="C70" s="30"/>
      <c r="D70" s="2"/>
      <c r="E70" s="30"/>
      <c r="F70" s="25">
        <v>422852.0062</v>
      </c>
      <c r="G70" s="26">
        <v>0.96709999999999996</v>
      </c>
      <c r="H70" s="27"/>
      <c r="I70" s="28"/>
      <c r="J70" s="5"/>
    </row>
    <row r="71" spans="1:10" ht="12.95" customHeight="1">
      <c r="A71" s="5"/>
      <c r="B71" s="14" t="s">
        <v>164</v>
      </c>
      <c r="C71" s="15"/>
      <c r="D71" s="15"/>
      <c r="E71" s="15"/>
      <c r="F71" s="15"/>
      <c r="G71" s="15"/>
      <c r="H71" s="16"/>
      <c r="I71" s="17"/>
      <c r="J71" s="5"/>
    </row>
    <row r="72" spans="1:10" ht="12.95" customHeight="1">
      <c r="A72" s="18" t="s">
        <v>165</v>
      </c>
      <c r="B72" s="19" t="s">
        <v>166</v>
      </c>
      <c r="C72" s="15"/>
      <c r="D72" s="15"/>
      <c r="E72" s="20"/>
      <c r="F72" s="21">
        <v>11771.5041</v>
      </c>
      <c r="G72" s="22">
        <v>2.69E-2</v>
      </c>
      <c r="H72" s="23">
        <v>6.7996829688028088E-2</v>
      </c>
      <c r="I72" s="24"/>
      <c r="J72" s="5"/>
    </row>
    <row r="73" spans="1:10" ht="12.95" customHeight="1">
      <c r="A73" s="5"/>
      <c r="B73" s="14" t="s">
        <v>160</v>
      </c>
      <c r="C73" s="15"/>
      <c r="D73" s="15"/>
      <c r="E73" s="15"/>
      <c r="F73" s="25">
        <v>11771.5041</v>
      </c>
      <c r="G73" s="26">
        <v>2.69E-2</v>
      </c>
      <c r="H73" s="27"/>
      <c r="I73" s="28"/>
      <c r="J73" s="5"/>
    </row>
    <row r="74" spans="1:10" ht="12.95" customHeight="1">
      <c r="A74" s="5"/>
      <c r="B74" s="29" t="s">
        <v>163</v>
      </c>
      <c r="C74" s="30"/>
      <c r="D74" s="2"/>
      <c r="E74" s="30"/>
      <c r="F74" s="25">
        <v>11771.5041</v>
      </c>
      <c r="G74" s="26">
        <v>2.69E-2</v>
      </c>
      <c r="H74" s="27"/>
      <c r="I74" s="28"/>
      <c r="J74" s="5"/>
    </row>
    <row r="75" spans="1:10" ht="12.95" customHeight="1">
      <c r="A75" s="5"/>
      <c r="B75" s="29" t="s">
        <v>167</v>
      </c>
      <c r="C75" s="15"/>
      <c r="D75" s="2"/>
      <c r="E75" s="15"/>
      <c r="F75" s="31">
        <v>2629.8296999999998</v>
      </c>
      <c r="G75" s="26">
        <v>6.0000000000000001E-3</v>
      </c>
      <c r="H75" s="27"/>
      <c r="I75" s="28"/>
      <c r="J75" s="5"/>
    </row>
    <row r="76" spans="1:10" ht="12.95" customHeight="1">
      <c r="A76" s="5"/>
      <c r="B76" s="32" t="s">
        <v>168</v>
      </c>
      <c r="C76" s="33"/>
      <c r="D76" s="33"/>
      <c r="E76" s="33"/>
      <c r="F76" s="34">
        <v>437253.34</v>
      </c>
      <c r="G76" s="35">
        <v>1</v>
      </c>
      <c r="H76" s="36"/>
      <c r="I76" s="37"/>
      <c r="J76" s="5"/>
    </row>
    <row r="77" spans="1:10" ht="12.95" customHeight="1">
      <c r="A77" s="5"/>
      <c r="B77" s="7"/>
      <c r="C77" s="5"/>
      <c r="D77" s="5"/>
      <c r="E77" s="5"/>
      <c r="F77" s="5"/>
      <c r="G77" s="5"/>
      <c r="H77" s="5"/>
      <c r="I77" s="5"/>
      <c r="J77" s="5"/>
    </row>
    <row r="78" spans="1:10" ht="12.95" customHeight="1">
      <c r="A78" s="5"/>
      <c r="B78" s="4" t="s">
        <v>169</v>
      </c>
      <c r="C78" s="5"/>
      <c r="D78" s="5"/>
      <c r="E78" s="5"/>
      <c r="F78" s="5"/>
      <c r="G78" s="5"/>
      <c r="H78" s="5"/>
      <c r="I78" s="5"/>
      <c r="J78" s="5"/>
    </row>
    <row r="79" spans="1:10" ht="12.95" customHeight="1">
      <c r="A79" s="5"/>
      <c r="B79" s="4" t="s">
        <v>170</v>
      </c>
      <c r="C79" s="5"/>
      <c r="D79" s="5"/>
      <c r="E79" s="5"/>
      <c r="F79" s="5"/>
      <c r="G79" s="5"/>
      <c r="H79" s="5"/>
      <c r="I79" s="5"/>
      <c r="J79" s="5"/>
    </row>
    <row r="80" spans="1:10" ht="26.1" customHeight="1">
      <c r="A80" s="5"/>
      <c r="B80" s="86" t="s">
        <v>171</v>
      </c>
      <c r="C80" s="86"/>
      <c r="D80" s="86"/>
      <c r="E80" s="86"/>
      <c r="F80" s="86"/>
      <c r="G80" s="86"/>
      <c r="H80" s="86"/>
      <c r="I80" s="86"/>
      <c r="J80" s="5"/>
    </row>
    <row r="81" spans="1:10" ht="12.95" customHeight="1">
      <c r="A81" s="5"/>
      <c r="B81" s="86"/>
      <c r="C81" s="86"/>
      <c r="D81" s="86"/>
      <c r="E81" s="86"/>
      <c r="F81" s="86"/>
      <c r="G81" s="86"/>
      <c r="H81" s="86"/>
      <c r="I81" s="86"/>
      <c r="J81" s="5"/>
    </row>
    <row r="82" spans="1:10" ht="12.95" customHeight="1">
      <c r="A82" s="5"/>
      <c r="B82" s="86"/>
      <c r="C82" s="86"/>
      <c r="D82" s="86"/>
      <c r="E82" s="86"/>
      <c r="F82" s="86"/>
      <c r="G82" s="86"/>
      <c r="H82" s="86"/>
      <c r="I82" s="86"/>
      <c r="J82" s="5"/>
    </row>
    <row r="83" spans="1:10" ht="12.95" customHeight="1">
      <c r="A83" s="5"/>
      <c r="B83" s="5"/>
      <c r="C83" s="87" t="s">
        <v>3086</v>
      </c>
      <c r="D83" s="87"/>
      <c r="E83" s="87"/>
      <c r="F83" s="87"/>
      <c r="G83" s="5"/>
      <c r="H83" s="5"/>
      <c r="I83" s="5"/>
      <c r="J83" s="5"/>
    </row>
    <row r="84" spans="1:10" ht="12.95" customHeight="1">
      <c r="A84" s="5"/>
      <c r="B84" s="38" t="s">
        <v>173</v>
      </c>
      <c r="C84" s="87" t="s">
        <v>174</v>
      </c>
      <c r="D84" s="87"/>
      <c r="E84" s="87"/>
      <c r="F84" s="87"/>
      <c r="G84" s="5"/>
      <c r="H84" s="5"/>
      <c r="I84" s="5"/>
      <c r="J84" s="5"/>
    </row>
    <row r="85" spans="1:10" ht="120.95" customHeight="1">
      <c r="A85" s="5"/>
      <c r="B85" s="39"/>
      <c r="C85" s="85"/>
      <c r="D85" s="85"/>
      <c r="E85" s="5"/>
      <c r="F85" s="5"/>
      <c r="G85" s="5"/>
      <c r="H85" s="5"/>
      <c r="I85" s="5"/>
      <c r="J85" s="5"/>
    </row>
  </sheetData>
  <mergeCells count="6">
    <mergeCell ref="C85:D85"/>
    <mergeCell ref="B80:I80"/>
    <mergeCell ref="B81:I81"/>
    <mergeCell ref="B82:I82"/>
    <mergeCell ref="C83:F83"/>
    <mergeCell ref="C84:F84"/>
  </mergeCells>
  <hyperlinks>
    <hyperlink ref="A1" location="AxisMulticapFund" display="AXISMLC" xr:uid="{00000000-0004-0000-2800-000000000000}"/>
    <hyperlink ref="B1" location="AxisMulticapFund" display="Axis Multicap Fund" xr:uid="{00000000-0004-0000-2800-000001000000}"/>
  </hyperlinks>
  <pageMargins left="0" right="0" top="0" bottom="0" header="0" footer="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/>
  </sheetPr>
  <dimension ref="A1:J8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84</v>
      </c>
      <c r="B1" s="4" t="s">
        <v>85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1327275</v>
      </c>
      <c r="F7" s="21">
        <v>103670.1321</v>
      </c>
      <c r="G7" s="22">
        <v>9.4500000000000001E-2</v>
      </c>
      <c r="H7" s="40"/>
      <c r="I7" s="24"/>
      <c r="J7" s="5"/>
    </row>
    <row r="8" spans="1:10" ht="12.95" customHeight="1">
      <c r="A8" s="18" t="s">
        <v>268</v>
      </c>
      <c r="B8" s="19" t="s">
        <v>269</v>
      </c>
      <c r="C8" s="15" t="s">
        <v>270</v>
      </c>
      <c r="D8" s="15" t="s">
        <v>271</v>
      </c>
      <c r="E8" s="20">
        <v>9923614</v>
      </c>
      <c r="F8" s="21">
        <v>94462.881699999998</v>
      </c>
      <c r="G8" s="22">
        <v>8.6099999999999996E-2</v>
      </c>
      <c r="H8" s="40"/>
      <c r="I8" s="24"/>
      <c r="J8" s="5"/>
    </row>
    <row r="9" spans="1:10" ht="12.95" customHeight="1">
      <c r="A9" s="18" t="s">
        <v>282</v>
      </c>
      <c r="B9" s="19" t="s">
        <v>283</v>
      </c>
      <c r="C9" s="15" t="s">
        <v>284</v>
      </c>
      <c r="D9" s="15" t="s">
        <v>271</v>
      </c>
      <c r="E9" s="20">
        <v>5825996</v>
      </c>
      <c r="F9" s="21">
        <v>88922.176900000006</v>
      </c>
      <c r="G9" s="22">
        <v>8.1000000000000003E-2</v>
      </c>
      <c r="H9" s="40"/>
      <c r="I9" s="24"/>
      <c r="J9" s="5"/>
    </row>
    <row r="10" spans="1:10" ht="12.95" customHeight="1">
      <c r="A10" s="18" t="s">
        <v>766</v>
      </c>
      <c r="B10" s="19" t="s">
        <v>767</v>
      </c>
      <c r="C10" s="15" t="s">
        <v>768</v>
      </c>
      <c r="D10" s="15" t="s">
        <v>403</v>
      </c>
      <c r="E10" s="20">
        <v>1641611</v>
      </c>
      <c r="F10" s="21">
        <v>60339.053899999999</v>
      </c>
      <c r="G10" s="22">
        <v>5.5E-2</v>
      </c>
      <c r="H10" s="40"/>
      <c r="I10" s="24"/>
      <c r="J10" s="5"/>
    </row>
    <row r="11" spans="1:10" ht="12.95" customHeight="1">
      <c r="A11" s="18" t="s">
        <v>285</v>
      </c>
      <c r="B11" s="19" t="s">
        <v>286</v>
      </c>
      <c r="C11" s="15" t="s">
        <v>287</v>
      </c>
      <c r="D11" s="15" t="s">
        <v>263</v>
      </c>
      <c r="E11" s="20">
        <v>3158000</v>
      </c>
      <c r="F11" s="21">
        <v>45331.510999999999</v>
      </c>
      <c r="G11" s="22">
        <v>4.1300000000000003E-2</v>
      </c>
      <c r="H11" s="40"/>
      <c r="I11" s="24"/>
      <c r="J11" s="5"/>
    </row>
    <row r="12" spans="1:10" ht="12.95" customHeight="1">
      <c r="A12" s="18" t="s">
        <v>260</v>
      </c>
      <c r="B12" s="19" t="s">
        <v>261</v>
      </c>
      <c r="C12" s="15" t="s">
        <v>262</v>
      </c>
      <c r="D12" s="15" t="s">
        <v>263</v>
      </c>
      <c r="E12" s="20">
        <v>1236325</v>
      </c>
      <c r="F12" s="21">
        <v>43624.964</v>
      </c>
      <c r="G12" s="22">
        <v>3.9800000000000002E-2</v>
      </c>
      <c r="H12" s="40"/>
      <c r="I12" s="24"/>
      <c r="J12" s="5"/>
    </row>
    <row r="13" spans="1:10" ht="12.95" customHeight="1">
      <c r="A13" s="18" t="s">
        <v>730</v>
      </c>
      <c r="B13" s="19" t="s">
        <v>731</v>
      </c>
      <c r="C13" s="15" t="s">
        <v>732</v>
      </c>
      <c r="D13" s="15" t="s">
        <v>281</v>
      </c>
      <c r="E13" s="20">
        <v>2243522</v>
      </c>
      <c r="F13" s="21">
        <v>34869.940699999999</v>
      </c>
      <c r="G13" s="22">
        <v>3.1800000000000002E-2</v>
      </c>
      <c r="H13" s="40"/>
      <c r="I13" s="24"/>
      <c r="J13" s="5"/>
    </row>
    <row r="14" spans="1:10" ht="12.95" customHeight="1">
      <c r="A14" s="18" t="s">
        <v>719</v>
      </c>
      <c r="B14" s="19" t="s">
        <v>720</v>
      </c>
      <c r="C14" s="15" t="s">
        <v>721</v>
      </c>
      <c r="D14" s="15" t="s">
        <v>722</v>
      </c>
      <c r="E14" s="20">
        <v>951409</v>
      </c>
      <c r="F14" s="21">
        <v>28766.326799999999</v>
      </c>
      <c r="G14" s="22">
        <v>2.6200000000000001E-2</v>
      </c>
      <c r="H14" s="40"/>
      <c r="I14" s="24"/>
      <c r="J14" s="5"/>
    </row>
    <row r="15" spans="1:10" ht="12.95" customHeight="1">
      <c r="A15" s="18" t="s">
        <v>278</v>
      </c>
      <c r="B15" s="19" t="s">
        <v>279</v>
      </c>
      <c r="C15" s="15" t="s">
        <v>280</v>
      </c>
      <c r="D15" s="15" t="s">
        <v>281</v>
      </c>
      <c r="E15" s="20">
        <v>4492422</v>
      </c>
      <c r="F15" s="21">
        <v>28311.243399999999</v>
      </c>
      <c r="G15" s="22">
        <v>2.58E-2</v>
      </c>
      <c r="H15" s="40"/>
      <c r="I15" s="24"/>
      <c r="J15" s="5"/>
    </row>
    <row r="16" spans="1:10" ht="12.95" customHeight="1">
      <c r="A16" s="18" t="s">
        <v>264</v>
      </c>
      <c r="B16" s="19" t="s">
        <v>265</v>
      </c>
      <c r="C16" s="15" t="s">
        <v>266</v>
      </c>
      <c r="D16" s="15" t="s">
        <v>267</v>
      </c>
      <c r="E16" s="20">
        <v>318914</v>
      </c>
      <c r="F16" s="21">
        <v>26325.872299999999</v>
      </c>
      <c r="G16" s="22">
        <v>2.4E-2</v>
      </c>
      <c r="H16" s="40"/>
      <c r="I16" s="24"/>
      <c r="J16" s="5"/>
    </row>
    <row r="17" spans="1:10" ht="12.95" customHeight="1">
      <c r="A17" s="18" t="s">
        <v>3068</v>
      </c>
      <c r="B17" s="19" t="s">
        <v>3069</v>
      </c>
      <c r="C17" s="15" t="s">
        <v>3070</v>
      </c>
      <c r="D17" s="15" t="s">
        <v>778</v>
      </c>
      <c r="E17" s="20">
        <v>1210506</v>
      </c>
      <c r="F17" s="21">
        <v>23929.282599999999</v>
      </c>
      <c r="G17" s="22">
        <v>2.18E-2</v>
      </c>
      <c r="H17" s="40"/>
      <c r="I17" s="24"/>
      <c r="J17" s="5"/>
    </row>
    <row r="18" spans="1:10" ht="12.95" customHeight="1">
      <c r="A18" s="18" t="s">
        <v>325</v>
      </c>
      <c r="B18" s="19" t="s">
        <v>326</v>
      </c>
      <c r="C18" s="15" t="s">
        <v>327</v>
      </c>
      <c r="D18" s="15" t="s">
        <v>306</v>
      </c>
      <c r="E18" s="20">
        <v>15716661</v>
      </c>
      <c r="F18" s="21">
        <v>21736.142199999998</v>
      </c>
      <c r="G18" s="22">
        <v>1.9800000000000002E-2</v>
      </c>
      <c r="H18" s="40"/>
      <c r="I18" s="24"/>
      <c r="J18" s="5"/>
    </row>
    <row r="19" spans="1:10" ht="12.95" customHeight="1">
      <c r="A19" s="18" t="s">
        <v>3071</v>
      </c>
      <c r="B19" s="19" t="s">
        <v>3072</v>
      </c>
      <c r="C19" s="15" t="s">
        <v>3073</v>
      </c>
      <c r="D19" s="15" t="s">
        <v>778</v>
      </c>
      <c r="E19" s="20">
        <v>1971606</v>
      </c>
      <c r="F19" s="21">
        <v>21401.783100000001</v>
      </c>
      <c r="G19" s="22">
        <v>1.95E-2</v>
      </c>
      <c r="H19" s="40"/>
      <c r="I19" s="24"/>
      <c r="J19" s="5"/>
    </row>
    <row r="20" spans="1:10" ht="12.95" customHeight="1">
      <c r="A20" s="18" t="s">
        <v>256</v>
      </c>
      <c r="B20" s="19" t="s">
        <v>257</v>
      </c>
      <c r="C20" s="15" t="s">
        <v>258</v>
      </c>
      <c r="D20" s="15" t="s">
        <v>259</v>
      </c>
      <c r="E20" s="20">
        <v>3522517</v>
      </c>
      <c r="F20" s="21">
        <v>20550.3642</v>
      </c>
      <c r="G20" s="22">
        <v>1.8700000000000001E-2</v>
      </c>
      <c r="H20" s="40"/>
      <c r="I20" s="24"/>
      <c r="J20" s="5"/>
    </row>
    <row r="21" spans="1:10" ht="12.95" customHeight="1">
      <c r="A21" s="18" t="s">
        <v>752</v>
      </c>
      <c r="B21" s="19" t="s">
        <v>753</v>
      </c>
      <c r="C21" s="15" t="s">
        <v>754</v>
      </c>
      <c r="D21" s="15" t="s">
        <v>755</v>
      </c>
      <c r="E21" s="20">
        <v>90646</v>
      </c>
      <c r="F21" s="21">
        <v>20401.604599999999</v>
      </c>
      <c r="G21" s="22">
        <v>1.8599999999999998E-2</v>
      </c>
      <c r="H21" s="40"/>
      <c r="I21" s="24"/>
      <c r="J21" s="5"/>
    </row>
    <row r="22" spans="1:10" ht="12.95" customHeight="1">
      <c r="A22" s="18" t="s">
        <v>331</v>
      </c>
      <c r="B22" s="19" t="s">
        <v>332</v>
      </c>
      <c r="C22" s="15" t="s">
        <v>333</v>
      </c>
      <c r="D22" s="15" t="s">
        <v>334</v>
      </c>
      <c r="E22" s="20">
        <v>3574252</v>
      </c>
      <c r="F22" s="21">
        <v>20296.39</v>
      </c>
      <c r="G22" s="22">
        <v>1.8499999999999999E-2</v>
      </c>
      <c r="H22" s="40"/>
      <c r="I22" s="24"/>
      <c r="J22" s="5"/>
    </row>
    <row r="23" spans="1:10" ht="12.95" customHeight="1">
      <c r="A23" s="18" t="s">
        <v>736</v>
      </c>
      <c r="B23" s="19" t="s">
        <v>737</v>
      </c>
      <c r="C23" s="15" t="s">
        <v>738</v>
      </c>
      <c r="D23" s="15" t="s">
        <v>324</v>
      </c>
      <c r="E23" s="20">
        <v>602387</v>
      </c>
      <c r="F23" s="21">
        <v>18967.961899999998</v>
      </c>
      <c r="G23" s="22">
        <v>1.7299999999999999E-2</v>
      </c>
      <c r="H23" s="40"/>
      <c r="I23" s="24"/>
      <c r="J23" s="5"/>
    </row>
    <row r="24" spans="1:10" ht="12.95" customHeight="1">
      <c r="A24" s="18" t="s">
        <v>690</v>
      </c>
      <c r="B24" s="19" t="s">
        <v>691</v>
      </c>
      <c r="C24" s="15" t="s">
        <v>692</v>
      </c>
      <c r="D24" s="15" t="s">
        <v>271</v>
      </c>
      <c r="E24" s="20">
        <v>1091041</v>
      </c>
      <c r="F24" s="21">
        <v>18937.1986</v>
      </c>
      <c r="G24" s="22">
        <v>1.7299999999999999E-2</v>
      </c>
      <c r="H24" s="40"/>
      <c r="I24" s="24"/>
      <c r="J24" s="5"/>
    </row>
    <row r="25" spans="1:10" ht="12.95" customHeight="1">
      <c r="A25" s="18" t="s">
        <v>848</v>
      </c>
      <c r="B25" s="19" t="s">
        <v>849</v>
      </c>
      <c r="C25" s="15" t="s">
        <v>850</v>
      </c>
      <c r="D25" s="15" t="s">
        <v>255</v>
      </c>
      <c r="E25" s="20">
        <v>1477276</v>
      </c>
      <c r="F25" s="21">
        <v>17986.573899999999</v>
      </c>
      <c r="G25" s="22">
        <v>1.6400000000000001E-2</v>
      </c>
      <c r="H25" s="40"/>
      <c r="I25" s="24"/>
      <c r="J25" s="5"/>
    </row>
    <row r="26" spans="1:10" ht="12.95" customHeight="1">
      <c r="A26" s="18" t="s">
        <v>782</v>
      </c>
      <c r="B26" s="19" t="s">
        <v>783</v>
      </c>
      <c r="C26" s="15" t="s">
        <v>784</v>
      </c>
      <c r="D26" s="15" t="s">
        <v>403</v>
      </c>
      <c r="E26" s="20">
        <v>805399</v>
      </c>
      <c r="F26" s="21">
        <v>16753.507300000001</v>
      </c>
      <c r="G26" s="22">
        <v>1.5299999999999999E-2</v>
      </c>
      <c r="H26" s="40"/>
      <c r="I26" s="24"/>
      <c r="J26" s="5"/>
    </row>
    <row r="27" spans="1:10" ht="12.95" customHeight="1">
      <c r="A27" s="18" t="s">
        <v>829</v>
      </c>
      <c r="B27" s="19" t="s">
        <v>830</v>
      </c>
      <c r="C27" s="15" t="s">
        <v>831</v>
      </c>
      <c r="D27" s="15" t="s">
        <v>832</v>
      </c>
      <c r="E27" s="20">
        <v>471172</v>
      </c>
      <c r="F27" s="21">
        <v>16269.5692</v>
      </c>
      <c r="G27" s="22">
        <v>1.4800000000000001E-2</v>
      </c>
      <c r="H27" s="40"/>
      <c r="I27" s="24"/>
      <c r="J27" s="5"/>
    </row>
    <row r="28" spans="1:10" ht="12.95" customHeight="1">
      <c r="A28" s="18" t="s">
        <v>742</v>
      </c>
      <c r="B28" s="19" t="s">
        <v>743</v>
      </c>
      <c r="C28" s="15" t="s">
        <v>744</v>
      </c>
      <c r="D28" s="15" t="s">
        <v>745</v>
      </c>
      <c r="E28" s="20">
        <v>1365812</v>
      </c>
      <c r="F28" s="21">
        <v>15824.9807</v>
      </c>
      <c r="G28" s="22">
        <v>1.44E-2</v>
      </c>
      <c r="H28" s="40"/>
      <c r="I28" s="24"/>
      <c r="J28" s="5"/>
    </row>
    <row r="29" spans="1:10" ht="12.95" customHeight="1">
      <c r="A29" s="18" t="s">
        <v>2161</v>
      </c>
      <c r="B29" s="19" t="s">
        <v>2162</v>
      </c>
      <c r="C29" s="15" t="s">
        <v>2163</v>
      </c>
      <c r="D29" s="15" t="s">
        <v>314</v>
      </c>
      <c r="E29" s="20">
        <v>304168</v>
      </c>
      <c r="F29" s="21">
        <v>14585.159799999999</v>
      </c>
      <c r="G29" s="22">
        <v>1.3299999999999999E-2</v>
      </c>
      <c r="H29" s="40"/>
      <c r="I29" s="24"/>
      <c r="J29" s="5"/>
    </row>
    <row r="30" spans="1:10" ht="12.95" customHeight="1">
      <c r="A30" s="18" t="s">
        <v>1776</v>
      </c>
      <c r="B30" s="19" t="s">
        <v>1777</v>
      </c>
      <c r="C30" s="15" t="s">
        <v>1778</v>
      </c>
      <c r="D30" s="15" t="s">
        <v>314</v>
      </c>
      <c r="E30" s="20">
        <v>591722</v>
      </c>
      <c r="F30" s="21">
        <v>14435.058199999999</v>
      </c>
      <c r="G30" s="22">
        <v>1.32E-2</v>
      </c>
      <c r="H30" s="40"/>
      <c r="I30" s="24"/>
      <c r="J30" s="5"/>
    </row>
    <row r="31" spans="1:10" ht="12.95" customHeight="1">
      <c r="A31" s="18" t="s">
        <v>809</v>
      </c>
      <c r="B31" s="19" t="s">
        <v>810</v>
      </c>
      <c r="C31" s="15" t="s">
        <v>811</v>
      </c>
      <c r="D31" s="15" t="s">
        <v>403</v>
      </c>
      <c r="E31" s="20">
        <v>334245</v>
      </c>
      <c r="F31" s="21">
        <v>13922.307000000001</v>
      </c>
      <c r="G31" s="22">
        <v>1.2699999999999999E-2</v>
      </c>
      <c r="H31" s="40"/>
      <c r="I31" s="24"/>
      <c r="J31" s="5"/>
    </row>
    <row r="32" spans="1:10" ht="12.95" customHeight="1">
      <c r="A32" s="18" t="s">
        <v>723</v>
      </c>
      <c r="B32" s="19" t="s">
        <v>724</v>
      </c>
      <c r="C32" s="15" t="s">
        <v>725</v>
      </c>
      <c r="D32" s="15" t="s">
        <v>726</v>
      </c>
      <c r="E32" s="20">
        <v>1362964</v>
      </c>
      <c r="F32" s="21">
        <v>12626.4985</v>
      </c>
      <c r="G32" s="22">
        <v>1.15E-2</v>
      </c>
      <c r="H32" s="40"/>
      <c r="I32" s="24"/>
      <c r="J32" s="5"/>
    </row>
    <row r="33" spans="1:10" ht="12.95" customHeight="1">
      <c r="A33" s="18" t="s">
        <v>1578</v>
      </c>
      <c r="B33" s="19" t="s">
        <v>1579</v>
      </c>
      <c r="C33" s="15" t="s">
        <v>1580</v>
      </c>
      <c r="D33" s="15" t="s">
        <v>890</v>
      </c>
      <c r="E33" s="20">
        <v>917886</v>
      </c>
      <c r="F33" s="21">
        <v>11982.0838</v>
      </c>
      <c r="G33" s="22">
        <v>1.09E-2</v>
      </c>
      <c r="H33" s="40"/>
      <c r="I33" s="24"/>
      <c r="J33" s="5"/>
    </row>
    <row r="34" spans="1:10" ht="12.95" customHeight="1">
      <c r="A34" s="18" t="s">
        <v>381</v>
      </c>
      <c r="B34" s="19" t="s">
        <v>382</v>
      </c>
      <c r="C34" s="15" t="s">
        <v>383</v>
      </c>
      <c r="D34" s="15" t="s">
        <v>384</v>
      </c>
      <c r="E34" s="20">
        <v>502389</v>
      </c>
      <c r="F34" s="21">
        <v>11962.8869</v>
      </c>
      <c r="G34" s="22">
        <v>1.09E-2</v>
      </c>
      <c r="H34" s="40"/>
      <c r="I34" s="24"/>
      <c r="J34" s="5"/>
    </row>
    <row r="35" spans="1:10" ht="12.95" customHeight="1">
      <c r="A35" s="18" t="s">
        <v>805</v>
      </c>
      <c r="B35" s="19" t="s">
        <v>806</v>
      </c>
      <c r="C35" s="15" t="s">
        <v>807</v>
      </c>
      <c r="D35" s="15" t="s">
        <v>808</v>
      </c>
      <c r="E35" s="20">
        <v>2852025</v>
      </c>
      <c r="F35" s="21">
        <v>11724.674800000001</v>
      </c>
      <c r="G35" s="22">
        <v>1.0699999999999999E-2</v>
      </c>
      <c r="H35" s="40"/>
      <c r="I35" s="24"/>
      <c r="J35" s="5"/>
    </row>
    <row r="36" spans="1:10" ht="12.95" customHeight="1">
      <c r="A36" s="18" t="s">
        <v>749</v>
      </c>
      <c r="B36" s="19" t="s">
        <v>750</v>
      </c>
      <c r="C36" s="15" t="s">
        <v>751</v>
      </c>
      <c r="D36" s="15" t="s">
        <v>255</v>
      </c>
      <c r="E36" s="20">
        <v>752000</v>
      </c>
      <c r="F36" s="21">
        <v>11582.68</v>
      </c>
      <c r="G36" s="22">
        <v>1.06E-2</v>
      </c>
      <c r="H36" s="40"/>
      <c r="I36" s="24"/>
      <c r="J36" s="5"/>
    </row>
    <row r="37" spans="1:10" ht="12.95" customHeight="1">
      <c r="A37" s="18" t="s">
        <v>2454</v>
      </c>
      <c r="B37" s="19" t="s">
        <v>2455</v>
      </c>
      <c r="C37" s="15" t="s">
        <v>2456</v>
      </c>
      <c r="D37" s="15" t="s">
        <v>295</v>
      </c>
      <c r="E37" s="20">
        <v>584696</v>
      </c>
      <c r="F37" s="21">
        <v>11182.018700000001</v>
      </c>
      <c r="G37" s="22">
        <v>1.0200000000000001E-2</v>
      </c>
      <c r="H37" s="40"/>
      <c r="I37" s="24"/>
      <c r="J37" s="5"/>
    </row>
    <row r="38" spans="1:10" ht="12.95" customHeight="1">
      <c r="A38" s="18" t="s">
        <v>2264</v>
      </c>
      <c r="B38" s="19" t="s">
        <v>2265</v>
      </c>
      <c r="C38" s="15" t="s">
        <v>2266</v>
      </c>
      <c r="D38" s="15" t="s">
        <v>778</v>
      </c>
      <c r="E38" s="20">
        <v>1037370</v>
      </c>
      <c r="F38" s="21">
        <v>10667.794400000001</v>
      </c>
      <c r="G38" s="22">
        <v>9.7000000000000003E-3</v>
      </c>
      <c r="H38" s="40"/>
      <c r="I38" s="24"/>
      <c r="J38" s="5"/>
    </row>
    <row r="39" spans="1:10" ht="12.95" customHeight="1">
      <c r="A39" s="18" t="s">
        <v>345</v>
      </c>
      <c r="B39" s="19" t="s">
        <v>346</v>
      </c>
      <c r="C39" s="15" t="s">
        <v>347</v>
      </c>
      <c r="D39" s="15" t="s">
        <v>348</v>
      </c>
      <c r="E39" s="20">
        <v>421777</v>
      </c>
      <c r="F39" s="21">
        <v>10399.333699999999</v>
      </c>
      <c r="G39" s="22">
        <v>9.4999999999999998E-3</v>
      </c>
      <c r="H39" s="40"/>
      <c r="I39" s="24"/>
      <c r="J39" s="5"/>
    </row>
    <row r="40" spans="1:10" ht="12.95" customHeight="1">
      <c r="A40" s="18" t="s">
        <v>866</v>
      </c>
      <c r="B40" s="19" t="s">
        <v>867</v>
      </c>
      <c r="C40" s="15" t="s">
        <v>868</v>
      </c>
      <c r="D40" s="15" t="s">
        <v>403</v>
      </c>
      <c r="E40" s="20">
        <v>9978897</v>
      </c>
      <c r="F40" s="21">
        <v>10128.5805</v>
      </c>
      <c r="G40" s="22">
        <v>9.1999999999999998E-3</v>
      </c>
      <c r="H40" s="40"/>
      <c r="I40" s="24"/>
      <c r="J40" s="5"/>
    </row>
    <row r="41" spans="1:10" ht="12.95" customHeight="1">
      <c r="A41" s="18" t="s">
        <v>275</v>
      </c>
      <c r="B41" s="19" t="s">
        <v>276</v>
      </c>
      <c r="C41" s="15" t="s">
        <v>277</v>
      </c>
      <c r="D41" s="15" t="s">
        <v>271</v>
      </c>
      <c r="E41" s="20">
        <v>1629000</v>
      </c>
      <c r="F41" s="21">
        <v>9750.3794999999991</v>
      </c>
      <c r="G41" s="22">
        <v>8.8999999999999999E-3</v>
      </c>
      <c r="H41" s="40"/>
      <c r="I41" s="24"/>
      <c r="J41" s="5"/>
    </row>
    <row r="42" spans="1:10" ht="12.95" customHeight="1">
      <c r="A42" s="18" t="s">
        <v>321</v>
      </c>
      <c r="B42" s="19" t="s">
        <v>322</v>
      </c>
      <c r="C42" s="15" t="s">
        <v>323</v>
      </c>
      <c r="D42" s="15" t="s">
        <v>324</v>
      </c>
      <c r="E42" s="20">
        <v>307088</v>
      </c>
      <c r="F42" s="21">
        <v>9707.2052000000003</v>
      </c>
      <c r="G42" s="22">
        <v>8.8000000000000005E-3</v>
      </c>
      <c r="H42" s="40"/>
      <c r="I42" s="24"/>
      <c r="J42" s="5"/>
    </row>
    <row r="43" spans="1:10" ht="12.95" customHeight="1">
      <c r="A43" s="18" t="s">
        <v>3077</v>
      </c>
      <c r="B43" s="19" t="s">
        <v>3078</v>
      </c>
      <c r="C43" s="15" t="s">
        <v>3079</v>
      </c>
      <c r="D43" s="15" t="s">
        <v>314</v>
      </c>
      <c r="E43" s="20">
        <v>380138</v>
      </c>
      <c r="F43" s="21">
        <v>9663.8682000000008</v>
      </c>
      <c r="G43" s="22">
        <v>8.8000000000000005E-3</v>
      </c>
      <c r="H43" s="40"/>
      <c r="I43" s="24"/>
      <c r="J43" s="5"/>
    </row>
    <row r="44" spans="1:10" ht="12.95" customHeight="1">
      <c r="A44" s="18" t="s">
        <v>842</v>
      </c>
      <c r="B44" s="19" t="s">
        <v>843</v>
      </c>
      <c r="C44" s="15" t="s">
        <v>844</v>
      </c>
      <c r="D44" s="15" t="s">
        <v>259</v>
      </c>
      <c r="E44" s="20">
        <v>978879</v>
      </c>
      <c r="F44" s="21">
        <v>9222.0190999999995</v>
      </c>
      <c r="G44" s="22">
        <v>8.3999999999999995E-3</v>
      </c>
      <c r="H44" s="40"/>
      <c r="I44" s="24"/>
      <c r="J44" s="5"/>
    </row>
    <row r="45" spans="1:10" ht="12.95" customHeight="1">
      <c r="A45" s="18" t="s">
        <v>2451</v>
      </c>
      <c r="B45" s="19" t="s">
        <v>2452</v>
      </c>
      <c r="C45" s="15" t="s">
        <v>2453</v>
      </c>
      <c r="D45" s="15" t="s">
        <v>259</v>
      </c>
      <c r="E45" s="20">
        <v>58611</v>
      </c>
      <c r="F45" s="21">
        <v>9114.4207999999999</v>
      </c>
      <c r="G45" s="22">
        <v>8.3000000000000001E-3</v>
      </c>
      <c r="H45" s="40"/>
      <c r="I45" s="24"/>
      <c r="J45" s="5"/>
    </row>
    <row r="46" spans="1:10" ht="12.95" customHeight="1">
      <c r="A46" s="18" t="s">
        <v>2258</v>
      </c>
      <c r="B46" s="19" t="s">
        <v>2259</v>
      </c>
      <c r="C46" s="15" t="s">
        <v>2260</v>
      </c>
      <c r="D46" s="15" t="s">
        <v>291</v>
      </c>
      <c r="E46" s="20">
        <v>1199579</v>
      </c>
      <c r="F46" s="21">
        <v>8858.8909000000003</v>
      </c>
      <c r="G46" s="22">
        <v>8.0999999999999996E-3</v>
      </c>
      <c r="H46" s="40"/>
      <c r="I46" s="24"/>
      <c r="J46" s="5"/>
    </row>
    <row r="47" spans="1:10" ht="12.95" customHeight="1">
      <c r="A47" s="18" t="s">
        <v>845</v>
      </c>
      <c r="B47" s="19" t="s">
        <v>846</v>
      </c>
      <c r="C47" s="15" t="s">
        <v>847</v>
      </c>
      <c r="D47" s="15" t="s">
        <v>778</v>
      </c>
      <c r="E47" s="20">
        <v>1935559</v>
      </c>
      <c r="F47" s="21">
        <v>6579.9327999999996</v>
      </c>
      <c r="G47" s="22">
        <v>6.0000000000000001E-3</v>
      </c>
      <c r="H47" s="40"/>
      <c r="I47" s="24"/>
      <c r="J47" s="5"/>
    </row>
    <row r="48" spans="1:10" ht="12.95" customHeight="1">
      <c r="A48" s="18" t="s">
        <v>854</v>
      </c>
      <c r="B48" s="19" t="s">
        <v>855</v>
      </c>
      <c r="C48" s="15" t="s">
        <v>856</v>
      </c>
      <c r="D48" s="15" t="s">
        <v>314</v>
      </c>
      <c r="E48" s="20">
        <v>458411</v>
      </c>
      <c r="F48" s="21">
        <v>6460.1570000000002</v>
      </c>
      <c r="G48" s="22">
        <v>5.8999999999999999E-3</v>
      </c>
      <c r="H48" s="40"/>
      <c r="I48" s="24"/>
      <c r="J48" s="5"/>
    </row>
    <row r="49" spans="1:10" ht="12.95" customHeight="1">
      <c r="A49" s="18" t="s">
        <v>296</v>
      </c>
      <c r="B49" s="19" t="s">
        <v>297</v>
      </c>
      <c r="C49" s="15" t="s">
        <v>298</v>
      </c>
      <c r="D49" s="15" t="s">
        <v>259</v>
      </c>
      <c r="E49" s="20">
        <v>1263888</v>
      </c>
      <c r="F49" s="21">
        <v>6076.1415999999999</v>
      </c>
      <c r="G49" s="22">
        <v>5.4999999999999997E-3</v>
      </c>
      <c r="H49" s="40"/>
      <c r="I49" s="24"/>
      <c r="J49" s="5"/>
    </row>
    <row r="50" spans="1:10" ht="12.95" customHeight="1">
      <c r="A50" s="18" t="s">
        <v>1595</v>
      </c>
      <c r="B50" s="19" t="s">
        <v>1596</v>
      </c>
      <c r="C50" s="15" t="s">
        <v>1597</v>
      </c>
      <c r="D50" s="15" t="s">
        <v>778</v>
      </c>
      <c r="E50" s="20">
        <v>822760</v>
      </c>
      <c r="F50" s="21">
        <v>5891.3729999999996</v>
      </c>
      <c r="G50" s="22">
        <v>5.4000000000000003E-3</v>
      </c>
      <c r="H50" s="40"/>
      <c r="I50" s="24"/>
      <c r="J50" s="5"/>
    </row>
    <row r="51" spans="1:10" ht="12.95" customHeight="1">
      <c r="A51" s="18" t="s">
        <v>1617</v>
      </c>
      <c r="B51" s="19" t="s">
        <v>1618</v>
      </c>
      <c r="C51" s="15" t="s">
        <v>1619</v>
      </c>
      <c r="D51" s="15" t="s">
        <v>745</v>
      </c>
      <c r="E51" s="20">
        <v>315918</v>
      </c>
      <c r="F51" s="21">
        <v>5671.6759000000002</v>
      </c>
      <c r="G51" s="22">
        <v>5.1999999999999998E-3</v>
      </c>
      <c r="H51" s="40"/>
      <c r="I51" s="24"/>
      <c r="J51" s="5"/>
    </row>
    <row r="52" spans="1:10" ht="12.95" customHeight="1">
      <c r="A52" s="18" t="s">
        <v>359</v>
      </c>
      <c r="B52" s="19" t="s">
        <v>360</v>
      </c>
      <c r="C52" s="15" t="s">
        <v>361</v>
      </c>
      <c r="D52" s="15" t="s">
        <v>255</v>
      </c>
      <c r="E52" s="20">
        <v>2400000</v>
      </c>
      <c r="F52" s="21">
        <v>5548.8</v>
      </c>
      <c r="G52" s="22">
        <v>5.1000000000000004E-3</v>
      </c>
      <c r="H52" s="40"/>
      <c r="I52" s="24"/>
      <c r="J52" s="5"/>
    </row>
    <row r="53" spans="1:10" ht="12.95" customHeight="1">
      <c r="A53" s="18" t="s">
        <v>3049</v>
      </c>
      <c r="B53" s="19" t="s">
        <v>3050</v>
      </c>
      <c r="C53" s="15" t="s">
        <v>3051</v>
      </c>
      <c r="D53" s="15" t="s">
        <v>295</v>
      </c>
      <c r="E53" s="20">
        <v>400078</v>
      </c>
      <c r="F53" s="21">
        <v>4708.9180999999999</v>
      </c>
      <c r="G53" s="22">
        <v>4.3E-3</v>
      </c>
      <c r="H53" s="40"/>
      <c r="I53" s="24"/>
      <c r="J53" s="5"/>
    </row>
    <row r="54" spans="1:10" ht="12.95" customHeight="1">
      <c r="A54" s="18" t="s">
        <v>318</v>
      </c>
      <c r="B54" s="19" t="s">
        <v>319</v>
      </c>
      <c r="C54" s="15" t="s">
        <v>320</v>
      </c>
      <c r="D54" s="15" t="s">
        <v>263</v>
      </c>
      <c r="E54" s="20">
        <v>83000</v>
      </c>
      <c r="F54" s="21">
        <v>4324.1755000000003</v>
      </c>
      <c r="G54" s="22">
        <v>3.8999999999999998E-3</v>
      </c>
      <c r="H54" s="40"/>
      <c r="I54" s="24"/>
      <c r="J54" s="5"/>
    </row>
    <row r="55" spans="1:10" ht="12.95" customHeight="1">
      <c r="A55" s="18" t="s">
        <v>836</v>
      </c>
      <c r="B55" s="19" t="s">
        <v>837</v>
      </c>
      <c r="C55" s="15" t="s">
        <v>838</v>
      </c>
      <c r="D55" s="15" t="s">
        <v>314</v>
      </c>
      <c r="E55" s="20">
        <v>212801</v>
      </c>
      <c r="F55" s="21">
        <v>3741.68</v>
      </c>
      <c r="G55" s="22">
        <v>3.3999999999999998E-3</v>
      </c>
      <c r="H55" s="40"/>
      <c r="I55" s="24"/>
      <c r="J55" s="5"/>
    </row>
    <row r="56" spans="1:10" ht="12.95" customHeight="1">
      <c r="A56" s="18" t="s">
        <v>3083</v>
      </c>
      <c r="B56" s="19" t="s">
        <v>3084</v>
      </c>
      <c r="C56" s="15" t="s">
        <v>3085</v>
      </c>
      <c r="D56" s="15" t="s">
        <v>259</v>
      </c>
      <c r="E56" s="20">
        <v>144899</v>
      </c>
      <c r="F56" s="21">
        <v>3190.5311000000002</v>
      </c>
      <c r="G56" s="22">
        <v>2.8999999999999998E-3</v>
      </c>
      <c r="H56" s="40"/>
      <c r="I56" s="24"/>
      <c r="J56" s="5"/>
    </row>
    <row r="57" spans="1:10" ht="12.95" customHeight="1">
      <c r="A57" s="18" t="s">
        <v>2219</v>
      </c>
      <c r="B57" s="19" t="s">
        <v>2220</v>
      </c>
      <c r="C57" s="15" t="s">
        <v>2221</v>
      </c>
      <c r="D57" s="15" t="s">
        <v>259</v>
      </c>
      <c r="E57" s="20">
        <v>63130</v>
      </c>
      <c r="F57" s="21">
        <v>2926.3595999999998</v>
      </c>
      <c r="G57" s="22">
        <v>2.7000000000000001E-3</v>
      </c>
      <c r="H57" s="40"/>
      <c r="I57" s="24"/>
      <c r="J57" s="5"/>
    </row>
    <row r="58" spans="1:10" ht="12.95" customHeight="1">
      <c r="A58" s="18" t="s">
        <v>292</v>
      </c>
      <c r="B58" s="19" t="s">
        <v>293</v>
      </c>
      <c r="C58" s="15" t="s">
        <v>294</v>
      </c>
      <c r="D58" s="15" t="s">
        <v>295</v>
      </c>
      <c r="E58" s="20">
        <v>379348</v>
      </c>
      <c r="F58" s="21">
        <v>2830.6948000000002</v>
      </c>
      <c r="G58" s="22">
        <v>2.5999999999999999E-3</v>
      </c>
      <c r="H58" s="40"/>
      <c r="I58" s="24"/>
      <c r="J58" s="5"/>
    </row>
    <row r="59" spans="1:10" ht="12.95" customHeight="1">
      <c r="A59" s="18" t="s">
        <v>2261</v>
      </c>
      <c r="B59" s="19" t="s">
        <v>2262</v>
      </c>
      <c r="C59" s="15" t="s">
        <v>2263</v>
      </c>
      <c r="D59" s="15" t="s">
        <v>403</v>
      </c>
      <c r="E59" s="20">
        <v>212466</v>
      </c>
      <c r="F59" s="21">
        <v>2695.4499000000001</v>
      </c>
      <c r="G59" s="22">
        <v>2.5000000000000001E-3</v>
      </c>
      <c r="H59" s="40"/>
      <c r="I59" s="24"/>
      <c r="J59" s="5"/>
    </row>
    <row r="60" spans="1:10" ht="12.95" customHeight="1">
      <c r="A60" s="18" t="s">
        <v>2183</v>
      </c>
      <c r="B60" s="19" t="s">
        <v>2184</v>
      </c>
      <c r="C60" s="15" t="s">
        <v>2185</v>
      </c>
      <c r="D60" s="15" t="s">
        <v>271</v>
      </c>
      <c r="E60" s="20">
        <v>1547246</v>
      </c>
      <c r="F60" s="21">
        <v>2519.6900999999998</v>
      </c>
      <c r="G60" s="22">
        <v>2.3E-3</v>
      </c>
      <c r="H60" s="40"/>
      <c r="I60" s="24"/>
      <c r="J60" s="5"/>
    </row>
    <row r="61" spans="1:10" ht="12.95" customHeight="1">
      <c r="A61" s="18" t="s">
        <v>365</v>
      </c>
      <c r="B61" s="19" t="s">
        <v>366</v>
      </c>
      <c r="C61" s="15" t="s">
        <v>367</v>
      </c>
      <c r="D61" s="15" t="s">
        <v>314</v>
      </c>
      <c r="E61" s="20">
        <v>103957</v>
      </c>
      <c r="F61" s="21">
        <v>1006.7716</v>
      </c>
      <c r="G61" s="22">
        <v>8.9999999999999998E-4</v>
      </c>
      <c r="H61" s="40"/>
      <c r="I61" s="24"/>
      <c r="J61" s="5"/>
    </row>
    <row r="62" spans="1:10" ht="12.95" customHeight="1">
      <c r="A62" s="18" t="s">
        <v>815</v>
      </c>
      <c r="B62" s="19" t="s">
        <v>816</v>
      </c>
      <c r="C62" s="15" t="s">
        <v>817</v>
      </c>
      <c r="D62" s="15" t="s">
        <v>788</v>
      </c>
      <c r="E62" s="20">
        <v>53863</v>
      </c>
      <c r="F62" s="21">
        <v>542.53510000000006</v>
      </c>
      <c r="G62" s="22">
        <v>5.0000000000000001E-4</v>
      </c>
      <c r="H62" s="40"/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1053910.2068</v>
      </c>
      <c r="G63" s="26">
        <v>0.96060000000000001</v>
      </c>
      <c r="H63" s="27"/>
      <c r="I63" s="28"/>
      <c r="J63" s="5"/>
    </row>
    <row r="64" spans="1:10" ht="12.95" customHeight="1">
      <c r="A64" s="5"/>
      <c r="B64" s="29" t="s">
        <v>408</v>
      </c>
      <c r="C64" s="2"/>
      <c r="D64" s="2"/>
      <c r="E64" s="2"/>
      <c r="F64" s="27" t="s">
        <v>162</v>
      </c>
      <c r="G64" s="27" t="s">
        <v>162</v>
      </c>
      <c r="H64" s="27"/>
      <c r="I64" s="28"/>
      <c r="J64" s="5"/>
    </row>
    <row r="65" spans="1:10" ht="12.95" customHeight="1">
      <c r="A65" s="5"/>
      <c r="B65" s="29" t="s">
        <v>160</v>
      </c>
      <c r="C65" s="2"/>
      <c r="D65" s="2"/>
      <c r="E65" s="2"/>
      <c r="F65" s="27" t="s">
        <v>162</v>
      </c>
      <c r="G65" s="27" t="s">
        <v>162</v>
      </c>
      <c r="H65" s="27"/>
      <c r="I65" s="28"/>
      <c r="J65" s="5"/>
    </row>
    <row r="66" spans="1:10" ht="12.95" customHeight="1">
      <c r="A66" s="5"/>
      <c r="B66" s="29" t="s">
        <v>163</v>
      </c>
      <c r="C66" s="30"/>
      <c r="D66" s="2"/>
      <c r="E66" s="30"/>
      <c r="F66" s="25">
        <v>1053910.2068</v>
      </c>
      <c r="G66" s="26">
        <v>0.96060000000000001</v>
      </c>
      <c r="H66" s="27"/>
      <c r="I66" s="28"/>
      <c r="J66" s="5"/>
    </row>
    <row r="67" spans="1:10" ht="12.95" customHeight="1">
      <c r="A67" s="5"/>
      <c r="B67" s="14" t="s">
        <v>417</v>
      </c>
      <c r="C67" s="15"/>
      <c r="D67" s="15"/>
      <c r="E67" s="15"/>
      <c r="F67" s="15"/>
      <c r="G67" s="15"/>
      <c r="H67" s="16"/>
      <c r="I67" s="17"/>
      <c r="J67" s="5"/>
    </row>
    <row r="68" spans="1:10" ht="12.95" customHeight="1">
      <c r="A68" s="5"/>
      <c r="B68" s="14" t="s">
        <v>418</v>
      </c>
      <c r="C68" s="15"/>
      <c r="D68" s="15"/>
      <c r="E68" s="15"/>
      <c r="F68" s="5"/>
      <c r="G68" s="16"/>
      <c r="H68" s="16"/>
      <c r="I68" s="17"/>
      <c r="J68" s="5"/>
    </row>
    <row r="69" spans="1:10" ht="12.95" customHeight="1">
      <c r="A69" s="18" t="s">
        <v>2134</v>
      </c>
      <c r="B69" s="19" t="s">
        <v>2135</v>
      </c>
      <c r="C69" s="15" t="s">
        <v>2136</v>
      </c>
      <c r="D69" s="15" t="s">
        <v>156</v>
      </c>
      <c r="E69" s="20">
        <v>7000000</v>
      </c>
      <c r="F69" s="21">
        <v>6785.2889999999998</v>
      </c>
      <c r="G69" s="22">
        <v>6.1999999999999998E-3</v>
      </c>
      <c r="H69" s="23">
        <v>7.0000000000000007E-2</v>
      </c>
      <c r="I69" s="24"/>
      <c r="J69" s="5"/>
    </row>
    <row r="70" spans="1:10" ht="12.95" customHeight="1">
      <c r="A70" s="5"/>
      <c r="B70" s="14" t="s">
        <v>160</v>
      </c>
      <c r="C70" s="15"/>
      <c r="D70" s="15"/>
      <c r="E70" s="15"/>
      <c r="F70" s="25">
        <v>6785.2889999999998</v>
      </c>
      <c r="G70" s="26">
        <v>6.1999999999999998E-3</v>
      </c>
      <c r="H70" s="27"/>
      <c r="I70" s="28"/>
      <c r="J70" s="5"/>
    </row>
    <row r="71" spans="1:10" ht="12.95" customHeight="1">
      <c r="A71" s="5"/>
      <c r="B71" s="29" t="s">
        <v>163</v>
      </c>
      <c r="C71" s="30"/>
      <c r="D71" s="2"/>
      <c r="E71" s="30"/>
      <c r="F71" s="25">
        <v>6785.2889999999998</v>
      </c>
      <c r="G71" s="26">
        <v>6.1999999999999998E-3</v>
      </c>
      <c r="H71" s="27"/>
      <c r="I71" s="28"/>
      <c r="J71" s="5"/>
    </row>
    <row r="72" spans="1:10" ht="12.95" customHeight="1">
      <c r="A72" s="5"/>
      <c r="B72" s="14" t="s">
        <v>164</v>
      </c>
      <c r="C72" s="15"/>
      <c r="D72" s="15"/>
      <c r="E72" s="15"/>
      <c r="F72" s="15"/>
      <c r="G72" s="15"/>
      <c r="H72" s="16"/>
      <c r="I72" s="17"/>
      <c r="J72" s="5"/>
    </row>
    <row r="73" spans="1:10" ht="12.95" customHeight="1">
      <c r="A73" s="18" t="s">
        <v>165</v>
      </c>
      <c r="B73" s="19" t="s">
        <v>166</v>
      </c>
      <c r="C73" s="15"/>
      <c r="D73" s="15"/>
      <c r="E73" s="20"/>
      <c r="F73" s="21">
        <v>25791.5105</v>
      </c>
      <c r="G73" s="22">
        <v>2.35E-2</v>
      </c>
      <c r="H73" s="23">
        <v>6.7996829688028088E-2</v>
      </c>
      <c r="I73" s="24"/>
      <c r="J73" s="5"/>
    </row>
    <row r="74" spans="1:10" ht="12.95" customHeight="1">
      <c r="A74" s="5"/>
      <c r="B74" s="14" t="s">
        <v>160</v>
      </c>
      <c r="C74" s="15"/>
      <c r="D74" s="15"/>
      <c r="E74" s="15"/>
      <c r="F74" s="25">
        <v>25791.5105</v>
      </c>
      <c r="G74" s="26">
        <v>2.35E-2</v>
      </c>
      <c r="H74" s="27"/>
      <c r="I74" s="28"/>
      <c r="J74" s="5"/>
    </row>
    <row r="75" spans="1:10" ht="12.95" customHeight="1">
      <c r="A75" s="5"/>
      <c r="B75" s="29" t="s">
        <v>163</v>
      </c>
      <c r="C75" s="30"/>
      <c r="D75" s="2"/>
      <c r="E75" s="30"/>
      <c r="F75" s="25">
        <v>25791.5105</v>
      </c>
      <c r="G75" s="26">
        <v>2.35E-2</v>
      </c>
      <c r="H75" s="27"/>
      <c r="I75" s="28"/>
      <c r="J75" s="5"/>
    </row>
    <row r="76" spans="1:10" ht="12.95" customHeight="1">
      <c r="A76" s="5"/>
      <c r="B76" s="29" t="s">
        <v>167</v>
      </c>
      <c r="C76" s="15"/>
      <c r="D76" s="2"/>
      <c r="E76" s="15"/>
      <c r="F76" s="31">
        <v>10693.8537</v>
      </c>
      <c r="G76" s="26">
        <v>9.7000000000000003E-3</v>
      </c>
      <c r="H76" s="27"/>
      <c r="I76" s="28"/>
      <c r="J76" s="5"/>
    </row>
    <row r="77" spans="1:10" ht="12.95" customHeight="1">
      <c r="A77" s="5"/>
      <c r="B77" s="32" t="s">
        <v>168</v>
      </c>
      <c r="C77" s="33"/>
      <c r="D77" s="33"/>
      <c r="E77" s="33"/>
      <c r="F77" s="34">
        <v>1097180.8600000001</v>
      </c>
      <c r="G77" s="35">
        <v>1</v>
      </c>
      <c r="H77" s="36"/>
      <c r="I77" s="37"/>
      <c r="J77" s="5"/>
    </row>
    <row r="78" spans="1:10" ht="12.95" customHeight="1">
      <c r="A78" s="5"/>
      <c r="B78" s="7"/>
      <c r="C78" s="5"/>
      <c r="D78" s="5"/>
      <c r="E78" s="5"/>
      <c r="F78" s="5"/>
      <c r="G78" s="5"/>
      <c r="H78" s="5"/>
      <c r="I78" s="5"/>
      <c r="J78" s="5"/>
    </row>
    <row r="79" spans="1:10" ht="12.95" customHeight="1">
      <c r="A79" s="5"/>
      <c r="B79" s="4" t="s">
        <v>169</v>
      </c>
      <c r="C79" s="5"/>
      <c r="D79" s="5"/>
      <c r="E79" s="5"/>
      <c r="F79" s="5"/>
      <c r="G79" s="5"/>
      <c r="H79" s="5"/>
      <c r="I79" s="5"/>
      <c r="J79" s="5"/>
    </row>
    <row r="80" spans="1:10" ht="12.95" customHeight="1">
      <c r="A80" s="5"/>
      <c r="B80" s="4" t="s">
        <v>170</v>
      </c>
      <c r="C80" s="5"/>
      <c r="D80" s="5"/>
      <c r="E80" s="5"/>
      <c r="F80" s="5"/>
      <c r="G80" s="5"/>
      <c r="H80" s="5"/>
      <c r="I80" s="5"/>
      <c r="J80" s="5"/>
    </row>
    <row r="81" spans="1:10" ht="26.1" customHeight="1">
      <c r="A81" s="5"/>
      <c r="B81" s="86" t="s">
        <v>171</v>
      </c>
      <c r="C81" s="86"/>
      <c r="D81" s="86"/>
      <c r="E81" s="86"/>
      <c r="F81" s="86"/>
      <c r="G81" s="86"/>
      <c r="H81" s="86"/>
      <c r="I81" s="86"/>
      <c r="J81" s="5"/>
    </row>
    <row r="82" spans="1:10" ht="12.95" customHeight="1">
      <c r="A82" s="5"/>
      <c r="B82" s="86"/>
      <c r="C82" s="86"/>
      <c r="D82" s="86"/>
      <c r="E82" s="86"/>
      <c r="F82" s="86"/>
      <c r="G82" s="86"/>
      <c r="H82" s="86"/>
      <c r="I82" s="86"/>
      <c r="J82" s="5"/>
    </row>
    <row r="83" spans="1:10" ht="12.95" customHeight="1">
      <c r="A83" s="5"/>
      <c r="B83" s="86"/>
      <c r="C83" s="86"/>
      <c r="D83" s="86"/>
      <c r="E83" s="86"/>
      <c r="F83" s="86"/>
      <c r="G83" s="86"/>
      <c r="H83" s="86"/>
      <c r="I83" s="86"/>
      <c r="J83" s="5"/>
    </row>
    <row r="84" spans="1:10" ht="12.95" customHeight="1">
      <c r="A84" s="5"/>
      <c r="B84" s="5"/>
      <c r="C84" s="87" t="s">
        <v>422</v>
      </c>
      <c r="D84" s="87"/>
      <c r="E84" s="87"/>
      <c r="F84" s="87"/>
      <c r="G84" s="5"/>
      <c r="H84" s="5"/>
      <c r="I84" s="5"/>
      <c r="J84" s="5"/>
    </row>
    <row r="85" spans="1:10" ht="12.95" customHeight="1">
      <c r="A85" s="5"/>
      <c r="B85" s="38" t="s">
        <v>173</v>
      </c>
      <c r="C85" s="87" t="s">
        <v>174</v>
      </c>
      <c r="D85" s="87"/>
      <c r="E85" s="87"/>
      <c r="F85" s="87"/>
      <c r="G85" s="5"/>
      <c r="H85" s="5"/>
      <c r="I85" s="5"/>
      <c r="J85" s="5"/>
    </row>
    <row r="86" spans="1:10" ht="120.95" customHeight="1">
      <c r="A86" s="5"/>
      <c r="B86" s="39"/>
      <c r="C86" s="85"/>
      <c r="D86" s="85"/>
      <c r="E86" s="5"/>
      <c r="F86" s="5"/>
      <c r="G86" s="5"/>
      <c r="H86" s="5"/>
      <c r="I86" s="5"/>
      <c r="J86" s="5"/>
    </row>
  </sheetData>
  <mergeCells count="6">
    <mergeCell ref="C86:D86"/>
    <mergeCell ref="B81:I81"/>
    <mergeCell ref="B82:I82"/>
    <mergeCell ref="B83:I83"/>
    <mergeCell ref="C84:F84"/>
    <mergeCell ref="C85:F85"/>
  </mergeCells>
  <hyperlinks>
    <hyperlink ref="A1" location="AxisFlexiCapFund" display="AXISMLF" xr:uid="{00000000-0004-0000-2900-000000000000}"/>
    <hyperlink ref="B1" location="AxisFlexiCapFund" display="Axis Flexi Cap Fund" xr:uid="{00000000-0004-0000-2900-000001000000}"/>
  </hyperlinks>
  <pageMargins left="0" right="0" top="0" bottom="0" header="0" footer="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/>
  </sheetPr>
  <dimension ref="A1:J1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86</v>
      </c>
      <c r="B1" s="4" t="s">
        <v>87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409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953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3087</v>
      </c>
      <c r="B7" s="19" t="s">
        <v>3088</v>
      </c>
      <c r="C7" s="15"/>
      <c r="D7" s="15"/>
      <c r="E7" s="42"/>
      <c r="F7" s="21">
        <v>-1.51</v>
      </c>
      <c r="G7" s="40" t="s">
        <v>675</v>
      </c>
      <c r="H7" s="40"/>
      <c r="I7" s="24"/>
      <c r="J7" s="5"/>
    </row>
    <row r="8" spans="1:10" ht="12.95" customHeight="1">
      <c r="A8" s="18" t="s">
        <v>3089</v>
      </c>
      <c r="B8" s="19" t="s">
        <v>3090</v>
      </c>
      <c r="C8" s="15"/>
      <c r="D8" s="15"/>
      <c r="E8" s="42"/>
      <c r="F8" s="21">
        <v>-3.5449999999999999</v>
      </c>
      <c r="G8" s="40" t="s">
        <v>675</v>
      </c>
      <c r="H8" s="40"/>
      <c r="I8" s="24"/>
      <c r="J8" s="5"/>
    </row>
    <row r="9" spans="1:10" ht="12.95" customHeight="1">
      <c r="A9" s="18" t="s">
        <v>3091</v>
      </c>
      <c r="B9" s="19" t="s">
        <v>3092</v>
      </c>
      <c r="C9" s="15"/>
      <c r="D9" s="15"/>
      <c r="E9" s="42"/>
      <c r="F9" s="21">
        <v>-10.65</v>
      </c>
      <c r="G9" s="40" t="s">
        <v>675</v>
      </c>
      <c r="H9" s="40"/>
      <c r="I9" s="24"/>
      <c r="J9" s="5"/>
    </row>
    <row r="10" spans="1:10" ht="12.95" customHeight="1">
      <c r="A10" s="18" t="s">
        <v>3093</v>
      </c>
      <c r="B10" s="19" t="s">
        <v>3094</v>
      </c>
      <c r="C10" s="15"/>
      <c r="D10" s="15"/>
      <c r="E10" s="42"/>
      <c r="F10" s="21">
        <v>-14.14</v>
      </c>
      <c r="G10" s="40" t="s">
        <v>675</v>
      </c>
      <c r="H10" s="40"/>
      <c r="I10" s="24"/>
      <c r="J10" s="5"/>
    </row>
    <row r="11" spans="1:10" ht="12.95" customHeight="1">
      <c r="A11" s="18" t="s">
        <v>3095</v>
      </c>
      <c r="B11" s="19" t="s">
        <v>3096</v>
      </c>
      <c r="C11" s="15"/>
      <c r="D11" s="15"/>
      <c r="E11" s="42"/>
      <c r="F11" s="21">
        <v>-44.16</v>
      </c>
      <c r="G11" s="22">
        <v>-1E-4</v>
      </c>
      <c r="H11" s="40"/>
      <c r="I11" s="24"/>
      <c r="J11" s="5"/>
    </row>
    <row r="12" spans="1:10" ht="12.95" customHeight="1">
      <c r="A12" s="5"/>
      <c r="B12" s="14" t="s">
        <v>160</v>
      </c>
      <c r="C12" s="15"/>
      <c r="D12" s="15"/>
      <c r="E12" s="15"/>
      <c r="F12" s="25">
        <v>-74.004999999999995</v>
      </c>
      <c r="G12" s="26">
        <v>-1E-4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-74.004999999999995</v>
      </c>
      <c r="G13" s="26">
        <v>-1E-4</v>
      </c>
      <c r="H13" s="27"/>
      <c r="I13" s="28"/>
      <c r="J13" s="5"/>
    </row>
    <row r="14" spans="1:10" ht="12.95" customHeight="1">
      <c r="A14" s="5"/>
      <c r="B14" s="14" t="s">
        <v>151</v>
      </c>
      <c r="C14" s="15"/>
      <c r="D14" s="15"/>
      <c r="E14" s="15"/>
      <c r="F14" s="15"/>
      <c r="G14" s="15"/>
      <c r="H14" s="16"/>
      <c r="I14" s="17"/>
      <c r="J14" s="5"/>
    </row>
    <row r="15" spans="1:10" ht="12.95" customHeight="1">
      <c r="A15" s="5"/>
      <c r="B15" s="14" t="s">
        <v>152</v>
      </c>
      <c r="C15" s="15"/>
      <c r="D15" s="15"/>
      <c r="E15" s="15"/>
      <c r="F15" s="5"/>
      <c r="G15" s="16"/>
      <c r="H15" s="16"/>
      <c r="I15" s="17"/>
      <c r="J15" s="5"/>
    </row>
    <row r="16" spans="1:10" ht="12.95" customHeight="1">
      <c r="A16" s="18" t="s">
        <v>3097</v>
      </c>
      <c r="B16" s="19" t="s">
        <v>3098</v>
      </c>
      <c r="C16" s="15" t="s">
        <v>3099</v>
      </c>
      <c r="D16" s="15" t="s">
        <v>156</v>
      </c>
      <c r="E16" s="20">
        <v>36500000</v>
      </c>
      <c r="F16" s="21">
        <v>36728.271000000001</v>
      </c>
      <c r="G16" s="22">
        <v>4.7199999999999999E-2</v>
      </c>
      <c r="H16" s="23">
        <v>7.0380999999999999E-2</v>
      </c>
      <c r="I16" s="24"/>
      <c r="J16" s="5"/>
    </row>
    <row r="17" spans="1:10" ht="12.95" customHeight="1">
      <c r="A17" s="18" t="s">
        <v>3100</v>
      </c>
      <c r="B17" s="19" t="s">
        <v>3101</v>
      </c>
      <c r="C17" s="15" t="s">
        <v>3102</v>
      </c>
      <c r="D17" s="15" t="s">
        <v>156</v>
      </c>
      <c r="E17" s="20">
        <v>7612500</v>
      </c>
      <c r="F17" s="21">
        <v>7250.3428999999996</v>
      </c>
      <c r="G17" s="22">
        <v>9.2999999999999992E-3</v>
      </c>
      <c r="H17" s="23">
        <v>7.2413000000000005E-2</v>
      </c>
      <c r="I17" s="24"/>
      <c r="J17" s="5"/>
    </row>
    <row r="18" spans="1:10" ht="12.95" customHeight="1">
      <c r="A18" s="18" t="s">
        <v>3103</v>
      </c>
      <c r="B18" s="19" t="s">
        <v>3104</v>
      </c>
      <c r="C18" s="15" t="s">
        <v>3105</v>
      </c>
      <c r="D18" s="15" t="s">
        <v>156</v>
      </c>
      <c r="E18" s="20">
        <v>2200000</v>
      </c>
      <c r="F18" s="21">
        <v>2202.9634000000001</v>
      </c>
      <c r="G18" s="22">
        <v>2.8E-3</v>
      </c>
      <c r="H18" s="23">
        <v>6.8629999999999997E-2</v>
      </c>
      <c r="I18" s="24"/>
      <c r="J18" s="5"/>
    </row>
    <row r="19" spans="1:10" ht="12.95" customHeight="1">
      <c r="A19" s="5"/>
      <c r="B19" s="14" t="s">
        <v>160</v>
      </c>
      <c r="C19" s="15"/>
      <c r="D19" s="15"/>
      <c r="E19" s="15"/>
      <c r="F19" s="25">
        <v>46181.577299999997</v>
      </c>
      <c r="G19" s="26">
        <v>5.9299999999999999E-2</v>
      </c>
      <c r="H19" s="27"/>
      <c r="I19" s="28"/>
      <c r="J19" s="5"/>
    </row>
    <row r="20" spans="1:10" ht="12.95" customHeight="1">
      <c r="A20" s="5"/>
      <c r="B20" s="29" t="s">
        <v>161</v>
      </c>
      <c r="C20" s="2"/>
      <c r="D20" s="2"/>
      <c r="E20" s="2"/>
      <c r="F20" s="27" t="s">
        <v>162</v>
      </c>
      <c r="G20" s="27" t="s">
        <v>162</v>
      </c>
      <c r="H20" s="27"/>
      <c r="I20" s="28"/>
      <c r="J20" s="5"/>
    </row>
    <row r="21" spans="1:10" ht="12.95" customHeight="1">
      <c r="A21" s="5"/>
      <c r="B21" s="29" t="s">
        <v>160</v>
      </c>
      <c r="C21" s="2"/>
      <c r="D21" s="2"/>
      <c r="E21" s="2"/>
      <c r="F21" s="27" t="s">
        <v>162</v>
      </c>
      <c r="G21" s="27" t="s">
        <v>162</v>
      </c>
      <c r="H21" s="27"/>
      <c r="I21" s="28"/>
      <c r="J21" s="5"/>
    </row>
    <row r="22" spans="1:10" ht="12.95" customHeight="1">
      <c r="A22" s="5"/>
      <c r="B22" s="29" t="s">
        <v>163</v>
      </c>
      <c r="C22" s="30"/>
      <c r="D22" s="2"/>
      <c r="E22" s="30"/>
      <c r="F22" s="25">
        <v>46181.577299999997</v>
      </c>
      <c r="G22" s="26">
        <v>5.9299999999999999E-2</v>
      </c>
      <c r="H22" s="27"/>
      <c r="I22" s="28"/>
      <c r="J22" s="5"/>
    </row>
    <row r="23" spans="1:10" ht="12.95" customHeight="1">
      <c r="A23" s="5"/>
      <c r="B23" s="14" t="s">
        <v>417</v>
      </c>
      <c r="C23" s="15"/>
      <c r="D23" s="15"/>
      <c r="E23" s="15"/>
      <c r="F23" s="15"/>
      <c r="G23" s="15"/>
      <c r="H23" s="16"/>
      <c r="I23" s="17"/>
      <c r="J23" s="5"/>
    </row>
    <row r="24" spans="1:10" ht="12.95" customHeight="1">
      <c r="A24" s="5"/>
      <c r="B24" s="14" t="s">
        <v>679</v>
      </c>
      <c r="C24" s="15"/>
      <c r="D24" s="15"/>
      <c r="E24" s="15"/>
      <c r="F24" s="5"/>
      <c r="G24" s="16"/>
      <c r="H24" s="16"/>
      <c r="I24" s="17"/>
      <c r="J24" s="5"/>
    </row>
    <row r="25" spans="1:10" ht="12.95" customHeight="1">
      <c r="A25" s="18" t="s">
        <v>3106</v>
      </c>
      <c r="B25" s="19" t="s">
        <v>3107</v>
      </c>
      <c r="C25" s="15" t="s">
        <v>3108</v>
      </c>
      <c r="D25" s="15" t="s">
        <v>2099</v>
      </c>
      <c r="E25" s="20">
        <v>5500</v>
      </c>
      <c r="F25" s="21">
        <v>26823.362499999999</v>
      </c>
      <c r="G25" s="22">
        <v>3.4500000000000003E-2</v>
      </c>
      <c r="H25" s="23">
        <v>7.2498999999999994E-2</v>
      </c>
      <c r="I25" s="24"/>
      <c r="J25" s="5"/>
    </row>
    <row r="26" spans="1:10" ht="12.95" customHeight="1">
      <c r="A26" s="18" t="s">
        <v>3109</v>
      </c>
      <c r="B26" s="19" t="s">
        <v>3110</v>
      </c>
      <c r="C26" s="15" t="s">
        <v>3111</v>
      </c>
      <c r="D26" s="15" t="s">
        <v>2099</v>
      </c>
      <c r="E26" s="20">
        <v>4000</v>
      </c>
      <c r="F26" s="21">
        <v>19060.52</v>
      </c>
      <c r="G26" s="22">
        <v>2.4500000000000001E-2</v>
      </c>
      <c r="H26" s="23">
        <v>7.4650999999999995E-2</v>
      </c>
      <c r="I26" s="24"/>
      <c r="J26" s="5"/>
    </row>
    <row r="27" spans="1:10" ht="12.95" customHeight="1">
      <c r="A27" s="18" t="s">
        <v>3112</v>
      </c>
      <c r="B27" s="19" t="s">
        <v>3113</v>
      </c>
      <c r="C27" s="15" t="s">
        <v>3114</v>
      </c>
      <c r="D27" s="15" t="s">
        <v>683</v>
      </c>
      <c r="E27" s="20">
        <v>3500</v>
      </c>
      <c r="F27" s="21">
        <v>17115.647499999999</v>
      </c>
      <c r="G27" s="22">
        <v>2.1999999999999999E-2</v>
      </c>
      <c r="H27" s="23">
        <v>7.1900000000000006E-2</v>
      </c>
      <c r="I27" s="24"/>
      <c r="J27" s="5"/>
    </row>
    <row r="28" spans="1:10" ht="12.95" customHeight="1">
      <c r="A28" s="18" t="s">
        <v>3115</v>
      </c>
      <c r="B28" s="19" t="s">
        <v>3116</v>
      </c>
      <c r="C28" s="15" t="s">
        <v>3117</v>
      </c>
      <c r="D28" s="15" t="s">
        <v>2817</v>
      </c>
      <c r="E28" s="20">
        <v>3500</v>
      </c>
      <c r="F28" s="21">
        <v>17034.990000000002</v>
      </c>
      <c r="G28" s="22">
        <v>2.1899999999999999E-2</v>
      </c>
      <c r="H28" s="23">
        <v>7.2198999999999999E-2</v>
      </c>
      <c r="I28" s="24"/>
      <c r="J28" s="5"/>
    </row>
    <row r="29" spans="1:10" ht="12.95" customHeight="1">
      <c r="A29" s="18" t="s">
        <v>3118</v>
      </c>
      <c r="B29" s="19" t="s">
        <v>3119</v>
      </c>
      <c r="C29" s="15" t="s">
        <v>3120</v>
      </c>
      <c r="D29" s="15" t="s">
        <v>1187</v>
      </c>
      <c r="E29" s="20">
        <v>3500</v>
      </c>
      <c r="F29" s="21">
        <v>16967.4575</v>
      </c>
      <c r="G29" s="22">
        <v>2.18E-2</v>
      </c>
      <c r="H29" s="23">
        <v>7.2050000000000003E-2</v>
      </c>
      <c r="I29" s="24"/>
      <c r="J29" s="5"/>
    </row>
    <row r="30" spans="1:10" ht="12.95" customHeight="1">
      <c r="A30" s="18" t="s">
        <v>2093</v>
      </c>
      <c r="B30" s="19" t="s">
        <v>2094</v>
      </c>
      <c r="C30" s="15" t="s">
        <v>2095</v>
      </c>
      <c r="D30" s="15" t="s">
        <v>683</v>
      </c>
      <c r="E30" s="20">
        <v>3000</v>
      </c>
      <c r="F30" s="21">
        <v>14643.24</v>
      </c>
      <c r="G30" s="22">
        <v>1.8800000000000001E-2</v>
      </c>
      <c r="H30" s="23">
        <v>7.2300000000000003E-2</v>
      </c>
      <c r="I30" s="24"/>
      <c r="J30" s="5"/>
    </row>
    <row r="31" spans="1:10" ht="12.95" customHeight="1">
      <c r="A31" s="18" t="s">
        <v>3121</v>
      </c>
      <c r="B31" s="19" t="s">
        <v>3122</v>
      </c>
      <c r="C31" s="15" t="s">
        <v>3123</v>
      </c>
      <c r="D31" s="15" t="s">
        <v>2099</v>
      </c>
      <c r="E31" s="20">
        <v>3000</v>
      </c>
      <c r="F31" s="21">
        <v>14489.13</v>
      </c>
      <c r="G31" s="22">
        <v>1.8599999999999998E-2</v>
      </c>
      <c r="H31" s="23">
        <v>7.2300000000000003E-2</v>
      </c>
      <c r="I31" s="24"/>
      <c r="J31" s="5"/>
    </row>
    <row r="32" spans="1:10" ht="12.95" customHeight="1">
      <c r="A32" s="18" t="s">
        <v>3124</v>
      </c>
      <c r="B32" s="19" t="s">
        <v>3125</v>
      </c>
      <c r="C32" s="15" t="s">
        <v>3126</v>
      </c>
      <c r="D32" s="15" t="s">
        <v>1187</v>
      </c>
      <c r="E32" s="20">
        <v>3000</v>
      </c>
      <c r="F32" s="21">
        <v>14488.08</v>
      </c>
      <c r="G32" s="22">
        <v>1.8599999999999998E-2</v>
      </c>
      <c r="H32" s="23">
        <v>7.2051000000000004E-2</v>
      </c>
      <c r="I32" s="24"/>
      <c r="J32" s="5"/>
    </row>
    <row r="33" spans="1:10" ht="12.95" customHeight="1">
      <c r="A33" s="18" t="s">
        <v>3127</v>
      </c>
      <c r="B33" s="19" t="s">
        <v>3128</v>
      </c>
      <c r="C33" s="15" t="s">
        <v>3129</v>
      </c>
      <c r="D33" s="15" t="s">
        <v>2817</v>
      </c>
      <c r="E33" s="20">
        <v>2500</v>
      </c>
      <c r="F33" s="21">
        <v>12292.737499999999</v>
      </c>
      <c r="G33" s="22">
        <v>1.5800000000000002E-2</v>
      </c>
      <c r="H33" s="23">
        <v>7.5050000000000006E-2</v>
      </c>
      <c r="I33" s="24"/>
      <c r="J33" s="5"/>
    </row>
    <row r="34" spans="1:10" ht="12.95" customHeight="1">
      <c r="A34" s="18" t="s">
        <v>3130</v>
      </c>
      <c r="B34" s="19" t="s">
        <v>3131</v>
      </c>
      <c r="C34" s="15" t="s">
        <v>3132</v>
      </c>
      <c r="D34" s="15" t="s">
        <v>683</v>
      </c>
      <c r="E34" s="20">
        <v>2500</v>
      </c>
      <c r="F34" s="21">
        <v>11854.987499999999</v>
      </c>
      <c r="G34" s="22">
        <v>1.52E-2</v>
      </c>
      <c r="H34" s="23">
        <v>7.3826000000000003E-2</v>
      </c>
      <c r="I34" s="24"/>
      <c r="J34" s="5"/>
    </row>
    <row r="35" spans="1:10" ht="12.95" customHeight="1">
      <c r="A35" s="18" t="s">
        <v>3133</v>
      </c>
      <c r="B35" s="19" t="s">
        <v>3134</v>
      </c>
      <c r="C35" s="15" t="s">
        <v>3135</v>
      </c>
      <c r="D35" s="15" t="s">
        <v>2817</v>
      </c>
      <c r="E35" s="20">
        <v>2000</v>
      </c>
      <c r="F35" s="21">
        <v>9833.9500000000007</v>
      </c>
      <c r="G35" s="22">
        <v>1.26E-2</v>
      </c>
      <c r="H35" s="23">
        <v>6.9249000000000005E-2</v>
      </c>
      <c r="I35" s="24"/>
      <c r="J35" s="5"/>
    </row>
    <row r="36" spans="1:10" ht="12.95" customHeight="1">
      <c r="A36" s="18" t="s">
        <v>3136</v>
      </c>
      <c r="B36" s="19" t="s">
        <v>3137</v>
      </c>
      <c r="C36" s="15" t="s">
        <v>3138</v>
      </c>
      <c r="D36" s="15" t="s">
        <v>2099</v>
      </c>
      <c r="E36" s="20">
        <v>2000</v>
      </c>
      <c r="F36" s="21">
        <v>9802.76</v>
      </c>
      <c r="G36" s="22">
        <v>1.26E-2</v>
      </c>
      <c r="H36" s="23">
        <v>7.2000999999999996E-2</v>
      </c>
      <c r="I36" s="24"/>
      <c r="J36" s="5"/>
    </row>
    <row r="37" spans="1:10" ht="12.95" customHeight="1">
      <c r="A37" s="18" t="s">
        <v>3139</v>
      </c>
      <c r="B37" s="19" t="s">
        <v>3140</v>
      </c>
      <c r="C37" s="15" t="s">
        <v>3141</v>
      </c>
      <c r="D37" s="15" t="s">
        <v>2817</v>
      </c>
      <c r="E37" s="20">
        <v>2000</v>
      </c>
      <c r="F37" s="21">
        <v>9802.5300000000007</v>
      </c>
      <c r="G37" s="22">
        <v>1.26E-2</v>
      </c>
      <c r="H37" s="23">
        <v>7.2801000000000005E-2</v>
      </c>
      <c r="I37" s="24"/>
      <c r="J37" s="5"/>
    </row>
    <row r="38" spans="1:10" ht="12.95" customHeight="1">
      <c r="A38" s="18" t="s">
        <v>3142</v>
      </c>
      <c r="B38" s="19" t="s">
        <v>3143</v>
      </c>
      <c r="C38" s="15" t="s">
        <v>3144</v>
      </c>
      <c r="D38" s="15" t="s">
        <v>2099</v>
      </c>
      <c r="E38" s="20">
        <v>2000</v>
      </c>
      <c r="F38" s="21">
        <v>9765</v>
      </c>
      <c r="G38" s="22">
        <v>1.2500000000000001E-2</v>
      </c>
      <c r="H38" s="23">
        <v>7.2000999999999996E-2</v>
      </c>
      <c r="I38" s="24"/>
      <c r="J38" s="5"/>
    </row>
    <row r="39" spans="1:10" ht="12.95" customHeight="1">
      <c r="A39" s="18" t="s">
        <v>3145</v>
      </c>
      <c r="B39" s="19" t="s">
        <v>3146</v>
      </c>
      <c r="C39" s="15" t="s">
        <v>3147</v>
      </c>
      <c r="D39" s="15" t="s">
        <v>683</v>
      </c>
      <c r="E39" s="20">
        <v>2000</v>
      </c>
      <c r="F39" s="21">
        <v>9735.5400000000009</v>
      </c>
      <c r="G39" s="22">
        <v>1.2500000000000001E-2</v>
      </c>
      <c r="H39" s="23">
        <v>7.1848999999999996E-2</v>
      </c>
      <c r="I39" s="24"/>
      <c r="J39" s="5"/>
    </row>
    <row r="40" spans="1:10" ht="12.95" customHeight="1">
      <c r="A40" s="18" t="s">
        <v>3148</v>
      </c>
      <c r="B40" s="19" t="s">
        <v>3149</v>
      </c>
      <c r="C40" s="15" t="s">
        <v>3150</v>
      </c>
      <c r="D40" s="15" t="s">
        <v>683</v>
      </c>
      <c r="E40" s="20">
        <v>2000</v>
      </c>
      <c r="F40" s="21">
        <v>9713.32</v>
      </c>
      <c r="G40" s="22">
        <v>1.2500000000000001E-2</v>
      </c>
      <c r="H40" s="23">
        <v>7.2300000000000003E-2</v>
      </c>
      <c r="I40" s="24"/>
      <c r="J40" s="5"/>
    </row>
    <row r="41" spans="1:10" ht="12.95" customHeight="1">
      <c r="A41" s="18" t="s">
        <v>3151</v>
      </c>
      <c r="B41" s="19" t="s">
        <v>3152</v>
      </c>
      <c r="C41" s="15" t="s">
        <v>3153</v>
      </c>
      <c r="D41" s="15" t="s">
        <v>2817</v>
      </c>
      <c r="E41" s="20">
        <v>2000</v>
      </c>
      <c r="F41" s="21">
        <v>9696.5300000000007</v>
      </c>
      <c r="G41" s="22">
        <v>1.2500000000000001E-2</v>
      </c>
      <c r="H41" s="23">
        <v>7.2301000000000004E-2</v>
      </c>
      <c r="I41" s="24"/>
      <c r="J41" s="5"/>
    </row>
    <row r="42" spans="1:10" ht="12.95" customHeight="1">
      <c r="A42" s="18" t="s">
        <v>3154</v>
      </c>
      <c r="B42" s="19" t="s">
        <v>3155</v>
      </c>
      <c r="C42" s="15" t="s">
        <v>3156</v>
      </c>
      <c r="D42" s="15" t="s">
        <v>1187</v>
      </c>
      <c r="E42" s="20">
        <v>2000</v>
      </c>
      <c r="F42" s="21">
        <v>9656.8799999999992</v>
      </c>
      <c r="G42" s="22">
        <v>1.24E-2</v>
      </c>
      <c r="H42" s="23">
        <v>7.2049000000000002E-2</v>
      </c>
      <c r="I42" s="24"/>
      <c r="J42" s="5"/>
    </row>
    <row r="43" spans="1:10" ht="12.95" customHeight="1">
      <c r="A43" s="18" t="s">
        <v>3157</v>
      </c>
      <c r="B43" s="19" t="s">
        <v>3158</v>
      </c>
      <c r="C43" s="15" t="s">
        <v>3159</v>
      </c>
      <c r="D43" s="15" t="s">
        <v>683</v>
      </c>
      <c r="E43" s="20">
        <v>1500</v>
      </c>
      <c r="F43" s="21">
        <v>7353.1949999999997</v>
      </c>
      <c r="G43" s="22">
        <v>9.4000000000000004E-3</v>
      </c>
      <c r="H43" s="23">
        <v>7.2150000000000006E-2</v>
      </c>
      <c r="I43" s="24"/>
      <c r="J43" s="5"/>
    </row>
    <row r="44" spans="1:10" ht="12.95" customHeight="1">
      <c r="A44" s="18" t="s">
        <v>3160</v>
      </c>
      <c r="B44" s="19" t="s">
        <v>3161</v>
      </c>
      <c r="C44" s="15" t="s">
        <v>3162</v>
      </c>
      <c r="D44" s="15" t="s">
        <v>1187</v>
      </c>
      <c r="E44" s="20">
        <v>1500</v>
      </c>
      <c r="F44" s="21">
        <v>7315.17</v>
      </c>
      <c r="G44" s="22">
        <v>9.4000000000000004E-3</v>
      </c>
      <c r="H44" s="23">
        <v>7.2049000000000002E-2</v>
      </c>
      <c r="I44" s="24"/>
      <c r="J44" s="5"/>
    </row>
    <row r="45" spans="1:10" ht="12.95" customHeight="1">
      <c r="A45" s="18" t="s">
        <v>3163</v>
      </c>
      <c r="B45" s="19" t="s">
        <v>3164</v>
      </c>
      <c r="C45" s="15" t="s">
        <v>3165</v>
      </c>
      <c r="D45" s="15" t="s">
        <v>683</v>
      </c>
      <c r="E45" s="20">
        <v>1500</v>
      </c>
      <c r="F45" s="21">
        <v>7305.8474999999999</v>
      </c>
      <c r="G45" s="22">
        <v>9.4000000000000004E-3</v>
      </c>
      <c r="H45" s="23">
        <v>7.1850999999999998E-2</v>
      </c>
      <c r="I45" s="24"/>
      <c r="J45" s="5"/>
    </row>
    <row r="46" spans="1:10" ht="12.95" customHeight="1">
      <c r="A46" s="18" t="s">
        <v>3166</v>
      </c>
      <c r="B46" s="19" t="s">
        <v>3167</v>
      </c>
      <c r="C46" s="15" t="s">
        <v>3168</v>
      </c>
      <c r="D46" s="15" t="s">
        <v>683</v>
      </c>
      <c r="E46" s="20">
        <v>1500</v>
      </c>
      <c r="F46" s="21">
        <v>7298.43</v>
      </c>
      <c r="G46" s="22">
        <v>9.4000000000000004E-3</v>
      </c>
      <c r="H46" s="23">
        <v>7.3050000000000004E-2</v>
      </c>
      <c r="I46" s="24"/>
      <c r="J46" s="5"/>
    </row>
    <row r="47" spans="1:10" ht="12.95" customHeight="1">
      <c r="A47" s="18" t="s">
        <v>3169</v>
      </c>
      <c r="B47" s="19" t="s">
        <v>3170</v>
      </c>
      <c r="C47" s="15" t="s">
        <v>3171</v>
      </c>
      <c r="D47" s="15" t="s">
        <v>683</v>
      </c>
      <c r="E47" s="20">
        <v>1500</v>
      </c>
      <c r="F47" s="21">
        <v>7139.0174999999999</v>
      </c>
      <c r="G47" s="22">
        <v>9.1999999999999998E-3</v>
      </c>
      <c r="H47" s="23">
        <v>7.3825000000000002E-2</v>
      </c>
      <c r="I47" s="24"/>
      <c r="J47" s="5"/>
    </row>
    <row r="48" spans="1:10" ht="12.95" customHeight="1">
      <c r="A48" s="18" t="s">
        <v>3172</v>
      </c>
      <c r="B48" s="19" t="s">
        <v>3173</v>
      </c>
      <c r="C48" s="15" t="s">
        <v>3174</v>
      </c>
      <c r="D48" s="15" t="s">
        <v>2099</v>
      </c>
      <c r="E48" s="20">
        <v>1500</v>
      </c>
      <c r="F48" s="21">
        <v>7136.5649999999996</v>
      </c>
      <c r="G48" s="22">
        <v>9.1999999999999998E-3</v>
      </c>
      <c r="H48" s="23">
        <v>7.4649999999999994E-2</v>
      </c>
      <c r="I48" s="24"/>
      <c r="J48" s="5"/>
    </row>
    <row r="49" spans="1:10" ht="12.95" customHeight="1">
      <c r="A49" s="18" t="s">
        <v>3175</v>
      </c>
      <c r="B49" s="19" t="s">
        <v>3176</v>
      </c>
      <c r="C49" s="15" t="s">
        <v>3177</v>
      </c>
      <c r="D49" s="15" t="s">
        <v>2817</v>
      </c>
      <c r="E49" s="20">
        <v>1500</v>
      </c>
      <c r="F49" s="21">
        <v>7134.7049999999999</v>
      </c>
      <c r="G49" s="22">
        <v>9.1999999999999998E-3</v>
      </c>
      <c r="H49" s="23">
        <v>7.2999999999999995E-2</v>
      </c>
      <c r="I49" s="24"/>
      <c r="J49" s="5"/>
    </row>
    <row r="50" spans="1:10" ht="12.95" customHeight="1">
      <c r="A50" s="18" t="s">
        <v>3178</v>
      </c>
      <c r="B50" s="19" t="s">
        <v>3179</v>
      </c>
      <c r="C50" s="15" t="s">
        <v>3180</v>
      </c>
      <c r="D50" s="15" t="s">
        <v>2099</v>
      </c>
      <c r="E50" s="20">
        <v>1500</v>
      </c>
      <c r="F50" s="21">
        <v>6998.5574999999999</v>
      </c>
      <c r="G50" s="22">
        <v>8.9999999999999993E-3</v>
      </c>
      <c r="H50" s="23">
        <v>7.5149999999999995E-2</v>
      </c>
      <c r="I50" s="24"/>
      <c r="J50" s="5"/>
    </row>
    <row r="51" spans="1:10" ht="12.95" customHeight="1">
      <c r="A51" s="18" t="s">
        <v>3181</v>
      </c>
      <c r="B51" s="19" t="s">
        <v>3182</v>
      </c>
      <c r="C51" s="15" t="s">
        <v>3183</v>
      </c>
      <c r="D51" s="15" t="s">
        <v>683</v>
      </c>
      <c r="E51" s="20">
        <v>1000</v>
      </c>
      <c r="F51" s="21">
        <v>4939.5050000000001</v>
      </c>
      <c r="G51" s="22">
        <v>6.3E-3</v>
      </c>
      <c r="H51" s="23">
        <v>6.9849999999999995E-2</v>
      </c>
      <c r="I51" s="24"/>
      <c r="J51" s="5"/>
    </row>
    <row r="52" spans="1:10" ht="12.95" customHeight="1">
      <c r="A52" s="18" t="s">
        <v>3184</v>
      </c>
      <c r="B52" s="19" t="s">
        <v>3185</v>
      </c>
      <c r="C52" s="15" t="s">
        <v>3186</v>
      </c>
      <c r="D52" s="15" t="s">
        <v>683</v>
      </c>
      <c r="E52" s="20">
        <v>1000</v>
      </c>
      <c r="F52" s="21">
        <v>4896.34</v>
      </c>
      <c r="G52" s="22">
        <v>6.3E-3</v>
      </c>
      <c r="H52" s="23">
        <v>7.1550000000000002E-2</v>
      </c>
      <c r="I52" s="24"/>
      <c r="J52" s="5"/>
    </row>
    <row r="53" spans="1:10" ht="12.95" customHeight="1">
      <c r="A53" s="18" t="s">
        <v>3187</v>
      </c>
      <c r="B53" s="19" t="s">
        <v>3188</v>
      </c>
      <c r="C53" s="15" t="s">
        <v>3189</v>
      </c>
      <c r="D53" s="15" t="s">
        <v>683</v>
      </c>
      <c r="E53" s="20">
        <v>1000</v>
      </c>
      <c r="F53" s="21">
        <v>4894.8500000000004</v>
      </c>
      <c r="G53" s="22">
        <v>6.3E-3</v>
      </c>
      <c r="H53" s="23">
        <v>7.2599999999999998E-2</v>
      </c>
      <c r="I53" s="24"/>
      <c r="J53" s="5"/>
    </row>
    <row r="54" spans="1:10" ht="12.95" customHeight="1">
      <c r="A54" s="18" t="s">
        <v>3190</v>
      </c>
      <c r="B54" s="19" t="s">
        <v>3191</v>
      </c>
      <c r="C54" s="15" t="s">
        <v>3192</v>
      </c>
      <c r="D54" s="15" t="s">
        <v>1187</v>
      </c>
      <c r="E54" s="20">
        <v>1000</v>
      </c>
      <c r="F54" s="21">
        <v>4892.6549999999997</v>
      </c>
      <c r="G54" s="22">
        <v>6.3E-3</v>
      </c>
      <c r="H54" s="23">
        <v>7.2801000000000005E-2</v>
      </c>
      <c r="I54" s="24"/>
      <c r="J54" s="5"/>
    </row>
    <row r="55" spans="1:10" ht="12.95" customHeight="1">
      <c r="A55" s="18" t="s">
        <v>3193</v>
      </c>
      <c r="B55" s="19" t="s">
        <v>3194</v>
      </c>
      <c r="C55" s="15" t="s">
        <v>3195</v>
      </c>
      <c r="D55" s="15" t="s">
        <v>683</v>
      </c>
      <c r="E55" s="20">
        <v>1000</v>
      </c>
      <c r="F55" s="21">
        <v>4876.3100000000004</v>
      </c>
      <c r="G55" s="22">
        <v>6.3E-3</v>
      </c>
      <c r="H55" s="23">
        <v>7.2900000000000006E-2</v>
      </c>
      <c r="I55" s="24"/>
      <c r="J55" s="5"/>
    </row>
    <row r="56" spans="1:10" ht="12.95" customHeight="1">
      <c r="A56" s="18" t="s">
        <v>3196</v>
      </c>
      <c r="B56" s="19" t="s">
        <v>3197</v>
      </c>
      <c r="C56" s="15" t="s">
        <v>3198</v>
      </c>
      <c r="D56" s="15" t="s">
        <v>1187</v>
      </c>
      <c r="E56" s="20">
        <v>1000</v>
      </c>
      <c r="F56" s="21">
        <v>4867.8649999999998</v>
      </c>
      <c r="G56" s="22">
        <v>6.3E-3</v>
      </c>
      <c r="H56" s="23">
        <v>7.2850999999999999E-2</v>
      </c>
      <c r="I56" s="24"/>
      <c r="J56" s="5"/>
    </row>
    <row r="57" spans="1:10" ht="12.95" customHeight="1">
      <c r="A57" s="18" t="s">
        <v>3199</v>
      </c>
      <c r="B57" s="19" t="s">
        <v>3200</v>
      </c>
      <c r="C57" s="15" t="s">
        <v>3201</v>
      </c>
      <c r="D57" s="15" t="s">
        <v>683</v>
      </c>
      <c r="E57" s="20">
        <v>1000</v>
      </c>
      <c r="F57" s="21">
        <v>4855.67</v>
      </c>
      <c r="G57" s="22">
        <v>6.1999999999999998E-3</v>
      </c>
      <c r="H57" s="23">
        <v>7.1850999999999998E-2</v>
      </c>
      <c r="I57" s="24"/>
      <c r="J57" s="5"/>
    </row>
    <row r="58" spans="1:10" ht="12.95" customHeight="1">
      <c r="A58" s="18" t="s">
        <v>3202</v>
      </c>
      <c r="B58" s="19" t="s">
        <v>3203</v>
      </c>
      <c r="C58" s="15" t="s">
        <v>3204</v>
      </c>
      <c r="D58" s="15" t="s">
        <v>1187</v>
      </c>
      <c r="E58" s="20">
        <v>1000</v>
      </c>
      <c r="F58" s="21">
        <v>4849.0200000000004</v>
      </c>
      <c r="G58" s="22">
        <v>6.1999999999999998E-3</v>
      </c>
      <c r="H58" s="23">
        <v>7.2850999999999999E-2</v>
      </c>
      <c r="I58" s="24"/>
      <c r="J58" s="5"/>
    </row>
    <row r="59" spans="1:10" ht="12.95" customHeight="1">
      <c r="A59" s="18" t="s">
        <v>3205</v>
      </c>
      <c r="B59" s="19" t="s">
        <v>3206</v>
      </c>
      <c r="C59" s="15" t="s">
        <v>3207</v>
      </c>
      <c r="D59" s="15" t="s">
        <v>683</v>
      </c>
      <c r="E59" s="20">
        <v>1000</v>
      </c>
      <c r="F59" s="21">
        <v>4848.92</v>
      </c>
      <c r="G59" s="22">
        <v>6.1999999999999998E-3</v>
      </c>
      <c r="H59" s="23">
        <v>7.2900000000000006E-2</v>
      </c>
      <c r="I59" s="24"/>
      <c r="J59" s="5"/>
    </row>
    <row r="60" spans="1:10" ht="12.95" customHeight="1">
      <c r="A60" s="18" t="s">
        <v>3208</v>
      </c>
      <c r="B60" s="19" t="s">
        <v>3209</v>
      </c>
      <c r="C60" s="15" t="s">
        <v>3210</v>
      </c>
      <c r="D60" s="15" t="s">
        <v>683</v>
      </c>
      <c r="E60" s="20">
        <v>1000</v>
      </c>
      <c r="F60" s="21">
        <v>4848.2550000000001</v>
      </c>
      <c r="G60" s="22">
        <v>6.1999999999999998E-3</v>
      </c>
      <c r="H60" s="23">
        <v>7.1849999999999997E-2</v>
      </c>
      <c r="I60" s="24"/>
      <c r="J60" s="5"/>
    </row>
    <row r="61" spans="1:10" ht="12.95" customHeight="1">
      <c r="A61" s="18" t="s">
        <v>3211</v>
      </c>
      <c r="B61" s="19" t="s">
        <v>3212</v>
      </c>
      <c r="C61" s="15" t="s">
        <v>3213</v>
      </c>
      <c r="D61" s="15" t="s">
        <v>1187</v>
      </c>
      <c r="E61" s="20">
        <v>1000</v>
      </c>
      <c r="F61" s="21">
        <v>4843.21</v>
      </c>
      <c r="G61" s="22">
        <v>6.1999999999999998E-3</v>
      </c>
      <c r="H61" s="23">
        <v>7.2050000000000003E-2</v>
      </c>
      <c r="I61" s="24"/>
      <c r="J61" s="5"/>
    </row>
    <row r="62" spans="1:10" ht="12.95" customHeight="1">
      <c r="A62" s="18" t="s">
        <v>2096</v>
      </c>
      <c r="B62" s="19" t="s">
        <v>2097</v>
      </c>
      <c r="C62" s="15" t="s">
        <v>2098</v>
      </c>
      <c r="D62" s="15" t="s">
        <v>2099</v>
      </c>
      <c r="E62" s="20">
        <v>1000</v>
      </c>
      <c r="F62" s="21">
        <v>4835.75</v>
      </c>
      <c r="G62" s="22">
        <v>6.1999999999999998E-3</v>
      </c>
      <c r="H62" s="23">
        <v>7.2499999999999995E-2</v>
      </c>
      <c r="I62" s="24"/>
      <c r="J62" s="5"/>
    </row>
    <row r="63" spans="1:10" ht="12.95" customHeight="1">
      <c r="A63" s="18" t="s">
        <v>3214</v>
      </c>
      <c r="B63" s="19" t="s">
        <v>3215</v>
      </c>
      <c r="C63" s="15" t="s">
        <v>3216</v>
      </c>
      <c r="D63" s="15" t="s">
        <v>683</v>
      </c>
      <c r="E63" s="20">
        <v>1000</v>
      </c>
      <c r="F63" s="21">
        <v>4797.75</v>
      </c>
      <c r="G63" s="22">
        <v>6.1999999999999998E-3</v>
      </c>
      <c r="H63" s="23">
        <v>7.3974999999999999E-2</v>
      </c>
      <c r="I63" s="24"/>
      <c r="J63" s="5"/>
    </row>
    <row r="64" spans="1:10" ht="12.95" customHeight="1">
      <c r="A64" s="18" t="s">
        <v>3217</v>
      </c>
      <c r="B64" s="19" t="s">
        <v>3218</v>
      </c>
      <c r="C64" s="15" t="s">
        <v>3219</v>
      </c>
      <c r="D64" s="15" t="s">
        <v>2099</v>
      </c>
      <c r="E64" s="20">
        <v>1000</v>
      </c>
      <c r="F64" s="21">
        <v>4751.7449999999999</v>
      </c>
      <c r="G64" s="22">
        <v>6.1000000000000004E-3</v>
      </c>
      <c r="H64" s="23">
        <v>7.4200000000000002E-2</v>
      </c>
      <c r="I64" s="24"/>
      <c r="J64" s="5"/>
    </row>
    <row r="65" spans="1:10" ht="12.95" customHeight="1">
      <c r="A65" s="18" t="s">
        <v>2787</v>
      </c>
      <c r="B65" s="19" t="s">
        <v>2788</v>
      </c>
      <c r="C65" s="15" t="s">
        <v>2789</v>
      </c>
      <c r="D65" s="15" t="s">
        <v>683</v>
      </c>
      <c r="E65" s="20">
        <v>800</v>
      </c>
      <c r="F65" s="21">
        <v>3944.1439999999998</v>
      </c>
      <c r="G65" s="22">
        <v>5.1000000000000004E-3</v>
      </c>
      <c r="H65" s="23">
        <v>6.9851999999999997E-2</v>
      </c>
      <c r="I65" s="24"/>
      <c r="J65" s="5"/>
    </row>
    <row r="66" spans="1:10" ht="12.95" customHeight="1">
      <c r="A66" s="18" t="s">
        <v>3220</v>
      </c>
      <c r="B66" s="19" t="s">
        <v>3221</v>
      </c>
      <c r="C66" s="15" t="s">
        <v>3222</v>
      </c>
      <c r="D66" s="15" t="s">
        <v>683</v>
      </c>
      <c r="E66" s="20">
        <v>600</v>
      </c>
      <c r="F66" s="21">
        <v>2921.4090000000001</v>
      </c>
      <c r="G66" s="22">
        <v>3.8E-3</v>
      </c>
      <c r="H66" s="23">
        <v>7.2201000000000001E-2</v>
      </c>
      <c r="I66" s="24"/>
      <c r="J66" s="5"/>
    </row>
    <row r="67" spans="1:10" ht="12.95" customHeight="1">
      <c r="A67" s="18" t="s">
        <v>3223</v>
      </c>
      <c r="B67" s="19" t="s">
        <v>3224</v>
      </c>
      <c r="C67" s="15" t="s">
        <v>3225</v>
      </c>
      <c r="D67" s="15" t="s">
        <v>683</v>
      </c>
      <c r="E67" s="20">
        <v>500</v>
      </c>
      <c r="F67" s="21">
        <v>2464.625</v>
      </c>
      <c r="G67" s="22">
        <v>3.2000000000000002E-3</v>
      </c>
      <c r="H67" s="23">
        <v>6.9851999999999997E-2</v>
      </c>
      <c r="I67" s="24"/>
      <c r="J67" s="5"/>
    </row>
    <row r="68" spans="1:10" ht="12.95" customHeight="1">
      <c r="A68" s="18" t="s">
        <v>3226</v>
      </c>
      <c r="B68" s="19" t="s">
        <v>3227</v>
      </c>
      <c r="C68" s="15" t="s">
        <v>3228</v>
      </c>
      <c r="D68" s="15" t="s">
        <v>1187</v>
      </c>
      <c r="E68" s="20">
        <v>500</v>
      </c>
      <c r="F68" s="21">
        <v>2436.3000000000002</v>
      </c>
      <c r="G68" s="22">
        <v>3.0999999999999999E-3</v>
      </c>
      <c r="H68" s="23">
        <v>7.2852E-2</v>
      </c>
      <c r="I68" s="24"/>
      <c r="J68" s="5"/>
    </row>
    <row r="69" spans="1:10" ht="12.95" customHeight="1">
      <c r="A69" s="18" t="s">
        <v>3229</v>
      </c>
      <c r="B69" s="19" t="s">
        <v>3230</v>
      </c>
      <c r="C69" s="15" t="s">
        <v>3231</v>
      </c>
      <c r="D69" s="15" t="s">
        <v>2099</v>
      </c>
      <c r="E69" s="20">
        <v>500</v>
      </c>
      <c r="F69" s="21">
        <v>2434.42</v>
      </c>
      <c r="G69" s="22">
        <v>3.0999999999999999E-3</v>
      </c>
      <c r="H69" s="23">
        <v>7.2300000000000003E-2</v>
      </c>
      <c r="I69" s="24"/>
      <c r="J69" s="5"/>
    </row>
    <row r="70" spans="1:10" ht="12.95" customHeight="1">
      <c r="A70" s="5"/>
      <c r="B70" s="14" t="s">
        <v>160</v>
      </c>
      <c r="C70" s="15"/>
      <c r="D70" s="15"/>
      <c r="E70" s="15"/>
      <c r="F70" s="25">
        <v>382656.89299999998</v>
      </c>
      <c r="G70" s="26">
        <v>0.49149999999999999</v>
      </c>
      <c r="H70" s="27"/>
      <c r="I70" s="28"/>
      <c r="J70" s="5"/>
    </row>
    <row r="71" spans="1:10" ht="12.95" customHeight="1">
      <c r="A71" s="5"/>
      <c r="B71" s="14" t="s">
        <v>2100</v>
      </c>
      <c r="C71" s="15"/>
      <c r="D71" s="15"/>
      <c r="E71" s="15"/>
      <c r="F71" s="5"/>
      <c r="G71" s="16"/>
      <c r="H71" s="16"/>
      <c r="I71" s="17"/>
      <c r="J71" s="5"/>
    </row>
    <row r="72" spans="1:10" ht="12.95" customHeight="1">
      <c r="A72" s="18" t="s">
        <v>3232</v>
      </c>
      <c r="B72" s="19" t="s">
        <v>3233</v>
      </c>
      <c r="C72" s="15" t="s">
        <v>3234</v>
      </c>
      <c r="D72" s="15" t="s">
        <v>683</v>
      </c>
      <c r="E72" s="20">
        <v>6000</v>
      </c>
      <c r="F72" s="21">
        <v>28417.59</v>
      </c>
      <c r="G72" s="22">
        <v>3.6499999999999998E-2</v>
      </c>
      <c r="H72" s="23">
        <v>7.4999999999999997E-2</v>
      </c>
      <c r="I72" s="24"/>
      <c r="J72" s="5"/>
    </row>
    <row r="73" spans="1:10" ht="12.95" customHeight="1">
      <c r="A73" s="18" t="s">
        <v>3235</v>
      </c>
      <c r="B73" s="19" t="s">
        <v>3236</v>
      </c>
      <c r="C73" s="15" t="s">
        <v>3237</v>
      </c>
      <c r="D73" s="15" t="s">
        <v>683</v>
      </c>
      <c r="E73" s="20">
        <v>3500</v>
      </c>
      <c r="F73" s="21">
        <v>16294.3375</v>
      </c>
      <c r="G73" s="22">
        <v>2.0899999999999998E-2</v>
      </c>
      <c r="H73" s="23">
        <v>8.3099999999999993E-2</v>
      </c>
      <c r="I73" s="24"/>
      <c r="J73" s="5"/>
    </row>
    <row r="74" spans="1:10" ht="12.95" customHeight="1">
      <c r="A74" s="18" t="s">
        <v>3238</v>
      </c>
      <c r="B74" s="19" t="s">
        <v>3239</v>
      </c>
      <c r="C74" s="15" t="s">
        <v>3240</v>
      </c>
      <c r="D74" s="15" t="s">
        <v>683</v>
      </c>
      <c r="E74" s="20">
        <v>3000</v>
      </c>
      <c r="F74" s="21">
        <v>14670.06</v>
      </c>
      <c r="G74" s="22">
        <v>1.8800000000000001E-2</v>
      </c>
      <c r="H74" s="23">
        <v>7.9699999999999993E-2</v>
      </c>
      <c r="I74" s="24"/>
      <c r="J74" s="5"/>
    </row>
    <row r="75" spans="1:10" ht="12.95" customHeight="1">
      <c r="A75" s="18" t="s">
        <v>3241</v>
      </c>
      <c r="B75" s="19" t="s">
        <v>3242</v>
      </c>
      <c r="C75" s="15" t="s">
        <v>3243</v>
      </c>
      <c r="D75" s="15" t="s">
        <v>683</v>
      </c>
      <c r="E75" s="20">
        <v>3000</v>
      </c>
      <c r="F75" s="21">
        <v>14501.355</v>
      </c>
      <c r="G75" s="22">
        <v>1.8599999999999998E-2</v>
      </c>
      <c r="H75" s="23">
        <v>7.2550000000000003E-2</v>
      </c>
      <c r="I75" s="24"/>
      <c r="J75" s="5"/>
    </row>
    <row r="76" spans="1:10" ht="12.95" customHeight="1">
      <c r="A76" s="18" t="s">
        <v>3244</v>
      </c>
      <c r="B76" s="19" t="s">
        <v>3245</v>
      </c>
      <c r="C76" s="15" t="s">
        <v>3246</v>
      </c>
      <c r="D76" s="15" t="s">
        <v>683</v>
      </c>
      <c r="E76" s="20">
        <v>2500</v>
      </c>
      <c r="F76" s="21">
        <v>11909.6625</v>
      </c>
      <c r="G76" s="22">
        <v>1.5299999999999999E-2</v>
      </c>
      <c r="H76" s="23">
        <v>7.7648999999999996E-2</v>
      </c>
      <c r="I76" s="24"/>
      <c r="J76" s="5"/>
    </row>
    <row r="77" spans="1:10" ht="12.95" customHeight="1">
      <c r="A77" s="18" t="s">
        <v>3247</v>
      </c>
      <c r="B77" s="19" t="s">
        <v>3248</v>
      </c>
      <c r="C77" s="15" t="s">
        <v>3249</v>
      </c>
      <c r="D77" s="15" t="s">
        <v>683</v>
      </c>
      <c r="E77" s="20">
        <v>2000</v>
      </c>
      <c r="F77" s="21">
        <v>9867.24</v>
      </c>
      <c r="G77" s="22">
        <v>1.2699999999999999E-2</v>
      </c>
      <c r="H77" s="23">
        <v>8.1849000000000005E-2</v>
      </c>
      <c r="I77" s="24"/>
      <c r="J77" s="5"/>
    </row>
    <row r="78" spans="1:10" ht="12.95" customHeight="1">
      <c r="A78" s="18" t="s">
        <v>3250</v>
      </c>
      <c r="B78" s="19" t="s">
        <v>3251</v>
      </c>
      <c r="C78" s="15" t="s">
        <v>3252</v>
      </c>
      <c r="D78" s="15" t="s">
        <v>683</v>
      </c>
      <c r="E78" s="20">
        <v>2000</v>
      </c>
      <c r="F78" s="21">
        <v>9836.0400000000009</v>
      </c>
      <c r="G78" s="22">
        <v>1.26E-2</v>
      </c>
      <c r="H78" s="23">
        <v>7.4198E-2</v>
      </c>
      <c r="I78" s="24"/>
      <c r="J78" s="5"/>
    </row>
    <row r="79" spans="1:10" ht="12.95" customHeight="1">
      <c r="A79" s="18" t="s">
        <v>3253</v>
      </c>
      <c r="B79" s="19" t="s">
        <v>3254</v>
      </c>
      <c r="C79" s="15" t="s">
        <v>3255</v>
      </c>
      <c r="D79" s="15" t="s">
        <v>683</v>
      </c>
      <c r="E79" s="20">
        <v>2000</v>
      </c>
      <c r="F79" s="21">
        <v>9754.9</v>
      </c>
      <c r="G79" s="22">
        <v>1.2500000000000001E-2</v>
      </c>
      <c r="H79" s="23">
        <v>7.6425999999999994E-2</v>
      </c>
      <c r="I79" s="24"/>
      <c r="J79" s="5"/>
    </row>
    <row r="80" spans="1:10" ht="12.95" customHeight="1">
      <c r="A80" s="18" t="s">
        <v>3256</v>
      </c>
      <c r="B80" s="19" t="s">
        <v>3257</v>
      </c>
      <c r="C80" s="15" t="s">
        <v>3258</v>
      </c>
      <c r="D80" s="15" t="s">
        <v>2099</v>
      </c>
      <c r="E80" s="20">
        <v>2000</v>
      </c>
      <c r="F80" s="21">
        <v>9734.2000000000007</v>
      </c>
      <c r="G80" s="22">
        <v>1.2500000000000001E-2</v>
      </c>
      <c r="H80" s="23">
        <v>7.2748999999999994E-2</v>
      </c>
      <c r="I80" s="24"/>
      <c r="J80" s="5"/>
    </row>
    <row r="81" spans="1:10" ht="12.95" customHeight="1">
      <c r="A81" s="18" t="s">
        <v>3259</v>
      </c>
      <c r="B81" s="19" t="s">
        <v>3260</v>
      </c>
      <c r="C81" s="15" t="s">
        <v>3261</v>
      </c>
      <c r="D81" s="15" t="s">
        <v>683</v>
      </c>
      <c r="E81" s="20">
        <v>2000</v>
      </c>
      <c r="F81" s="21">
        <v>9710.25</v>
      </c>
      <c r="G81" s="22">
        <v>1.2500000000000001E-2</v>
      </c>
      <c r="H81" s="23">
        <v>7.6700000000000004E-2</v>
      </c>
      <c r="I81" s="24"/>
      <c r="J81" s="5"/>
    </row>
    <row r="82" spans="1:10" ht="12.95" customHeight="1">
      <c r="A82" s="18" t="s">
        <v>3262</v>
      </c>
      <c r="B82" s="19" t="s">
        <v>3263</v>
      </c>
      <c r="C82" s="15" t="s">
        <v>3264</v>
      </c>
      <c r="D82" s="15" t="s">
        <v>683</v>
      </c>
      <c r="E82" s="20">
        <v>2000</v>
      </c>
      <c r="F82" s="21">
        <v>9702.82</v>
      </c>
      <c r="G82" s="22">
        <v>1.2500000000000001E-2</v>
      </c>
      <c r="H82" s="23">
        <v>7.7100000000000002E-2</v>
      </c>
      <c r="I82" s="24"/>
      <c r="J82" s="5"/>
    </row>
    <row r="83" spans="1:10" ht="12.95" customHeight="1">
      <c r="A83" s="18" t="s">
        <v>3265</v>
      </c>
      <c r="B83" s="19" t="s">
        <v>3266</v>
      </c>
      <c r="C83" s="15" t="s">
        <v>3267</v>
      </c>
      <c r="D83" s="15" t="s">
        <v>683</v>
      </c>
      <c r="E83" s="20">
        <v>2000</v>
      </c>
      <c r="F83" s="21">
        <v>9680.42</v>
      </c>
      <c r="G83" s="22">
        <v>1.24E-2</v>
      </c>
      <c r="H83" s="23">
        <v>7.6749999999999999E-2</v>
      </c>
      <c r="I83" s="24"/>
      <c r="J83" s="5"/>
    </row>
    <row r="84" spans="1:10" ht="12.95" customHeight="1">
      <c r="A84" s="18" t="s">
        <v>3268</v>
      </c>
      <c r="B84" s="19" t="s">
        <v>3269</v>
      </c>
      <c r="C84" s="15" t="s">
        <v>3270</v>
      </c>
      <c r="D84" s="15" t="s">
        <v>683</v>
      </c>
      <c r="E84" s="20">
        <v>2000</v>
      </c>
      <c r="F84" s="21">
        <v>9522.82</v>
      </c>
      <c r="G84" s="22">
        <v>1.2200000000000001E-2</v>
      </c>
      <c r="H84" s="23">
        <v>7.7499999999999999E-2</v>
      </c>
      <c r="I84" s="24"/>
      <c r="J84" s="5"/>
    </row>
    <row r="85" spans="1:10" ht="12.95" customHeight="1">
      <c r="A85" s="18" t="s">
        <v>3271</v>
      </c>
      <c r="B85" s="19" t="s">
        <v>3272</v>
      </c>
      <c r="C85" s="15" t="s">
        <v>3273</v>
      </c>
      <c r="D85" s="15" t="s">
        <v>683</v>
      </c>
      <c r="E85" s="20">
        <v>2000</v>
      </c>
      <c r="F85" s="21">
        <v>9295.2800000000007</v>
      </c>
      <c r="G85" s="22">
        <v>1.1900000000000001E-2</v>
      </c>
      <c r="H85" s="23">
        <v>8.3099999999999993E-2</v>
      </c>
      <c r="I85" s="24"/>
      <c r="J85" s="5"/>
    </row>
    <row r="86" spans="1:10" ht="12.95" customHeight="1">
      <c r="A86" s="18" t="s">
        <v>3274</v>
      </c>
      <c r="B86" s="19" t="s">
        <v>3275</v>
      </c>
      <c r="C86" s="15" t="s">
        <v>3276</v>
      </c>
      <c r="D86" s="15" t="s">
        <v>2817</v>
      </c>
      <c r="E86" s="20">
        <v>1500</v>
      </c>
      <c r="F86" s="21">
        <v>7418.6324999999997</v>
      </c>
      <c r="G86" s="22">
        <v>9.4999999999999998E-3</v>
      </c>
      <c r="H86" s="23">
        <v>7.85E-2</v>
      </c>
      <c r="I86" s="24"/>
      <c r="J86" s="5"/>
    </row>
    <row r="87" spans="1:10" ht="12.95" customHeight="1">
      <c r="A87" s="18" t="s">
        <v>3277</v>
      </c>
      <c r="B87" s="19" t="s">
        <v>3278</v>
      </c>
      <c r="C87" s="15" t="s">
        <v>3279</v>
      </c>
      <c r="D87" s="15" t="s">
        <v>683</v>
      </c>
      <c r="E87" s="20">
        <v>1500</v>
      </c>
      <c r="F87" s="21">
        <v>7324.6049999999996</v>
      </c>
      <c r="G87" s="22">
        <v>9.4000000000000004E-3</v>
      </c>
      <c r="H87" s="23">
        <v>7.7349000000000001E-2</v>
      </c>
      <c r="I87" s="24"/>
      <c r="J87" s="5"/>
    </row>
    <row r="88" spans="1:10" ht="12.95" customHeight="1">
      <c r="A88" s="18" t="s">
        <v>3280</v>
      </c>
      <c r="B88" s="19" t="s">
        <v>3281</v>
      </c>
      <c r="C88" s="15" t="s">
        <v>3282</v>
      </c>
      <c r="D88" s="15" t="s">
        <v>2817</v>
      </c>
      <c r="E88" s="20">
        <v>1500</v>
      </c>
      <c r="F88" s="21">
        <v>7297.7025000000003</v>
      </c>
      <c r="G88" s="22">
        <v>9.4000000000000004E-3</v>
      </c>
      <c r="H88" s="23">
        <v>7.9048999999999994E-2</v>
      </c>
      <c r="I88" s="24"/>
      <c r="J88" s="5"/>
    </row>
    <row r="89" spans="1:10" ht="12.95" customHeight="1">
      <c r="A89" s="18" t="s">
        <v>3283</v>
      </c>
      <c r="B89" s="19" t="s">
        <v>3284</v>
      </c>
      <c r="C89" s="15" t="s">
        <v>3285</v>
      </c>
      <c r="D89" s="15" t="s">
        <v>683</v>
      </c>
      <c r="E89" s="20">
        <v>1500</v>
      </c>
      <c r="F89" s="21">
        <v>7281.3149999999996</v>
      </c>
      <c r="G89" s="22">
        <v>9.4000000000000004E-3</v>
      </c>
      <c r="H89" s="23">
        <v>7.7200000000000005E-2</v>
      </c>
      <c r="I89" s="24"/>
      <c r="J89" s="5"/>
    </row>
    <row r="90" spans="1:10" ht="12.95" customHeight="1">
      <c r="A90" s="18" t="s">
        <v>3286</v>
      </c>
      <c r="B90" s="19" t="s">
        <v>3287</v>
      </c>
      <c r="C90" s="15" t="s">
        <v>3288</v>
      </c>
      <c r="D90" s="15" t="s">
        <v>683</v>
      </c>
      <c r="E90" s="20">
        <v>1500</v>
      </c>
      <c r="F90" s="21">
        <v>7278.3225000000002</v>
      </c>
      <c r="G90" s="22">
        <v>9.2999999999999992E-3</v>
      </c>
      <c r="H90" s="23">
        <v>7.7200000000000005E-2</v>
      </c>
      <c r="I90" s="24"/>
      <c r="J90" s="5"/>
    </row>
    <row r="91" spans="1:10" ht="12.95" customHeight="1">
      <c r="A91" s="18" t="s">
        <v>3289</v>
      </c>
      <c r="B91" s="19" t="s">
        <v>3290</v>
      </c>
      <c r="C91" s="15" t="s">
        <v>3291</v>
      </c>
      <c r="D91" s="15" t="s">
        <v>683</v>
      </c>
      <c r="E91" s="20">
        <v>1500</v>
      </c>
      <c r="F91" s="21">
        <v>7271.0775000000003</v>
      </c>
      <c r="G91" s="22">
        <v>9.2999999999999992E-3</v>
      </c>
      <c r="H91" s="23">
        <v>7.7124999999999999E-2</v>
      </c>
      <c r="I91" s="24"/>
      <c r="J91" s="5"/>
    </row>
    <row r="92" spans="1:10" ht="12.95" customHeight="1">
      <c r="A92" s="18" t="s">
        <v>3292</v>
      </c>
      <c r="B92" s="19" t="s">
        <v>3293</v>
      </c>
      <c r="C92" s="15" t="s">
        <v>3294</v>
      </c>
      <c r="D92" s="15" t="s">
        <v>683</v>
      </c>
      <c r="E92" s="20">
        <v>1500</v>
      </c>
      <c r="F92" s="21">
        <v>7270.7174999999997</v>
      </c>
      <c r="G92" s="22">
        <v>9.2999999999999992E-3</v>
      </c>
      <c r="H92" s="23">
        <v>7.2850999999999999E-2</v>
      </c>
      <c r="I92" s="24"/>
      <c r="J92" s="5"/>
    </row>
    <row r="93" spans="1:10" ht="12.95" customHeight="1">
      <c r="A93" s="18" t="s">
        <v>3295</v>
      </c>
      <c r="B93" s="19" t="s">
        <v>3296</v>
      </c>
      <c r="C93" s="15" t="s">
        <v>3297</v>
      </c>
      <c r="D93" s="15" t="s">
        <v>683</v>
      </c>
      <c r="E93" s="20">
        <v>1500</v>
      </c>
      <c r="F93" s="21">
        <v>7134.69</v>
      </c>
      <c r="G93" s="22">
        <v>9.1999999999999998E-3</v>
      </c>
      <c r="H93" s="23">
        <v>8.4949999999999998E-2</v>
      </c>
      <c r="I93" s="24"/>
      <c r="J93" s="5"/>
    </row>
    <row r="94" spans="1:10" ht="12.95" customHeight="1">
      <c r="A94" s="18" t="s">
        <v>3298</v>
      </c>
      <c r="B94" s="19" t="s">
        <v>3299</v>
      </c>
      <c r="C94" s="15" t="s">
        <v>3300</v>
      </c>
      <c r="D94" s="15" t="s">
        <v>683</v>
      </c>
      <c r="E94" s="20">
        <v>1500</v>
      </c>
      <c r="F94" s="21">
        <v>7109.34</v>
      </c>
      <c r="G94" s="22">
        <v>9.1000000000000004E-3</v>
      </c>
      <c r="H94" s="23">
        <v>8.8747999999999994E-2</v>
      </c>
      <c r="I94" s="24"/>
      <c r="J94" s="5"/>
    </row>
    <row r="95" spans="1:10" ht="12.95" customHeight="1">
      <c r="A95" s="18" t="s">
        <v>3301</v>
      </c>
      <c r="B95" s="19" t="s">
        <v>3302</v>
      </c>
      <c r="C95" s="15" t="s">
        <v>3303</v>
      </c>
      <c r="D95" s="15" t="s">
        <v>683</v>
      </c>
      <c r="E95" s="20">
        <v>1400</v>
      </c>
      <c r="F95" s="21">
        <v>6758.5420000000004</v>
      </c>
      <c r="G95" s="22">
        <v>8.6999999999999994E-3</v>
      </c>
      <c r="H95" s="23">
        <v>7.2849999999999998E-2</v>
      </c>
      <c r="I95" s="24"/>
      <c r="J95" s="5"/>
    </row>
    <row r="96" spans="1:10" ht="12.95" customHeight="1">
      <c r="A96" s="18" t="s">
        <v>3304</v>
      </c>
      <c r="B96" s="19" t="s">
        <v>3305</v>
      </c>
      <c r="C96" s="15" t="s">
        <v>3306</v>
      </c>
      <c r="D96" s="15" t="s">
        <v>683</v>
      </c>
      <c r="E96" s="20">
        <v>1000</v>
      </c>
      <c r="F96" s="21">
        <v>4914.26</v>
      </c>
      <c r="G96" s="22">
        <v>6.3E-3</v>
      </c>
      <c r="H96" s="23">
        <v>7.4049000000000004E-2</v>
      </c>
      <c r="I96" s="24"/>
      <c r="J96" s="5"/>
    </row>
    <row r="97" spans="1:10" ht="12.95" customHeight="1">
      <c r="A97" s="18" t="s">
        <v>3307</v>
      </c>
      <c r="B97" s="19" t="s">
        <v>3308</v>
      </c>
      <c r="C97" s="15" t="s">
        <v>3309</v>
      </c>
      <c r="D97" s="15" t="s">
        <v>2099</v>
      </c>
      <c r="E97" s="20">
        <v>1000</v>
      </c>
      <c r="F97" s="21">
        <v>4828.78</v>
      </c>
      <c r="G97" s="22">
        <v>6.1999999999999998E-3</v>
      </c>
      <c r="H97" s="23">
        <v>7.9399999999999998E-2</v>
      </c>
      <c r="I97" s="24"/>
      <c r="J97" s="5"/>
    </row>
    <row r="98" spans="1:10" ht="12.95" customHeight="1">
      <c r="A98" s="18" t="s">
        <v>3310</v>
      </c>
      <c r="B98" s="19" t="s">
        <v>3311</v>
      </c>
      <c r="C98" s="15" t="s">
        <v>3312</v>
      </c>
      <c r="D98" s="15" t="s">
        <v>2099</v>
      </c>
      <c r="E98" s="20">
        <v>1000</v>
      </c>
      <c r="F98" s="21">
        <v>4827.74</v>
      </c>
      <c r="G98" s="22">
        <v>6.1999999999999998E-3</v>
      </c>
      <c r="H98" s="23">
        <v>7.9899999999999999E-2</v>
      </c>
      <c r="I98" s="24"/>
      <c r="J98" s="5"/>
    </row>
    <row r="99" spans="1:10" ht="12.95" customHeight="1">
      <c r="A99" s="18" t="s">
        <v>3313</v>
      </c>
      <c r="B99" s="19" t="s">
        <v>3314</v>
      </c>
      <c r="C99" s="15" t="s">
        <v>3315</v>
      </c>
      <c r="D99" s="15" t="s">
        <v>683</v>
      </c>
      <c r="E99" s="20">
        <v>1000</v>
      </c>
      <c r="F99" s="21">
        <v>4824.9399999999996</v>
      </c>
      <c r="G99" s="22">
        <v>6.1999999999999998E-3</v>
      </c>
      <c r="H99" s="23">
        <v>7.6550999999999994E-2</v>
      </c>
      <c r="I99" s="24"/>
      <c r="J99" s="5"/>
    </row>
    <row r="100" spans="1:10" ht="12.95" customHeight="1">
      <c r="A100" s="18" t="s">
        <v>3316</v>
      </c>
      <c r="B100" s="19" t="s">
        <v>3317</v>
      </c>
      <c r="C100" s="15" t="s">
        <v>3318</v>
      </c>
      <c r="D100" s="15" t="s">
        <v>683</v>
      </c>
      <c r="E100" s="20">
        <v>1000</v>
      </c>
      <c r="F100" s="21">
        <v>4795.3100000000004</v>
      </c>
      <c r="G100" s="22">
        <v>6.1999999999999998E-3</v>
      </c>
      <c r="H100" s="23">
        <v>8.2000000000000003E-2</v>
      </c>
      <c r="I100" s="24"/>
      <c r="J100" s="5"/>
    </row>
    <row r="101" spans="1:10" ht="12.95" customHeight="1">
      <c r="A101" s="18" t="s">
        <v>3319</v>
      </c>
      <c r="B101" s="19" t="s">
        <v>3320</v>
      </c>
      <c r="C101" s="15" t="s">
        <v>3321</v>
      </c>
      <c r="D101" s="15" t="s">
        <v>683</v>
      </c>
      <c r="E101" s="20">
        <v>1000</v>
      </c>
      <c r="F101" s="21">
        <v>4690.375</v>
      </c>
      <c r="G101" s="22">
        <v>6.0000000000000001E-3</v>
      </c>
      <c r="H101" s="23">
        <v>8.2799999999999999E-2</v>
      </c>
      <c r="I101" s="24"/>
      <c r="J101" s="5"/>
    </row>
    <row r="102" spans="1:10" ht="12.95" customHeight="1">
      <c r="A102" s="18" t="s">
        <v>3322</v>
      </c>
      <c r="B102" s="19" t="s">
        <v>3323</v>
      </c>
      <c r="C102" s="15" t="s">
        <v>3324</v>
      </c>
      <c r="D102" s="15" t="s">
        <v>683</v>
      </c>
      <c r="E102" s="20">
        <v>500</v>
      </c>
      <c r="F102" s="21">
        <v>2413.9349999999999</v>
      </c>
      <c r="G102" s="22">
        <v>3.0999999999999999E-3</v>
      </c>
      <c r="H102" s="23">
        <v>7.6550999999999994E-2</v>
      </c>
      <c r="I102" s="24"/>
      <c r="J102" s="5"/>
    </row>
    <row r="103" spans="1:10" ht="12.95" customHeight="1">
      <c r="A103" s="18" t="s">
        <v>3325</v>
      </c>
      <c r="B103" s="19" t="s">
        <v>3326</v>
      </c>
      <c r="C103" s="15" t="s">
        <v>3327</v>
      </c>
      <c r="D103" s="15" t="s">
        <v>683</v>
      </c>
      <c r="E103" s="20">
        <v>500</v>
      </c>
      <c r="F103" s="21">
        <v>2379.71</v>
      </c>
      <c r="G103" s="22">
        <v>3.0999999999999999E-3</v>
      </c>
      <c r="H103" s="23">
        <v>8.2000000000000003E-2</v>
      </c>
      <c r="I103" s="24"/>
      <c r="J103" s="5"/>
    </row>
    <row r="104" spans="1:10" ht="12.95" customHeight="1">
      <c r="A104" s="5"/>
      <c r="B104" s="14" t="s">
        <v>160</v>
      </c>
      <c r="C104" s="15"/>
      <c r="D104" s="15"/>
      <c r="E104" s="15"/>
      <c r="F104" s="25">
        <v>278716.96950000001</v>
      </c>
      <c r="G104" s="26">
        <v>0.35799999999999998</v>
      </c>
      <c r="H104" s="27"/>
      <c r="I104" s="28"/>
      <c r="J104" s="5"/>
    </row>
    <row r="105" spans="1:10" ht="12.95" customHeight="1">
      <c r="A105" s="5"/>
      <c r="B105" s="14" t="s">
        <v>418</v>
      </c>
      <c r="C105" s="15"/>
      <c r="D105" s="15"/>
      <c r="E105" s="15"/>
      <c r="F105" s="5"/>
      <c r="G105" s="16"/>
      <c r="H105" s="16"/>
      <c r="I105" s="17"/>
      <c r="J105" s="5"/>
    </row>
    <row r="106" spans="1:10" ht="12.95" customHeight="1">
      <c r="A106" s="18" t="s">
        <v>3328</v>
      </c>
      <c r="B106" s="19" t="s">
        <v>3329</v>
      </c>
      <c r="C106" s="15" t="s">
        <v>3330</v>
      </c>
      <c r="D106" s="15" t="s">
        <v>156</v>
      </c>
      <c r="E106" s="20">
        <v>10000000</v>
      </c>
      <c r="F106" s="21">
        <v>9732.32</v>
      </c>
      <c r="G106" s="22">
        <v>1.2500000000000001E-2</v>
      </c>
      <c r="H106" s="23">
        <v>6.9716E-2</v>
      </c>
      <c r="I106" s="24"/>
      <c r="J106" s="5"/>
    </row>
    <row r="107" spans="1:10" ht="12.95" customHeight="1">
      <c r="A107" s="18" t="s">
        <v>3331</v>
      </c>
      <c r="B107" s="19" t="s">
        <v>3332</v>
      </c>
      <c r="C107" s="15" t="s">
        <v>3333</v>
      </c>
      <c r="D107" s="15" t="s">
        <v>156</v>
      </c>
      <c r="E107" s="20">
        <v>8396200</v>
      </c>
      <c r="F107" s="21">
        <v>8160.4850999999999</v>
      </c>
      <c r="G107" s="22">
        <v>1.0500000000000001E-2</v>
      </c>
      <c r="H107" s="23">
        <v>6.9821999999999995E-2</v>
      </c>
      <c r="I107" s="24"/>
      <c r="J107" s="5"/>
    </row>
    <row r="108" spans="1:10" ht="12.95" customHeight="1">
      <c r="A108" s="18" t="s">
        <v>3334</v>
      </c>
      <c r="B108" s="19" t="s">
        <v>3335</v>
      </c>
      <c r="C108" s="15" t="s">
        <v>3336</v>
      </c>
      <c r="D108" s="15" t="s">
        <v>156</v>
      </c>
      <c r="E108" s="20">
        <v>7000000</v>
      </c>
      <c r="F108" s="21">
        <v>6821.2340000000004</v>
      </c>
      <c r="G108" s="22">
        <v>8.8000000000000005E-3</v>
      </c>
      <c r="H108" s="23">
        <v>6.9821999999999995E-2</v>
      </c>
      <c r="I108" s="24"/>
      <c r="J108" s="5"/>
    </row>
    <row r="109" spans="1:10" ht="12.95" customHeight="1">
      <c r="A109" s="18" t="s">
        <v>3337</v>
      </c>
      <c r="B109" s="19" t="s">
        <v>3338</v>
      </c>
      <c r="C109" s="15" t="s">
        <v>3339</v>
      </c>
      <c r="D109" s="15" t="s">
        <v>156</v>
      </c>
      <c r="E109" s="20">
        <v>5000000</v>
      </c>
      <c r="F109" s="21">
        <v>4832.6400000000003</v>
      </c>
      <c r="G109" s="22">
        <v>6.1999999999999998E-3</v>
      </c>
      <c r="H109" s="23">
        <v>7.0224999999999996E-2</v>
      </c>
      <c r="I109" s="24"/>
      <c r="J109" s="5"/>
    </row>
    <row r="110" spans="1:10" ht="12.95" customHeight="1">
      <c r="A110" s="18" t="s">
        <v>2128</v>
      </c>
      <c r="B110" s="19" t="s">
        <v>2129</v>
      </c>
      <c r="C110" s="15" t="s">
        <v>2130</v>
      </c>
      <c r="D110" s="15" t="s">
        <v>156</v>
      </c>
      <c r="E110" s="20">
        <v>3500000</v>
      </c>
      <c r="F110" s="21">
        <v>3419.9375</v>
      </c>
      <c r="G110" s="22">
        <v>4.4000000000000003E-3</v>
      </c>
      <c r="H110" s="23">
        <v>6.9472000000000006E-2</v>
      </c>
      <c r="I110" s="24"/>
      <c r="J110" s="5"/>
    </row>
    <row r="111" spans="1:10" ht="12.95" customHeight="1">
      <c r="A111" s="18" t="s">
        <v>2131</v>
      </c>
      <c r="B111" s="19" t="s">
        <v>2132</v>
      </c>
      <c r="C111" s="15" t="s">
        <v>2133</v>
      </c>
      <c r="D111" s="15" t="s">
        <v>156</v>
      </c>
      <c r="E111" s="20">
        <v>3000000</v>
      </c>
      <c r="F111" s="21">
        <v>2911.701</v>
      </c>
      <c r="G111" s="22">
        <v>3.7000000000000002E-3</v>
      </c>
      <c r="H111" s="23">
        <v>7.0055999999999993E-2</v>
      </c>
      <c r="I111" s="24"/>
      <c r="J111" s="5"/>
    </row>
    <row r="112" spans="1:10" ht="12.95" customHeight="1">
      <c r="A112" s="18" t="s">
        <v>3016</v>
      </c>
      <c r="B112" s="19" t="s">
        <v>3017</v>
      </c>
      <c r="C112" s="15" t="s">
        <v>3018</v>
      </c>
      <c r="D112" s="15" t="s">
        <v>156</v>
      </c>
      <c r="E112" s="20">
        <v>2500000</v>
      </c>
      <c r="F112" s="21">
        <v>2472.7649999999999</v>
      </c>
      <c r="G112" s="22">
        <v>3.2000000000000002E-3</v>
      </c>
      <c r="H112" s="23">
        <v>6.7000000000000004E-2</v>
      </c>
      <c r="I112" s="24"/>
      <c r="J112" s="5"/>
    </row>
    <row r="113" spans="1:10" ht="12.95" customHeight="1">
      <c r="A113" s="18" t="s">
        <v>2113</v>
      </c>
      <c r="B113" s="19" t="s">
        <v>2114</v>
      </c>
      <c r="C113" s="15" t="s">
        <v>2115</v>
      </c>
      <c r="D113" s="15" t="s">
        <v>156</v>
      </c>
      <c r="E113" s="20">
        <v>500000</v>
      </c>
      <c r="F113" s="21">
        <v>486.61599999999999</v>
      </c>
      <c r="G113" s="22">
        <v>5.9999999999999995E-4</v>
      </c>
      <c r="H113" s="23">
        <v>6.9716E-2</v>
      </c>
      <c r="I113" s="24"/>
      <c r="J113" s="5"/>
    </row>
    <row r="114" spans="1:10" ht="12.95" customHeight="1">
      <c r="A114" s="5"/>
      <c r="B114" s="14" t="s">
        <v>160</v>
      </c>
      <c r="C114" s="15"/>
      <c r="D114" s="15"/>
      <c r="E114" s="15"/>
      <c r="F114" s="25">
        <v>38837.698600000003</v>
      </c>
      <c r="G114" s="26">
        <v>4.99E-2</v>
      </c>
      <c r="H114" s="27"/>
      <c r="I114" s="28"/>
      <c r="J114" s="5"/>
    </row>
    <row r="115" spans="1:10" ht="12.95" customHeight="1">
      <c r="A115" s="5"/>
      <c r="B115" s="29" t="s">
        <v>163</v>
      </c>
      <c r="C115" s="30"/>
      <c r="D115" s="2"/>
      <c r="E115" s="30"/>
      <c r="F115" s="25">
        <v>700211.56110000005</v>
      </c>
      <c r="G115" s="26">
        <v>0.89939999999999998</v>
      </c>
      <c r="H115" s="27"/>
      <c r="I115" s="28"/>
      <c r="J115" s="5"/>
    </row>
    <row r="116" spans="1:10" ht="12.95" customHeight="1">
      <c r="A116" s="5"/>
      <c r="B116" s="14" t="s">
        <v>164</v>
      </c>
      <c r="C116" s="15"/>
      <c r="D116" s="15"/>
      <c r="E116" s="15"/>
      <c r="F116" s="15"/>
      <c r="G116" s="15"/>
      <c r="H116" s="16"/>
      <c r="I116" s="17"/>
      <c r="J116" s="5"/>
    </row>
    <row r="117" spans="1:10" ht="12.95" customHeight="1">
      <c r="A117" s="18" t="s">
        <v>165</v>
      </c>
      <c r="B117" s="19" t="s">
        <v>166</v>
      </c>
      <c r="C117" s="15"/>
      <c r="D117" s="15"/>
      <c r="E117" s="20"/>
      <c r="F117" s="21">
        <v>41034.0913</v>
      </c>
      <c r="G117" s="22">
        <v>5.2699999999999997E-2</v>
      </c>
      <c r="H117" s="23">
        <v>6.7996829688028088E-2</v>
      </c>
      <c r="I117" s="24"/>
      <c r="J117" s="5"/>
    </row>
    <row r="118" spans="1:10" ht="12.95" customHeight="1">
      <c r="A118" s="5"/>
      <c r="B118" s="14" t="s">
        <v>160</v>
      </c>
      <c r="C118" s="15"/>
      <c r="D118" s="15"/>
      <c r="E118" s="15"/>
      <c r="F118" s="25">
        <v>41034.0913</v>
      </c>
      <c r="G118" s="26">
        <v>5.2699999999999997E-2</v>
      </c>
      <c r="H118" s="27"/>
      <c r="I118" s="28"/>
      <c r="J118" s="5"/>
    </row>
    <row r="119" spans="1:10" ht="12.95" customHeight="1">
      <c r="A119" s="5"/>
      <c r="B119" s="29" t="s">
        <v>163</v>
      </c>
      <c r="C119" s="30"/>
      <c r="D119" s="2"/>
      <c r="E119" s="30"/>
      <c r="F119" s="25">
        <v>41034.0913</v>
      </c>
      <c r="G119" s="26">
        <v>5.2699999999999997E-2</v>
      </c>
      <c r="H119" s="27"/>
      <c r="I119" s="28"/>
      <c r="J119" s="5"/>
    </row>
    <row r="120" spans="1:10" ht="12.95" customHeight="1">
      <c r="A120" s="5"/>
      <c r="B120" s="29" t="s">
        <v>167</v>
      </c>
      <c r="C120" s="15"/>
      <c r="D120" s="2"/>
      <c r="E120" s="15"/>
      <c r="F120" s="31">
        <v>-8840.6347000000005</v>
      </c>
      <c r="G120" s="26">
        <v>-1.1299999999999999E-2</v>
      </c>
      <c r="H120" s="27"/>
      <c r="I120" s="28"/>
      <c r="J120" s="5"/>
    </row>
    <row r="121" spans="1:10" ht="12.95" customHeight="1">
      <c r="A121" s="5"/>
      <c r="B121" s="32" t="s">
        <v>168</v>
      </c>
      <c r="C121" s="33"/>
      <c r="D121" s="33"/>
      <c r="E121" s="33"/>
      <c r="F121" s="34">
        <v>778512.59</v>
      </c>
      <c r="G121" s="35">
        <v>1</v>
      </c>
      <c r="H121" s="36"/>
      <c r="I121" s="37"/>
      <c r="J121" s="5"/>
    </row>
    <row r="122" spans="1:10" ht="12.95" customHeight="1">
      <c r="A122" s="5"/>
      <c r="B122" s="7"/>
      <c r="C122" s="5"/>
      <c r="D122" s="5"/>
      <c r="E122" s="5"/>
      <c r="F122" s="5"/>
      <c r="G122" s="5"/>
      <c r="H122" s="5"/>
      <c r="I122" s="5"/>
      <c r="J122" s="5"/>
    </row>
    <row r="123" spans="1:10" ht="12.95" customHeight="1">
      <c r="A123" s="5"/>
      <c r="B123" s="4" t="s">
        <v>169</v>
      </c>
      <c r="C123" s="5"/>
      <c r="D123" s="5"/>
      <c r="E123" s="5"/>
      <c r="F123" s="5"/>
      <c r="G123" s="5"/>
      <c r="H123" s="5"/>
      <c r="I123" s="5"/>
      <c r="J123" s="5"/>
    </row>
    <row r="124" spans="1:10" ht="12.95" customHeight="1">
      <c r="A124" s="5"/>
      <c r="B124" s="4" t="s">
        <v>207</v>
      </c>
      <c r="C124" s="5"/>
      <c r="D124" s="5"/>
      <c r="E124" s="5"/>
      <c r="F124" s="5"/>
      <c r="G124" s="5"/>
      <c r="H124" s="5"/>
      <c r="I124" s="5"/>
      <c r="J124" s="5"/>
    </row>
    <row r="125" spans="1:10" ht="12.95" customHeight="1">
      <c r="A125" s="5"/>
      <c r="B125" s="4" t="s">
        <v>685</v>
      </c>
      <c r="C125" s="5"/>
      <c r="D125" s="5"/>
      <c r="E125" s="5"/>
      <c r="F125" s="5"/>
      <c r="G125" s="5"/>
      <c r="H125" s="5"/>
      <c r="I125" s="5"/>
      <c r="J125" s="5"/>
    </row>
    <row r="126" spans="1:10" ht="12.95" customHeight="1">
      <c r="A126" s="5"/>
      <c r="B126" s="4" t="s">
        <v>170</v>
      </c>
      <c r="C126" s="5"/>
      <c r="D126" s="5"/>
      <c r="E126" s="5"/>
      <c r="F126" s="5"/>
      <c r="G126" s="5"/>
      <c r="H126" s="5"/>
      <c r="I126" s="5"/>
      <c r="J126" s="5"/>
    </row>
    <row r="127" spans="1:10" ht="26.1" customHeight="1">
      <c r="A127" s="5"/>
      <c r="B127" s="86" t="s">
        <v>171</v>
      </c>
      <c r="C127" s="86"/>
      <c r="D127" s="86"/>
      <c r="E127" s="86"/>
      <c r="F127" s="86"/>
      <c r="G127" s="86"/>
      <c r="H127" s="86"/>
      <c r="I127" s="86"/>
      <c r="J127" s="5"/>
    </row>
    <row r="128" spans="1:10" ht="12.95" customHeight="1">
      <c r="A128" s="5"/>
      <c r="B128" s="86"/>
      <c r="C128" s="86"/>
      <c r="D128" s="86"/>
      <c r="E128" s="86"/>
      <c r="F128" s="86"/>
      <c r="G128" s="86"/>
      <c r="H128" s="86"/>
      <c r="I128" s="86"/>
      <c r="J128" s="5"/>
    </row>
    <row r="129" spans="1:10" ht="12.95" customHeight="1">
      <c r="A129" s="5"/>
      <c r="B129" s="89" t="s">
        <v>3340</v>
      </c>
      <c r="C129" s="89"/>
      <c r="D129" s="89"/>
      <c r="E129" s="89"/>
      <c r="F129" s="5"/>
      <c r="G129" s="5"/>
      <c r="H129" s="5"/>
      <c r="I129" s="5"/>
      <c r="J129" s="5"/>
    </row>
    <row r="130" spans="1:10" ht="12.95" customHeight="1">
      <c r="A130" s="5"/>
      <c r="B130" s="86"/>
      <c r="C130" s="86"/>
      <c r="D130" s="86"/>
      <c r="E130" s="86"/>
      <c r="F130" s="86"/>
      <c r="G130" s="86"/>
      <c r="H130" s="86"/>
      <c r="I130" s="86"/>
      <c r="J130" s="5"/>
    </row>
    <row r="131" spans="1:10" ht="12.95" customHeight="1">
      <c r="A131" s="5"/>
      <c r="B131" s="5"/>
      <c r="C131" s="87" t="s">
        <v>3341</v>
      </c>
      <c r="D131" s="87"/>
      <c r="E131" s="87"/>
      <c r="F131" s="87"/>
      <c r="G131" s="5"/>
      <c r="H131" s="5"/>
      <c r="I131" s="5"/>
      <c r="J131" s="5"/>
    </row>
    <row r="132" spans="1:10" ht="12.95" customHeight="1">
      <c r="A132" s="5"/>
      <c r="B132" s="38" t="s">
        <v>173</v>
      </c>
      <c r="C132" s="87" t="s">
        <v>174</v>
      </c>
      <c r="D132" s="87"/>
      <c r="E132" s="87"/>
      <c r="F132" s="87"/>
      <c r="G132" s="5"/>
      <c r="H132" s="5"/>
      <c r="I132" s="5"/>
      <c r="J132" s="5"/>
    </row>
    <row r="133" spans="1:10" ht="120.95" customHeight="1">
      <c r="A133" s="5"/>
      <c r="B133" s="39"/>
      <c r="C133" s="85"/>
      <c r="D133" s="85"/>
      <c r="E133" s="5"/>
      <c r="F133" s="5"/>
      <c r="G133" s="5"/>
      <c r="H133" s="5"/>
      <c r="I133" s="5"/>
      <c r="J133" s="5"/>
    </row>
  </sheetData>
  <mergeCells count="7">
    <mergeCell ref="C132:F132"/>
    <mergeCell ref="C133:D133"/>
    <mergeCell ref="B127:I127"/>
    <mergeCell ref="B128:I128"/>
    <mergeCell ref="B129:E129"/>
    <mergeCell ref="B130:I130"/>
    <mergeCell ref="C131:F131"/>
  </mergeCells>
  <hyperlinks>
    <hyperlink ref="A1" location="AxisMoneyMarketFund" display="AXISMMF" xr:uid="{00000000-0004-0000-2A00-000000000000}"/>
    <hyperlink ref="B1" location="AxisMoneyMarketFund" display="Axis Money Market Fund" xr:uid="{00000000-0004-0000-2A00-000001000000}"/>
  </hyperlinks>
  <pageMargins left="0" right="0" top="0" bottom="0" header="0" footer="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/>
  </sheetPr>
  <dimension ref="A1:J7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88</v>
      </c>
      <c r="B1" s="4" t="s">
        <v>89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282</v>
      </c>
      <c r="B7" s="19" t="s">
        <v>283</v>
      </c>
      <c r="C7" s="15" t="s">
        <v>284</v>
      </c>
      <c r="D7" s="15" t="s">
        <v>271</v>
      </c>
      <c r="E7" s="20">
        <v>280509</v>
      </c>
      <c r="F7" s="21">
        <v>4281.4089000000004</v>
      </c>
      <c r="G7" s="22">
        <v>0.13239999999999999</v>
      </c>
      <c r="H7" s="40"/>
      <c r="I7" s="24"/>
      <c r="J7" s="5"/>
    </row>
    <row r="8" spans="1:10" ht="12.95" customHeight="1">
      <c r="A8" s="18" t="s">
        <v>248</v>
      </c>
      <c r="B8" s="19" t="s">
        <v>249</v>
      </c>
      <c r="C8" s="15" t="s">
        <v>250</v>
      </c>
      <c r="D8" s="15" t="s">
        <v>251</v>
      </c>
      <c r="E8" s="20">
        <v>126675</v>
      </c>
      <c r="F8" s="21">
        <v>2970.5288</v>
      </c>
      <c r="G8" s="22">
        <v>9.1899999999999996E-2</v>
      </c>
      <c r="H8" s="40"/>
      <c r="I8" s="24"/>
      <c r="J8" s="5"/>
    </row>
    <row r="9" spans="1:10" ht="12.95" customHeight="1">
      <c r="A9" s="18" t="s">
        <v>268</v>
      </c>
      <c r="B9" s="19" t="s">
        <v>269</v>
      </c>
      <c r="C9" s="15" t="s">
        <v>270</v>
      </c>
      <c r="D9" s="15" t="s">
        <v>271</v>
      </c>
      <c r="E9" s="20">
        <v>262204</v>
      </c>
      <c r="F9" s="21">
        <v>2495.9198999999999</v>
      </c>
      <c r="G9" s="22">
        <v>7.7200000000000005E-2</v>
      </c>
      <c r="H9" s="40"/>
      <c r="I9" s="24"/>
      <c r="J9" s="5"/>
    </row>
    <row r="10" spans="1:10" ht="12.95" customHeight="1">
      <c r="A10" s="18" t="s">
        <v>285</v>
      </c>
      <c r="B10" s="19" t="s">
        <v>286</v>
      </c>
      <c r="C10" s="15" t="s">
        <v>287</v>
      </c>
      <c r="D10" s="15" t="s">
        <v>263</v>
      </c>
      <c r="E10" s="20">
        <v>133610</v>
      </c>
      <c r="F10" s="21">
        <v>1917.9047</v>
      </c>
      <c r="G10" s="22">
        <v>5.9299999999999999E-2</v>
      </c>
      <c r="H10" s="40"/>
      <c r="I10" s="24"/>
      <c r="J10" s="5"/>
    </row>
    <row r="11" spans="1:10" ht="12.95" customHeight="1">
      <c r="A11" s="18" t="s">
        <v>716</v>
      </c>
      <c r="B11" s="19" t="s">
        <v>717</v>
      </c>
      <c r="C11" s="15" t="s">
        <v>718</v>
      </c>
      <c r="D11" s="15" t="s">
        <v>348</v>
      </c>
      <c r="E11" s="20">
        <v>331293</v>
      </c>
      <c r="F11" s="21">
        <v>1472.2661000000001</v>
      </c>
      <c r="G11" s="22">
        <v>4.5499999999999999E-2</v>
      </c>
      <c r="H11" s="40"/>
      <c r="I11" s="24"/>
      <c r="J11" s="5"/>
    </row>
    <row r="12" spans="1:10" ht="12.95" customHeight="1">
      <c r="A12" s="18" t="s">
        <v>719</v>
      </c>
      <c r="B12" s="19" t="s">
        <v>720</v>
      </c>
      <c r="C12" s="15" t="s">
        <v>721</v>
      </c>
      <c r="D12" s="15" t="s">
        <v>722</v>
      </c>
      <c r="E12" s="20">
        <v>45249</v>
      </c>
      <c r="F12" s="21">
        <v>1368.1261</v>
      </c>
      <c r="G12" s="22">
        <v>4.2299999999999997E-2</v>
      </c>
      <c r="H12" s="40"/>
      <c r="I12" s="24"/>
      <c r="J12" s="5"/>
    </row>
    <row r="13" spans="1:10" ht="12.95" customHeight="1">
      <c r="A13" s="18" t="s">
        <v>260</v>
      </c>
      <c r="B13" s="19" t="s">
        <v>261</v>
      </c>
      <c r="C13" s="15" t="s">
        <v>262</v>
      </c>
      <c r="D13" s="15" t="s">
        <v>263</v>
      </c>
      <c r="E13" s="20">
        <v>38348</v>
      </c>
      <c r="F13" s="21">
        <v>1353.1475</v>
      </c>
      <c r="G13" s="22">
        <v>4.19E-2</v>
      </c>
      <c r="H13" s="40"/>
      <c r="I13" s="24"/>
      <c r="J13" s="5"/>
    </row>
    <row r="14" spans="1:10" ht="12.95" customHeight="1">
      <c r="A14" s="18" t="s">
        <v>687</v>
      </c>
      <c r="B14" s="19" t="s">
        <v>688</v>
      </c>
      <c r="C14" s="15" t="s">
        <v>689</v>
      </c>
      <c r="D14" s="15" t="s">
        <v>271</v>
      </c>
      <c r="E14" s="20">
        <v>103625</v>
      </c>
      <c r="F14" s="21">
        <v>1074.2804000000001</v>
      </c>
      <c r="G14" s="22">
        <v>3.32E-2</v>
      </c>
      <c r="H14" s="40"/>
      <c r="I14" s="24"/>
      <c r="J14" s="5"/>
    </row>
    <row r="15" spans="1:10" ht="12.95" customHeight="1">
      <c r="A15" s="18" t="s">
        <v>690</v>
      </c>
      <c r="B15" s="19" t="s">
        <v>691</v>
      </c>
      <c r="C15" s="15" t="s">
        <v>692</v>
      </c>
      <c r="D15" s="15" t="s">
        <v>271</v>
      </c>
      <c r="E15" s="20">
        <v>55069</v>
      </c>
      <c r="F15" s="21">
        <v>955.83259999999996</v>
      </c>
      <c r="G15" s="22">
        <v>2.9600000000000001E-2</v>
      </c>
      <c r="H15" s="40"/>
      <c r="I15" s="24"/>
      <c r="J15" s="5"/>
    </row>
    <row r="16" spans="1:10" ht="12.95" customHeight="1">
      <c r="A16" s="18" t="s">
        <v>723</v>
      </c>
      <c r="B16" s="19" t="s">
        <v>724</v>
      </c>
      <c r="C16" s="15" t="s">
        <v>725</v>
      </c>
      <c r="D16" s="15" t="s">
        <v>726</v>
      </c>
      <c r="E16" s="20">
        <v>94378</v>
      </c>
      <c r="F16" s="21">
        <v>874.31780000000003</v>
      </c>
      <c r="G16" s="22">
        <v>2.7E-2</v>
      </c>
      <c r="H16" s="40"/>
      <c r="I16" s="24"/>
      <c r="J16" s="5"/>
    </row>
    <row r="17" spans="1:10" ht="12.95" customHeight="1">
      <c r="A17" s="18" t="s">
        <v>275</v>
      </c>
      <c r="B17" s="19" t="s">
        <v>276</v>
      </c>
      <c r="C17" s="15" t="s">
        <v>277</v>
      </c>
      <c r="D17" s="15" t="s">
        <v>271</v>
      </c>
      <c r="E17" s="20">
        <v>143844</v>
      </c>
      <c r="F17" s="21">
        <v>860.97829999999999</v>
      </c>
      <c r="G17" s="22">
        <v>2.6599999999999999E-2</v>
      </c>
      <c r="H17" s="40"/>
      <c r="I17" s="24"/>
      <c r="J17" s="5"/>
    </row>
    <row r="18" spans="1:10" ht="12.95" customHeight="1">
      <c r="A18" s="18" t="s">
        <v>345</v>
      </c>
      <c r="B18" s="19" t="s">
        <v>346</v>
      </c>
      <c r="C18" s="15" t="s">
        <v>347</v>
      </c>
      <c r="D18" s="15" t="s">
        <v>348</v>
      </c>
      <c r="E18" s="20">
        <v>33473</v>
      </c>
      <c r="F18" s="21">
        <v>825.31029999999998</v>
      </c>
      <c r="G18" s="22">
        <v>2.5499999999999998E-2</v>
      </c>
      <c r="H18" s="40"/>
      <c r="I18" s="24"/>
      <c r="J18" s="5"/>
    </row>
    <row r="19" spans="1:10" ht="12.95" customHeight="1">
      <c r="A19" s="18" t="s">
        <v>727</v>
      </c>
      <c r="B19" s="19" t="s">
        <v>728</v>
      </c>
      <c r="C19" s="15" t="s">
        <v>729</v>
      </c>
      <c r="D19" s="15" t="s">
        <v>255</v>
      </c>
      <c r="E19" s="20">
        <v>9966</v>
      </c>
      <c r="F19" s="21">
        <v>778.41930000000002</v>
      </c>
      <c r="G19" s="22">
        <v>2.41E-2</v>
      </c>
      <c r="H19" s="40"/>
      <c r="I19" s="24"/>
      <c r="J19" s="5"/>
    </row>
    <row r="20" spans="1:10" ht="12.95" customHeight="1">
      <c r="A20" s="18" t="s">
        <v>321</v>
      </c>
      <c r="B20" s="19" t="s">
        <v>322</v>
      </c>
      <c r="C20" s="15" t="s">
        <v>323</v>
      </c>
      <c r="D20" s="15" t="s">
        <v>324</v>
      </c>
      <c r="E20" s="20">
        <v>16880</v>
      </c>
      <c r="F20" s="21">
        <v>533.58519999999999</v>
      </c>
      <c r="G20" s="22">
        <v>1.6500000000000001E-2</v>
      </c>
      <c r="H20" s="40"/>
      <c r="I20" s="24"/>
      <c r="J20" s="5"/>
    </row>
    <row r="21" spans="1:10" ht="12.95" customHeight="1">
      <c r="A21" s="18" t="s">
        <v>733</v>
      </c>
      <c r="B21" s="19" t="s">
        <v>734</v>
      </c>
      <c r="C21" s="15" t="s">
        <v>735</v>
      </c>
      <c r="D21" s="15" t="s">
        <v>281</v>
      </c>
      <c r="E21" s="20">
        <v>4977</v>
      </c>
      <c r="F21" s="21">
        <v>528.08960000000002</v>
      </c>
      <c r="G21" s="22">
        <v>1.6299999999999999E-2</v>
      </c>
      <c r="H21" s="40"/>
      <c r="I21" s="24"/>
      <c r="J21" s="5"/>
    </row>
    <row r="22" spans="1:10" ht="12.95" customHeight="1">
      <c r="A22" s="18" t="s">
        <v>730</v>
      </c>
      <c r="B22" s="19" t="s">
        <v>731</v>
      </c>
      <c r="C22" s="15" t="s">
        <v>732</v>
      </c>
      <c r="D22" s="15" t="s">
        <v>281</v>
      </c>
      <c r="E22" s="20">
        <v>33529</v>
      </c>
      <c r="F22" s="21">
        <v>521.12450000000001</v>
      </c>
      <c r="G22" s="22">
        <v>1.61E-2</v>
      </c>
      <c r="H22" s="40"/>
      <c r="I22" s="24"/>
      <c r="J22" s="5"/>
    </row>
    <row r="23" spans="1:10" ht="12.95" customHeight="1">
      <c r="A23" s="18" t="s">
        <v>736</v>
      </c>
      <c r="B23" s="19" t="s">
        <v>737</v>
      </c>
      <c r="C23" s="15" t="s">
        <v>738</v>
      </c>
      <c r="D23" s="15" t="s">
        <v>324</v>
      </c>
      <c r="E23" s="20">
        <v>15627</v>
      </c>
      <c r="F23" s="21">
        <v>492.06299999999999</v>
      </c>
      <c r="G23" s="22">
        <v>1.52E-2</v>
      </c>
      <c r="H23" s="40"/>
      <c r="I23" s="24"/>
      <c r="J23" s="5"/>
    </row>
    <row r="24" spans="1:10" ht="12.95" customHeight="1">
      <c r="A24" s="18" t="s">
        <v>739</v>
      </c>
      <c r="B24" s="19" t="s">
        <v>740</v>
      </c>
      <c r="C24" s="15" t="s">
        <v>741</v>
      </c>
      <c r="D24" s="15" t="s">
        <v>263</v>
      </c>
      <c r="E24" s="20">
        <v>39649</v>
      </c>
      <c r="F24" s="21">
        <v>489.58589999999998</v>
      </c>
      <c r="G24" s="22">
        <v>1.5100000000000001E-2</v>
      </c>
      <c r="H24" s="40"/>
      <c r="I24" s="24"/>
      <c r="J24" s="5"/>
    </row>
    <row r="25" spans="1:10" ht="12.95" customHeight="1">
      <c r="A25" s="18" t="s">
        <v>742</v>
      </c>
      <c r="B25" s="19" t="s">
        <v>743</v>
      </c>
      <c r="C25" s="15" t="s">
        <v>744</v>
      </c>
      <c r="D25" s="15" t="s">
        <v>745</v>
      </c>
      <c r="E25" s="20">
        <v>40461</v>
      </c>
      <c r="F25" s="21">
        <v>468.8014</v>
      </c>
      <c r="G25" s="22">
        <v>1.4500000000000001E-2</v>
      </c>
      <c r="H25" s="40"/>
      <c r="I25" s="24"/>
      <c r="J25" s="5"/>
    </row>
    <row r="26" spans="1:10" ht="12.95" customHeight="1">
      <c r="A26" s="18" t="s">
        <v>288</v>
      </c>
      <c r="B26" s="19" t="s">
        <v>289</v>
      </c>
      <c r="C26" s="15" t="s">
        <v>290</v>
      </c>
      <c r="D26" s="15" t="s">
        <v>291</v>
      </c>
      <c r="E26" s="20">
        <v>178076</v>
      </c>
      <c r="F26" s="21">
        <v>437.26560000000001</v>
      </c>
      <c r="G26" s="22">
        <v>1.35E-2</v>
      </c>
      <c r="H26" s="40"/>
      <c r="I26" s="24"/>
      <c r="J26" s="5"/>
    </row>
    <row r="27" spans="1:10" ht="12.95" customHeight="1">
      <c r="A27" s="18" t="s">
        <v>278</v>
      </c>
      <c r="B27" s="19" t="s">
        <v>279</v>
      </c>
      <c r="C27" s="15" t="s">
        <v>280</v>
      </c>
      <c r="D27" s="15" t="s">
        <v>281</v>
      </c>
      <c r="E27" s="20">
        <v>66008</v>
      </c>
      <c r="F27" s="21">
        <v>415.98239999999998</v>
      </c>
      <c r="G27" s="22">
        <v>1.29E-2</v>
      </c>
      <c r="H27" s="40"/>
      <c r="I27" s="24"/>
      <c r="J27" s="5"/>
    </row>
    <row r="28" spans="1:10" ht="12.95" customHeight="1">
      <c r="A28" s="18" t="s">
        <v>746</v>
      </c>
      <c r="B28" s="19" t="s">
        <v>747</v>
      </c>
      <c r="C28" s="15" t="s">
        <v>748</v>
      </c>
      <c r="D28" s="15" t="s">
        <v>344</v>
      </c>
      <c r="E28" s="20">
        <v>302484</v>
      </c>
      <c r="F28" s="21">
        <v>389.90190000000001</v>
      </c>
      <c r="G28" s="22">
        <v>1.21E-2</v>
      </c>
      <c r="H28" s="40"/>
      <c r="I28" s="24"/>
      <c r="J28" s="5"/>
    </row>
    <row r="29" spans="1:10" ht="12.95" customHeight="1">
      <c r="A29" s="18" t="s">
        <v>264</v>
      </c>
      <c r="B29" s="19" t="s">
        <v>265</v>
      </c>
      <c r="C29" s="15" t="s">
        <v>266</v>
      </c>
      <c r="D29" s="15" t="s">
        <v>267</v>
      </c>
      <c r="E29" s="20">
        <v>4332</v>
      </c>
      <c r="F29" s="21">
        <v>357.6001</v>
      </c>
      <c r="G29" s="22">
        <v>1.11E-2</v>
      </c>
      <c r="H29" s="40"/>
      <c r="I29" s="24"/>
      <c r="J29" s="5"/>
    </row>
    <row r="30" spans="1:10" ht="12.95" customHeight="1">
      <c r="A30" s="18" t="s">
        <v>693</v>
      </c>
      <c r="B30" s="19" t="s">
        <v>694</v>
      </c>
      <c r="C30" s="15" t="s">
        <v>695</v>
      </c>
      <c r="D30" s="15" t="s">
        <v>271</v>
      </c>
      <c r="E30" s="20">
        <v>24460</v>
      </c>
      <c r="F30" s="21">
        <v>349.49669999999998</v>
      </c>
      <c r="G30" s="22">
        <v>1.0800000000000001E-2</v>
      </c>
      <c r="H30" s="40"/>
      <c r="I30" s="24"/>
      <c r="J30" s="5"/>
    </row>
    <row r="31" spans="1:10" ht="12.95" customHeight="1">
      <c r="A31" s="18" t="s">
        <v>356</v>
      </c>
      <c r="B31" s="19" t="s">
        <v>357</v>
      </c>
      <c r="C31" s="15" t="s">
        <v>358</v>
      </c>
      <c r="D31" s="15" t="s">
        <v>291</v>
      </c>
      <c r="E31" s="20">
        <v>171024</v>
      </c>
      <c r="F31" s="21">
        <v>341.62040000000002</v>
      </c>
      <c r="G31" s="22">
        <v>1.06E-2</v>
      </c>
      <c r="H31" s="40"/>
      <c r="I31" s="24"/>
      <c r="J31" s="5"/>
    </row>
    <row r="32" spans="1:10" ht="12.95" customHeight="1">
      <c r="A32" s="18" t="s">
        <v>749</v>
      </c>
      <c r="B32" s="19" t="s">
        <v>750</v>
      </c>
      <c r="C32" s="15" t="s">
        <v>751</v>
      </c>
      <c r="D32" s="15" t="s">
        <v>255</v>
      </c>
      <c r="E32" s="20">
        <v>20337</v>
      </c>
      <c r="F32" s="21">
        <v>313.24059999999997</v>
      </c>
      <c r="G32" s="22">
        <v>9.7000000000000003E-3</v>
      </c>
      <c r="H32" s="40"/>
      <c r="I32" s="24"/>
      <c r="J32" s="5"/>
    </row>
    <row r="33" spans="1:10" ht="12.95" customHeight="1">
      <c r="A33" s="18" t="s">
        <v>752</v>
      </c>
      <c r="B33" s="19" t="s">
        <v>753</v>
      </c>
      <c r="C33" s="15" t="s">
        <v>754</v>
      </c>
      <c r="D33" s="15" t="s">
        <v>755</v>
      </c>
      <c r="E33" s="20">
        <v>1340</v>
      </c>
      <c r="F33" s="21">
        <v>301.59249999999997</v>
      </c>
      <c r="G33" s="22">
        <v>9.2999999999999992E-3</v>
      </c>
      <c r="H33" s="40"/>
      <c r="I33" s="24"/>
      <c r="J33" s="5"/>
    </row>
    <row r="34" spans="1:10" ht="12.95" customHeight="1">
      <c r="A34" s="18" t="s">
        <v>3342</v>
      </c>
      <c r="B34" s="19" t="s">
        <v>3343</v>
      </c>
      <c r="C34" s="15" t="s">
        <v>3344</v>
      </c>
      <c r="D34" s="15" t="s">
        <v>3345</v>
      </c>
      <c r="E34" s="20">
        <v>12161</v>
      </c>
      <c r="F34" s="21">
        <v>293.55439999999999</v>
      </c>
      <c r="G34" s="22">
        <v>9.1000000000000004E-3</v>
      </c>
      <c r="H34" s="40"/>
      <c r="I34" s="24"/>
      <c r="J34" s="5"/>
    </row>
    <row r="35" spans="1:10" ht="12.95" customHeight="1">
      <c r="A35" s="18" t="s">
        <v>335</v>
      </c>
      <c r="B35" s="19" t="s">
        <v>336</v>
      </c>
      <c r="C35" s="15" t="s">
        <v>337</v>
      </c>
      <c r="D35" s="15" t="s">
        <v>263</v>
      </c>
      <c r="E35" s="20">
        <v>23437</v>
      </c>
      <c r="F35" s="21">
        <v>286.58760000000001</v>
      </c>
      <c r="G35" s="22">
        <v>8.8999999999999999E-3</v>
      </c>
      <c r="H35" s="40"/>
      <c r="I35" s="24"/>
      <c r="J35" s="5"/>
    </row>
    <row r="36" spans="1:10" ht="12.95" customHeight="1">
      <c r="A36" s="18" t="s">
        <v>3346</v>
      </c>
      <c r="B36" s="19" t="s">
        <v>3347</v>
      </c>
      <c r="C36" s="15" t="s">
        <v>3348</v>
      </c>
      <c r="D36" s="15" t="s">
        <v>3349</v>
      </c>
      <c r="E36" s="20">
        <v>146617</v>
      </c>
      <c r="F36" s="21">
        <v>281.28469999999999</v>
      </c>
      <c r="G36" s="22">
        <v>8.6999999999999994E-3</v>
      </c>
      <c r="H36" s="40"/>
      <c r="I36" s="24"/>
      <c r="J36" s="5"/>
    </row>
    <row r="37" spans="1:10" ht="12.95" customHeight="1">
      <c r="A37" s="18" t="s">
        <v>756</v>
      </c>
      <c r="B37" s="19" t="s">
        <v>757</v>
      </c>
      <c r="C37" s="15" t="s">
        <v>758</v>
      </c>
      <c r="D37" s="15" t="s">
        <v>344</v>
      </c>
      <c r="E37" s="20">
        <v>34717</v>
      </c>
      <c r="F37" s="21">
        <v>270.65370000000001</v>
      </c>
      <c r="G37" s="22">
        <v>8.3999999999999995E-3</v>
      </c>
      <c r="H37" s="40"/>
      <c r="I37" s="24"/>
      <c r="J37" s="5"/>
    </row>
    <row r="38" spans="1:10" ht="12.95" customHeight="1">
      <c r="A38" s="18" t="s">
        <v>1733</v>
      </c>
      <c r="B38" s="19" t="s">
        <v>1734</v>
      </c>
      <c r="C38" s="15" t="s">
        <v>1735</v>
      </c>
      <c r="D38" s="15" t="s">
        <v>267</v>
      </c>
      <c r="E38" s="20">
        <v>13862</v>
      </c>
      <c r="F38" s="21">
        <v>269.25549999999998</v>
      </c>
      <c r="G38" s="22">
        <v>8.3000000000000001E-3</v>
      </c>
      <c r="H38" s="40"/>
      <c r="I38" s="24"/>
      <c r="J38" s="5"/>
    </row>
    <row r="39" spans="1:10" ht="12.95" customHeight="1">
      <c r="A39" s="18" t="s">
        <v>404</v>
      </c>
      <c r="B39" s="19" t="s">
        <v>405</v>
      </c>
      <c r="C39" s="15" t="s">
        <v>406</v>
      </c>
      <c r="D39" s="15" t="s">
        <v>407</v>
      </c>
      <c r="E39" s="20">
        <v>54429</v>
      </c>
      <c r="F39" s="21">
        <v>268.14449999999999</v>
      </c>
      <c r="G39" s="22">
        <v>8.3000000000000001E-3</v>
      </c>
      <c r="H39" s="40"/>
      <c r="I39" s="24"/>
      <c r="J39" s="5"/>
    </row>
    <row r="40" spans="1:10" ht="12.95" customHeight="1">
      <c r="A40" s="18" t="s">
        <v>1727</v>
      </c>
      <c r="B40" s="19" t="s">
        <v>1728</v>
      </c>
      <c r="C40" s="15" t="s">
        <v>1729</v>
      </c>
      <c r="D40" s="15" t="s">
        <v>745</v>
      </c>
      <c r="E40" s="20">
        <v>4575</v>
      </c>
      <c r="F40" s="21">
        <v>255.6053</v>
      </c>
      <c r="G40" s="22">
        <v>7.9000000000000008E-3</v>
      </c>
      <c r="H40" s="40"/>
      <c r="I40" s="24"/>
      <c r="J40" s="5"/>
    </row>
    <row r="41" spans="1:10" ht="12.95" customHeight="1">
      <c r="A41" s="18" t="s">
        <v>1610</v>
      </c>
      <c r="B41" s="19" t="s">
        <v>1611</v>
      </c>
      <c r="C41" s="15" t="s">
        <v>1612</v>
      </c>
      <c r="D41" s="15" t="s">
        <v>890</v>
      </c>
      <c r="E41" s="20">
        <v>40060</v>
      </c>
      <c r="F41" s="21">
        <v>255.3424</v>
      </c>
      <c r="G41" s="22">
        <v>7.9000000000000008E-3</v>
      </c>
      <c r="H41" s="40"/>
      <c r="I41" s="24"/>
      <c r="J41" s="5"/>
    </row>
    <row r="42" spans="1:10" ht="12.95" customHeight="1">
      <c r="A42" s="18" t="s">
        <v>377</v>
      </c>
      <c r="B42" s="19" t="s">
        <v>378</v>
      </c>
      <c r="C42" s="15" t="s">
        <v>379</v>
      </c>
      <c r="D42" s="15" t="s">
        <v>380</v>
      </c>
      <c r="E42" s="20">
        <v>84956</v>
      </c>
      <c r="F42" s="21">
        <v>250.7901</v>
      </c>
      <c r="G42" s="22">
        <v>7.7999999999999996E-3</v>
      </c>
      <c r="H42" s="40"/>
      <c r="I42" s="24"/>
      <c r="J42" s="5"/>
    </row>
    <row r="43" spans="1:10" ht="12.95" customHeight="1">
      <c r="A43" s="18" t="s">
        <v>3350</v>
      </c>
      <c r="B43" s="19" t="s">
        <v>3351</v>
      </c>
      <c r="C43" s="15" t="s">
        <v>3352</v>
      </c>
      <c r="D43" s="15" t="s">
        <v>1859</v>
      </c>
      <c r="E43" s="20">
        <v>29833</v>
      </c>
      <c r="F43" s="21">
        <v>246.167</v>
      </c>
      <c r="G43" s="22">
        <v>7.6E-3</v>
      </c>
      <c r="H43" s="40"/>
      <c r="I43" s="24"/>
      <c r="J43" s="5"/>
    </row>
    <row r="44" spans="1:10" ht="12.95" customHeight="1">
      <c r="A44" s="18" t="s">
        <v>1575</v>
      </c>
      <c r="B44" s="19" t="s">
        <v>1576</v>
      </c>
      <c r="C44" s="15" t="s">
        <v>1577</v>
      </c>
      <c r="D44" s="15" t="s">
        <v>745</v>
      </c>
      <c r="E44" s="20">
        <v>19550</v>
      </c>
      <c r="F44" s="21">
        <v>231.89230000000001</v>
      </c>
      <c r="G44" s="22">
        <v>7.1999999999999998E-3</v>
      </c>
      <c r="H44" s="40"/>
      <c r="I44" s="24"/>
      <c r="J44" s="5"/>
    </row>
    <row r="45" spans="1:10" ht="12.95" customHeight="1">
      <c r="A45" s="18" t="s">
        <v>1578</v>
      </c>
      <c r="B45" s="19" t="s">
        <v>1579</v>
      </c>
      <c r="C45" s="15" t="s">
        <v>1580</v>
      </c>
      <c r="D45" s="15" t="s">
        <v>890</v>
      </c>
      <c r="E45" s="20">
        <v>16784</v>
      </c>
      <c r="F45" s="21">
        <v>219.09829999999999</v>
      </c>
      <c r="G45" s="22">
        <v>6.7999999999999996E-3</v>
      </c>
      <c r="H45" s="40"/>
      <c r="I45" s="24"/>
      <c r="J45" s="5"/>
    </row>
    <row r="46" spans="1:10" ht="12.95" customHeight="1">
      <c r="A46" s="18" t="s">
        <v>759</v>
      </c>
      <c r="B46" s="19" t="s">
        <v>760</v>
      </c>
      <c r="C46" s="15" t="s">
        <v>761</v>
      </c>
      <c r="D46" s="15" t="s">
        <v>263</v>
      </c>
      <c r="E46" s="20">
        <v>52881</v>
      </c>
      <c r="F46" s="21">
        <v>214.72329999999999</v>
      </c>
      <c r="G46" s="22">
        <v>6.6E-3</v>
      </c>
      <c r="H46" s="40"/>
      <c r="I46" s="24"/>
      <c r="J46" s="5"/>
    </row>
    <row r="47" spans="1:10" ht="12.95" customHeight="1">
      <c r="A47" s="18" t="s">
        <v>763</v>
      </c>
      <c r="B47" s="19" t="s">
        <v>764</v>
      </c>
      <c r="C47" s="15" t="s">
        <v>765</v>
      </c>
      <c r="D47" s="15" t="s">
        <v>281</v>
      </c>
      <c r="E47" s="20">
        <v>4217</v>
      </c>
      <c r="F47" s="21">
        <v>213.53620000000001</v>
      </c>
      <c r="G47" s="22">
        <v>6.6E-3</v>
      </c>
      <c r="H47" s="40"/>
      <c r="I47" s="24"/>
      <c r="J47" s="5"/>
    </row>
    <row r="48" spans="1:10" ht="12.95" customHeight="1">
      <c r="A48" s="18" t="s">
        <v>769</v>
      </c>
      <c r="B48" s="19" t="s">
        <v>770</v>
      </c>
      <c r="C48" s="15" t="s">
        <v>771</v>
      </c>
      <c r="D48" s="15" t="s">
        <v>755</v>
      </c>
      <c r="E48" s="20">
        <v>4396</v>
      </c>
      <c r="F48" s="21">
        <v>199.45310000000001</v>
      </c>
      <c r="G48" s="22">
        <v>6.1999999999999998E-3</v>
      </c>
      <c r="H48" s="40"/>
      <c r="I48" s="24"/>
      <c r="J48" s="5"/>
    </row>
    <row r="49" spans="1:10" ht="12.95" customHeight="1">
      <c r="A49" s="18" t="s">
        <v>772</v>
      </c>
      <c r="B49" s="19" t="s">
        <v>773</v>
      </c>
      <c r="C49" s="15" t="s">
        <v>774</v>
      </c>
      <c r="D49" s="15" t="s">
        <v>310</v>
      </c>
      <c r="E49" s="20">
        <v>22426</v>
      </c>
      <c r="F49" s="21">
        <v>196.65360000000001</v>
      </c>
      <c r="G49" s="22">
        <v>6.1000000000000004E-3</v>
      </c>
      <c r="H49" s="40"/>
      <c r="I49" s="24"/>
      <c r="J49" s="5"/>
    </row>
    <row r="50" spans="1:10" ht="12.95" customHeight="1">
      <c r="A50" s="18" t="s">
        <v>775</v>
      </c>
      <c r="B50" s="19" t="s">
        <v>776</v>
      </c>
      <c r="C50" s="15" t="s">
        <v>777</v>
      </c>
      <c r="D50" s="15" t="s">
        <v>778</v>
      </c>
      <c r="E50" s="20">
        <v>3748</v>
      </c>
      <c r="F50" s="21">
        <v>192.56290000000001</v>
      </c>
      <c r="G50" s="22">
        <v>6.0000000000000001E-3</v>
      </c>
      <c r="H50" s="40"/>
      <c r="I50" s="24"/>
      <c r="J50" s="5"/>
    </row>
    <row r="51" spans="1:10" ht="12.95" customHeight="1">
      <c r="A51" s="18" t="s">
        <v>839</v>
      </c>
      <c r="B51" s="19" t="s">
        <v>840</v>
      </c>
      <c r="C51" s="15" t="s">
        <v>841</v>
      </c>
      <c r="D51" s="15" t="s">
        <v>745</v>
      </c>
      <c r="E51" s="20">
        <v>4748</v>
      </c>
      <c r="F51" s="21">
        <v>178.76929999999999</v>
      </c>
      <c r="G51" s="22">
        <v>5.4999999999999997E-3</v>
      </c>
      <c r="H51" s="40"/>
      <c r="I51" s="24"/>
      <c r="J51" s="5"/>
    </row>
    <row r="52" spans="1:10" ht="12.95" customHeight="1">
      <c r="A52" s="18" t="s">
        <v>318</v>
      </c>
      <c r="B52" s="19" t="s">
        <v>319</v>
      </c>
      <c r="C52" s="15" t="s">
        <v>320</v>
      </c>
      <c r="D52" s="15" t="s">
        <v>263</v>
      </c>
      <c r="E52" s="20">
        <v>3415</v>
      </c>
      <c r="F52" s="21">
        <v>177.91640000000001</v>
      </c>
      <c r="G52" s="22">
        <v>5.4999999999999997E-3</v>
      </c>
      <c r="H52" s="40"/>
      <c r="I52" s="24"/>
      <c r="J52" s="5"/>
    </row>
    <row r="53" spans="1:10" ht="12.95" customHeight="1">
      <c r="A53" s="18" t="s">
        <v>779</v>
      </c>
      <c r="B53" s="19" t="s">
        <v>780</v>
      </c>
      <c r="C53" s="15" t="s">
        <v>781</v>
      </c>
      <c r="D53" s="15" t="s">
        <v>281</v>
      </c>
      <c r="E53" s="20">
        <v>5096</v>
      </c>
      <c r="F53" s="21">
        <v>175.6566</v>
      </c>
      <c r="G53" s="22">
        <v>5.4000000000000003E-3</v>
      </c>
      <c r="H53" s="40"/>
      <c r="I53" s="24"/>
      <c r="J53" s="5"/>
    </row>
    <row r="54" spans="1:10" ht="12.95" customHeight="1">
      <c r="A54" s="18" t="s">
        <v>792</v>
      </c>
      <c r="B54" s="19" t="s">
        <v>793</v>
      </c>
      <c r="C54" s="15" t="s">
        <v>794</v>
      </c>
      <c r="D54" s="15" t="s">
        <v>281</v>
      </c>
      <c r="E54" s="20">
        <v>4831</v>
      </c>
      <c r="F54" s="21">
        <v>147.69569999999999</v>
      </c>
      <c r="G54" s="22">
        <v>4.5999999999999999E-3</v>
      </c>
      <c r="H54" s="40"/>
      <c r="I54" s="24"/>
      <c r="J54" s="5"/>
    </row>
    <row r="55" spans="1:10" ht="12.95" customHeight="1">
      <c r="A55" s="18" t="s">
        <v>368</v>
      </c>
      <c r="B55" s="19" t="s">
        <v>369</v>
      </c>
      <c r="C55" s="15" t="s">
        <v>370</v>
      </c>
      <c r="D55" s="15" t="s">
        <v>251</v>
      </c>
      <c r="E55" s="20">
        <v>35965</v>
      </c>
      <c r="F55" s="21">
        <v>124.65470000000001</v>
      </c>
      <c r="G55" s="22">
        <v>3.8999999999999998E-3</v>
      </c>
      <c r="H55" s="40"/>
      <c r="I55" s="24"/>
      <c r="J55" s="5"/>
    </row>
    <row r="56" spans="1:10" ht="12.95" customHeight="1">
      <c r="A56" s="18" t="s">
        <v>1773</v>
      </c>
      <c r="B56" s="19" t="s">
        <v>1774</v>
      </c>
      <c r="C56" s="15" t="s">
        <v>1775</v>
      </c>
      <c r="D56" s="15" t="s">
        <v>832</v>
      </c>
      <c r="E56" s="20">
        <v>18982</v>
      </c>
      <c r="F56" s="21">
        <v>116.9766</v>
      </c>
      <c r="G56" s="22">
        <v>3.5999999999999999E-3</v>
      </c>
      <c r="H56" s="40"/>
      <c r="I56" s="24"/>
      <c r="J56" s="5"/>
    </row>
    <row r="57" spans="1:10" ht="12.95" customHeight="1">
      <c r="A57" s="5"/>
      <c r="B57" s="14" t="s">
        <v>160</v>
      </c>
      <c r="C57" s="15"/>
      <c r="D57" s="15"/>
      <c r="E57" s="15"/>
      <c r="F57" s="25">
        <v>32235.364699999998</v>
      </c>
      <c r="G57" s="26">
        <v>0.99719999999999998</v>
      </c>
      <c r="H57" s="27"/>
      <c r="I57" s="28"/>
      <c r="J57" s="5"/>
    </row>
    <row r="58" spans="1:10" ht="12.95" customHeight="1">
      <c r="A58" s="5"/>
      <c r="B58" s="29" t="s">
        <v>408</v>
      </c>
      <c r="C58" s="2"/>
      <c r="D58" s="2"/>
      <c r="E58" s="2"/>
      <c r="F58" s="27" t="s">
        <v>162</v>
      </c>
      <c r="G58" s="27" t="s">
        <v>162</v>
      </c>
      <c r="H58" s="27"/>
      <c r="I58" s="28"/>
      <c r="J58" s="5"/>
    </row>
    <row r="59" spans="1:10" ht="12.95" customHeight="1">
      <c r="A59" s="5"/>
      <c r="B59" s="29" t="s">
        <v>160</v>
      </c>
      <c r="C59" s="2"/>
      <c r="D59" s="2"/>
      <c r="E59" s="2"/>
      <c r="F59" s="27" t="s">
        <v>162</v>
      </c>
      <c r="G59" s="27" t="s">
        <v>162</v>
      </c>
      <c r="H59" s="27"/>
      <c r="I59" s="28"/>
      <c r="J59" s="5"/>
    </row>
    <row r="60" spans="1:10" ht="12.95" customHeight="1">
      <c r="A60" s="5"/>
      <c r="B60" s="29" t="s">
        <v>163</v>
      </c>
      <c r="C60" s="30"/>
      <c r="D60" s="2"/>
      <c r="E60" s="30"/>
      <c r="F60" s="25">
        <v>32235.364699999998</v>
      </c>
      <c r="G60" s="26">
        <v>0.99719999999999998</v>
      </c>
      <c r="H60" s="27"/>
      <c r="I60" s="28"/>
      <c r="J60" s="5"/>
    </row>
    <row r="61" spans="1:10" ht="12.95" customHeight="1">
      <c r="A61" s="5"/>
      <c r="B61" s="14" t="s">
        <v>164</v>
      </c>
      <c r="C61" s="15"/>
      <c r="D61" s="15"/>
      <c r="E61" s="15"/>
      <c r="F61" s="15"/>
      <c r="G61" s="15"/>
      <c r="H61" s="16"/>
      <c r="I61" s="17"/>
      <c r="J61" s="5"/>
    </row>
    <row r="62" spans="1:10" ht="12.95" customHeight="1">
      <c r="A62" s="18" t="s">
        <v>165</v>
      </c>
      <c r="B62" s="19" t="s">
        <v>166</v>
      </c>
      <c r="C62" s="15"/>
      <c r="D62" s="15"/>
      <c r="E62" s="20"/>
      <c r="F62" s="21">
        <v>343.512</v>
      </c>
      <c r="G62" s="22">
        <v>1.06E-2</v>
      </c>
      <c r="H62" s="23">
        <v>6.7996804118985427E-2</v>
      </c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343.512</v>
      </c>
      <c r="G63" s="26">
        <v>1.06E-2</v>
      </c>
      <c r="H63" s="27"/>
      <c r="I63" s="28"/>
      <c r="J63" s="5"/>
    </row>
    <row r="64" spans="1:10" ht="12.95" customHeight="1">
      <c r="A64" s="5"/>
      <c r="B64" s="29" t="s">
        <v>163</v>
      </c>
      <c r="C64" s="30"/>
      <c r="D64" s="2"/>
      <c r="E64" s="30"/>
      <c r="F64" s="25">
        <v>343.512</v>
      </c>
      <c r="G64" s="26">
        <v>1.06E-2</v>
      </c>
      <c r="H64" s="27"/>
      <c r="I64" s="28"/>
      <c r="J64" s="5"/>
    </row>
    <row r="65" spans="1:10" ht="12.95" customHeight="1">
      <c r="A65" s="5"/>
      <c r="B65" s="29" t="s">
        <v>167</v>
      </c>
      <c r="C65" s="15"/>
      <c r="D65" s="2"/>
      <c r="E65" s="15"/>
      <c r="F65" s="31">
        <v>-251.72669999999999</v>
      </c>
      <c r="G65" s="26">
        <v>-7.7999999999999996E-3</v>
      </c>
      <c r="H65" s="27"/>
      <c r="I65" s="28"/>
      <c r="J65" s="5"/>
    </row>
    <row r="66" spans="1:10" ht="12.95" customHeight="1">
      <c r="A66" s="5"/>
      <c r="B66" s="32" t="s">
        <v>168</v>
      </c>
      <c r="C66" s="33"/>
      <c r="D66" s="33"/>
      <c r="E66" s="33"/>
      <c r="F66" s="34">
        <v>32327.15</v>
      </c>
      <c r="G66" s="35">
        <v>1</v>
      </c>
      <c r="H66" s="36"/>
      <c r="I66" s="37"/>
      <c r="J66" s="5"/>
    </row>
    <row r="67" spans="1:10" ht="12.95" customHeight="1">
      <c r="A67" s="5"/>
      <c r="B67" s="7"/>
      <c r="C67" s="5"/>
      <c r="D67" s="5"/>
      <c r="E67" s="5"/>
      <c r="F67" s="5"/>
      <c r="G67" s="5"/>
      <c r="H67" s="5"/>
      <c r="I67" s="5"/>
      <c r="J67" s="5"/>
    </row>
    <row r="68" spans="1:10" ht="12.95" customHeight="1">
      <c r="A68" s="5"/>
      <c r="B68" s="4" t="s">
        <v>169</v>
      </c>
      <c r="C68" s="5"/>
      <c r="D68" s="5"/>
      <c r="E68" s="5"/>
      <c r="F68" s="5"/>
      <c r="G68" s="5"/>
      <c r="H68" s="5"/>
      <c r="I68" s="5"/>
      <c r="J68" s="5"/>
    </row>
    <row r="69" spans="1:10" ht="12.95" customHeight="1">
      <c r="A69" s="5"/>
      <c r="B69" s="4" t="s">
        <v>170</v>
      </c>
      <c r="C69" s="5"/>
      <c r="D69" s="5"/>
      <c r="E69" s="5"/>
      <c r="F69" s="5"/>
      <c r="G69" s="5"/>
      <c r="H69" s="5"/>
      <c r="I69" s="5"/>
      <c r="J69" s="5"/>
    </row>
    <row r="70" spans="1:10" ht="26.1" customHeight="1">
      <c r="A70" s="5"/>
      <c r="B70" s="86" t="s">
        <v>171</v>
      </c>
      <c r="C70" s="86"/>
      <c r="D70" s="86"/>
      <c r="E70" s="86"/>
      <c r="F70" s="86"/>
      <c r="G70" s="86"/>
      <c r="H70" s="86"/>
      <c r="I70" s="86"/>
      <c r="J70" s="5"/>
    </row>
    <row r="71" spans="1:10" ht="12.95" customHeight="1">
      <c r="A71" s="5"/>
      <c r="B71" s="86"/>
      <c r="C71" s="86"/>
      <c r="D71" s="86"/>
      <c r="E71" s="86"/>
      <c r="F71" s="86"/>
      <c r="G71" s="86"/>
      <c r="H71" s="86"/>
      <c r="I71" s="86"/>
      <c r="J71" s="5"/>
    </row>
    <row r="72" spans="1:10" ht="12.95" customHeight="1">
      <c r="A72" s="5"/>
      <c r="B72" s="86"/>
      <c r="C72" s="86"/>
      <c r="D72" s="86"/>
      <c r="E72" s="86"/>
      <c r="F72" s="86"/>
      <c r="G72" s="86"/>
      <c r="H72" s="86"/>
      <c r="I72" s="86"/>
      <c r="J72" s="5"/>
    </row>
    <row r="73" spans="1:10" ht="12.95" customHeight="1">
      <c r="A73" s="5"/>
      <c r="B73" s="5"/>
      <c r="C73" s="87" t="s">
        <v>3353</v>
      </c>
      <c r="D73" s="87"/>
      <c r="E73" s="87"/>
      <c r="F73" s="87"/>
      <c r="G73" s="5"/>
      <c r="H73" s="5"/>
      <c r="I73" s="5"/>
      <c r="J73" s="5"/>
    </row>
    <row r="74" spans="1:10" ht="12.95" customHeight="1">
      <c r="A74" s="5"/>
      <c r="B74" s="38" t="s">
        <v>173</v>
      </c>
      <c r="C74" s="87" t="s">
        <v>174</v>
      </c>
      <c r="D74" s="87"/>
      <c r="E74" s="87"/>
      <c r="F74" s="87"/>
      <c r="G74" s="5"/>
      <c r="H74" s="5"/>
      <c r="I74" s="5"/>
      <c r="J74" s="5"/>
    </row>
    <row r="75" spans="1:10" ht="120.95" customHeight="1">
      <c r="A75" s="5"/>
      <c r="B75" s="39"/>
      <c r="C75" s="85"/>
      <c r="D75" s="85"/>
      <c r="E75" s="5"/>
      <c r="F75" s="5"/>
      <c r="G75" s="5"/>
      <c r="H75" s="5"/>
      <c r="I75" s="5"/>
      <c r="J75" s="5"/>
    </row>
  </sheetData>
  <mergeCells count="6">
    <mergeCell ref="C75:D75"/>
    <mergeCell ref="B70:I70"/>
    <mergeCell ref="B71:I71"/>
    <mergeCell ref="B72:I72"/>
    <mergeCell ref="C73:F73"/>
    <mergeCell ref="C74:F74"/>
  </mergeCells>
  <hyperlinks>
    <hyperlink ref="A1" location="AxisNifty50IndexFund" display="AXISN50" xr:uid="{00000000-0004-0000-2B00-000000000000}"/>
    <hyperlink ref="B1" location="AxisNifty50IndexFund" display="Axis Nifty 50 Index Fund" xr:uid="{00000000-0004-0000-2B00-000001000000}"/>
  </hyperlinks>
  <pageMargins left="0" right="0" top="0" bottom="0" header="0" footer="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/>
  </sheetPr>
  <dimension ref="A1:J8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90</v>
      </c>
      <c r="B1" s="4" t="s">
        <v>91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282</v>
      </c>
      <c r="B7" s="19" t="s">
        <v>283</v>
      </c>
      <c r="C7" s="15" t="s">
        <v>284</v>
      </c>
      <c r="D7" s="15" t="s">
        <v>271</v>
      </c>
      <c r="E7" s="20">
        <v>303831</v>
      </c>
      <c r="F7" s="21">
        <v>4637.3725999999997</v>
      </c>
      <c r="G7" s="22">
        <v>0.13220000000000001</v>
      </c>
      <c r="H7" s="40"/>
      <c r="I7" s="24"/>
      <c r="J7" s="5"/>
    </row>
    <row r="8" spans="1:10" ht="12.95" customHeight="1">
      <c r="A8" s="18" t="s">
        <v>248</v>
      </c>
      <c r="B8" s="19" t="s">
        <v>249</v>
      </c>
      <c r="C8" s="15" t="s">
        <v>250</v>
      </c>
      <c r="D8" s="15" t="s">
        <v>251</v>
      </c>
      <c r="E8" s="20">
        <v>137739</v>
      </c>
      <c r="F8" s="21">
        <v>3229.9796000000001</v>
      </c>
      <c r="G8" s="22">
        <v>9.1999999999999998E-2</v>
      </c>
      <c r="H8" s="40"/>
      <c r="I8" s="24"/>
      <c r="J8" s="5"/>
    </row>
    <row r="9" spans="1:10" ht="12.95" customHeight="1">
      <c r="A9" s="18" t="s">
        <v>268</v>
      </c>
      <c r="B9" s="19" t="s">
        <v>269</v>
      </c>
      <c r="C9" s="15" t="s">
        <v>270</v>
      </c>
      <c r="D9" s="15" t="s">
        <v>271</v>
      </c>
      <c r="E9" s="20">
        <v>284795</v>
      </c>
      <c r="F9" s="21">
        <v>2710.9636</v>
      </c>
      <c r="G9" s="22">
        <v>7.7299999999999994E-2</v>
      </c>
      <c r="H9" s="40"/>
      <c r="I9" s="24"/>
      <c r="J9" s="5"/>
    </row>
    <row r="10" spans="1:10" ht="12.95" customHeight="1">
      <c r="A10" s="18" t="s">
        <v>285</v>
      </c>
      <c r="B10" s="19" t="s">
        <v>286</v>
      </c>
      <c r="C10" s="15" t="s">
        <v>287</v>
      </c>
      <c r="D10" s="15" t="s">
        <v>263</v>
      </c>
      <c r="E10" s="20">
        <v>145364</v>
      </c>
      <c r="F10" s="21">
        <v>2086.6275000000001</v>
      </c>
      <c r="G10" s="22">
        <v>5.9499999999999997E-2</v>
      </c>
      <c r="H10" s="40"/>
      <c r="I10" s="24"/>
      <c r="J10" s="5"/>
    </row>
    <row r="11" spans="1:10" ht="12.95" customHeight="1">
      <c r="A11" s="18" t="s">
        <v>716</v>
      </c>
      <c r="B11" s="19" t="s">
        <v>717</v>
      </c>
      <c r="C11" s="15" t="s">
        <v>718</v>
      </c>
      <c r="D11" s="15" t="s">
        <v>348</v>
      </c>
      <c r="E11" s="20">
        <v>359409</v>
      </c>
      <c r="F11" s="21">
        <v>1597.2136</v>
      </c>
      <c r="G11" s="22">
        <v>4.5499999999999999E-2</v>
      </c>
      <c r="H11" s="40"/>
      <c r="I11" s="24"/>
      <c r="J11" s="5"/>
    </row>
    <row r="12" spans="1:10" ht="12.95" customHeight="1">
      <c r="A12" s="18" t="s">
        <v>719</v>
      </c>
      <c r="B12" s="19" t="s">
        <v>720</v>
      </c>
      <c r="C12" s="15" t="s">
        <v>721</v>
      </c>
      <c r="D12" s="15" t="s">
        <v>722</v>
      </c>
      <c r="E12" s="20">
        <v>49292</v>
      </c>
      <c r="F12" s="21">
        <v>1490.3683000000001</v>
      </c>
      <c r="G12" s="22">
        <v>4.2500000000000003E-2</v>
      </c>
      <c r="H12" s="40"/>
      <c r="I12" s="24"/>
      <c r="J12" s="5"/>
    </row>
    <row r="13" spans="1:10" ht="12.95" customHeight="1">
      <c r="A13" s="18" t="s">
        <v>260</v>
      </c>
      <c r="B13" s="19" t="s">
        <v>261</v>
      </c>
      <c r="C13" s="15" t="s">
        <v>262</v>
      </c>
      <c r="D13" s="15" t="s">
        <v>263</v>
      </c>
      <c r="E13" s="20">
        <v>41702</v>
      </c>
      <c r="F13" s="21">
        <v>1471.4967999999999</v>
      </c>
      <c r="G13" s="22">
        <v>4.19E-2</v>
      </c>
      <c r="H13" s="40"/>
      <c r="I13" s="24"/>
      <c r="J13" s="5"/>
    </row>
    <row r="14" spans="1:10" ht="12.95" customHeight="1">
      <c r="A14" s="18" t="s">
        <v>687</v>
      </c>
      <c r="B14" s="19" t="s">
        <v>688</v>
      </c>
      <c r="C14" s="15" t="s">
        <v>689</v>
      </c>
      <c r="D14" s="15" t="s">
        <v>271</v>
      </c>
      <c r="E14" s="20">
        <v>111626</v>
      </c>
      <c r="F14" s="21">
        <v>1157.2266999999999</v>
      </c>
      <c r="G14" s="22">
        <v>3.3000000000000002E-2</v>
      </c>
      <c r="H14" s="40"/>
      <c r="I14" s="24"/>
      <c r="J14" s="5"/>
    </row>
    <row r="15" spans="1:10" ht="12.95" customHeight="1">
      <c r="A15" s="18" t="s">
        <v>690</v>
      </c>
      <c r="B15" s="19" t="s">
        <v>691</v>
      </c>
      <c r="C15" s="15" t="s">
        <v>692</v>
      </c>
      <c r="D15" s="15" t="s">
        <v>271</v>
      </c>
      <c r="E15" s="20">
        <v>59949</v>
      </c>
      <c r="F15" s="21">
        <v>1040.5347999999999</v>
      </c>
      <c r="G15" s="22">
        <v>2.9700000000000001E-2</v>
      </c>
      <c r="H15" s="40"/>
      <c r="I15" s="24"/>
      <c r="J15" s="5"/>
    </row>
    <row r="16" spans="1:10" ht="12.95" customHeight="1">
      <c r="A16" s="18" t="s">
        <v>723</v>
      </c>
      <c r="B16" s="19" t="s">
        <v>724</v>
      </c>
      <c r="C16" s="15" t="s">
        <v>725</v>
      </c>
      <c r="D16" s="15" t="s">
        <v>726</v>
      </c>
      <c r="E16" s="20">
        <v>102322</v>
      </c>
      <c r="F16" s="21">
        <v>947.91099999999994</v>
      </c>
      <c r="G16" s="22">
        <v>2.7E-2</v>
      </c>
      <c r="H16" s="40"/>
      <c r="I16" s="24"/>
      <c r="J16" s="5"/>
    </row>
    <row r="17" spans="1:10" ht="12.95" customHeight="1">
      <c r="A17" s="18" t="s">
        <v>275</v>
      </c>
      <c r="B17" s="19" t="s">
        <v>276</v>
      </c>
      <c r="C17" s="15" t="s">
        <v>277</v>
      </c>
      <c r="D17" s="15" t="s">
        <v>271</v>
      </c>
      <c r="E17" s="20">
        <v>156113</v>
      </c>
      <c r="F17" s="21">
        <v>934.4144</v>
      </c>
      <c r="G17" s="22">
        <v>2.6599999999999999E-2</v>
      </c>
      <c r="H17" s="40"/>
      <c r="I17" s="24"/>
      <c r="J17" s="5"/>
    </row>
    <row r="18" spans="1:10" ht="12.95" customHeight="1">
      <c r="A18" s="18" t="s">
        <v>345</v>
      </c>
      <c r="B18" s="19" t="s">
        <v>346</v>
      </c>
      <c r="C18" s="15" t="s">
        <v>347</v>
      </c>
      <c r="D18" s="15" t="s">
        <v>348</v>
      </c>
      <c r="E18" s="20">
        <v>36341</v>
      </c>
      <c r="F18" s="21">
        <v>896.02369999999996</v>
      </c>
      <c r="G18" s="22">
        <v>2.5499999999999998E-2</v>
      </c>
      <c r="H18" s="40"/>
      <c r="I18" s="24"/>
      <c r="J18" s="5"/>
    </row>
    <row r="19" spans="1:10" ht="12.95" customHeight="1">
      <c r="A19" s="18" t="s">
        <v>727</v>
      </c>
      <c r="B19" s="19" t="s">
        <v>728</v>
      </c>
      <c r="C19" s="15" t="s">
        <v>729</v>
      </c>
      <c r="D19" s="15" t="s">
        <v>255</v>
      </c>
      <c r="E19" s="20">
        <v>10930</v>
      </c>
      <c r="F19" s="21">
        <v>853.71500000000003</v>
      </c>
      <c r="G19" s="22">
        <v>2.4299999999999999E-2</v>
      </c>
      <c r="H19" s="40"/>
      <c r="I19" s="24"/>
      <c r="J19" s="5"/>
    </row>
    <row r="20" spans="1:10" ht="12.95" customHeight="1">
      <c r="A20" s="18" t="s">
        <v>321</v>
      </c>
      <c r="B20" s="19" t="s">
        <v>322</v>
      </c>
      <c r="C20" s="15" t="s">
        <v>323</v>
      </c>
      <c r="D20" s="15" t="s">
        <v>324</v>
      </c>
      <c r="E20" s="20">
        <v>18343</v>
      </c>
      <c r="F20" s="21">
        <v>579.83140000000003</v>
      </c>
      <c r="G20" s="22">
        <v>1.6500000000000001E-2</v>
      </c>
      <c r="H20" s="40"/>
      <c r="I20" s="24"/>
      <c r="J20" s="5"/>
    </row>
    <row r="21" spans="1:10" ht="12.95" customHeight="1">
      <c r="A21" s="18" t="s">
        <v>733</v>
      </c>
      <c r="B21" s="19" t="s">
        <v>734</v>
      </c>
      <c r="C21" s="15" t="s">
        <v>735</v>
      </c>
      <c r="D21" s="15" t="s">
        <v>281</v>
      </c>
      <c r="E21" s="20">
        <v>5370</v>
      </c>
      <c r="F21" s="21">
        <v>569.78920000000005</v>
      </c>
      <c r="G21" s="22">
        <v>1.6199999999999999E-2</v>
      </c>
      <c r="H21" s="40"/>
      <c r="I21" s="24"/>
      <c r="J21" s="5"/>
    </row>
    <row r="22" spans="1:10" ht="12.95" customHeight="1">
      <c r="A22" s="18" t="s">
        <v>730</v>
      </c>
      <c r="B22" s="19" t="s">
        <v>731</v>
      </c>
      <c r="C22" s="15" t="s">
        <v>732</v>
      </c>
      <c r="D22" s="15" t="s">
        <v>281</v>
      </c>
      <c r="E22" s="20">
        <v>36390</v>
      </c>
      <c r="F22" s="21">
        <v>565.59159999999997</v>
      </c>
      <c r="G22" s="22">
        <v>1.61E-2</v>
      </c>
      <c r="H22" s="40"/>
      <c r="I22" s="24"/>
      <c r="J22" s="5"/>
    </row>
    <row r="23" spans="1:10" ht="12.95" customHeight="1">
      <c r="A23" s="18" t="s">
        <v>736</v>
      </c>
      <c r="B23" s="19" t="s">
        <v>737</v>
      </c>
      <c r="C23" s="15" t="s">
        <v>738</v>
      </c>
      <c r="D23" s="15" t="s">
        <v>324</v>
      </c>
      <c r="E23" s="20">
        <v>16993</v>
      </c>
      <c r="F23" s="21">
        <v>535.07560000000001</v>
      </c>
      <c r="G23" s="22">
        <v>1.52E-2</v>
      </c>
      <c r="H23" s="40"/>
      <c r="I23" s="24"/>
      <c r="J23" s="5"/>
    </row>
    <row r="24" spans="1:10" ht="12.95" customHeight="1">
      <c r="A24" s="18" t="s">
        <v>739</v>
      </c>
      <c r="B24" s="19" t="s">
        <v>740</v>
      </c>
      <c r="C24" s="15" t="s">
        <v>741</v>
      </c>
      <c r="D24" s="15" t="s">
        <v>263</v>
      </c>
      <c r="E24" s="20">
        <v>43041</v>
      </c>
      <c r="F24" s="21">
        <v>531.47029999999995</v>
      </c>
      <c r="G24" s="22">
        <v>1.5100000000000001E-2</v>
      </c>
      <c r="H24" s="40"/>
      <c r="I24" s="24"/>
      <c r="J24" s="5"/>
    </row>
    <row r="25" spans="1:10" ht="12.95" customHeight="1">
      <c r="A25" s="18" t="s">
        <v>742</v>
      </c>
      <c r="B25" s="19" t="s">
        <v>743</v>
      </c>
      <c r="C25" s="15" t="s">
        <v>744</v>
      </c>
      <c r="D25" s="15" t="s">
        <v>745</v>
      </c>
      <c r="E25" s="20">
        <v>43980</v>
      </c>
      <c r="F25" s="21">
        <v>509.57429999999999</v>
      </c>
      <c r="G25" s="22">
        <v>1.4500000000000001E-2</v>
      </c>
      <c r="H25" s="40"/>
      <c r="I25" s="24"/>
      <c r="J25" s="5"/>
    </row>
    <row r="26" spans="1:10" ht="12.95" customHeight="1">
      <c r="A26" s="18" t="s">
        <v>288</v>
      </c>
      <c r="B26" s="19" t="s">
        <v>289</v>
      </c>
      <c r="C26" s="15" t="s">
        <v>290</v>
      </c>
      <c r="D26" s="15" t="s">
        <v>291</v>
      </c>
      <c r="E26" s="20">
        <v>193386</v>
      </c>
      <c r="F26" s="21">
        <v>474.85930000000002</v>
      </c>
      <c r="G26" s="22">
        <v>1.35E-2</v>
      </c>
      <c r="H26" s="40"/>
      <c r="I26" s="24"/>
      <c r="J26" s="5"/>
    </row>
    <row r="27" spans="1:10" ht="12.95" customHeight="1">
      <c r="A27" s="18" t="s">
        <v>278</v>
      </c>
      <c r="B27" s="19" t="s">
        <v>279</v>
      </c>
      <c r="C27" s="15" t="s">
        <v>280</v>
      </c>
      <c r="D27" s="15" t="s">
        <v>281</v>
      </c>
      <c r="E27" s="20">
        <v>71668</v>
      </c>
      <c r="F27" s="21">
        <v>451.65170000000001</v>
      </c>
      <c r="G27" s="22">
        <v>1.29E-2</v>
      </c>
      <c r="H27" s="40"/>
      <c r="I27" s="24"/>
      <c r="J27" s="5"/>
    </row>
    <row r="28" spans="1:10" ht="12.95" customHeight="1">
      <c r="A28" s="18" t="s">
        <v>746</v>
      </c>
      <c r="B28" s="19" t="s">
        <v>747</v>
      </c>
      <c r="C28" s="15" t="s">
        <v>748</v>
      </c>
      <c r="D28" s="15" t="s">
        <v>344</v>
      </c>
      <c r="E28" s="20">
        <v>328183</v>
      </c>
      <c r="F28" s="21">
        <v>423.02789999999999</v>
      </c>
      <c r="G28" s="22">
        <v>1.21E-2</v>
      </c>
      <c r="H28" s="40"/>
      <c r="I28" s="24"/>
      <c r="J28" s="5"/>
    </row>
    <row r="29" spans="1:10" ht="12.95" customHeight="1">
      <c r="A29" s="18" t="s">
        <v>264</v>
      </c>
      <c r="B29" s="19" t="s">
        <v>265</v>
      </c>
      <c r="C29" s="15" t="s">
        <v>266</v>
      </c>
      <c r="D29" s="15" t="s">
        <v>267</v>
      </c>
      <c r="E29" s="20">
        <v>4683</v>
      </c>
      <c r="F29" s="21">
        <v>386.57459999999998</v>
      </c>
      <c r="G29" s="22">
        <v>1.0999999999999999E-2</v>
      </c>
      <c r="H29" s="40"/>
      <c r="I29" s="24"/>
      <c r="J29" s="5"/>
    </row>
    <row r="30" spans="1:10" ht="12.95" customHeight="1">
      <c r="A30" s="18" t="s">
        <v>693</v>
      </c>
      <c r="B30" s="19" t="s">
        <v>694</v>
      </c>
      <c r="C30" s="15" t="s">
        <v>695</v>
      </c>
      <c r="D30" s="15" t="s">
        <v>271</v>
      </c>
      <c r="E30" s="20">
        <v>26606</v>
      </c>
      <c r="F30" s="21">
        <v>380.15980000000002</v>
      </c>
      <c r="G30" s="22">
        <v>1.0800000000000001E-2</v>
      </c>
      <c r="H30" s="40"/>
      <c r="I30" s="24"/>
      <c r="J30" s="5"/>
    </row>
    <row r="31" spans="1:10" ht="12.95" customHeight="1">
      <c r="A31" s="18" t="s">
        <v>356</v>
      </c>
      <c r="B31" s="19" t="s">
        <v>357</v>
      </c>
      <c r="C31" s="15" t="s">
        <v>358</v>
      </c>
      <c r="D31" s="15" t="s">
        <v>291</v>
      </c>
      <c r="E31" s="20">
        <v>185429</v>
      </c>
      <c r="F31" s="21">
        <v>370.39440000000002</v>
      </c>
      <c r="G31" s="22">
        <v>1.06E-2</v>
      </c>
      <c r="H31" s="40"/>
      <c r="I31" s="24"/>
      <c r="J31" s="5"/>
    </row>
    <row r="32" spans="1:10" ht="12.95" customHeight="1">
      <c r="A32" s="18" t="s">
        <v>749</v>
      </c>
      <c r="B32" s="19" t="s">
        <v>750</v>
      </c>
      <c r="C32" s="15" t="s">
        <v>751</v>
      </c>
      <c r="D32" s="15" t="s">
        <v>255</v>
      </c>
      <c r="E32" s="20">
        <v>22022</v>
      </c>
      <c r="F32" s="21">
        <v>339.19389999999999</v>
      </c>
      <c r="G32" s="22">
        <v>9.7000000000000003E-3</v>
      </c>
      <c r="H32" s="40"/>
      <c r="I32" s="24"/>
      <c r="J32" s="5"/>
    </row>
    <row r="33" spans="1:10" ht="12.95" customHeight="1">
      <c r="A33" s="18" t="s">
        <v>752</v>
      </c>
      <c r="B33" s="19" t="s">
        <v>753</v>
      </c>
      <c r="C33" s="15" t="s">
        <v>754</v>
      </c>
      <c r="D33" s="15" t="s">
        <v>755</v>
      </c>
      <c r="E33" s="20">
        <v>1390</v>
      </c>
      <c r="F33" s="21">
        <v>312.84589999999997</v>
      </c>
      <c r="G33" s="22">
        <v>8.8999999999999999E-3</v>
      </c>
      <c r="H33" s="40"/>
      <c r="I33" s="24"/>
      <c r="J33" s="5"/>
    </row>
    <row r="34" spans="1:10" ht="12.95" customHeight="1">
      <c r="A34" s="18" t="s">
        <v>335</v>
      </c>
      <c r="B34" s="19" t="s">
        <v>336</v>
      </c>
      <c r="C34" s="15" t="s">
        <v>337</v>
      </c>
      <c r="D34" s="15" t="s">
        <v>263</v>
      </c>
      <c r="E34" s="20">
        <v>25365</v>
      </c>
      <c r="F34" s="21">
        <v>310.16320000000002</v>
      </c>
      <c r="G34" s="22">
        <v>8.8000000000000005E-3</v>
      </c>
      <c r="H34" s="40"/>
      <c r="I34" s="24"/>
      <c r="J34" s="5"/>
    </row>
    <row r="35" spans="1:10" ht="12.95" customHeight="1">
      <c r="A35" s="18" t="s">
        <v>3346</v>
      </c>
      <c r="B35" s="19" t="s">
        <v>3347</v>
      </c>
      <c r="C35" s="15" t="s">
        <v>3348</v>
      </c>
      <c r="D35" s="15" t="s">
        <v>3349</v>
      </c>
      <c r="E35" s="20">
        <v>158720</v>
      </c>
      <c r="F35" s="21">
        <v>304.5043</v>
      </c>
      <c r="G35" s="22">
        <v>8.6999999999999994E-3</v>
      </c>
      <c r="H35" s="40"/>
      <c r="I35" s="24"/>
      <c r="J35" s="5"/>
    </row>
    <row r="36" spans="1:10" ht="12.95" customHeight="1">
      <c r="A36" s="18" t="s">
        <v>756</v>
      </c>
      <c r="B36" s="19" t="s">
        <v>757</v>
      </c>
      <c r="C36" s="15" t="s">
        <v>758</v>
      </c>
      <c r="D36" s="15" t="s">
        <v>344</v>
      </c>
      <c r="E36" s="20">
        <v>38417</v>
      </c>
      <c r="F36" s="21">
        <v>299.49889999999999</v>
      </c>
      <c r="G36" s="22">
        <v>8.5000000000000006E-3</v>
      </c>
      <c r="H36" s="40"/>
      <c r="I36" s="24"/>
      <c r="J36" s="5"/>
    </row>
    <row r="37" spans="1:10" ht="12.95" customHeight="1">
      <c r="A37" s="18" t="s">
        <v>3342</v>
      </c>
      <c r="B37" s="19" t="s">
        <v>3343</v>
      </c>
      <c r="C37" s="15" t="s">
        <v>3344</v>
      </c>
      <c r="D37" s="15" t="s">
        <v>3345</v>
      </c>
      <c r="E37" s="20">
        <v>12378</v>
      </c>
      <c r="F37" s="21">
        <v>298.79250000000002</v>
      </c>
      <c r="G37" s="22">
        <v>8.5000000000000006E-3</v>
      </c>
      <c r="H37" s="40"/>
      <c r="I37" s="24"/>
      <c r="J37" s="5"/>
    </row>
    <row r="38" spans="1:10" ht="12.95" customHeight="1">
      <c r="A38" s="18" t="s">
        <v>404</v>
      </c>
      <c r="B38" s="19" t="s">
        <v>405</v>
      </c>
      <c r="C38" s="15" t="s">
        <v>406</v>
      </c>
      <c r="D38" s="15" t="s">
        <v>407</v>
      </c>
      <c r="E38" s="20">
        <v>59399</v>
      </c>
      <c r="F38" s="21">
        <v>292.62920000000003</v>
      </c>
      <c r="G38" s="22">
        <v>8.3000000000000001E-3</v>
      </c>
      <c r="H38" s="40"/>
      <c r="I38" s="24"/>
      <c r="J38" s="5"/>
    </row>
    <row r="39" spans="1:10" ht="12.95" customHeight="1">
      <c r="A39" s="18" t="s">
        <v>1733</v>
      </c>
      <c r="B39" s="19" t="s">
        <v>1734</v>
      </c>
      <c r="C39" s="15" t="s">
        <v>1735</v>
      </c>
      <c r="D39" s="15" t="s">
        <v>267</v>
      </c>
      <c r="E39" s="20">
        <v>15006</v>
      </c>
      <c r="F39" s="21">
        <v>291.47649999999999</v>
      </c>
      <c r="G39" s="22">
        <v>8.3000000000000001E-3</v>
      </c>
      <c r="H39" s="40"/>
      <c r="I39" s="24"/>
      <c r="J39" s="5"/>
    </row>
    <row r="40" spans="1:10" ht="12.95" customHeight="1">
      <c r="A40" s="18" t="s">
        <v>3350</v>
      </c>
      <c r="B40" s="19" t="s">
        <v>3351</v>
      </c>
      <c r="C40" s="15" t="s">
        <v>3352</v>
      </c>
      <c r="D40" s="15" t="s">
        <v>1859</v>
      </c>
      <c r="E40" s="20">
        <v>34288</v>
      </c>
      <c r="F40" s="21">
        <v>282.92739999999998</v>
      </c>
      <c r="G40" s="22">
        <v>8.0999999999999996E-3</v>
      </c>
      <c r="H40" s="40"/>
      <c r="I40" s="24"/>
      <c r="J40" s="5"/>
    </row>
    <row r="41" spans="1:10" ht="12.95" customHeight="1">
      <c r="A41" s="18" t="s">
        <v>1610</v>
      </c>
      <c r="B41" s="19" t="s">
        <v>1611</v>
      </c>
      <c r="C41" s="15" t="s">
        <v>1612</v>
      </c>
      <c r="D41" s="15" t="s">
        <v>890</v>
      </c>
      <c r="E41" s="20">
        <v>43668</v>
      </c>
      <c r="F41" s="21">
        <v>278.33980000000003</v>
      </c>
      <c r="G41" s="22">
        <v>7.9000000000000008E-3</v>
      </c>
      <c r="H41" s="40"/>
      <c r="I41" s="24"/>
      <c r="J41" s="5"/>
    </row>
    <row r="42" spans="1:10" ht="12.95" customHeight="1">
      <c r="A42" s="18" t="s">
        <v>1727</v>
      </c>
      <c r="B42" s="19" t="s">
        <v>1728</v>
      </c>
      <c r="C42" s="15" t="s">
        <v>1729</v>
      </c>
      <c r="D42" s="15" t="s">
        <v>745</v>
      </c>
      <c r="E42" s="20">
        <v>4977</v>
      </c>
      <c r="F42" s="21">
        <v>278.065</v>
      </c>
      <c r="G42" s="22">
        <v>7.9000000000000008E-3</v>
      </c>
      <c r="H42" s="40"/>
      <c r="I42" s="24"/>
      <c r="J42" s="5"/>
    </row>
    <row r="43" spans="1:10" ht="12.95" customHeight="1">
      <c r="A43" s="18" t="s">
        <v>377</v>
      </c>
      <c r="B43" s="19" t="s">
        <v>378</v>
      </c>
      <c r="C43" s="15" t="s">
        <v>379</v>
      </c>
      <c r="D43" s="15" t="s">
        <v>380</v>
      </c>
      <c r="E43" s="20">
        <v>92034</v>
      </c>
      <c r="F43" s="21">
        <v>271.68439999999998</v>
      </c>
      <c r="G43" s="22">
        <v>7.7000000000000002E-3</v>
      </c>
      <c r="H43" s="40"/>
      <c r="I43" s="24"/>
      <c r="J43" s="5"/>
    </row>
    <row r="44" spans="1:10" ht="12.95" customHeight="1">
      <c r="A44" s="18" t="s">
        <v>1575</v>
      </c>
      <c r="B44" s="19" t="s">
        <v>1576</v>
      </c>
      <c r="C44" s="15" t="s">
        <v>1577</v>
      </c>
      <c r="D44" s="15" t="s">
        <v>745</v>
      </c>
      <c r="E44" s="20">
        <v>21347</v>
      </c>
      <c r="F44" s="21">
        <v>253.20740000000001</v>
      </c>
      <c r="G44" s="22">
        <v>7.1999999999999998E-3</v>
      </c>
      <c r="H44" s="40"/>
      <c r="I44" s="24"/>
      <c r="J44" s="5"/>
    </row>
    <row r="45" spans="1:10" ht="12.95" customHeight="1">
      <c r="A45" s="18" t="s">
        <v>759</v>
      </c>
      <c r="B45" s="19" t="s">
        <v>760</v>
      </c>
      <c r="C45" s="15" t="s">
        <v>761</v>
      </c>
      <c r="D45" s="15" t="s">
        <v>263</v>
      </c>
      <c r="E45" s="20">
        <v>60331</v>
      </c>
      <c r="F45" s="21">
        <v>244.97399999999999</v>
      </c>
      <c r="G45" s="22">
        <v>7.0000000000000001E-3</v>
      </c>
      <c r="H45" s="40"/>
      <c r="I45" s="24"/>
      <c r="J45" s="5"/>
    </row>
    <row r="46" spans="1:10" ht="12.95" customHeight="1">
      <c r="A46" s="18" t="s">
        <v>1578</v>
      </c>
      <c r="B46" s="19" t="s">
        <v>1579</v>
      </c>
      <c r="C46" s="15" t="s">
        <v>1580</v>
      </c>
      <c r="D46" s="15" t="s">
        <v>890</v>
      </c>
      <c r="E46" s="20">
        <v>18334</v>
      </c>
      <c r="F46" s="21">
        <v>239.33199999999999</v>
      </c>
      <c r="G46" s="22">
        <v>6.7999999999999996E-3</v>
      </c>
      <c r="H46" s="40"/>
      <c r="I46" s="24"/>
      <c r="J46" s="5"/>
    </row>
    <row r="47" spans="1:10" ht="12.95" customHeight="1">
      <c r="A47" s="18" t="s">
        <v>763</v>
      </c>
      <c r="B47" s="19" t="s">
        <v>764</v>
      </c>
      <c r="C47" s="15" t="s">
        <v>765</v>
      </c>
      <c r="D47" s="15" t="s">
        <v>281</v>
      </c>
      <c r="E47" s="20">
        <v>4633</v>
      </c>
      <c r="F47" s="21">
        <v>234.60120000000001</v>
      </c>
      <c r="G47" s="22">
        <v>6.7000000000000002E-3</v>
      </c>
      <c r="H47" s="40"/>
      <c r="I47" s="24"/>
      <c r="J47" s="5"/>
    </row>
    <row r="48" spans="1:10" ht="12.95" customHeight="1">
      <c r="A48" s="18" t="s">
        <v>769</v>
      </c>
      <c r="B48" s="19" t="s">
        <v>770</v>
      </c>
      <c r="C48" s="15" t="s">
        <v>771</v>
      </c>
      <c r="D48" s="15" t="s">
        <v>755</v>
      </c>
      <c r="E48" s="20">
        <v>4702</v>
      </c>
      <c r="F48" s="21">
        <v>213.33680000000001</v>
      </c>
      <c r="G48" s="22">
        <v>6.1000000000000004E-3</v>
      </c>
      <c r="H48" s="40"/>
      <c r="I48" s="24"/>
      <c r="J48" s="5"/>
    </row>
    <row r="49" spans="1:10" ht="12.95" customHeight="1">
      <c r="A49" s="18" t="s">
        <v>772</v>
      </c>
      <c r="B49" s="19" t="s">
        <v>773</v>
      </c>
      <c r="C49" s="15" t="s">
        <v>774</v>
      </c>
      <c r="D49" s="15" t="s">
        <v>310</v>
      </c>
      <c r="E49" s="20">
        <v>23948</v>
      </c>
      <c r="F49" s="21">
        <v>210</v>
      </c>
      <c r="G49" s="22">
        <v>6.0000000000000001E-3</v>
      </c>
      <c r="H49" s="40"/>
      <c r="I49" s="24"/>
      <c r="J49" s="5"/>
    </row>
    <row r="50" spans="1:10" ht="12.95" customHeight="1">
      <c r="A50" s="18" t="s">
        <v>775</v>
      </c>
      <c r="B50" s="19" t="s">
        <v>776</v>
      </c>
      <c r="C50" s="15" t="s">
        <v>777</v>
      </c>
      <c r="D50" s="15" t="s">
        <v>778</v>
      </c>
      <c r="E50" s="20">
        <v>4022</v>
      </c>
      <c r="F50" s="21">
        <v>206.6403</v>
      </c>
      <c r="G50" s="22">
        <v>5.8999999999999999E-3</v>
      </c>
      <c r="H50" s="40"/>
      <c r="I50" s="24"/>
      <c r="J50" s="5"/>
    </row>
    <row r="51" spans="1:10" ht="12.95" customHeight="1">
      <c r="A51" s="18" t="s">
        <v>318</v>
      </c>
      <c r="B51" s="19" t="s">
        <v>319</v>
      </c>
      <c r="C51" s="15" t="s">
        <v>320</v>
      </c>
      <c r="D51" s="15" t="s">
        <v>263</v>
      </c>
      <c r="E51" s="20">
        <v>3680</v>
      </c>
      <c r="F51" s="21">
        <v>191.7225</v>
      </c>
      <c r="G51" s="22">
        <v>5.4999999999999997E-3</v>
      </c>
      <c r="H51" s="40"/>
      <c r="I51" s="24"/>
      <c r="J51" s="5"/>
    </row>
    <row r="52" spans="1:10" ht="12.95" customHeight="1">
      <c r="A52" s="18" t="s">
        <v>839</v>
      </c>
      <c r="B52" s="19" t="s">
        <v>840</v>
      </c>
      <c r="C52" s="15" t="s">
        <v>841</v>
      </c>
      <c r="D52" s="15" t="s">
        <v>745</v>
      </c>
      <c r="E52" s="20">
        <v>5057</v>
      </c>
      <c r="F52" s="21">
        <v>190.40360000000001</v>
      </c>
      <c r="G52" s="22">
        <v>5.4000000000000003E-3</v>
      </c>
      <c r="H52" s="40"/>
      <c r="I52" s="24"/>
      <c r="J52" s="5"/>
    </row>
    <row r="53" spans="1:10" ht="12.95" customHeight="1">
      <c r="A53" s="18" t="s">
        <v>779</v>
      </c>
      <c r="B53" s="19" t="s">
        <v>780</v>
      </c>
      <c r="C53" s="15" t="s">
        <v>781</v>
      </c>
      <c r="D53" s="15" t="s">
        <v>281</v>
      </c>
      <c r="E53" s="20">
        <v>5411</v>
      </c>
      <c r="F53" s="21">
        <v>186.5145</v>
      </c>
      <c r="G53" s="22">
        <v>5.3E-3</v>
      </c>
      <c r="H53" s="40"/>
      <c r="I53" s="24"/>
      <c r="J53" s="5"/>
    </row>
    <row r="54" spans="1:10" ht="12.95" customHeight="1">
      <c r="A54" s="18" t="s">
        <v>792</v>
      </c>
      <c r="B54" s="19" t="s">
        <v>793</v>
      </c>
      <c r="C54" s="15" t="s">
        <v>794</v>
      </c>
      <c r="D54" s="15" t="s">
        <v>281</v>
      </c>
      <c r="E54" s="20">
        <v>5279</v>
      </c>
      <c r="F54" s="21">
        <v>161.3922</v>
      </c>
      <c r="G54" s="22">
        <v>4.5999999999999999E-3</v>
      </c>
      <c r="H54" s="40"/>
      <c r="I54" s="24"/>
      <c r="J54" s="5"/>
    </row>
    <row r="55" spans="1:10" ht="12.95" customHeight="1">
      <c r="A55" s="18" t="s">
        <v>368</v>
      </c>
      <c r="B55" s="19" t="s">
        <v>369</v>
      </c>
      <c r="C55" s="15" t="s">
        <v>370</v>
      </c>
      <c r="D55" s="15" t="s">
        <v>251</v>
      </c>
      <c r="E55" s="20">
        <v>38342</v>
      </c>
      <c r="F55" s="21">
        <v>132.89340000000001</v>
      </c>
      <c r="G55" s="22">
        <v>3.8E-3</v>
      </c>
      <c r="H55" s="40"/>
      <c r="I55" s="24"/>
      <c r="J55" s="5"/>
    </row>
    <row r="56" spans="1:10" ht="12.95" customHeight="1">
      <c r="A56" s="18" t="s">
        <v>1773</v>
      </c>
      <c r="B56" s="19" t="s">
        <v>1774</v>
      </c>
      <c r="C56" s="15" t="s">
        <v>1775</v>
      </c>
      <c r="D56" s="15" t="s">
        <v>832</v>
      </c>
      <c r="E56" s="20">
        <v>20272</v>
      </c>
      <c r="F56" s="21">
        <v>124.92619999999999</v>
      </c>
      <c r="G56" s="22">
        <v>3.5999999999999999E-3</v>
      </c>
      <c r="H56" s="40"/>
      <c r="I56" s="24"/>
      <c r="J56" s="5"/>
    </row>
    <row r="57" spans="1:10" ht="12.95" customHeight="1">
      <c r="A57" s="5"/>
      <c r="B57" s="14" t="s">
        <v>160</v>
      </c>
      <c r="C57" s="15"/>
      <c r="D57" s="15"/>
      <c r="E57" s="15"/>
      <c r="F57" s="25">
        <v>34981.912900000003</v>
      </c>
      <c r="G57" s="26">
        <v>0.99690000000000001</v>
      </c>
      <c r="H57" s="27"/>
      <c r="I57" s="28"/>
      <c r="J57" s="5"/>
    </row>
    <row r="58" spans="1:10" ht="12.95" customHeight="1">
      <c r="A58" s="5"/>
      <c r="B58" s="29" t="s">
        <v>408</v>
      </c>
      <c r="C58" s="2"/>
      <c r="D58" s="2"/>
      <c r="E58" s="2"/>
      <c r="F58" s="27" t="s">
        <v>162</v>
      </c>
      <c r="G58" s="27" t="s">
        <v>162</v>
      </c>
      <c r="H58" s="27"/>
      <c r="I58" s="28"/>
      <c r="J58" s="5"/>
    </row>
    <row r="59" spans="1:10" ht="12.95" customHeight="1">
      <c r="A59" s="5"/>
      <c r="B59" s="29" t="s">
        <v>160</v>
      </c>
      <c r="C59" s="2"/>
      <c r="D59" s="2"/>
      <c r="E59" s="2"/>
      <c r="F59" s="27" t="s">
        <v>162</v>
      </c>
      <c r="G59" s="27" t="s">
        <v>162</v>
      </c>
      <c r="H59" s="27"/>
      <c r="I59" s="28"/>
      <c r="J59" s="5"/>
    </row>
    <row r="60" spans="1:10" ht="12.95" customHeight="1">
      <c r="A60" s="5"/>
      <c r="B60" s="29" t="s">
        <v>163</v>
      </c>
      <c r="C60" s="30"/>
      <c r="D60" s="2"/>
      <c r="E60" s="30"/>
      <c r="F60" s="25">
        <v>34981.912900000003</v>
      </c>
      <c r="G60" s="26">
        <v>0.99690000000000001</v>
      </c>
      <c r="H60" s="27"/>
      <c r="I60" s="28"/>
      <c r="J60" s="5"/>
    </row>
    <row r="61" spans="1:10" ht="12.95" customHeight="1">
      <c r="A61" s="5"/>
      <c r="B61" s="14" t="s">
        <v>151</v>
      </c>
      <c r="C61" s="15"/>
      <c r="D61" s="15"/>
      <c r="E61" s="15"/>
      <c r="F61" s="15"/>
      <c r="G61" s="15"/>
      <c r="H61" s="16"/>
      <c r="I61" s="17"/>
      <c r="J61" s="5"/>
    </row>
    <row r="62" spans="1:10" ht="12.95" customHeight="1">
      <c r="A62" s="5"/>
      <c r="B62" s="14" t="s">
        <v>152</v>
      </c>
      <c r="C62" s="15"/>
      <c r="D62" s="15"/>
      <c r="E62" s="15"/>
      <c r="F62" s="5"/>
      <c r="G62" s="16"/>
      <c r="H62" s="16"/>
      <c r="I62" s="17"/>
      <c r="J62" s="5"/>
    </row>
    <row r="63" spans="1:10" ht="12.95" customHeight="1">
      <c r="A63" s="18" t="s">
        <v>3354</v>
      </c>
      <c r="B63" s="19" t="s">
        <v>3355</v>
      </c>
      <c r="C63" s="15" t="s">
        <v>3356</v>
      </c>
      <c r="D63" s="15" t="s">
        <v>179</v>
      </c>
      <c r="E63" s="20">
        <v>672</v>
      </c>
      <c r="F63" s="21">
        <v>0.19220000000000001</v>
      </c>
      <c r="G63" s="40" t="s">
        <v>675</v>
      </c>
      <c r="H63" s="23">
        <v>7.5480000000000005E-2</v>
      </c>
      <c r="I63" s="24"/>
      <c r="J63" s="5"/>
    </row>
    <row r="64" spans="1:10" ht="12.95" customHeight="1">
      <c r="A64" s="5"/>
      <c r="B64" s="14" t="s">
        <v>160</v>
      </c>
      <c r="C64" s="15"/>
      <c r="D64" s="15"/>
      <c r="E64" s="15"/>
      <c r="F64" s="25">
        <v>0.19220000000000001</v>
      </c>
      <c r="G64" s="26" t="s">
        <v>675</v>
      </c>
      <c r="H64" s="27"/>
      <c r="I64" s="28"/>
      <c r="J64" s="5"/>
    </row>
    <row r="65" spans="1:10" ht="12.95" customHeight="1">
      <c r="A65" s="5"/>
      <c r="B65" s="29" t="s">
        <v>161</v>
      </c>
      <c r="C65" s="2"/>
      <c r="D65" s="2"/>
      <c r="E65" s="2"/>
      <c r="F65" s="27" t="s">
        <v>162</v>
      </c>
      <c r="G65" s="27" t="s">
        <v>162</v>
      </c>
      <c r="H65" s="27"/>
      <c r="I65" s="28"/>
      <c r="J65" s="5"/>
    </row>
    <row r="66" spans="1:10" ht="12.95" customHeight="1">
      <c r="A66" s="5"/>
      <c r="B66" s="29" t="s">
        <v>160</v>
      </c>
      <c r="C66" s="2"/>
      <c r="D66" s="2"/>
      <c r="E66" s="2"/>
      <c r="F66" s="27" t="s">
        <v>162</v>
      </c>
      <c r="G66" s="27" t="s">
        <v>162</v>
      </c>
      <c r="H66" s="27"/>
      <c r="I66" s="28"/>
      <c r="J66" s="5"/>
    </row>
    <row r="67" spans="1:10" ht="12.95" customHeight="1">
      <c r="A67" s="5"/>
      <c r="B67" s="29" t="s">
        <v>163</v>
      </c>
      <c r="C67" s="30"/>
      <c r="D67" s="2"/>
      <c r="E67" s="30"/>
      <c r="F67" s="25">
        <v>0.19220000000000001</v>
      </c>
      <c r="G67" s="26" t="s">
        <v>675</v>
      </c>
      <c r="H67" s="27"/>
      <c r="I67" s="28"/>
      <c r="J67" s="5"/>
    </row>
    <row r="68" spans="1:10" ht="12.95" customHeight="1">
      <c r="A68" s="5"/>
      <c r="B68" s="14" t="s">
        <v>164</v>
      </c>
      <c r="C68" s="15"/>
      <c r="D68" s="15"/>
      <c r="E68" s="15"/>
      <c r="F68" s="15"/>
      <c r="G68" s="15"/>
      <c r="H68" s="16"/>
      <c r="I68" s="17"/>
      <c r="J68" s="5"/>
    </row>
    <row r="69" spans="1:10" ht="12.95" customHeight="1">
      <c r="A69" s="18" t="s">
        <v>165</v>
      </c>
      <c r="B69" s="19" t="s">
        <v>166</v>
      </c>
      <c r="C69" s="15"/>
      <c r="D69" s="15"/>
      <c r="E69" s="20"/>
      <c r="F69" s="21">
        <v>18295.893199999999</v>
      </c>
      <c r="G69" s="22">
        <v>0.52139999999999997</v>
      </c>
      <c r="H69" s="23">
        <v>6.7996829688028088E-2</v>
      </c>
      <c r="I69" s="24"/>
      <c r="J69" s="5"/>
    </row>
    <row r="70" spans="1:10" ht="12.95" customHeight="1">
      <c r="A70" s="5"/>
      <c r="B70" s="14" t="s">
        <v>160</v>
      </c>
      <c r="C70" s="15"/>
      <c r="D70" s="15"/>
      <c r="E70" s="15"/>
      <c r="F70" s="25">
        <v>18295.893199999999</v>
      </c>
      <c r="G70" s="26">
        <v>0.52139999999999997</v>
      </c>
      <c r="H70" s="27"/>
      <c r="I70" s="28"/>
      <c r="J70" s="5"/>
    </row>
    <row r="71" spans="1:10" ht="12.95" customHeight="1">
      <c r="A71" s="5"/>
      <c r="B71" s="29" t="s">
        <v>163</v>
      </c>
      <c r="C71" s="30"/>
      <c r="D71" s="2"/>
      <c r="E71" s="30"/>
      <c r="F71" s="25">
        <v>18295.893199999999</v>
      </c>
      <c r="G71" s="26">
        <v>0.52139999999999997</v>
      </c>
      <c r="H71" s="27"/>
      <c r="I71" s="28"/>
      <c r="J71" s="5"/>
    </row>
    <row r="72" spans="1:10" ht="12.95" customHeight="1">
      <c r="A72" s="5"/>
      <c r="B72" s="29" t="s">
        <v>167</v>
      </c>
      <c r="C72" s="15"/>
      <c r="D72" s="2"/>
      <c r="E72" s="15"/>
      <c r="F72" s="31">
        <v>-18187.068299999999</v>
      </c>
      <c r="G72" s="26">
        <v>-0.51829999999999998</v>
      </c>
      <c r="H72" s="27"/>
      <c r="I72" s="28"/>
      <c r="J72" s="5"/>
    </row>
    <row r="73" spans="1:10" ht="12.95" customHeight="1">
      <c r="A73" s="5"/>
      <c r="B73" s="32" t="s">
        <v>168</v>
      </c>
      <c r="C73" s="33"/>
      <c r="D73" s="33"/>
      <c r="E73" s="33"/>
      <c r="F73" s="34">
        <v>35090.93</v>
      </c>
      <c r="G73" s="35">
        <v>1</v>
      </c>
      <c r="H73" s="36"/>
      <c r="I73" s="37"/>
      <c r="J73" s="5"/>
    </row>
    <row r="74" spans="1:10" ht="12.95" customHeight="1">
      <c r="A74" s="5"/>
      <c r="B74" s="7"/>
      <c r="C74" s="5"/>
      <c r="D74" s="5"/>
      <c r="E74" s="5"/>
      <c r="F74" s="5"/>
      <c r="G74" s="5"/>
      <c r="H74" s="5"/>
      <c r="I74" s="5"/>
      <c r="J74" s="5"/>
    </row>
    <row r="75" spans="1:10" ht="12.95" customHeight="1">
      <c r="A75" s="5"/>
      <c r="B75" s="4" t="s">
        <v>169</v>
      </c>
      <c r="C75" s="5"/>
      <c r="D75" s="5"/>
      <c r="E75" s="5"/>
      <c r="F75" s="5"/>
      <c r="G75" s="5"/>
      <c r="H75" s="5"/>
      <c r="I75" s="5"/>
      <c r="J75" s="5"/>
    </row>
    <row r="76" spans="1:10" ht="12.95" customHeight="1">
      <c r="A76" s="5"/>
      <c r="B76" s="4" t="s">
        <v>207</v>
      </c>
      <c r="C76" s="5"/>
      <c r="D76" s="5"/>
      <c r="E76" s="5"/>
      <c r="F76" s="5"/>
      <c r="G76" s="5"/>
      <c r="H76" s="5"/>
      <c r="I76" s="5"/>
      <c r="J76" s="5"/>
    </row>
    <row r="77" spans="1:10" ht="12.95" customHeight="1">
      <c r="A77" s="5"/>
      <c r="B77" s="4" t="s">
        <v>685</v>
      </c>
      <c r="C77" s="5"/>
      <c r="D77" s="5"/>
      <c r="E77" s="5"/>
      <c r="F77" s="5"/>
      <c r="G77" s="5"/>
      <c r="H77" s="5"/>
      <c r="I77" s="5"/>
      <c r="J77" s="5"/>
    </row>
    <row r="78" spans="1:10" ht="12.95" customHeight="1">
      <c r="A78" s="5"/>
      <c r="B78" s="4" t="s">
        <v>170</v>
      </c>
      <c r="C78" s="5"/>
      <c r="D78" s="5"/>
      <c r="E78" s="5"/>
      <c r="F78" s="5"/>
      <c r="G78" s="5"/>
      <c r="H78" s="5"/>
      <c r="I78" s="5"/>
      <c r="J78" s="5"/>
    </row>
    <row r="79" spans="1:10" ht="26.1" customHeight="1">
      <c r="A79" s="5"/>
      <c r="B79" s="86" t="s">
        <v>171</v>
      </c>
      <c r="C79" s="86"/>
      <c r="D79" s="86"/>
      <c r="E79" s="86"/>
      <c r="F79" s="86"/>
      <c r="G79" s="86"/>
      <c r="H79" s="86"/>
      <c r="I79" s="86"/>
      <c r="J79" s="5"/>
    </row>
    <row r="80" spans="1:10" ht="12.95" customHeight="1">
      <c r="A80" s="5"/>
      <c r="B80" s="86"/>
      <c r="C80" s="86"/>
      <c r="D80" s="86"/>
      <c r="E80" s="86"/>
      <c r="F80" s="86"/>
      <c r="G80" s="86"/>
      <c r="H80" s="86"/>
      <c r="I80" s="86"/>
      <c r="J80" s="5"/>
    </row>
    <row r="81" spans="1:10" ht="12.95" customHeight="1">
      <c r="A81" s="5"/>
      <c r="B81" s="89" t="s">
        <v>3357</v>
      </c>
      <c r="C81" s="89"/>
      <c r="D81" s="89"/>
      <c r="E81" s="89"/>
      <c r="F81" s="5"/>
      <c r="G81" s="5"/>
      <c r="H81" s="5"/>
      <c r="I81" s="5"/>
      <c r="J81" s="5"/>
    </row>
    <row r="82" spans="1:10" ht="12.95" customHeight="1">
      <c r="A82" s="5"/>
      <c r="B82" s="86"/>
      <c r="C82" s="86"/>
      <c r="D82" s="86"/>
      <c r="E82" s="86"/>
      <c r="F82" s="86"/>
      <c r="G82" s="86"/>
      <c r="H82" s="86"/>
      <c r="I82" s="86"/>
      <c r="J82" s="5"/>
    </row>
    <row r="83" spans="1:10" ht="12.95" customHeight="1">
      <c r="A83" s="5"/>
      <c r="B83" s="5"/>
      <c r="C83" s="87" t="s">
        <v>3353</v>
      </c>
      <c r="D83" s="87"/>
      <c r="E83" s="87"/>
      <c r="F83" s="87"/>
      <c r="G83" s="5"/>
      <c r="H83" s="5"/>
      <c r="I83" s="5"/>
      <c r="J83" s="5"/>
    </row>
    <row r="84" spans="1:10" ht="12.95" customHeight="1">
      <c r="A84" s="5"/>
      <c r="B84" s="38" t="s">
        <v>173</v>
      </c>
      <c r="C84" s="87" t="s">
        <v>174</v>
      </c>
      <c r="D84" s="87"/>
      <c r="E84" s="87"/>
      <c r="F84" s="87"/>
      <c r="G84" s="5"/>
      <c r="H84" s="5"/>
      <c r="I84" s="5"/>
      <c r="J84" s="5"/>
    </row>
    <row r="85" spans="1:10" ht="120.95" customHeight="1">
      <c r="A85" s="5"/>
      <c r="B85" s="39"/>
      <c r="C85" s="85"/>
      <c r="D85" s="85"/>
      <c r="E85" s="5"/>
      <c r="F85" s="5"/>
      <c r="G85" s="5"/>
      <c r="H85" s="5"/>
      <c r="I85" s="5"/>
      <c r="J85" s="5"/>
    </row>
  </sheetData>
  <mergeCells count="7">
    <mergeCell ref="C84:F84"/>
    <mergeCell ref="C85:D85"/>
    <mergeCell ref="B79:I79"/>
    <mergeCell ref="B80:I80"/>
    <mergeCell ref="B81:E81"/>
    <mergeCell ref="B82:I82"/>
    <mergeCell ref="C83:F83"/>
  </mergeCells>
  <hyperlinks>
    <hyperlink ref="A1" location="AxisNIFTY50ETF" display="AXISNETF" xr:uid="{00000000-0004-0000-2C00-000000000000}"/>
    <hyperlink ref="B1" location="AxisNIFTY50ETF" display="Axis NIFTY 50 ETF" xr:uid="{00000000-0004-0000-2C00-000001000000}"/>
  </hyperlinks>
  <pageMargins left="0" right="0" top="0" bottom="0" header="0" footer="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92</v>
      </c>
      <c r="B1" s="4" t="s">
        <v>93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2540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2541</v>
      </c>
      <c r="B7" s="19" t="s">
        <v>2542</v>
      </c>
      <c r="C7" s="15" t="s">
        <v>2543</v>
      </c>
      <c r="D7" s="15"/>
      <c r="E7" s="20">
        <v>15650</v>
      </c>
      <c r="F7" s="21">
        <v>10939.2124</v>
      </c>
      <c r="G7" s="22">
        <v>0.94320000000000004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10939.2124</v>
      </c>
      <c r="G8" s="26">
        <v>0.94320000000000004</v>
      </c>
      <c r="H8" s="27"/>
      <c r="I8" s="28"/>
      <c r="J8" s="5"/>
    </row>
    <row r="9" spans="1:10" ht="12.95" customHeight="1">
      <c r="A9" s="5"/>
      <c r="B9" s="29" t="s">
        <v>163</v>
      </c>
      <c r="C9" s="30"/>
      <c r="D9" s="2"/>
      <c r="E9" s="30"/>
      <c r="F9" s="25">
        <v>10939.2124</v>
      </c>
      <c r="G9" s="26">
        <v>0.94320000000000004</v>
      </c>
      <c r="H9" s="27"/>
      <c r="I9" s="28"/>
      <c r="J9" s="5"/>
    </row>
    <row r="10" spans="1:10" ht="12.95" customHeight="1">
      <c r="A10" s="5"/>
      <c r="B10" s="14" t="s">
        <v>164</v>
      </c>
      <c r="C10" s="15"/>
      <c r="D10" s="15"/>
      <c r="E10" s="15"/>
      <c r="F10" s="15"/>
      <c r="G10" s="15"/>
      <c r="H10" s="16"/>
      <c r="I10" s="17"/>
      <c r="J10" s="5"/>
    </row>
    <row r="11" spans="1:10" ht="12.95" customHeight="1">
      <c r="A11" s="18" t="s">
        <v>165</v>
      </c>
      <c r="B11" s="19" t="s">
        <v>166</v>
      </c>
      <c r="C11" s="15"/>
      <c r="D11" s="15"/>
      <c r="E11" s="20"/>
      <c r="F11" s="21">
        <v>893.73699999999997</v>
      </c>
      <c r="G11" s="22">
        <v>7.7100000000000002E-2</v>
      </c>
      <c r="H11" s="23">
        <v>6.7996822382587321E-2</v>
      </c>
      <c r="I11" s="24"/>
      <c r="J11" s="5"/>
    </row>
    <row r="12" spans="1:10" ht="12.95" customHeight="1">
      <c r="A12" s="5"/>
      <c r="B12" s="14" t="s">
        <v>160</v>
      </c>
      <c r="C12" s="15"/>
      <c r="D12" s="15"/>
      <c r="E12" s="15"/>
      <c r="F12" s="25">
        <v>893.73699999999997</v>
      </c>
      <c r="G12" s="26">
        <v>7.7100000000000002E-2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893.73699999999997</v>
      </c>
      <c r="G13" s="26">
        <v>7.7100000000000002E-2</v>
      </c>
      <c r="H13" s="27"/>
      <c r="I13" s="28"/>
      <c r="J13" s="5"/>
    </row>
    <row r="14" spans="1:10" ht="12.95" customHeight="1">
      <c r="A14" s="5"/>
      <c r="B14" s="29" t="s">
        <v>167</v>
      </c>
      <c r="C14" s="15"/>
      <c r="D14" s="2"/>
      <c r="E14" s="15"/>
      <c r="F14" s="31">
        <v>-234.46940000000001</v>
      </c>
      <c r="G14" s="26">
        <v>-2.0299999999999999E-2</v>
      </c>
      <c r="H14" s="27"/>
      <c r="I14" s="28"/>
      <c r="J14" s="5"/>
    </row>
    <row r="15" spans="1:10" ht="12.95" customHeight="1">
      <c r="A15" s="5"/>
      <c r="B15" s="32" t="s">
        <v>168</v>
      </c>
      <c r="C15" s="33"/>
      <c r="D15" s="33"/>
      <c r="E15" s="33"/>
      <c r="F15" s="34">
        <v>11598.48</v>
      </c>
      <c r="G15" s="35">
        <v>1</v>
      </c>
      <c r="H15" s="36"/>
      <c r="I15" s="37"/>
      <c r="J15" s="5"/>
    </row>
    <row r="16" spans="1:10" ht="12.95" customHeight="1">
      <c r="A16" s="5"/>
      <c r="B16" s="7"/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169</v>
      </c>
      <c r="C17" s="5"/>
      <c r="D17" s="5"/>
      <c r="E17" s="5"/>
      <c r="F17" s="5"/>
      <c r="G17" s="5"/>
      <c r="H17" s="5"/>
      <c r="I17" s="5"/>
      <c r="J17" s="5"/>
    </row>
    <row r="18" spans="1:10" ht="12.95" customHeight="1">
      <c r="A18" s="5"/>
      <c r="B18" s="4" t="s">
        <v>170</v>
      </c>
      <c r="C18" s="5"/>
      <c r="D18" s="5"/>
      <c r="E18" s="5"/>
      <c r="F18" s="5"/>
      <c r="G18" s="5"/>
      <c r="H18" s="5"/>
      <c r="I18" s="5"/>
      <c r="J18" s="5"/>
    </row>
    <row r="19" spans="1:10" ht="26.1" customHeight="1">
      <c r="A19" s="5"/>
      <c r="B19" s="86" t="s">
        <v>171</v>
      </c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6"/>
      <c r="C20" s="86"/>
      <c r="D20" s="86"/>
      <c r="E20" s="86"/>
      <c r="F20" s="86"/>
      <c r="G20" s="86"/>
      <c r="H20" s="86"/>
      <c r="I20" s="86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3358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6">
    <mergeCell ref="C24:D24"/>
    <mergeCell ref="B19:I19"/>
    <mergeCell ref="B20:I20"/>
    <mergeCell ref="B21:I21"/>
    <mergeCell ref="C22:F22"/>
    <mergeCell ref="C23:F23"/>
  </mergeCells>
  <hyperlinks>
    <hyperlink ref="A1" location="AxisNASDAQ100FundofFund" display="AXISNFOF" xr:uid="{00000000-0004-0000-2D00-000000000000}"/>
    <hyperlink ref="B1" location="AxisNASDAQ100FundofFund" display="Axis NASDAQ 100 Fund of Fund" xr:uid="{00000000-0004-0000-2D00-000001000000}"/>
  </hyperlinks>
  <pageMargins left="0" right="0" top="0" bottom="0" header="0" footer="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/>
  </sheetPr>
  <dimension ref="A1:J13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94</v>
      </c>
      <c r="B1" s="4" t="s">
        <v>95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282</v>
      </c>
      <c r="B7" s="19" t="s">
        <v>283</v>
      </c>
      <c r="C7" s="15" t="s">
        <v>284</v>
      </c>
      <c r="D7" s="15" t="s">
        <v>271</v>
      </c>
      <c r="E7" s="20">
        <v>723895</v>
      </c>
      <c r="F7" s="21">
        <v>11048.8094</v>
      </c>
      <c r="G7" s="22">
        <v>0.11269999999999999</v>
      </c>
      <c r="H7" s="40"/>
      <c r="I7" s="24"/>
      <c r="J7" s="5"/>
    </row>
    <row r="8" spans="1:10" ht="12.95" customHeight="1">
      <c r="A8" s="18" t="s">
        <v>248</v>
      </c>
      <c r="B8" s="19" t="s">
        <v>249</v>
      </c>
      <c r="C8" s="15" t="s">
        <v>250</v>
      </c>
      <c r="D8" s="15" t="s">
        <v>251</v>
      </c>
      <c r="E8" s="20">
        <v>326350</v>
      </c>
      <c r="F8" s="21">
        <v>7652.9075000000003</v>
      </c>
      <c r="G8" s="22">
        <v>7.8100000000000003E-2</v>
      </c>
      <c r="H8" s="40"/>
      <c r="I8" s="24"/>
      <c r="J8" s="5"/>
    </row>
    <row r="9" spans="1:10" ht="12.95" customHeight="1">
      <c r="A9" s="18" t="s">
        <v>268</v>
      </c>
      <c r="B9" s="19" t="s">
        <v>269</v>
      </c>
      <c r="C9" s="15" t="s">
        <v>270</v>
      </c>
      <c r="D9" s="15" t="s">
        <v>271</v>
      </c>
      <c r="E9" s="20">
        <v>675650</v>
      </c>
      <c r="F9" s="21">
        <v>6431.5123999999996</v>
      </c>
      <c r="G9" s="22">
        <v>6.5600000000000006E-2</v>
      </c>
      <c r="H9" s="40"/>
      <c r="I9" s="24"/>
      <c r="J9" s="5"/>
    </row>
    <row r="10" spans="1:10" ht="12.95" customHeight="1">
      <c r="A10" s="18" t="s">
        <v>285</v>
      </c>
      <c r="B10" s="19" t="s">
        <v>286</v>
      </c>
      <c r="C10" s="15" t="s">
        <v>287</v>
      </c>
      <c r="D10" s="15" t="s">
        <v>263</v>
      </c>
      <c r="E10" s="20">
        <v>344225</v>
      </c>
      <c r="F10" s="21">
        <v>4941.1778000000004</v>
      </c>
      <c r="G10" s="22">
        <v>5.04E-2</v>
      </c>
      <c r="H10" s="40"/>
      <c r="I10" s="24"/>
      <c r="J10" s="5"/>
    </row>
    <row r="11" spans="1:10" ht="12.95" customHeight="1">
      <c r="A11" s="18" t="s">
        <v>716</v>
      </c>
      <c r="B11" s="19" t="s">
        <v>717</v>
      </c>
      <c r="C11" s="15" t="s">
        <v>718</v>
      </c>
      <c r="D11" s="15" t="s">
        <v>348</v>
      </c>
      <c r="E11" s="20">
        <v>853913</v>
      </c>
      <c r="F11" s="21">
        <v>3794.7894000000001</v>
      </c>
      <c r="G11" s="22">
        <v>3.8699999999999998E-2</v>
      </c>
      <c r="H11" s="40"/>
      <c r="I11" s="24"/>
      <c r="J11" s="5"/>
    </row>
    <row r="12" spans="1:10" ht="12.95" customHeight="1">
      <c r="A12" s="18" t="s">
        <v>719</v>
      </c>
      <c r="B12" s="19" t="s">
        <v>720</v>
      </c>
      <c r="C12" s="15" t="s">
        <v>721</v>
      </c>
      <c r="D12" s="15" t="s">
        <v>722</v>
      </c>
      <c r="E12" s="20">
        <v>116582</v>
      </c>
      <c r="F12" s="21">
        <v>3524.9151000000002</v>
      </c>
      <c r="G12" s="22">
        <v>3.5999999999999997E-2</v>
      </c>
      <c r="H12" s="40"/>
      <c r="I12" s="24"/>
      <c r="J12" s="5"/>
    </row>
    <row r="13" spans="1:10" ht="12.95" customHeight="1">
      <c r="A13" s="18" t="s">
        <v>260</v>
      </c>
      <c r="B13" s="19" t="s">
        <v>261</v>
      </c>
      <c r="C13" s="15" t="s">
        <v>262</v>
      </c>
      <c r="D13" s="15" t="s">
        <v>263</v>
      </c>
      <c r="E13" s="20">
        <v>98807</v>
      </c>
      <c r="F13" s="21">
        <v>3486.5038</v>
      </c>
      <c r="G13" s="22">
        <v>3.56E-2</v>
      </c>
      <c r="H13" s="40"/>
      <c r="I13" s="24"/>
      <c r="J13" s="5"/>
    </row>
    <row r="14" spans="1:10" ht="12.95" customHeight="1">
      <c r="A14" s="18" t="s">
        <v>687</v>
      </c>
      <c r="B14" s="19" t="s">
        <v>688</v>
      </c>
      <c r="C14" s="15" t="s">
        <v>689</v>
      </c>
      <c r="D14" s="15" t="s">
        <v>271</v>
      </c>
      <c r="E14" s="20">
        <v>267543</v>
      </c>
      <c r="F14" s="21">
        <v>2773.6183000000001</v>
      </c>
      <c r="G14" s="22">
        <v>2.8299999999999999E-2</v>
      </c>
      <c r="H14" s="40"/>
      <c r="I14" s="24"/>
      <c r="J14" s="5"/>
    </row>
    <row r="15" spans="1:10" ht="12.95" customHeight="1">
      <c r="A15" s="18" t="s">
        <v>690</v>
      </c>
      <c r="B15" s="19" t="s">
        <v>691</v>
      </c>
      <c r="C15" s="15" t="s">
        <v>692</v>
      </c>
      <c r="D15" s="15" t="s">
        <v>271</v>
      </c>
      <c r="E15" s="20">
        <v>141839</v>
      </c>
      <c r="F15" s="21">
        <v>2461.8995</v>
      </c>
      <c r="G15" s="22">
        <v>2.5100000000000001E-2</v>
      </c>
      <c r="H15" s="40"/>
      <c r="I15" s="24"/>
      <c r="J15" s="5"/>
    </row>
    <row r="16" spans="1:10" ht="12.95" customHeight="1">
      <c r="A16" s="18" t="s">
        <v>723</v>
      </c>
      <c r="B16" s="19" t="s">
        <v>724</v>
      </c>
      <c r="C16" s="15" t="s">
        <v>725</v>
      </c>
      <c r="D16" s="15" t="s">
        <v>726</v>
      </c>
      <c r="E16" s="20">
        <v>243260</v>
      </c>
      <c r="F16" s="21">
        <v>2253.5605999999998</v>
      </c>
      <c r="G16" s="22">
        <v>2.3E-2</v>
      </c>
      <c r="H16" s="40"/>
      <c r="I16" s="24"/>
      <c r="J16" s="5"/>
    </row>
    <row r="17" spans="1:10" ht="12.95" customHeight="1">
      <c r="A17" s="18" t="s">
        <v>275</v>
      </c>
      <c r="B17" s="19" t="s">
        <v>276</v>
      </c>
      <c r="C17" s="15" t="s">
        <v>277</v>
      </c>
      <c r="D17" s="15" t="s">
        <v>271</v>
      </c>
      <c r="E17" s="20">
        <v>370100</v>
      </c>
      <c r="F17" s="21">
        <v>2215.2336</v>
      </c>
      <c r="G17" s="22">
        <v>2.2599999999999999E-2</v>
      </c>
      <c r="H17" s="40"/>
      <c r="I17" s="24"/>
      <c r="J17" s="5"/>
    </row>
    <row r="18" spans="1:10" ht="12.95" customHeight="1">
      <c r="A18" s="18" t="s">
        <v>345</v>
      </c>
      <c r="B18" s="19" t="s">
        <v>346</v>
      </c>
      <c r="C18" s="15" t="s">
        <v>347</v>
      </c>
      <c r="D18" s="15" t="s">
        <v>348</v>
      </c>
      <c r="E18" s="20">
        <v>86106</v>
      </c>
      <c r="F18" s="21">
        <v>2123.0295000000001</v>
      </c>
      <c r="G18" s="22">
        <v>2.1700000000000001E-2</v>
      </c>
      <c r="H18" s="40"/>
      <c r="I18" s="24"/>
      <c r="J18" s="5"/>
    </row>
    <row r="19" spans="1:10" ht="12.95" customHeight="1">
      <c r="A19" s="18" t="s">
        <v>727</v>
      </c>
      <c r="B19" s="19" t="s">
        <v>728</v>
      </c>
      <c r="C19" s="15" t="s">
        <v>729</v>
      </c>
      <c r="D19" s="15" t="s">
        <v>255</v>
      </c>
      <c r="E19" s="20">
        <v>25712</v>
      </c>
      <c r="F19" s="21">
        <v>2008.3</v>
      </c>
      <c r="G19" s="22">
        <v>2.0500000000000001E-2</v>
      </c>
      <c r="H19" s="40"/>
      <c r="I19" s="24"/>
      <c r="J19" s="5"/>
    </row>
    <row r="20" spans="1:10" ht="12.95" customHeight="1">
      <c r="A20" s="18" t="s">
        <v>321</v>
      </c>
      <c r="B20" s="19" t="s">
        <v>322</v>
      </c>
      <c r="C20" s="15" t="s">
        <v>323</v>
      </c>
      <c r="D20" s="15" t="s">
        <v>324</v>
      </c>
      <c r="E20" s="20">
        <v>43476</v>
      </c>
      <c r="F20" s="21">
        <v>1374.2981</v>
      </c>
      <c r="G20" s="22">
        <v>1.4E-2</v>
      </c>
      <c r="H20" s="40"/>
      <c r="I20" s="24"/>
      <c r="J20" s="5"/>
    </row>
    <row r="21" spans="1:10" ht="12.95" customHeight="1">
      <c r="A21" s="18" t="s">
        <v>733</v>
      </c>
      <c r="B21" s="19" t="s">
        <v>734</v>
      </c>
      <c r="C21" s="15" t="s">
        <v>735</v>
      </c>
      <c r="D21" s="15" t="s">
        <v>281</v>
      </c>
      <c r="E21" s="20">
        <v>12818</v>
      </c>
      <c r="F21" s="21">
        <v>1360.0667000000001</v>
      </c>
      <c r="G21" s="22">
        <v>1.3899999999999999E-2</v>
      </c>
      <c r="H21" s="40"/>
      <c r="I21" s="24"/>
      <c r="J21" s="5"/>
    </row>
    <row r="22" spans="1:10" ht="12.95" customHeight="1">
      <c r="A22" s="18" t="s">
        <v>730</v>
      </c>
      <c r="B22" s="19" t="s">
        <v>731</v>
      </c>
      <c r="C22" s="15" t="s">
        <v>732</v>
      </c>
      <c r="D22" s="15" t="s">
        <v>281</v>
      </c>
      <c r="E22" s="20">
        <v>86347</v>
      </c>
      <c r="F22" s="21">
        <v>1342.0482</v>
      </c>
      <c r="G22" s="22">
        <v>1.37E-2</v>
      </c>
      <c r="H22" s="40"/>
      <c r="I22" s="24"/>
      <c r="J22" s="5"/>
    </row>
    <row r="23" spans="1:10" ht="12.95" customHeight="1">
      <c r="A23" s="18" t="s">
        <v>736</v>
      </c>
      <c r="B23" s="19" t="s">
        <v>737</v>
      </c>
      <c r="C23" s="15" t="s">
        <v>738</v>
      </c>
      <c r="D23" s="15" t="s">
        <v>324</v>
      </c>
      <c r="E23" s="20">
        <v>40240</v>
      </c>
      <c r="F23" s="21">
        <v>1267.0771</v>
      </c>
      <c r="G23" s="22">
        <v>1.29E-2</v>
      </c>
      <c r="H23" s="40"/>
      <c r="I23" s="24"/>
      <c r="J23" s="5"/>
    </row>
    <row r="24" spans="1:10" ht="12.95" customHeight="1">
      <c r="A24" s="18" t="s">
        <v>739</v>
      </c>
      <c r="B24" s="19" t="s">
        <v>740</v>
      </c>
      <c r="C24" s="15" t="s">
        <v>741</v>
      </c>
      <c r="D24" s="15" t="s">
        <v>263</v>
      </c>
      <c r="E24" s="20">
        <v>102068</v>
      </c>
      <c r="F24" s="21">
        <v>1260.3357000000001</v>
      </c>
      <c r="G24" s="22">
        <v>1.29E-2</v>
      </c>
      <c r="H24" s="40"/>
      <c r="I24" s="24"/>
      <c r="J24" s="5"/>
    </row>
    <row r="25" spans="1:10" ht="12.95" customHeight="1">
      <c r="A25" s="18" t="s">
        <v>742</v>
      </c>
      <c r="B25" s="19" t="s">
        <v>743</v>
      </c>
      <c r="C25" s="15" t="s">
        <v>744</v>
      </c>
      <c r="D25" s="15" t="s">
        <v>745</v>
      </c>
      <c r="E25" s="20">
        <v>104127</v>
      </c>
      <c r="F25" s="21">
        <v>1206.4675</v>
      </c>
      <c r="G25" s="22">
        <v>1.23E-2</v>
      </c>
      <c r="H25" s="40"/>
      <c r="I25" s="24"/>
      <c r="J25" s="5"/>
    </row>
    <row r="26" spans="1:10" ht="12.95" customHeight="1">
      <c r="A26" s="18" t="s">
        <v>288</v>
      </c>
      <c r="B26" s="19" t="s">
        <v>289</v>
      </c>
      <c r="C26" s="15" t="s">
        <v>290</v>
      </c>
      <c r="D26" s="15" t="s">
        <v>291</v>
      </c>
      <c r="E26" s="20">
        <v>458207</v>
      </c>
      <c r="F26" s="21">
        <v>1125.1273000000001</v>
      </c>
      <c r="G26" s="22">
        <v>1.15E-2</v>
      </c>
      <c r="H26" s="40"/>
      <c r="I26" s="24"/>
      <c r="J26" s="5"/>
    </row>
    <row r="27" spans="1:10" ht="12.95" customHeight="1">
      <c r="A27" s="18" t="s">
        <v>278</v>
      </c>
      <c r="B27" s="19" t="s">
        <v>279</v>
      </c>
      <c r="C27" s="15" t="s">
        <v>280</v>
      </c>
      <c r="D27" s="15" t="s">
        <v>281</v>
      </c>
      <c r="E27" s="20">
        <v>169819</v>
      </c>
      <c r="F27" s="21">
        <v>1070.1993</v>
      </c>
      <c r="G27" s="22">
        <v>1.09E-2</v>
      </c>
      <c r="H27" s="40"/>
      <c r="I27" s="24"/>
      <c r="J27" s="5"/>
    </row>
    <row r="28" spans="1:10" ht="12.95" customHeight="1">
      <c r="A28" s="18" t="s">
        <v>746</v>
      </c>
      <c r="B28" s="19" t="s">
        <v>747</v>
      </c>
      <c r="C28" s="15" t="s">
        <v>748</v>
      </c>
      <c r="D28" s="15" t="s">
        <v>344</v>
      </c>
      <c r="E28" s="20">
        <v>777906</v>
      </c>
      <c r="F28" s="21">
        <v>1002.7208000000001</v>
      </c>
      <c r="G28" s="22">
        <v>1.0200000000000001E-2</v>
      </c>
      <c r="H28" s="40"/>
      <c r="I28" s="24"/>
      <c r="J28" s="5"/>
    </row>
    <row r="29" spans="1:10" ht="12.95" customHeight="1">
      <c r="A29" s="18" t="s">
        <v>264</v>
      </c>
      <c r="B29" s="19" t="s">
        <v>265</v>
      </c>
      <c r="C29" s="15" t="s">
        <v>266</v>
      </c>
      <c r="D29" s="15" t="s">
        <v>267</v>
      </c>
      <c r="E29" s="20">
        <v>11136</v>
      </c>
      <c r="F29" s="21">
        <v>919.26009999999997</v>
      </c>
      <c r="G29" s="22">
        <v>9.4000000000000004E-3</v>
      </c>
      <c r="H29" s="40"/>
      <c r="I29" s="24"/>
      <c r="J29" s="5"/>
    </row>
    <row r="30" spans="1:10" ht="12.95" customHeight="1">
      <c r="A30" s="18" t="s">
        <v>693</v>
      </c>
      <c r="B30" s="19" t="s">
        <v>694</v>
      </c>
      <c r="C30" s="15" t="s">
        <v>695</v>
      </c>
      <c r="D30" s="15" t="s">
        <v>271</v>
      </c>
      <c r="E30" s="20">
        <v>62941</v>
      </c>
      <c r="F30" s="21">
        <v>899.33249999999998</v>
      </c>
      <c r="G30" s="22">
        <v>9.1999999999999998E-3</v>
      </c>
      <c r="H30" s="40"/>
      <c r="I30" s="24"/>
      <c r="J30" s="5"/>
    </row>
    <row r="31" spans="1:10" ht="12.95" customHeight="1">
      <c r="A31" s="18" t="s">
        <v>356</v>
      </c>
      <c r="B31" s="19" t="s">
        <v>357</v>
      </c>
      <c r="C31" s="15" t="s">
        <v>358</v>
      </c>
      <c r="D31" s="15" t="s">
        <v>291</v>
      </c>
      <c r="E31" s="20">
        <v>439498</v>
      </c>
      <c r="F31" s="21">
        <v>877.89729999999997</v>
      </c>
      <c r="G31" s="22">
        <v>8.9999999999999993E-3</v>
      </c>
      <c r="H31" s="40"/>
      <c r="I31" s="24"/>
      <c r="J31" s="5"/>
    </row>
    <row r="32" spans="1:10" ht="12.95" customHeight="1">
      <c r="A32" s="18" t="s">
        <v>749</v>
      </c>
      <c r="B32" s="19" t="s">
        <v>750</v>
      </c>
      <c r="C32" s="15" t="s">
        <v>751</v>
      </c>
      <c r="D32" s="15" t="s">
        <v>255</v>
      </c>
      <c r="E32" s="20">
        <v>52314</v>
      </c>
      <c r="F32" s="21">
        <v>805.76639999999998</v>
      </c>
      <c r="G32" s="22">
        <v>8.2000000000000007E-3</v>
      </c>
      <c r="H32" s="40"/>
      <c r="I32" s="24"/>
      <c r="J32" s="5"/>
    </row>
    <row r="33" spans="1:10" ht="12.95" customHeight="1">
      <c r="A33" s="18" t="s">
        <v>752</v>
      </c>
      <c r="B33" s="19" t="s">
        <v>753</v>
      </c>
      <c r="C33" s="15" t="s">
        <v>754</v>
      </c>
      <c r="D33" s="15" t="s">
        <v>755</v>
      </c>
      <c r="E33" s="20">
        <v>3440</v>
      </c>
      <c r="F33" s="21">
        <v>774.23739999999998</v>
      </c>
      <c r="G33" s="22">
        <v>7.9000000000000008E-3</v>
      </c>
      <c r="H33" s="40"/>
      <c r="I33" s="24"/>
      <c r="J33" s="5"/>
    </row>
    <row r="34" spans="1:10" ht="12.95" customHeight="1">
      <c r="A34" s="18" t="s">
        <v>3342</v>
      </c>
      <c r="B34" s="19" t="s">
        <v>3343</v>
      </c>
      <c r="C34" s="15" t="s">
        <v>3344</v>
      </c>
      <c r="D34" s="15" t="s">
        <v>3345</v>
      </c>
      <c r="E34" s="20">
        <v>30574</v>
      </c>
      <c r="F34" s="21">
        <v>738.0258</v>
      </c>
      <c r="G34" s="22">
        <v>7.4999999999999997E-3</v>
      </c>
      <c r="H34" s="40"/>
      <c r="I34" s="24"/>
      <c r="J34" s="5"/>
    </row>
    <row r="35" spans="1:10" ht="12.95" customHeight="1">
      <c r="A35" s="18" t="s">
        <v>335</v>
      </c>
      <c r="B35" s="19" t="s">
        <v>336</v>
      </c>
      <c r="C35" s="15" t="s">
        <v>337</v>
      </c>
      <c r="D35" s="15" t="s">
        <v>263</v>
      </c>
      <c r="E35" s="20">
        <v>60208</v>
      </c>
      <c r="F35" s="21">
        <v>736.22339999999997</v>
      </c>
      <c r="G35" s="22">
        <v>7.4999999999999997E-3</v>
      </c>
      <c r="H35" s="40"/>
      <c r="I35" s="24"/>
      <c r="J35" s="5"/>
    </row>
    <row r="36" spans="1:10" ht="12.95" customHeight="1">
      <c r="A36" s="18" t="s">
        <v>3346</v>
      </c>
      <c r="B36" s="19" t="s">
        <v>3347</v>
      </c>
      <c r="C36" s="15" t="s">
        <v>3348</v>
      </c>
      <c r="D36" s="15" t="s">
        <v>3349</v>
      </c>
      <c r="E36" s="20">
        <v>376081</v>
      </c>
      <c r="F36" s="21">
        <v>721.51139999999998</v>
      </c>
      <c r="G36" s="22">
        <v>7.4000000000000003E-3</v>
      </c>
      <c r="H36" s="40"/>
      <c r="I36" s="24"/>
      <c r="J36" s="5"/>
    </row>
    <row r="37" spans="1:10" ht="12.95" customHeight="1">
      <c r="A37" s="18" t="s">
        <v>756</v>
      </c>
      <c r="B37" s="19" t="s">
        <v>757</v>
      </c>
      <c r="C37" s="15" t="s">
        <v>758</v>
      </c>
      <c r="D37" s="15" t="s">
        <v>344</v>
      </c>
      <c r="E37" s="20">
        <v>89620</v>
      </c>
      <c r="F37" s="21">
        <v>698.67750000000001</v>
      </c>
      <c r="G37" s="22">
        <v>7.1000000000000004E-3</v>
      </c>
      <c r="H37" s="40"/>
      <c r="I37" s="24"/>
      <c r="J37" s="5"/>
    </row>
    <row r="38" spans="1:10" ht="12.95" customHeight="1">
      <c r="A38" s="18" t="s">
        <v>404</v>
      </c>
      <c r="B38" s="19" t="s">
        <v>405</v>
      </c>
      <c r="C38" s="15" t="s">
        <v>406</v>
      </c>
      <c r="D38" s="15" t="s">
        <v>407</v>
      </c>
      <c r="E38" s="20">
        <v>140877</v>
      </c>
      <c r="F38" s="21">
        <v>694.03049999999996</v>
      </c>
      <c r="G38" s="22">
        <v>7.1000000000000004E-3</v>
      </c>
      <c r="H38" s="40"/>
      <c r="I38" s="24"/>
      <c r="J38" s="5"/>
    </row>
    <row r="39" spans="1:10" ht="12.95" customHeight="1">
      <c r="A39" s="18" t="s">
        <v>1733</v>
      </c>
      <c r="B39" s="19" t="s">
        <v>1734</v>
      </c>
      <c r="C39" s="15" t="s">
        <v>1735</v>
      </c>
      <c r="D39" s="15" t="s">
        <v>267</v>
      </c>
      <c r="E39" s="20">
        <v>35559</v>
      </c>
      <c r="F39" s="21">
        <v>690.69799999999998</v>
      </c>
      <c r="G39" s="22">
        <v>7.0000000000000001E-3</v>
      </c>
      <c r="H39" s="40"/>
      <c r="I39" s="24"/>
      <c r="J39" s="5"/>
    </row>
    <row r="40" spans="1:10" ht="12.95" customHeight="1">
      <c r="A40" s="18" t="s">
        <v>1610</v>
      </c>
      <c r="B40" s="19" t="s">
        <v>1611</v>
      </c>
      <c r="C40" s="15" t="s">
        <v>1612</v>
      </c>
      <c r="D40" s="15" t="s">
        <v>890</v>
      </c>
      <c r="E40" s="20">
        <v>103675</v>
      </c>
      <c r="F40" s="21">
        <v>660.82449999999994</v>
      </c>
      <c r="G40" s="22">
        <v>6.7000000000000002E-3</v>
      </c>
      <c r="H40" s="40"/>
      <c r="I40" s="24"/>
      <c r="J40" s="5"/>
    </row>
    <row r="41" spans="1:10" ht="12.95" customHeight="1">
      <c r="A41" s="18" t="s">
        <v>1727</v>
      </c>
      <c r="B41" s="19" t="s">
        <v>1728</v>
      </c>
      <c r="C41" s="15" t="s">
        <v>1729</v>
      </c>
      <c r="D41" s="15" t="s">
        <v>745</v>
      </c>
      <c r="E41" s="20">
        <v>11742</v>
      </c>
      <c r="F41" s="21">
        <v>656.02549999999997</v>
      </c>
      <c r="G41" s="22">
        <v>6.7000000000000002E-3</v>
      </c>
      <c r="H41" s="40"/>
      <c r="I41" s="24"/>
      <c r="J41" s="5"/>
    </row>
    <row r="42" spans="1:10" ht="12.95" customHeight="1">
      <c r="A42" s="18" t="s">
        <v>377</v>
      </c>
      <c r="B42" s="19" t="s">
        <v>378</v>
      </c>
      <c r="C42" s="15" t="s">
        <v>379</v>
      </c>
      <c r="D42" s="15" t="s">
        <v>380</v>
      </c>
      <c r="E42" s="20">
        <v>219907</v>
      </c>
      <c r="F42" s="21">
        <v>649.16549999999995</v>
      </c>
      <c r="G42" s="22">
        <v>6.6E-3</v>
      </c>
      <c r="H42" s="40"/>
      <c r="I42" s="24"/>
      <c r="J42" s="5"/>
    </row>
    <row r="43" spans="1:10" ht="12.95" customHeight="1">
      <c r="A43" s="18" t="s">
        <v>3350</v>
      </c>
      <c r="B43" s="19" t="s">
        <v>3351</v>
      </c>
      <c r="C43" s="15" t="s">
        <v>3352</v>
      </c>
      <c r="D43" s="15" t="s">
        <v>1859</v>
      </c>
      <c r="E43" s="20">
        <v>77074</v>
      </c>
      <c r="F43" s="21">
        <v>635.97609999999997</v>
      </c>
      <c r="G43" s="22">
        <v>6.4999999999999997E-3</v>
      </c>
      <c r="H43" s="40"/>
      <c r="I43" s="24"/>
      <c r="J43" s="5"/>
    </row>
    <row r="44" spans="1:10" ht="12.95" customHeight="1">
      <c r="A44" s="18" t="s">
        <v>1575</v>
      </c>
      <c r="B44" s="19" t="s">
        <v>1576</v>
      </c>
      <c r="C44" s="15" t="s">
        <v>1577</v>
      </c>
      <c r="D44" s="15" t="s">
        <v>745</v>
      </c>
      <c r="E44" s="20">
        <v>50608</v>
      </c>
      <c r="F44" s="21">
        <v>600.28679999999997</v>
      </c>
      <c r="G44" s="22">
        <v>6.1000000000000004E-3</v>
      </c>
      <c r="H44" s="40"/>
      <c r="I44" s="24"/>
      <c r="J44" s="5"/>
    </row>
    <row r="45" spans="1:10" ht="12.95" customHeight="1">
      <c r="A45" s="18" t="s">
        <v>1578</v>
      </c>
      <c r="B45" s="19" t="s">
        <v>1579</v>
      </c>
      <c r="C45" s="15" t="s">
        <v>1580</v>
      </c>
      <c r="D45" s="15" t="s">
        <v>890</v>
      </c>
      <c r="E45" s="20">
        <v>43440</v>
      </c>
      <c r="F45" s="21">
        <v>567.06579999999997</v>
      </c>
      <c r="G45" s="22">
        <v>5.7999999999999996E-3</v>
      </c>
      <c r="H45" s="40"/>
      <c r="I45" s="24"/>
      <c r="J45" s="5"/>
    </row>
    <row r="46" spans="1:10" ht="12.95" customHeight="1">
      <c r="A46" s="18" t="s">
        <v>763</v>
      </c>
      <c r="B46" s="19" t="s">
        <v>764</v>
      </c>
      <c r="C46" s="15" t="s">
        <v>765</v>
      </c>
      <c r="D46" s="15" t="s">
        <v>281</v>
      </c>
      <c r="E46" s="20">
        <v>10915</v>
      </c>
      <c r="F46" s="21">
        <v>552.7029</v>
      </c>
      <c r="G46" s="22">
        <v>5.5999999999999999E-3</v>
      </c>
      <c r="H46" s="40"/>
      <c r="I46" s="24"/>
      <c r="J46" s="5"/>
    </row>
    <row r="47" spans="1:10" ht="12.95" customHeight="1">
      <c r="A47" s="18" t="s">
        <v>759</v>
      </c>
      <c r="B47" s="19" t="s">
        <v>760</v>
      </c>
      <c r="C47" s="15" t="s">
        <v>761</v>
      </c>
      <c r="D47" s="15" t="s">
        <v>263</v>
      </c>
      <c r="E47" s="20">
        <v>135960</v>
      </c>
      <c r="F47" s="21">
        <v>552.06560000000002</v>
      </c>
      <c r="G47" s="22">
        <v>5.5999999999999999E-3</v>
      </c>
      <c r="H47" s="40"/>
      <c r="I47" s="24"/>
      <c r="J47" s="5"/>
    </row>
    <row r="48" spans="1:10" ht="12.95" customHeight="1">
      <c r="A48" s="18" t="s">
        <v>766</v>
      </c>
      <c r="B48" s="19" t="s">
        <v>767</v>
      </c>
      <c r="C48" s="15" t="s">
        <v>768</v>
      </c>
      <c r="D48" s="15" t="s">
        <v>403</v>
      </c>
      <c r="E48" s="20">
        <v>14092</v>
      </c>
      <c r="F48" s="21">
        <v>517.96559999999999</v>
      </c>
      <c r="G48" s="22">
        <v>5.3E-3</v>
      </c>
      <c r="H48" s="40"/>
      <c r="I48" s="24"/>
      <c r="J48" s="5"/>
    </row>
    <row r="49" spans="1:10" ht="12.95" customHeight="1">
      <c r="A49" s="18" t="s">
        <v>769</v>
      </c>
      <c r="B49" s="19" t="s">
        <v>770</v>
      </c>
      <c r="C49" s="15" t="s">
        <v>771</v>
      </c>
      <c r="D49" s="15" t="s">
        <v>755</v>
      </c>
      <c r="E49" s="20">
        <v>11383</v>
      </c>
      <c r="F49" s="21">
        <v>516.46379999999999</v>
      </c>
      <c r="G49" s="22">
        <v>5.3E-3</v>
      </c>
      <c r="H49" s="40"/>
      <c r="I49" s="24"/>
      <c r="J49" s="5"/>
    </row>
    <row r="50" spans="1:10" ht="12.95" customHeight="1">
      <c r="A50" s="18" t="s">
        <v>772</v>
      </c>
      <c r="B50" s="19" t="s">
        <v>773</v>
      </c>
      <c r="C50" s="15" t="s">
        <v>774</v>
      </c>
      <c r="D50" s="15" t="s">
        <v>310</v>
      </c>
      <c r="E50" s="20">
        <v>57982</v>
      </c>
      <c r="F50" s="21">
        <v>508.44420000000002</v>
      </c>
      <c r="G50" s="22">
        <v>5.1999999999999998E-3</v>
      </c>
      <c r="H50" s="40"/>
      <c r="I50" s="24"/>
      <c r="J50" s="5"/>
    </row>
    <row r="51" spans="1:10" ht="12.95" customHeight="1">
      <c r="A51" s="18" t="s">
        <v>775</v>
      </c>
      <c r="B51" s="19" t="s">
        <v>776</v>
      </c>
      <c r="C51" s="15" t="s">
        <v>777</v>
      </c>
      <c r="D51" s="15" t="s">
        <v>778</v>
      </c>
      <c r="E51" s="20">
        <v>9706</v>
      </c>
      <c r="F51" s="21">
        <v>498.67</v>
      </c>
      <c r="G51" s="22">
        <v>5.1000000000000004E-3</v>
      </c>
      <c r="H51" s="40"/>
      <c r="I51" s="24"/>
      <c r="J51" s="5"/>
    </row>
    <row r="52" spans="1:10" ht="12.95" customHeight="1">
      <c r="A52" s="18" t="s">
        <v>1873</v>
      </c>
      <c r="B52" s="19" t="s">
        <v>1874</v>
      </c>
      <c r="C52" s="15" t="s">
        <v>1875</v>
      </c>
      <c r="D52" s="15" t="s">
        <v>255</v>
      </c>
      <c r="E52" s="20">
        <v>25460</v>
      </c>
      <c r="F52" s="21">
        <v>488.66649999999998</v>
      </c>
      <c r="G52" s="22">
        <v>5.0000000000000001E-3</v>
      </c>
      <c r="H52" s="40"/>
      <c r="I52" s="24"/>
      <c r="J52" s="5"/>
    </row>
    <row r="53" spans="1:10" ht="12.95" customHeight="1">
      <c r="A53" s="18" t="s">
        <v>325</v>
      </c>
      <c r="B53" s="19" t="s">
        <v>326</v>
      </c>
      <c r="C53" s="15" t="s">
        <v>327</v>
      </c>
      <c r="D53" s="15" t="s">
        <v>306</v>
      </c>
      <c r="E53" s="20">
        <v>345413</v>
      </c>
      <c r="F53" s="21">
        <v>477.70620000000002</v>
      </c>
      <c r="G53" s="22">
        <v>4.8999999999999998E-3</v>
      </c>
      <c r="H53" s="40"/>
      <c r="I53" s="24"/>
      <c r="J53" s="5"/>
    </row>
    <row r="54" spans="1:10" ht="12.95" customHeight="1">
      <c r="A54" s="18" t="s">
        <v>848</v>
      </c>
      <c r="B54" s="19" t="s">
        <v>849</v>
      </c>
      <c r="C54" s="15" t="s">
        <v>850</v>
      </c>
      <c r="D54" s="15" t="s">
        <v>255</v>
      </c>
      <c r="E54" s="20">
        <v>38476</v>
      </c>
      <c r="F54" s="21">
        <v>468.46449999999999</v>
      </c>
      <c r="G54" s="22">
        <v>4.7999999999999996E-3</v>
      </c>
      <c r="H54" s="40"/>
      <c r="I54" s="24"/>
      <c r="J54" s="5"/>
    </row>
    <row r="55" spans="1:10" ht="12.95" customHeight="1">
      <c r="A55" s="18" t="s">
        <v>839</v>
      </c>
      <c r="B55" s="19" t="s">
        <v>840</v>
      </c>
      <c r="C55" s="15" t="s">
        <v>841</v>
      </c>
      <c r="D55" s="15" t="s">
        <v>745</v>
      </c>
      <c r="E55" s="20">
        <v>12288</v>
      </c>
      <c r="F55" s="21">
        <v>462.66160000000002</v>
      </c>
      <c r="G55" s="22">
        <v>4.7000000000000002E-3</v>
      </c>
      <c r="H55" s="40"/>
      <c r="I55" s="24"/>
      <c r="J55" s="5"/>
    </row>
    <row r="56" spans="1:10" ht="12.95" customHeight="1">
      <c r="A56" s="18" t="s">
        <v>318</v>
      </c>
      <c r="B56" s="19" t="s">
        <v>319</v>
      </c>
      <c r="C56" s="15" t="s">
        <v>320</v>
      </c>
      <c r="D56" s="15" t="s">
        <v>263</v>
      </c>
      <c r="E56" s="20">
        <v>8877</v>
      </c>
      <c r="F56" s="21">
        <v>462.47840000000002</v>
      </c>
      <c r="G56" s="22">
        <v>4.7000000000000002E-3</v>
      </c>
      <c r="H56" s="40"/>
      <c r="I56" s="24"/>
      <c r="J56" s="5"/>
    </row>
    <row r="57" spans="1:10" ht="12.95" customHeight="1">
      <c r="A57" s="18" t="s">
        <v>779</v>
      </c>
      <c r="B57" s="19" t="s">
        <v>780</v>
      </c>
      <c r="C57" s="15" t="s">
        <v>781</v>
      </c>
      <c r="D57" s="15" t="s">
        <v>281</v>
      </c>
      <c r="E57" s="20">
        <v>13341</v>
      </c>
      <c r="F57" s="21">
        <v>459.85759999999999</v>
      </c>
      <c r="G57" s="22">
        <v>4.7000000000000002E-3</v>
      </c>
      <c r="H57" s="40"/>
      <c r="I57" s="24"/>
      <c r="J57" s="5"/>
    </row>
    <row r="58" spans="1:10" ht="12.95" customHeight="1">
      <c r="A58" s="18" t="s">
        <v>782</v>
      </c>
      <c r="B58" s="19" t="s">
        <v>783</v>
      </c>
      <c r="C58" s="15" t="s">
        <v>784</v>
      </c>
      <c r="D58" s="15" t="s">
        <v>403</v>
      </c>
      <c r="E58" s="20">
        <v>21256</v>
      </c>
      <c r="F58" s="21">
        <v>442.1567</v>
      </c>
      <c r="G58" s="22">
        <v>4.4999999999999997E-3</v>
      </c>
      <c r="H58" s="40"/>
      <c r="I58" s="24"/>
      <c r="J58" s="5"/>
    </row>
    <row r="59" spans="1:10" ht="12.95" customHeight="1">
      <c r="A59" s="18" t="s">
        <v>785</v>
      </c>
      <c r="B59" s="19" t="s">
        <v>786</v>
      </c>
      <c r="C59" s="15" t="s">
        <v>787</v>
      </c>
      <c r="D59" s="15" t="s">
        <v>788</v>
      </c>
      <c r="E59" s="20">
        <v>45610</v>
      </c>
      <c r="F59" s="21">
        <v>431.3338</v>
      </c>
      <c r="G59" s="22">
        <v>4.4000000000000003E-3</v>
      </c>
      <c r="H59" s="40"/>
      <c r="I59" s="24"/>
      <c r="J59" s="5"/>
    </row>
    <row r="60" spans="1:10" ht="12.95" customHeight="1">
      <c r="A60" s="18" t="s">
        <v>866</v>
      </c>
      <c r="B60" s="19" t="s">
        <v>867</v>
      </c>
      <c r="C60" s="15" t="s">
        <v>868</v>
      </c>
      <c r="D60" s="15" t="s">
        <v>403</v>
      </c>
      <c r="E60" s="20">
        <v>420991</v>
      </c>
      <c r="F60" s="21">
        <v>427.30590000000001</v>
      </c>
      <c r="G60" s="22">
        <v>4.4000000000000003E-3</v>
      </c>
      <c r="H60" s="40"/>
      <c r="I60" s="24"/>
      <c r="J60" s="5"/>
    </row>
    <row r="61" spans="1:10" ht="12.95" customHeight="1">
      <c r="A61" s="18" t="s">
        <v>792</v>
      </c>
      <c r="B61" s="19" t="s">
        <v>793</v>
      </c>
      <c r="C61" s="15" t="s">
        <v>794</v>
      </c>
      <c r="D61" s="15" t="s">
        <v>281</v>
      </c>
      <c r="E61" s="20">
        <v>12665</v>
      </c>
      <c r="F61" s="21">
        <v>387.20069999999998</v>
      </c>
      <c r="G61" s="22">
        <v>4.0000000000000001E-3</v>
      </c>
      <c r="H61" s="40"/>
      <c r="I61" s="24"/>
      <c r="J61" s="5"/>
    </row>
    <row r="62" spans="1:10" ht="12.95" customHeight="1">
      <c r="A62" s="18" t="s">
        <v>696</v>
      </c>
      <c r="B62" s="19" t="s">
        <v>697</v>
      </c>
      <c r="C62" s="15" t="s">
        <v>698</v>
      </c>
      <c r="D62" s="15" t="s">
        <v>271</v>
      </c>
      <c r="E62" s="20">
        <v>180211</v>
      </c>
      <c r="F62" s="21">
        <v>385.56139999999999</v>
      </c>
      <c r="G62" s="22">
        <v>3.8999999999999998E-3</v>
      </c>
      <c r="H62" s="40"/>
      <c r="I62" s="24"/>
      <c r="J62" s="5"/>
    </row>
    <row r="63" spans="1:10" ht="12.95" customHeight="1">
      <c r="A63" s="18" t="s">
        <v>795</v>
      </c>
      <c r="B63" s="19" t="s">
        <v>796</v>
      </c>
      <c r="C63" s="15" t="s">
        <v>797</v>
      </c>
      <c r="D63" s="15" t="s">
        <v>798</v>
      </c>
      <c r="E63" s="20">
        <v>36898</v>
      </c>
      <c r="F63" s="21">
        <v>365.88060000000002</v>
      </c>
      <c r="G63" s="22">
        <v>3.7000000000000002E-3</v>
      </c>
      <c r="H63" s="40"/>
      <c r="I63" s="24"/>
      <c r="J63" s="5"/>
    </row>
    <row r="64" spans="1:10" ht="12.95" customHeight="1">
      <c r="A64" s="18" t="s">
        <v>1776</v>
      </c>
      <c r="B64" s="19" t="s">
        <v>1777</v>
      </c>
      <c r="C64" s="15" t="s">
        <v>1778</v>
      </c>
      <c r="D64" s="15" t="s">
        <v>314</v>
      </c>
      <c r="E64" s="20">
        <v>14871</v>
      </c>
      <c r="F64" s="21">
        <v>362.77800000000002</v>
      </c>
      <c r="G64" s="22">
        <v>3.7000000000000002E-3</v>
      </c>
      <c r="H64" s="40"/>
      <c r="I64" s="24"/>
      <c r="J64" s="5"/>
    </row>
    <row r="65" spans="1:10" ht="12.95" customHeight="1">
      <c r="A65" s="18" t="s">
        <v>799</v>
      </c>
      <c r="B65" s="19" t="s">
        <v>800</v>
      </c>
      <c r="C65" s="15" t="s">
        <v>801</v>
      </c>
      <c r="D65" s="15" t="s">
        <v>291</v>
      </c>
      <c r="E65" s="20">
        <v>135589</v>
      </c>
      <c r="F65" s="21">
        <v>355.6499</v>
      </c>
      <c r="G65" s="22">
        <v>3.5999999999999999E-3</v>
      </c>
      <c r="H65" s="40"/>
      <c r="I65" s="24"/>
      <c r="J65" s="5"/>
    </row>
    <row r="66" spans="1:10" ht="12.95" customHeight="1">
      <c r="A66" s="18" t="s">
        <v>1761</v>
      </c>
      <c r="B66" s="19" t="s">
        <v>1762</v>
      </c>
      <c r="C66" s="15" t="s">
        <v>1763</v>
      </c>
      <c r="D66" s="15" t="s">
        <v>306</v>
      </c>
      <c r="E66" s="20">
        <v>18120</v>
      </c>
      <c r="F66" s="21">
        <v>349.38080000000002</v>
      </c>
      <c r="G66" s="22">
        <v>3.5999999999999999E-3</v>
      </c>
      <c r="H66" s="40"/>
      <c r="I66" s="24"/>
      <c r="J66" s="5"/>
    </row>
    <row r="67" spans="1:10" ht="12.95" customHeight="1">
      <c r="A67" s="18" t="s">
        <v>1581</v>
      </c>
      <c r="B67" s="19" t="s">
        <v>1582</v>
      </c>
      <c r="C67" s="15" t="s">
        <v>1583</v>
      </c>
      <c r="D67" s="15" t="s">
        <v>281</v>
      </c>
      <c r="E67" s="20">
        <v>22451</v>
      </c>
      <c r="F67" s="21">
        <v>341.65929999999997</v>
      </c>
      <c r="G67" s="22">
        <v>3.5000000000000001E-3</v>
      </c>
      <c r="H67" s="40"/>
      <c r="I67" s="24"/>
      <c r="J67" s="5"/>
    </row>
    <row r="68" spans="1:10" ht="12.95" customHeight="1">
      <c r="A68" s="18" t="s">
        <v>3359</v>
      </c>
      <c r="B68" s="19" t="s">
        <v>3360</v>
      </c>
      <c r="C68" s="15" t="s">
        <v>3361</v>
      </c>
      <c r="D68" s="15" t="s">
        <v>291</v>
      </c>
      <c r="E68" s="20">
        <v>34103</v>
      </c>
      <c r="F68" s="21">
        <v>336.64780000000002</v>
      </c>
      <c r="G68" s="22">
        <v>3.3999999999999998E-3</v>
      </c>
      <c r="H68" s="40"/>
      <c r="I68" s="24"/>
      <c r="J68" s="5"/>
    </row>
    <row r="69" spans="1:10" ht="12.95" customHeight="1">
      <c r="A69" s="18" t="s">
        <v>802</v>
      </c>
      <c r="B69" s="19" t="s">
        <v>803</v>
      </c>
      <c r="C69" s="15" t="s">
        <v>804</v>
      </c>
      <c r="D69" s="15" t="s">
        <v>324</v>
      </c>
      <c r="E69" s="20">
        <v>24129</v>
      </c>
      <c r="F69" s="21">
        <v>335.1397</v>
      </c>
      <c r="G69" s="22">
        <v>3.3999999999999998E-3</v>
      </c>
      <c r="H69" s="40"/>
      <c r="I69" s="24"/>
      <c r="J69" s="5"/>
    </row>
    <row r="70" spans="1:10" ht="12.95" customHeight="1">
      <c r="A70" s="18" t="s">
        <v>353</v>
      </c>
      <c r="B70" s="19" t="s">
        <v>354</v>
      </c>
      <c r="C70" s="15" t="s">
        <v>355</v>
      </c>
      <c r="D70" s="15" t="s">
        <v>267</v>
      </c>
      <c r="E70" s="20">
        <v>1300</v>
      </c>
      <c r="F70" s="21">
        <v>331.04500000000002</v>
      </c>
      <c r="G70" s="22">
        <v>3.3999999999999998E-3</v>
      </c>
      <c r="H70" s="40"/>
      <c r="I70" s="24"/>
      <c r="J70" s="5"/>
    </row>
    <row r="71" spans="1:10" ht="12.95" customHeight="1">
      <c r="A71" s="18" t="s">
        <v>1613</v>
      </c>
      <c r="B71" s="19" t="s">
        <v>1614</v>
      </c>
      <c r="C71" s="15" t="s">
        <v>1615</v>
      </c>
      <c r="D71" s="15" t="s">
        <v>1616</v>
      </c>
      <c r="E71" s="20">
        <v>259620</v>
      </c>
      <c r="F71" s="21">
        <v>322.96730000000002</v>
      </c>
      <c r="G71" s="22">
        <v>3.3E-3</v>
      </c>
      <c r="H71" s="40"/>
      <c r="I71" s="24"/>
      <c r="J71" s="5"/>
    </row>
    <row r="72" spans="1:10" ht="12.95" customHeight="1">
      <c r="A72" s="18" t="s">
        <v>2228</v>
      </c>
      <c r="B72" s="19" t="s">
        <v>2229</v>
      </c>
      <c r="C72" s="15" t="s">
        <v>2230</v>
      </c>
      <c r="D72" s="15" t="s">
        <v>890</v>
      </c>
      <c r="E72" s="20">
        <v>24595</v>
      </c>
      <c r="F72" s="21">
        <v>322.0838</v>
      </c>
      <c r="G72" s="22">
        <v>3.3E-3</v>
      </c>
      <c r="H72" s="40"/>
      <c r="I72" s="24"/>
      <c r="J72" s="5"/>
    </row>
    <row r="73" spans="1:10" ht="12.95" customHeight="1">
      <c r="A73" s="18" t="s">
        <v>3362</v>
      </c>
      <c r="B73" s="19" t="s">
        <v>3363</v>
      </c>
      <c r="C73" s="15" t="s">
        <v>3364</v>
      </c>
      <c r="D73" s="15" t="s">
        <v>251</v>
      </c>
      <c r="E73" s="20">
        <v>353651</v>
      </c>
      <c r="F73" s="21">
        <v>321.6456</v>
      </c>
      <c r="G73" s="22">
        <v>3.3E-3</v>
      </c>
      <c r="H73" s="40"/>
      <c r="I73" s="24"/>
      <c r="J73" s="5"/>
    </row>
    <row r="74" spans="1:10" ht="12.95" customHeight="1">
      <c r="A74" s="18" t="s">
        <v>1813</v>
      </c>
      <c r="B74" s="19" t="s">
        <v>1814</v>
      </c>
      <c r="C74" s="15" t="s">
        <v>1815</v>
      </c>
      <c r="D74" s="15" t="s">
        <v>1816</v>
      </c>
      <c r="E74" s="20">
        <v>8682</v>
      </c>
      <c r="F74" s="21">
        <v>318.84649999999999</v>
      </c>
      <c r="G74" s="22">
        <v>3.3E-3</v>
      </c>
      <c r="H74" s="40"/>
      <c r="I74" s="24"/>
      <c r="J74" s="5"/>
    </row>
    <row r="75" spans="1:10" ht="12.95" customHeight="1">
      <c r="A75" s="18" t="s">
        <v>368</v>
      </c>
      <c r="B75" s="19" t="s">
        <v>369</v>
      </c>
      <c r="C75" s="15" t="s">
        <v>370</v>
      </c>
      <c r="D75" s="15" t="s">
        <v>251</v>
      </c>
      <c r="E75" s="20">
        <v>91928</v>
      </c>
      <c r="F75" s="21">
        <v>318.62240000000003</v>
      </c>
      <c r="G75" s="22">
        <v>3.3E-3</v>
      </c>
      <c r="H75" s="40"/>
      <c r="I75" s="24"/>
      <c r="J75" s="5"/>
    </row>
    <row r="76" spans="1:10" ht="12.95" customHeight="1">
      <c r="A76" s="18" t="s">
        <v>338</v>
      </c>
      <c r="B76" s="19" t="s">
        <v>339</v>
      </c>
      <c r="C76" s="15" t="s">
        <v>340</v>
      </c>
      <c r="D76" s="15" t="s">
        <v>334</v>
      </c>
      <c r="E76" s="20">
        <v>59602</v>
      </c>
      <c r="F76" s="21">
        <v>316.42700000000002</v>
      </c>
      <c r="G76" s="22">
        <v>3.2000000000000002E-3</v>
      </c>
      <c r="H76" s="40"/>
      <c r="I76" s="24"/>
      <c r="J76" s="5"/>
    </row>
    <row r="77" spans="1:10" ht="12.95" customHeight="1">
      <c r="A77" s="18" t="s">
        <v>315</v>
      </c>
      <c r="B77" s="19" t="s">
        <v>316</v>
      </c>
      <c r="C77" s="15" t="s">
        <v>317</v>
      </c>
      <c r="D77" s="15" t="s">
        <v>314</v>
      </c>
      <c r="E77" s="20">
        <v>13986</v>
      </c>
      <c r="F77" s="21">
        <v>314.60109999999997</v>
      </c>
      <c r="G77" s="22">
        <v>3.2000000000000002E-3</v>
      </c>
      <c r="H77" s="40"/>
      <c r="I77" s="24"/>
      <c r="J77" s="5"/>
    </row>
    <row r="78" spans="1:10" ht="12.95" customHeight="1">
      <c r="A78" s="18" t="s">
        <v>812</v>
      </c>
      <c r="B78" s="19" t="s">
        <v>813</v>
      </c>
      <c r="C78" s="15" t="s">
        <v>814</v>
      </c>
      <c r="D78" s="15" t="s">
        <v>798</v>
      </c>
      <c r="E78" s="20">
        <v>56603</v>
      </c>
      <c r="F78" s="21">
        <v>312.22210000000001</v>
      </c>
      <c r="G78" s="22">
        <v>3.2000000000000002E-3</v>
      </c>
      <c r="H78" s="40"/>
      <c r="I78" s="24"/>
      <c r="J78" s="5"/>
    </row>
    <row r="79" spans="1:10" ht="12.95" customHeight="1">
      <c r="A79" s="18" t="s">
        <v>809</v>
      </c>
      <c r="B79" s="19" t="s">
        <v>810</v>
      </c>
      <c r="C79" s="15" t="s">
        <v>811</v>
      </c>
      <c r="D79" s="15" t="s">
        <v>403</v>
      </c>
      <c r="E79" s="20">
        <v>7460</v>
      </c>
      <c r="F79" s="21">
        <v>310.73140000000001</v>
      </c>
      <c r="G79" s="22">
        <v>3.2000000000000002E-3</v>
      </c>
      <c r="H79" s="40"/>
      <c r="I79" s="24"/>
      <c r="J79" s="5"/>
    </row>
    <row r="80" spans="1:10" ht="12.95" customHeight="1">
      <c r="A80" s="18" t="s">
        <v>1569</v>
      </c>
      <c r="B80" s="19" t="s">
        <v>1570</v>
      </c>
      <c r="C80" s="15" t="s">
        <v>1571</v>
      </c>
      <c r="D80" s="15" t="s">
        <v>267</v>
      </c>
      <c r="E80" s="20">
        <v>70753</v>
      </c>
      <c r="F80" s="21">
        <v>300.55869999999999</v>
      </c>
      <c r="G80" s="22">
        <v>3.0999999999999999E-3</v>
      </c>
      <c r="H80" s="40"/>
      <c r="I80" s="24"/>
      <c r="J80" s="5"/>
    </row>
    <row r="81" spans="1:10" ht="12.95" customHeight="1">
      <c r="A81" s="18" t="s">
        <v>1773</v>
      </c>
      <c r="B81" s="19" t="s">
        <v>1774</v>
      </c>
      <c r="C81" s="15" t="s">
        <v>1775</v>
      </c>
      <c r="D81" s="15" t="s">
        <v>832</v>
      </c>
      <c r="E81" s="20">
        <v>48437</v>
      </c>
      <c r="F81" s="21">
        <v>298.49299999999999</v>
      </c>
      <c r="G81" s="22">
        <v>3.0000000000000001E-3</v>
      </c>
      <c r="H81" s="40"/>
      <c r="I81" s="24"/>
      <c r="J81" s="5"/>
    </row>
    <row r="82" spans="1:10" ht="12.95" customHeight="1">
      <c r="A82" s="18" t="s">
        <v>3365</v>
      </c>
      <c r="B82" s="19" t="s">
        <v>3366</v>
      </c>
      <c r="C82" s="15" t="s">
        <v>3367</v>
      </c>
      <c r="D82" s="15" t="s">
        <v>255</v>
      </c>
      <c r="E82" s="20">
        <v>4175</v>
      </c>
      <c r="F82" s="21">
        <v>296.7799</v>
      </c>
      <c r="G82" s="22">
        <v>3.0000000000000001E-3</v>
      </c>
      <c r="H82" s="40"/>
      <c r="I82" s="24"/>
      <c r="J82" s="5"/>
    </row>
    <row r="83" spans="1:10" ht="12.95" customHeight="1">
      <c r="A83" s="18" t="s">
        <v>381</v>
      </c>
      <c r="B83" s="19" t="s">
        <v>382</v>
      </c>
      <c r="C83" s="15" t="s">
        <v>383</v>
      </c>
      <c r="D83" s="15" t="s">
        <v>384</v>
      </c>
      <c r="E83" s="20">
        <v>11940</v>
      </c>
      <c r="F83" s="21">
        <v>284.31529999999998</v>
      </c>
      <c r="G83" s="22">
        <v>2.8999999999999998E-3</v>
      </c>
      <c r="H83" s="40"/>
      <c r="I83" s="24"/>
      <c r="J83" s="5"/>
    </row>
    <row r="84" spans="1:10" ht="12.95" customHeight="1">
      <c r="A84" s="18" t="s">
        <v>815</v>
      </c>
      <c r="B84" s="19" t="s">
        <v>816</v>
      </c>
      <c r="C84" s="15" t="s">
        <v>817</v>
      </c>
      <c r="D84" s="15" t="s">
        <v>788</v>
      </c>
      <c r="E84" s="20">
        <v>28015</v>
      </c>
      <c r="F84" s="21">
        <v>282.18110000000001</v>
      </c>
      <c r="G84" s="22">
        <v>2.8999999999999998E-3</v>
      </c>
      <c r="H84" s="40"/>
      <c r="I84" s="24"/>
      <c r="J84" s="5"/>
    </row>
    <row r="85" spans="1:10" ht="12.95" customHeight="1">
      <c r="A85" s="18" t="s">
        <v>374</v>
      </c>
      <c r="B85" s="19" t="s">
        <v>375</v>
      </c>
      <c r="C85" s="15" t="s">
        <v>376</v>
      </c>
      <c r="D85" s="15" t="s">
        <v>310</v>
      </c>
      <c r="E85" s="20">
        <v>49818</v>
      </c>
      <c r="F85" s="21">
        <v>279.80279999999999</v>
      </c>
      <c r="G85" s="22">
        <v>2.8999999999999998E-3</v>
      </c>
      <c r="H85" s="40"/>
      <c r="I85" s="24"/>
      <c r="J85" s="5"/>
    </row>
    <row r="86" spans="1:10" ht="12.95" customHeight="1">
      <c r="A86" s="18" t="s">
        <v>829</v>
      </c>
      <c r="B86" s="19" t="s">
        <v>830</v>
      </c>
      <c r="C86" s="15" t="s">
        <v>831</v>
      </c>
      <c r="D86" s="15" t="s">
        <v>832</v>
      </c>
      <c r="E86" s="20">
        <v>7741</v>
      </c>
      <c r="F86" s="21">
        <v>267.29669999999999</v>
      </c>
      <c r="G86" s="22">
        <v>2.7000000000000001E-3</v>
      </c>
      <c r="H86" s="40"/>
      <c r="I86" s="24"/>
      <c r="J86" s="5"/>
    </row>
    <row r="87" spans="1:10" ht="12.95" customHeight="1">
      <c r="A87" s="18" t="s">
        <v>821</v>
      </c>
      <c r="B87" s="19" t="s">
        <v>822</v>
      </c>
      <c r="C87" s="15" t="s">
        <v>823</v>
      </c>
      <c r="D87" s="15" t="s">
        <v>798</v>
      </c>
      <c r="E87" s="20">
        <v>12827</v>
      </c>
      <c r="F87" s="21">
        <v>257.25189999999998</v>
      </c>
      <c r="G87" s="22">
        <v>2.5999999999999999E-3</v>
      </c>
      <c r="H87" s="40"/>
      <c r="I87" s="24"/>
      <c r="J87" s="5"/>
    </row>
    <row r="88" spans="1:10" ht="12.95" customHeight="1">
      <c r="A88" s="18" t="s">
        <v>1797</v>
      </c>
      <c r="B88" s="19" t="s">
        <v>1798</v>
      </c>
      <c r="C88" s="15" t="s">
        <v>1799</v>
      </c>
      <c r="D88" s="15" t="s">
        <v>1800</v>
      </c>
      <c r="E88" s="20">
        <v>114645</v>
      </c>
      <c r="F88" s="21">
        <v>255.14240000000001</v>
      </c>
      <c r="G88" s="22">
        <v>2.5999999999999999E-3</v>
      </c>
      <c r="H88" s="40"/>
      <c r="I88" s="24"/>
      <c r="J88" s="5"/>
    </row>
    <row r="89" spans="1:10" ht="12.95" customHeight="1">
      <c r="A89" s="18" t="s">
        <v>341</v>
      </c>
      <c r="B89" s="19" t="s">
        <v>342</v>
      </c>
      <c r="C89" s="15" t="s">
        <v>343</v>
      </c>
      <c r="D89" s="15" t="s">
        <v>344</v>
      </c>
      <c r="E89" s="20">
        <v>35368</v>
      </c>
      <c r="F89" s="21">
        <v>248.05350000000001</v>
      </c>
      <c r="G89" s="22">
        <v>2.5000000000000001E-3</v>
      </c>
      <c r="H89" s="40"/>
      <c r="I89" s="24"/>
      <c r="J89" s="5"/>
    </row>
    <row r="90" spans="1:10" ht="12.95" customHeight="1">
      <c r="A90" s="18" t="s">
        <v>818</v>
      </c>
      <c r="B90" s="19" t="s">
        <v>819</v>
      </c>
      <c r="C90" s="15" t="s">
        <v>820</v>
      </c>
      <c r="D90" s="15" t="s">
        <v>291</v>
      </c>
      <c r="E90" s="20">
        <v>30093</v>
      </c>
      <c r="F90" s="21">
        <v>243.82849999999999</v>
      </c>
      <c r="G90" s="22">
        <v>2.5000000000000001E-3</v>
      </c>
      <c r="H90" s="40"/>
      <c r="I90" s="24"/>
      <c r="J90" s="5"/>
    </row>
    <row r="91" spans="1:10" ht="12.95" customHeight="1">
      <c r="A91" s="18" t="s">
        <v>1746</v>
      </c>
      <c r="B91" s="19" t="s">
        <v>1747</v>
      </c>
      <c r="C91" s="15" t="s">
        <v>1748</v>
      </c>
      <c r="D91" s="15" t="s">
        <v>271</v>
      </c>
      <c r="E91" s="20">
        <v>64633</v>
      </c>
      <c r="F91" s="21">
        <v>243.18170000000001</v>
      </c>
      <c r="G91" s="22">
        <v>2.5000000000000001E-3</v>
      </c>
      <c r="H91" s="40"/>
      <c r="I91" s="24"/>
      <c r="J91" s="5"/>
    </row>
    <row r="92" spans="1:10" ht="12.95" customHeight="1">
      <c r="A92" s="18" t="s">
        <v>708</v>
      </c>
      <c r="B92" s="19" t="s">
        <v>709</v>
      </c>
      <c r="C92" s="15" t="s">
        <v>710</v>
      </c>
      <c r="D92" s="15" t="s">
        <v>271</v>
      </c>
      <c r="E92" s="20">
        <v>286715</v>
      </c>
      <c r="F92" s="21">
        <v>229.94540000000001</v>
      </c>
      <c r="G92" s="22">
        <v>2.3E-3</v>
      </c>
      <c r="H92" s="40"/>
      <c r="I92" s="24"/>
      <c r="J92" s="5"/>
    </row>
    <row r="93" spans="1:10" ht="12.95" customHeight="1">
      <c r="A93" s="18" t="s">
        <v>3368</v>
      </c>
      <c r="B93" s="19" t="s">
        <v>3369</v>
      </c>
      <c r="C93" s="15" t="s">
        <v>3370</v>
      </c>
      <c r="D93" s="15" t="s">
        <v>255</v>
      </c>
      <c r="E93" s="20">
        <v>28203</v>
      </c>
      <c r="F93" s="21">
        <v>223.1139</v>
      </c>
      <c r="G93" s="22">
        <v>2.3E-3</v>
      </c>
      <c r="H93" s="40"/>
      <c r="I93" s="24"/>
      <c r="J93" s="5"/>
    </row>
    <row r="94" spans="1:10" ht="12.95" customHeight="1">
      <c r="A94" s="18" t="s">
        <v>857</v>
      </c>
      <c r="B94" s="19" t="s">
        <v>858</v>
      </c>
      <c r="C94" s="15" t="s">
        <v>859</v>
      </c>
      <c r="D94" s="15" t="s">
        <v>259</v>
      </c>
      <c r="E94" s="20">
        <v>228516</v>
      </c>
      <c r="F94" s="21">
        <v>219.37540000000001</v>
      </c>
      <c r="G94" s="22">
        <v>2.2000000000000001E-3</v>
      </c>
      <c r="H94" s="40"/>
      <c r="I94" s="24"/>
      <c r="J94" s="5"/>
    </row>
    <row r="95" spans="1:10" ht="12.95" customHeight="1">
      <c r="A95" s="18" t="s">
        <v>887</v>
      </c>
      <c r="B95" s="19" t="s">
        <v>888</v>
      </c>
      <c r="C95" s="15" t="s">
        <v>889</v>
      </c>
      <c r="D95" s="15" t="s">
        <v>890</v>
      </c>
      <c r="E95" s="20">
        <v>37410</v>
      </c>
      <c r="F95" s="21">
        <v>211.81540000000001</v>
      </c>
      <c r="G95" s="22">
        <v>2.2000000000000001E-3</v>
      </c>
      <c r="H95" s="40"/>
      <c r="I95" s="24"/>
      <c r="J95" s="5"/>
    </row>
    <row r="96" spans="1:10" ht="12.95" customHeight="1">
      <c r="A96" s="18" t="s">
        <v>1850</v>
      </c>
      <c r="B96" s="19" t="s">
        <v>1851</v>
      </c>
      <c r="C96" s="15" t="s">
        <v>1852</v>
      </c>
      <c r="D96" s="15" t="s">
        <v>1816</v>
      </c>
      <c r="E96" s="20">
        <v>5095</v>
      </c>
      <c r="F96" s="21">
        <v>208.8058</v>
      </c>
      <c r="G96" s="22">
        <v>2.0999999999999999E-3</v>
      </c>
      <c r="H96" s="40"/>
      <c r="I96" s="24"/>
      <c r="J96" s="5"/>
    </row>
    <row r="97" spans="1:10" ht="12.95" customHeight="1">
      <c r="A97" s="18" t="s">
        <v>1853</v>
      </c>
      <c r="B97" s="19" t="s">
        <v>1854</v>
      </c>
      <c r="C97" s="15" t="s">
        <v>1855</v>
      </c>
      <c r="D97" s="15" t="s">
        <v>808</v>
      </c>
      <c r="E97" s="20">
        <v>29066</v>
      </c>
      <c r="F97" s="21">
        <v>197.89590000000001</v>
      </c>
      <c r="G97" s="22">
        <v>2E-3</v>
      </c>
      <c r="H97" s="40"/>
      <c r="I97" s="24"/>
      <c r="J97" s="5"/>
    </row>
    <row r="98" spans="1:10" ht="12.95" customHeight="1">
      <c r="A98" s="18" t="s">
        <v>3371</v>
      </c>
      <c r="B98" s="19" t="s">
        <v>279</v>
      </c>
      <c r="C98" s="15" t="s">
        <v>3372</v>
      </c>
      <c r="D98" s="15" t="s">
        <v>281</v>
      </c>
      <c r="E98" s="20">
        <v>45117</v>
      </c>
      <c r="F98" s="21">
        <v>193.1233</v>
      </c>
      <c r="G98" s="22">
        <v>2E-3</v>
      </c>
      <c r="H98" s="40"/>
      <c r="I98" s="24"/>
      <c r="J98" s="5"/>
    </row>
    <row r="99" spans="1:10" ht="12.95" customHeight="1">
      <c r="A99" s="18" t="s">
        <v>1758</v>
      </c>
      <c r="B99" s="19" t="s">
        <v>1759</v>
      </c>
      <c r="C99" s="15" t="s">
        <v>1760</v>
      </c>
      <c r="D99" s="15" t="s">
        <v>745</v>
      </c>
      <c r="E99" s="20">
        <v>8797</v>
      </c>
      <c r="F99" s="21">
        <v>169.7029</v>
      </c>
      <c r="G99" s="22">
        <v>1.6999999999999999E-3</v>
      </c>
      <c r="H99" s="40"/>
      <c r="I99" s="24"/>
      <c r="J99" s="5"/>
    </row>
    <row r="100" spans="1:10" ht="12.95" customHeight="1">
      <c r="A100" s="18" t="s">
        <v>3373</v>
      </c>
      <c r="B100" s="19" t="s">
        <v>3374</v>
      </c>
      <c r="C100" s="15" t="s">
        <v>3375</v>
      </c>
      <c r="D100" s="15" t="s">
        <v>1616</v>
      </c>
      <c r="E100" s="20">
        <v>26477</v>
      </c>
      <c r="F100" s="21">
        <v>162.37020000000001</v>
      </c>
      <c r="G100" s="22">
        <v>1.6999999999999999E-3</v>
      </c>
      <c r="H100" s="40"/>
      <c r="I100" s="24"/>
      <c r="J100" s="5"/>
    </row>
    <row r="101" spans="1:10" ht="12.95" customHeight="1">
      <c r="A101" s="18" t="s">
        <v>3376</v>
      </c>
      <c r="B101" s="19" t="s">
        <v>3377</v>
      </c>
      <c r="C101" s="15" t="s">
        <v>3378</v>
      </c>
      <c r="D101" s="15" t="s">
        <v>798</v>
      </c>
      <c r="E101" s="20">
        <v>894</v>
      </c>
      <c r="F101" s="21">
        <v>160.4949</v>
      </c>
      <c r="G101" s="22">
        <v>1.6000000000000001E-3</v>
      </c>
      <c r="H101" s="40"/>
      <c r="I101" s="24"/>
      <c r="J101" s="5"/>
    </row>
    <row r="102" spans="1:10" ht="12.95" customHeight="1">
      <c r="A102" s="18" t="s">
        <v>3379</v>
      </c>
      <c r="B102" s="19" t="s">
        <v>3380</v>
      </c>
      <c r="C102" s="15" t="s">
        <v>3381</v>
      </c>
      <c r="D102" s="15" t="s">
        <v>259</v>
      </c>
      <c r="E102" s="20">
        <v>832</v>
      </c>
      <c r="F102" s="21">
        <v>158.2439</v>
      </c>
      <c r="G102" s="22">
        <v>1.6000000000000001E-3</v>
      </c>
      <c r="H102" s="40"/>
      <c r="I102" s="24"/>
      <c r="J102" s="5"/>
    </row>
    <row r="103" spans="1:10" ht="12.95" customHeight="1">
      <c r="A103" s="18" t="s">
        <v>3382</v>
      </c>
      <c r="B103" s="19" t="s">
        <v>3383</v>
      </c>
      <c r="C103" s="15" t="s">
        <v>3384</v>
      </c>
      <c r="D103" s="15" t="s">
        <v>324</v>
      </c>
      <c r="E103" s="20">
        <v>26934</v>
      </c>
      <c r="F103" s="21">
        <v>153.2141</v>
      </c>
      <c r="G103" s="22">
        <v>1.6000000000000001E-3</v>
      </c>
      <c r="H103" s="40"/>
      <c r="I103" s="24"/>
      <c r="J103" s="5"/>
    </row>
    <row r="104" spans="1:10" ht="12.95" customHeight="1">
      <c r="A104" s="18" t="s">
        <v>2225</v>
      </c>
      <c r="B104" s="19" t="s">
        <v>2226</v>
      </c>
      <c r="C104" s="15" t="s">
        <v>2227</v>
      </c>
      <c r="D104" s="15" t="s">
        <v>745</v>
      </c>
      <c r="E104" s="20">
        <v>24404</v>
      </c>
      <c r="F104" s="21">
        <v>150.08459999999999</v>
      </c>
      <c r="G104" s="22">
        <v>1.5E-3</v>
      </c>
      <c r="H104" s="40"/>
      <c r="I104" s="24"/>
      <c r="J104" s="5"/>
    </row>
    <row r="105" spans="1:10" ht="12.95" customHeight="1">
      <c r="A105" s="18" t="s">
        <v>3385</v>
      </c>
      <c r="B105" s="19" t="s">
        <v>3386</v>
      </c>
      <c r="C105" s="15" t="s">
        <v>3387</v>
      </c>
      <c r="D105" s="15" t="s">
        <v>255</v>
      </c>
      <c r="E105" s="20">
        <v>10434</v>
      </c>
      <c r="F105" s="21">
        <v>130.6337</v>
      </c>
      <c r="G105" s="22">
        <v>1.2999999999999999E-3</v>
      </c>
      <c r="H105" s="40"/>
      <c r="I105" s="24"/>
      <c r="J105" s="5"/>
    </row>
    <row r="106" spans="1:10" ht="12.95" customHeight="1">
      <c r="A106" s="18" t="s">
        <v>3388</v>
      </c>
      <c r="B106" s="19" t="s">
        <v>3389</v>
      </c>
      <c r="C106" s="15" t="s">
        <v>3390</v>
      </c>
      <c r="D106" s="15" t="s">
        <v>890</v>
      </c>
      <c r="E106" s="20">
        <v>19882</v>
      </c>
      <c r="F106" s="21">
        <v>129.1833</v>
      </c>
      <c r="G106" s="22">
        <v>1.2999999999999999E-3</v>
      </c>
      <c r="H106" s="40"/>
      <c r="I106" s="24"/>
      <c r="J106" s="5"/>
    </row>
    <row r="107" spans="1:10" ht="12.95" customHeight="1">
      <c r="A107" s="18" t="s">
        <v>3391</v>
      </c>
      <c r="B107" s="19" t="s">
        <v>3392</v>
      </c>
      <c r="C107" s="15" t="s">
        <v>3393</v>
      </c>
      <c r="D107" s="15" t="s">
        <v>310</v>
      </c>
      <c r="E107" s="20">
        <v>15020</v>
      </c>
      <c r="F107" s="21">
        <v>50.677500000000002</v>
      </c>
      <c r="G107" s="22">
        <v>5.0000000000000001E-4</v>
      </c>
      <c r="H107" s="40"/>
      <c r="I107" s="24"/>
      <c r="J107" s="5"/>
    </row>
    <row r="108" spans="1:10" ht="12.95" customHeight="1">
      <c r="A108" s="5"/>
      <c r="B108" s="14" t="s">
        <v>160</v>
      </c>
      <c r="C108" s="15"/>
      <c r="D108" s="15"/>
      <c r="E108" s="15"/>
      <c r="F108" s="25">
        <v>97731.201300000001</v>
      </c>
      <c r="G108" s="26">
        <v>0.99719999999999998</v>
      </c>
      <c r="H108" s="27"/>
      <c r="I108" s="28"/>
      <c r="J108" s="5"/>
    </row>
    <row r="109" spans="1:10" ht="12.95" customHeight="1">
      <c r="A109" s="5"/>
      <c r="B109" s="29" t="s">
        <v>408</v>
      </c>
      <c r="C109" s="2"/>
      <c r="D109" s="2"/>
      <c r="E109" s="2"/>
      <c r="F109" s="27" t="s">
        <v>162</v>
      </c>
      <c r="G109" s="27" t="s">
        <v>162</v>
      </c>
      <c r="H109" s="27"/>
      <c r="I109" s="28"/>
      <c r="J109" s="5"/>
    </row>
    <row r="110" spans="1:10" ht="12.95" customHeight="1">
      <c r="A110" s="5"/>
      <c r="B110" s="29" t="s">
        <v>160</v>
      </c>
      <c r="C110" s="2"/>
      <c r="D110" s="2"/>
      <c r="E110" s="2"/>
      <c r="F110" s="27" t="s">
        <v>162</v>
      </c>
      <c r="G110" s="27" t="s">
        <v>162</v>
      </c>
      <c r="H110" s="27"/>
      <c r="I110" s="28"/>
      <c r="J110" s="5"/>
    </row>
    <row r="111" spans="1:10" ht="12.95" customHeight="1">
      <c r="A111" s="5"/>
      <c r="B111" s="29" t="s">
        <v>163</v>
      </c>
      <c r="C111" s="30"/>
      <c r="D111" s="2"/>
      <c r="E111" s="30"/>
      <c r="F111" s="25">
        <v>97731.201300000001</v>
      </c>
      <c r="G111" s="26">
        <v>0.99719999999999998</v>
      </c>
      <c r="H111" s="27"/>
      <c r="I111" s="28"/>
      <c r="J111" s="5"/>
    </row>
    <row r="112" spans="1:10" ht="12.95" customHeight="1">
      <c r="A112" s="5"/>
      <c r="B112" s="14" t="s">
        <v>151</v>
      </c>
      <c r="C112" s="15"/>
      <c r="D112" s="15"/>
      <c r="E112" s="15"/>
      <c r="F112" s="15"/>
      <c r="G112" s="15"/>
      <c r="H112" s="16"/>
      <c r="I112" s="17"/>
      <c r="J112" s="5"/>
    </row>
    <row r="113" spans="1:10" ht="12.95" customHeight="1">
      <c r="A113" s="5"/>
      <c r="B113" s="14" t="s">
        <v>152</v>
      </c>
      <c r="C113" s="15"/>
      <c r="D113" s="15"/>
      <c r="E113" s="15"/>
      <c r="F113" s="5"/>
      <c r="G113" s="16"/>
      <c r="H113" s="16"/>
      <c r="I113" s="17"/>
      <c r="J113" s="5"/>
    </row>
    <row r="114" spans="1:10" ht="12.95" customHeight="1">
      <c r="A114" s="18" t="s">
        <v>3354</v>
      </c>
      <c r="B114" s="19" t="s">
        <v>3355</v>
      </c>
      <c r="C114" s="15" t="s">
        <v>3356</v>
      </c>
      <c r="D114" s="15" t="s">
        <v>179</v>
      </c>
      <c r="E114" s="20">
        <v>6857</v>
      </c>
      <c r="F114" s="21">
        <v>1.9607000000000001</v>
      </c>
      <c r="G114" s="40" t="s">
        <v>675</v>
      </c>
      <c r="H114" s="23">
        <v>7.5480000000000005E-2</v>
      </c>
      <c r="I114" s="24"/>
      <c r="J114" s="5"/>
    </row>
    <row r="115" spans="1:10" ht="12.95" customHeight="1">
      <c r="A115" s="5"/>
      <c r="B115" s="14" t="s">
        <v>160</v>
      </c>
      <c r="C115" s="15"/>
      <c r="D115" s="15"/>
      <c r="E115" s="15"/>
      <c r="F115" s="25">
        <v>1.9607000000000001</v>
      </c>
      <c r="G115" s="26" t="s">
        <v>675</v>
      </c>
      <c r="H115" s="27"/>
      <c r="I115" s="28"/>
      <c r="J115" s="5"/>
    </row>
    <row r="116" spans="1:10" ht="12.95" customHeight="1">
      <c r="A116" s="5"/>
      <c r="B116" s="29" t="s">
        <v>161</v>
      </c>
      <c r="C116" s="2"/>
      <c r="D116" s="2"/>
      <c r="E116" s="2"/>
      <c r="F116" s="27" t="s">
        <v>162</v>
      </c>
      <c r="G116" s="27" t="s">
        <v>162</v>
      </c>
      <c r="H116" s="27"/>
      <c r="I116" s="28"/>
      <c r="J116" s="5"/>
    </row>
    <row r="117" spans="1:10" ht="12.95" customHeight="1">
      <c r="A117" s="5"/>
      <c r="B117" s="29" t="s">
        <v>160</v>
      </c>
      <c r="C117" s="2"/>
      <c r="D117" s="2"/>
      <c r="E117" s="2"/>
      <c r="F117" s="27" t="s">
        <v>162</v>
      </c>
      <c r="G117" s="27" t="s">
        <v>162</v>
      </c>
      <c r="H117" s="27"/>
      <c r="I117" s="28"/>
      <c r="J117" s="5"/>
    </row>
    <row r="118" spans="1:10" ht="12.95" customHeight="1">
      <c r="A118" s="5"/>
      <c r="B118" s="29" t="s">
        <v>163</v>
      </c>
      <c r="C118" s="30"/>
      <c r="D118" s="2"/>
      <c r="E118" s="30"/>
      <c r="F118" s="25">
        <v>1.9607000000000001</v>
      </c>
      <c r="G118" s="26" t="s">
        <v>675</v>
      </c>
      <c r="H118" s="27"/>
      <c r="I118" s="28"/>
      <c r="J118" s="5"/>
    </row>
    <row r="119" spans="1:10" ht="12.95" customHeight="1">
      <c r="A119" s="5"/>
      <c r="B119" s="14" t="s">
        <v>164</v>
      </c>
      <c r="C119" s="15"/>
      <c r="D119" s="15"/>
      <c r="E119" s="15"/>
      <c r="F119" s="15"/>
      <c r="G119" s="15"/>
      <c r="H119" s="16"/>
      <c r="I119" s="17"/>
      <c r="J119" s="5"/>
    </row>
    <row r="120" spans="1:10" ht="12.95" customHeight="1">
      <c r="A120" s="18" t="s">
        <v>165</v>
      </c>
      <c r="B120" s="19" t="s">
        <v>166</v>
      </c>
      <c r="C120" s="15"/>
      <c r="D120" s="15"/>
      <c r="E120" s="20"/>
      <c r="F120" s="21">
        <v>492.3965</v>
      </c>
      <c r="G120" s="22">
        <v>5.0000000000000001E-3</v>
      </c>
      <c r="H120" s="23">
        <v>6.7996813250786381E-2</v>
      </c>
      <c r="I120" s="24"/>
      <c r="J120" s="5"/>
    </row>
    <row r="121" spans="1:10" ht="12.95" customHeight="1">
      <c r="A121" s="5"/>
      <c r="B121" s="14" t="s">
        <v>160</v>
      </c>
      <c r="C121" s="15"/>
      <c r="D121" s="15"/>
      <c r="E121" s="15"/>
      <c r="F121" s="25">
        <v>492.3965</v>
      </c>
      <c r="G121" s="26">
        <v>5.0000000000000001E-3</v>
      </c>
      <c r="H121" s="27"/>
      <c r="I121" s="28"/>
      <c r="J121" s="5"/>
    </row>
    <row r="122" spans="1:10" ht="12.95" customHeight="1">
      <c r="A122" s="5"/>
      <c r="B122" s="29" t="s">
        <v>163</v>
      </c>
      <c r="C122" s="30"/>
      <c r="D122" s="2"/>
      <c r="E122" s="30"/>
      <c r="F122" s="25">
        <v>492.3965</v>
      </c>
      <c r="G122" s="26">
        <v>5.0000000000000001E-3</v>
      </c>
      <c r="H122" s="27"/>
      <c r="I122" s="28"/>
      <c r="J122" s="5"/>
    </row>
    <row r="123" spans="1:10" ht="12.95" customHeight="1">
      <c r="A123" s="5"/>
      <c r="B123" s="29" t="s">
        <v>167</v>
      </c>
      <c r="C123" s="15"/>
      <c r="D123" s="2"/>
      <c r="E123" s="15"/>
      <c r="F123" s="31">
        <v>-222.70849999999999</v>
      </c>
      <c r="G123" s="26">
        <v>-2.2000000000000001E-3</v>
      </c>
      <c r="H123" s="27"/>
      <c r="I123" s="28"/>
      <c r="J123" s="5"/>
    </row>
    <row r="124" spans="1:10" ht="12.95" customHeight="1">
      <c r="A124" s="5"/>
      <c r="B124" s="32" t="s">
        <v>168</v>
      </c>
      <c r="C124" s="33"/>
      <c r="D124" s="33"/>
      <c r="E124" s="33"/>
      <c r="F124" s="34">
        <v>98002.85</v>
      </c>
      <c r="G124" s="35">
        <v>1</v>
      </c>
      <c r="H124" s="36"/>
      <c r="I124" s="37"/>
      <c r="J124" s="5"/>
    </row>
    <row r="125" spans="1:10" ht="12.95" customHeight="1">
      <c r="A125" s="5"/>
      <c r="B125" s="7"/>
      <c r="C125" s="5"/>
      <c r="D125" s="5"/>
      <c r="E125" s="5"/>
      <c r="F125" s="5"/>
      <c r="G125" s="5"/>
      <c r="H125" s="5"/>
      <c r="I125" s="5"/>
      <c r="J125" s="5"/>
    </row>
    <row r="126" spans="1:10" ht="12.95" customHeight="1">
      <c r="A126" s="5"/>
      <c r="B126" s="4" t="s">
        <v>169</v>
      </c>
      <c r="C126" s="5"/>
      <c r="D126" s="5"/>
      <c r="E126" s="5"/>
      <c r="F126" s="5"/>
      <c r="G126" s="5"/>
      <c r="H126" s="5"/>
      <c r="I126" s="5"/>
      <c r="J126" s="5"/>
    </row>
    <row r="127" spans="1:10" ht="12.95" customHeight="1">
      <c r="A127" s="5"/>
      <c r="B127" s="4" t="s">
        <v>207</v>
      </c>
      <c r="C127" s="5"/>
      <c r="D127" s="5"/>
      <c r="E127" s="5"/>
      <c r="F127" s="5"/>
      <c r="G127" s="5"/>
      <c r="H127" s="5"/>
      <c r="I127" s="5"/>
      <c r="J127" s="5"/>
    </row>
    <row r="128" spans="1:10" ht="12.95" customHeight="1">
      <c r="A128" s="5"/>
      <c r="B128" s="4" t="s">
        <v>685</v>
      </c>
      <c r="C128" s="5"/>
      <c r="D128" s="5"/>
      <c r="E128" s="5"/>
      <c r="F128" s="5"/>
      <c r="G128" s="5"/>
      <c r="H128" s="5"/>
      <c r="I128" s="5"/>
      <c r="J128" s="5"/>
    </row>
    <row r="129" spans="1:10" ht="12.95" customHeight="1">
      <c r="A129" s="5"/>
      <c r="B129" s="4" t="s">
        <v>170</v>
      </c>
      <c r="C129" s="5"/>
      <c r="D129" s="5"/>
      <c r="E129" s="5"/>
      <c r="F129" s="5"/>
      <c r="G129" s="5"/>
      <c r="H129" s="5"/>
      <c r="I129" s="5"/>
      <c r="J129" s="5"/>
    </row>
    <row r="130" spans="1:10" ht="26.1" customHeight="1">
      <c r="A130" s="5"/>
      <c r="B130" s="86" t="s">
        <v>171</v>
      </c>
      <c r="C130" s="86"/>
      <c r="D130" s="86"/>
      <c r="E130" s="86"/>
      <c r="F130" s="86"/>
      <c r="G130" s="86"/>
      <c r="H130" s="86"/>
      <c r="I130" s="86"/>
      <c r="J130" s="5"/>
    </row>
    <row r="131" spans="1:10" ht="12.95" customHeight="1">
      <c r="A131" s="5"/>
      <c r="B131" s="86"/>
      <c r="C131" s="86"/>
      <c r="D131" s="86"/>
      <c r="E131" s="86"/>
      <c r="F131" s="86"/>
      <c r="G131" s="86"/>
      <c r="H131" s="86"/>
      <c r="I131" s="86"/>
      <c r="J131" s="5"/>
    </row>
    <row r="132" spans="1:10" ht="12.95" customHeight="1">
      <c r="A132" s="5"/>
      <c r="B132" s="86"/>
      <c r="C132" s="86"/>
      <c r="D132" s="86"/>
      <c r="E132" s="86"/>
      <c r="F132" s="86"/>
      <c r="G132" s="86"/>
      <c r="H132" s="86"/>
      <c r="I132" s="86"/>
      <c r="J132" s="5"/>
    </row>
    <row r="133" spans="1:10" ht="12.95" customHeight="1">
      <c r="A133" s="5"/>
      <c r="B133" s="5"/>
      <c r="C133" s="87" t="s">
        <v>3394</v>
      </c>
      <c r="D133" s="87"/>
      <c r="E133" s="87"/>
      <c r="F133" s="87"/>
      <c r="G133" s="5"/>
      <c r="H133" s="5"/>
      <c r="I133" s="5"/>
      <c r="J133" s="5"/>
    </row>
    <row r="134" spans="1:10" ht="12.95" customHeight="1">
      <c r="A134" s="5"/>
      <c r="B134" s="38" t="s">
        <v>173</v>
      </c>
      <c r="C134" s="87" t="s">
        <v>174</v>
      </c>
      <c r="D134" s="87"/>
      <c r="E134" s="87"/>
      <c r="F134" s="87"/>
      <c r="G134" s="5"/>
      <c r="H134" s="5"/>
      <c r="I134" s="5"/>
      <c r="J134" s="5"/>
    </row>
    <row r="135" spans="1:10" ht="120.95" customHeight="1">
      <c r="A135" s="5"/>
      <c r="B135" s="39"/>
      <c r="C135" s="85"/>
      <c r="D135" s="85"/>
      <c r="E135" s="5"/>
      <c r="F135" s="5"/>
      <c r="G135" s="5"/>
      <c r="H135" s="5"/>
      <c r="I135" s="5"/>
      <c r="J135" s="5"/>
    </row>
  </sheetData>
  <mergeCells count="6">
    <mergeCell ref="C135:D135"/>
    <mergeCell ref="B130:I130"/>
    <mergeCell ref="B131:I131"/>
    <mergeCell ref="B132:I132"/>
    <mergeCell ref="C133:F133"/>
    <mergeCell ref="C134:F134"/>
  </mergeCells>
  <hyperlinks>
    <hyperlink ref="A1" location="AxisNifty100IndexFund" display="AXISNIF" xr:uid="{00000000-0004-0000-2E00-000000000000}"/>
    <hyperlink ref="B1" location="AxisNifty100IndexFund" display="Axis Nifty 100 Index Fund" xr:uid="{00000000-0004-0000-2E00-000001000000}"/>
  </hyperlinks>
  <pageMargins left="0" right="0" top="0" bottom="0" header="0" footer="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/>
  </sheetPr>
  <dimension ref="A1:J3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96</v>
      </c>
      <c r="B1" s="4" t="s">
        <v>97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285</v>
      </c>
      <c r="B7" s="19" t="s">
        <v>286</v>
      </c>
      <c r="C7" s="15" t="s">
        <v>287</v>
      </c>
      <c r="D7" s="15" t="s">
        <v>263</v>
      </c>
      <c r="E7" s="20">
        <v>161297</v>
      </c>
      <c r="F7" s="21">
        <v>2315.3377999999998</v>
      </c>
      <c r="G7" s="22">
        <v>0.2702</v>
      </c>
      <c r="H7" s="40"/>
      <c r="I7" s="24"/>
      <c r="J7" s="5"/>
    </row>
    <row r="8" spans="1:10" ht="12.95" customHeight="1">
      <c r="A8" s="18" t="s">
        <v>260</v>
      </c>
      <c r="B8" s="19" t="s">
        <v>261</v>
      </c>
      <c r="C8" s="15" t="s">
        <v>262</v>
      </c>
      <c r="D8" s="15" t="s">
        <v>263</v>
      </c>
      <c r="E8" s="20">
        <v>62550</v>
      </c>
      <c r="F8" s="21">
        <v>2207.1392999999998</v>
      </c>
      <c r="G8" s="22">
        <v>0.2576</v>
      </c>
      <c r="H8" s="40"/>
      <c r="I8" s="24"/>
      <c r="J8" s="5"/>
    </row>
    <row r="9" spans="1:10" ht="12.95" customHeight="1">
      <c r="A9" s="18" t="s">
        <v>739</v>
      </c>
      <c r="B9" s="19" t="s">
        <v>740</v>
      </c>
      <c r="C9" s="15" t="s">
        <v>741</v>
      </c>
      <c r="D9" s="15" t="s">
        <v>263</v>
      </c>
      <c r="E9" s="20">
        <v>64599</v>
      </c>
      <c r="F9" s="21">
        <v>797.66849999999999</v>
      </c>
      <c r="G9" s="22">
        <v>9.3100000000000002E-2</v>
      </c>
      <c r="H9" s="40"/>
      <c r="I9" s="24"/>
      <c r="J9" s="5"/>
    </row>
    <row r="10" spans="1:10" ht="12.95" customHeight="1">
      <c r="A10" s="18" t="s">
        <v>335</v>
      </c>
      <c r="B10" s="19" t="s">
        <v>336</v>
      </c>
      <c r="C10" s="15" t="s">
        <v>337</v>
      </c>
      <c r="D10" s="15" t="s">
        <v>263</v>
      </c>
      <c r="E10" s="20">
        <v>63686</v>
      </c>
      <c r="F10" s="21">
        <v>778.75239999999997</v>
      </c>
      <c r="G10" s="22">
        <v>9.0899999999999995E-2</v>
      </c>
      <c r="H10" s="40"/>
      <c r="I10" s="24"/>
      <c r="J10" s="5"/>
    </row>
    <row r="11" spans="1:10" ht="12.95" customHeight="1">
      <c r="A11" s="18" t="s">
        <v>759</v>
      </c>
      <c r="B11" s="19" t="s">
        <v>760</v>
      </c>
      <c r="C11" s="15" t="s">
        <v>761</v>
      </c>
      <c r="D11" s="15" t="s">
        <v>263</v>
      </c>
      <c r="E11" s="20">
        <v>175081</v>
      </c>
      <c r="F11" s="21">
        <v>710.91639999999995</v>
      </c>
      <c r="G11" s="22">
        <v>8.3000000000000004E-2</v>
      </c>
      <c r="H11" s="40"/>
      <c r="I11" s="24"/>
      <c r="J11" s="5"/>
    </row>
    <row r="12" spans="1:10" ht="12.95" customHeight="1">
      <c r="A12" s="18" t="s">
        <v>318</v>
      </c>
      <c r="B12" s="19" t="s">
        <v>319</v>
      </c>
      <c r="C12" s="15" t="s">
        <v>320</v>
      </c>
      <c r="D12" s="15" t="s">
        <v>263</v>
      </c>
      <c r="E12" s="20">
        <v>11386</v>
      </c>
      <c r="F12" s="21">
        <v>593.19349999999997</v>
      </c>
      <c r="G12" s="22">
        <v>6.9199999999999998E-2</v>
      </c>
      <c r="H12" s="40"/>
      <c r="I12" s="24"/>
      <c r="J12" s="5"/>
    </row>
    <row r="13" spans="1:10" ht="12.95" customHeight="1">
      <c r="A13" s="18" t="s">
        <v>1584</v>
      </c>
      <c r="B13" s="19" t="s">
        <v>1585</v>
      </c>
      <c r="C13" s="15" t="s">
        <v>1586</v>
      </c>
      <c r="D13" s="15" t="s">
        <v>263</v>
      </c>
      <c r="E13" s="20">
        <v>7403</v>
      </c>
      <c r="F13" s="21">
        <v>377.88240000000002</v>
      </c>
      <c r="G13" s="22">
        <v>4.41E-2</v>
      </c>
      <c r="H13" s="40"/>
      <c r="I13" s="24"/>
      <c r="J13" s="5"/>
    </row>
    <row r="14" spans="1:10" ht="12.95" customHeight="1">
      <c r="A14" s="18" t="s">
        <v>1572</v>
      </c>
      <c r="B14" s="19" t="s">
        <v>1573</v>
      </c>
      <c r="C14" s="15" t="s">
        <v>1574</v>
      </c>
      <c r="D14" s="15" t="s">
        <v>263</v>
      </c>
      <c r="E14" s="20">
        <v>6310</v>
      </c>
      <c r="F14" s="21">
        <v>365.77179999999998</v>
      </c>
      <c r="G14" s="22">
        <v>4.2700000000000002E-2</v>
      </c>
      <c r="H14" s="40"/>
      <c r="I14" s="24"/>
      <c r="J14" s="5"/>
    </row>
    <row r="15" spans="1:10" ht="12.95" customHeight="1">
      <c r="A15" s="18" t="s">
        <v>2170</v>
      </c>
      <c r="B15" s="19" t="s">
        <v>2171</v>
      </c>
      <c r="C15" s="15" t="s">
        <v>2172</v>
      </c>
      <c r="D15" s="15" t="s">
        <v>263</v>
      </c>
      <c r="E15" s="20">
        <v>10294</v>
      </c>
      <c r="F15" s="21">
        <v>244.6472</v>
      </c>
      <c r="G15" s="22">
        <v>2.86E-2</v>
      </c>
      <c r="H15" s="40"/>
      <c r="I15" s="24"/>
      <c r="J15" s="5"/>
    </row>
    <row r="16" spans="1:10" ht="12.95" customHeight="1">
      <c r="A16" s="18" t="s">
        <v>3395</v>
      </c>
      <c r="B16" s="19" t="s">
        <v>3396</v>
      </c>
      <c r="C16" s="15" t="s">
        <v>3397</v>
      </c>
      <c r="D16" s="15" t="s">
        <v>3398</v>
      </c>
      <c r="E16" s="20">
        <v>3404</v>
      </c>
      <c r="F16" s="21">
        <v>155.7653</v>
      </c>
      <c r="G16" s="22">
        <v>1.8200000000000001E-2</v>
      </c>
      <c r="H16" s="40"/>
      <c r="I16" s="24"/>
      <c r="J16" s="5"/>
    </row>
    <row r="17" spans="1:10" ht="12.95" customHeight="1">
      <c r="A17" s="5"/>
      <c r="B17" s="14" t="s">
        <v>160</v>
      </c>
      <c r="C17" s="15"/>
      <c r="D17" s="15"/>
      <c r="E17" s="15"/>
      <c r="F17" s="25">
        <v>8547.0745999999999</v>
      </c>
      <c r="G17" s="26">
        <v>0.99750000000000005</v>
      </c>
      <c r="H17" s="27"/>
      <c r="I17" s="28"/>
      <c r="J17" s="5"/>
    </row>
    <row r="18" spans="1:10" ht="12.95" customHeight="1">
      <c r="A18" s="5"/>
      <c r="B18" s="29" t="s">
        <v>408</v>
      </c>
      <c r="C18" s="2"/>
      <c r="D18" s="2"/>
      <c r="E18" s="2"/>
      <c r="F18" s="27" t="s">
        <v>162</v>
      </c>
      <c r="G18" s="27" t="s">
        <v>162</v>
      </c>
      <c r="H18" s="27"/>
      <c r="I18" s="28"/>
      <c r="J18" s="5"/>
    </row>
    <row r="19" spans="1:10" ht="12.95" customHeight="1">
      <c r="A19" s="5"/>
      <c r="B19" s="29" t="s">
        <v>160</v>
      </c>
      <c r="C19" s="2"/>
      <c r="D19" s="2"/>
      <c r="E19" s="2"/>
      <c r="F19" s="27" t="s">
        <v>162</v>
      </c>
      <c r="G19" s="27" t="s">
        <v>162</v>
      </c>
      <c r="H19" s="27"/>
      <c r="I19" s="28"/>
      <c r="J19" s="5"/>
    </row>
    <row r="20" spans="1:10" ht="12.95" customHeight="1">
      <c r="A20" s="5"/>
      <c r="B20" s="29" t="s">
        <v>163</v>
      </c>
      <c r="C20" s="30"/>
      <c r="D20" s="2"/>
      <c r="E20" s="30"/>
      <c r="F20" s="25">
        <v>8547.0745999999999</v>
      </c>
      <c r="G20" s="26">
        <v>0.99750000000000005</v>
      </c>
      <c r="H20" s="27"/>
      <c r="I20" s="28"/>
      <c r="J20" s="5"/>
    </row>
    <row r="21" spans="1:10" ht="12.95" customHeight="1">
      <c r="A21" s="5"/>
      <c r="B21" s="14" t="s">
        <v>164</v>
      </c>
      <c r="C21" s="15"/>
      <c r="D21" s="15"/>
      <c r="E21" s="15"/>
      <c r="F21" s="15"/>
      <c r="G21" s="15"/>
      <c r="H21" s="16"/>
      <c r="I21" s="17"/>
      <c r="J21" s="5"/>
    </row>
    <row r="22" spans="1:10" ht="12.95" customHeight="1">
      <c r="A22" s="18" t="s">
        <v>165</v>
      </c>
      <c r="B22" s="19" t="s">
        <v>166</v>
      </c>
      <c r="C22" s="15"/>
      <c r="D22" s="15"/>
      <c r="E22" s="20"/>
      <c r="F22" s="21">
        <v>284.584</v>
      </c>
      <c r="G22" s="22">
        <v>3.32E-2</v>
      </c>
      <c r="H22" s="23">
        <v>6.7996815077146569E-2</v>
      </c>
      <c r="I22" s="24"/>
      <c r="J22" s="5"/>
    </row>
    <row r="23" spans="1:10" ht="12.95" customHeight="1">
      <c r="A23" s="5"/>
      <c r="B23" s="14" t="s">
        <v>160</v>
      </c>
      <c r="C23" s="15"/>
      <c r="D23" s="15"/>
      <c r="E23" s="15"/>
      <c r="F23" s="25">
        <v>284.584</v>
      </c>
      <c r="G23" s="26">
        <v>3.32E-2</v>
      </c>
      <c r="H23" s="27"/>
      <c r="I23" s="28"/>
      <c r="J23" s="5"/>
    </row>
    <row r="24" spans="1:10" ht="12.95" customHeight="1">
      <c r="A24" s="5"/>
      <c r="B24" s="29" t="s">
        <v>163</v>
      </c>
      <c r="C24" s="30"/>
      <c r="D24" s="2"/>
      <c r="E24" s="30"/>
      <c r="F24" s="25">
        <v>284.584</v>
      </c>
      <c r="G24" s="26">
        <v>3.32E-2</v>
      </c>
      <c r="H24" s="27"/>
      <c r="I24" s="28"/>
      <c r="J24" s="5"/>
    </row>
    <row r="25" spans="1:10" ht="12.95" customHeight="1">
      <c r="A25" s="5"/>
      <c r="B25" s="29" t="s">
        <v>167</v>
      </c>
      <c r="C25" s="15"/>
      <c r="D25" s="2"/>
      <c r="E25" s="15"/>
      <c r="F25" s="31">
        <v>-262.83859999999999</v>
      </c>
      <c r="G25" s="26">
        <v>-3.0700000000000002E-2</v>
      </c>
      <c r="H25" s="27"/>
      <c r="I25" s="28"/>
      <c r="J25" s="5"/>
    </row>
    <row r="26" spans="1:10" ht="12.95" customHeight="1">
      <c r="A26" s="5"/>
      <c r="B26" s="32" t="s">
        <v>168</v>
      </c>
      <c r="C26" s="33"/>
      <c r="D26" s="33"/>
      <c r="E26" s="33"/>
      <c r="F26" s="34">
        <v>8568.82</v>
      </c>
      <c r="G26" s="35">
        <v>1</v>
      </c>
      <c r="H26" s="36"/>
      <c r="I26" s="37"/>
      <c r="J26" s="5"/>
    </row>
    <row r="27" spans="1:10" ht="12.95" customHeight="1">
      <c r="A27" s="5"/>
      <c r="B27" s="7"/>
      <c r="C27" s="5"/>
      <c r="D27" s="5"/>
      <c r="E27" s="5"/>
      <c r="F27" s="5"/>
      <c r="G27" s="5"/>
      <c r="H27" s="5"/>
      <c r="I27" s="5"/>
      <c r="J27" s="5"/>
    </row>
    <row r="28" spans="1:10" ht="12.95" customHeight="1">
      <c r="A28" s="5"/>
      <c r="B28" s="4" t="s">
        <v>169</v>
      </c>
      <c r="C28" s="5"/>
      <c r="D28" s="5"/>
      <c r="E28" s="5"/>
      <c r="F28" s="5"/>
      <c r="G28" s="5"/>
      <c r="H28" s="5"/>
      <c r="I28" s="5"/>
      <c r="J28" s="5"/>
    </row>
    <row r="29" spans="1:10" ht="12.95" customHeight="1">
      <c r="A29" s="5"/>
      <c r="B29" s="4" t="s">
        <v>170</v>
      </c>
      <c r="C29" s="5"/>
      <c r="D29" s="5"/>
      <c r="E29" s="5"/>
      <c r="F29" s="5"/>
      <c r="G29" s="5"/>
      <c r="H29" s="5"/>
      <c r="I29" s="5"/>
      <c r="J29" s="5"/>
    </row>
    <row r="30" spans="1:10" ht="26.1" customHeight="1">
      <c r="A30" s="5"/>
      <c r="B30" s="86" t="s">
        <v>171</v>
      </c>
      <c r="C30" s="86"/>
      <c r="D30" s="86"/>
      <c r="E30" s="86"/>
      <c r="F30" s="86"/>
      <c r="G30" s="86"/>
      <c r="H30" s="86"/>
      <c r="I30" s="86"/>
      <c r="J30" s="5"/>
    </row>
    <row r="31" spans="1:10" ht="12.95" customHeight="1">
      <c r="A31" s="5"/>
      <c r="B31" s="86"/>
      <c r="C31" s="86"/>
      <c r="D31" s="86"/>
      <c r="E31" s="86"/>
      <c r="F31" s="86"/>
      <c r="G31" s="86"/>
      <c r="H31" s="86"/>
      <c r="I31" s="86"/>
      <c r="J31" s="5"/>
    </row>
    <row r="32" spans="1:10" ht="12.95" customHeight="1">
      <c r="A32" s="5"/>
      <c r="B32" s="86"/>
      <c r="C32" s="86"/>
      <c r="D32" s="86"/>
      <c r="E32" s="86"/>
      <c r="F32" s="86"/>
      <c r="G32" s="86"/>
      <c r="H32" s="86"/>
      <c r="I32" s="86"/>
      <c r="J32" s="5"/>
    </row>
    <row r="33" spans="1:10" ht="12.95" customHeight="1">
      <c r="A33" s="5"/>
      <c r="B33" s="5"/>
      <c r="C33" s="87" t="s">
        <v>3399</v>
      </c>
      <c r="D33" s="87"/>
      <c r="E33" s="87"/>
      <c r="F33" s="87"/>
      <c r="G33" s="5"/>
      <c r="H33" s="5"/>
      <c r="I33" s="5"/>
      <c r="J33" s="5"/>
    </row>
    <row r="34" spans="1:10" ht="12.95" customHeight="1">
      <c r="A34" s="5"/>
      <c r="B34" s="38" t="s">
        <v>173</v>
      </c>
      <c r="C34" s="87" t="s">
        <v>174</v>
      </c>
      <c r="D34" s="87"/>
      <c r="E34" s="87"/>
      <c r="F34" s="87"/>
      <c r="G34" s="5"/>
      <c r="H34" s="5"/>
      <c r="I34" s="5"/>
      <c r="J34" s="5"/>
    </row>
    <row r="35" spans="1:10" ht="120.95" customHeight="1">
      <c r="A35" s="5"/>
      <c r="B35" s="39"/>
      <c r="C35" s="85"/>
      <c r="D35" s="85"/>
      <c r="E35" s="5"/>
      <c r="F35" s="5"/>
      <c r="G35" s="5"/>
      <c r="H35" s="5"/>
      <c r="I35" s="5"/>
      <c r="J35" s="5"/>
    </row>
  </sheetData>
  <mergeCells count="6">
    <mergeCell ref="C35:D35"/>
    <mergeCell ref="B30:I30"/>
    <mergeCell ref="B31:I31"/>
    <mergeCell ref="B32:I32"/>
    <mergeCell ref="C33:F33"/>
    <mergeCell ref="C34:F34"/>
  </mergeCells>
  <hyperlinks>
    <hyperlink ref="A1" location="AxisNiftyITIndexFund" display="AXISNIT" xr:uid="{00000000-0004-0000-2F00-000000000000}"/>
    <hyperlink ref="B1" location="AxisNiftyITIndexFund" display="Axis Nifty IT Index Fund" xr:uid="{00000000-0004-0000-2F00-000001000000}"/>
  </hyperlinks>
  <pageMargins left="0" right="0" top="0" bottom="0" header="0" footer="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/>
  </sheetPr>
  <dimension ref="A1:J7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98</v>
      </c>
      <c r="B1" s="4" t="s">
        <v>99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1879</v>
      </c>
      <c r="B7" s="19" t="s">
        <v>1880</v>
      </c>
      <c r="C7" s="15" t="s">
        <v>1881</v>
      </c>
      <c r="D7" s="15" t="s">
        <v>255</v>
      </c>
      <c r="E7" s="20">
        <v>186357</v>
      </c>
      <c r="F7" s="21">
        <v>469.43329999999997</v>
      </c>
      <c r="G7" s="22">
        <v>3.5499999999999997E-2</v>
      </c>
      <c r="H7" s="40"/>
      <c r="I7" s="24"/>
      <c r="J7" s="5"/>
    </row>
    <row r="8" spans="1:10" ht="12.95" customHeight="1">
      <c r="A8" s="18" t="s">
        <v>805</v>
      </c>
      <c r="B8" s="19" t="s">
        <v>806</v>
      </c>
      <c r="C8" s="15" t="s">
        <v>807</v>
      </c>
      <c r="D8" s="15" t="s">
        <v>808</v>
      </c>
      <c r="E8" s="20">
        <v>113016</v>
      </c>
      <c r="F8" s="21">
        <v>464.60879999999997</v>
      </c>
      <c r="G8" s="22">
        <v>3.5200000000000002E-2</v>
      </c>
      <c r="H8" s="40"/>
      <c r="I8" s="24"/>
      <c r="J8" s="5"/>
    </row>
    <row r="9" spans="1:10" ht="12.95" customHeight="1">
      <c r="A9" s="18" t="s">
        <v>1863</v>
      </c>
      <c r="B9" s="19" t="s">
        <v>1864</v>
      </c>
      <c r="C9" s="15" t="s">
        <v>1865</v>
      </c>
      <c r="D9" s="15" t="s">
        <v>255</v>
      </c>
      <c r="E9" s="20">
        <v>158894</v>
      </c>
      <c r="F9" s="21">
        <v>456.66140000000001</v>
      </c>
      <c r="G9" s="22">
        <v>3.4599999999999999E-2</v>
      </c>
      <c r="H9" s="40"/>
      <c r="I9" s="24"/>
      <c r="J9" s="5"/>
    </row>
    <row r="10" spans="1:10" ht="12.95" customHeight="1">
      <c r="A10" s="18" t="s">
        <v>699</v>
      </c>
      <c r="B10" s="19" t="s">
        <v>700</v>
      </c>
      <c r="C10" s="15" t="s">
        <v>701</v>
      </c>
      <c r="D10" s="15" t="s">
        <v>271</v>
      </c>
      <c r="E10" s="20">
        <v>301954</v>
      </c>
      <c r="F10" s="21">
        <v>444.47629999999998</v>
      </c>
      <c r="G10" s="22">
        <v>3.3599999999999998E-2</v>
      </c>
      <c r="H10" s="40"/>
      <c r="I10" s="24"/>
      <c r="J10" s="5"/>
    </row>
    <row r="11" spans="1:10" ht="12.95" customHeight="1">
      <c r="A11" s="18" t="s">
        <v>702</v>
      </c>
      <c r="B11" s="19" t="s">
        <v>703</v>
      </c>
      <c r="C11" s="15" t="s">
        <v>704</v>
      </c>
      <c r="D11" s="15" t="s">
        <v>271</v>
      </c>
      <c r="E11" s="20">
        <v>61750</v>
      </c>
      <c r="F11" s="21">
        <v>440.58629999999999</v>
      </c>
      <c r="G11" s="22">
        <v>3.3300000000000003E-2</v>
      </c>
      <c r="H11" s="40"/>
      <c r="I11" s="24"/>
      <c r="J11" s="5"/>
    </row>
    <row r="12" spans="1:10" ht="12.95" customHeight="1">
      <c r="A12" s="18" t="s">
        <v>1584</v>
      </c>
      <c r="B12" s="19" t="s">
        <v>1585</v>
      </c>
      <c r="C12" s="15" t="s">
        <v>1586</v>
      </c>
      <c r="D12" s="15" t="s">
        <v>263</v>
      </c>
      <c r="E12" s="20">
        <v>7783</v>
      </c>
      <c r="F12" s="21">
        <v>397.27929999999998</v>
      </c>
      <c r="G12" s="22">
        <v>3.0099999999999998E-2</v>
      </c>
      <c r="H12" s="40"/>
      <c r="I12" s="24"/>
      <c r="J12" s="5"/>
    </row>
    <row r="13" spans="1:10" ht="12.95" customHeight="1">
      <c r="A13" s="18" t="s">
        <v>705</v>
      </c>
      <c r="B13" s="19" t="s">
        <v>706</v>
      </c>
      <c r="C13" s="15" t="s">
        <v>707</v>
      </c>
      <c r="D13" s="15" t="s">
        <v>271</v>
      </c>
      <c r="E13" s="20">
        <v>405463</v>
      </c>
      <c r="F13" s="21">
        <v>387.21719999999999</v>
      </c>
      <c r="G13" s="22">
        <v>2.93E-2</v>
      </c>
      <c r="H13" s="40"/>
      <c r="I13" s="24"/>
      <c r="J13" s="5"/>
    </row>
    <row r="14" spans="1:10" ht="12.95" customHeight="1">
      <c r="A14" s="18" t="s">
        <v>1572</v>
      </c>
      <c r="B14" s="19" t="s">
        <v>1573</v>
      </c>
      <c r="C14" s="15" t="s">
        <v>1574</v>
      </c>
      <c r="D14" s="15" t="s">
        <v>263</v>
      </c>
      <c r="E14" s="20">
        <v>6523</v>
      </c>
      <c r="F14" s="21">
        <v>378.11869999999999</v>
      </c>
      <c r="G14" s="22">
        <v>2.86E-2</v>
      </c>
      <c r="H14" s="40"/>
      <c r="I14" s="24"/>
      <c r="J14" s="5"/>
    </row>
    <row r="15" spans="1:10" ht="12.95" customHeight="1">
      <c r="A15" s="18" t="s">
        <v>1801</v>
      </c>
      <c r="B15" s="19" t="s">
        <v>1802</v>
      </c>
      <c r="C15" s="15" t="s">
        <v>1803</v>
      </c>
      <c r="D15" s="15" t="s">
        <v>745</v>
      </c>
      <c r="E15" s="20">
        <v>30923</v>
      </c>
      <c r="F15" s="21">
        <v>362.18560000000002</v>
      </c>
      <c r="G15" s="22">
        <v>2.7400000000000001E-2</v>
      </c>
      <c r="H15" s="40"/>
      <c r="I15" s="24"/>
      <c r="J15" s="5"/>
    </row>
    <row r="16" spans="1:10" ht="12.95" customHeight="1">
      <c r="A16" s="18" t="s">
        <v>1823</v>
      </c>
      <c r="B16" s="19" t="s">
        <v>1824</v>
      </c>
      <c r="C16" s="15" t="s">
        <v>1825</v>
      </c>
      <c r="D16" s="15" t="s">
        <v>295</v>
      </c>
      <c r="E16" s="20">
        <v>32814</v>
      </c>
      <c r="F16" s="21">
        <v>358.19760000000002</v>
      </c>
      <c r="G16" s="22">
        <v>2.7099999999999999E-2</v>
      </c>
      <c r="H16" s="40"/>
      <c r="I16" s="24"/>
      <c r="J16" s="5"/>
    </row>
    <row r="17" spans="1:10" ht="12.95" customHeight="1">
      <c r="A17" s="18" t="s">
        <v>3400</v>
      </c>
      <c r="B17" s="19" t="s">
        <v>3401</v>
      </c>
      <c r="C17" s="15" t="s">
        <v>3402</v>
      </c>
      <c r="D17" s="15" t="s">
        <v>1590</v>
      </c>
      <c r="E17" s="20">
        <v>12580</v>
      </c>
      <c r="F17" s="21">
        <v>333.04919999999998</v>
      </c>
      <c r="G17" s="22">
        <v>2.52E-2</v>
      </c>
      <c r="H17" s="40"/>
      <c r="I17" s="24"/>
      <c r="J17" s="5"/>
    </row>
    <row r="18" spans="1:10" ht="12.95" customHeight="1">
      <c r="A18" s="18" t="s">
        <v>1721</v>
      </c>
      <c r="B18" s="19" t="s">
        <v>1722</v>
      </c>
      <c r="C18" s="15" t="s">
        <v>1723</v>
      </c>
      <c r="D18" s="15" t="s">
        <v>745</v>
      </c>
      <c r="E18" s="20">
        <v>36116</v>
      </c>
      <c r="F18" s="21">
        <v>330.22660000000002</v>
      </c>
      <c r="G18" s="22">
        <v>2.5000000000000001E-2</v>
      </c>
      <c r="H18" s="40"/>
      <c r="I18" s="24"/>
      <c r="J18" s="5"/>
    </row>
    <row r="19" spans="1:10" ht="12.95" customHeight="1">
      <c r="A19" s="18" t="s">
        <v>1882</v>
      </c>
      <c r="B19" s="19" t="s">
        <v>1883</v>
      </c>
      <c r="C19" s="15" t="s">
        <v>1884</v>
      </c>
      <c r="D19" s="15" t="s">
        <v>1872</v>
      </c>
      <c r="E19" s="20">
        <v>184689</v>
      </c>
      <c r="F19" s="21">
        <v>326.89949999999999</v>
      </c>
      <c r="G19" s="22">
        <v>2.47E-2</v>
      </c>
      <c r="H19" s="40"/>
      <c r="I19" s="24"/>
      <c r="J19" s="5"/>
    </row>
    <row r="20" spans="1:10" ht="12.95" customHeight="1">
      <c r="A20" s="18" t="s">
        <v>1841</v>
      </c>
      <c r="B20" s="19" t="s">
        <v>1842</v>
      </c>
      <c r="C20" s="15" t="s">
        <v>1843</v>
      </c>
      <c r="D20" s="15" t="s">
        <v>295</v>
      </c>
      <c r="E20" s="20">
        <v>5970</v>
      </c>
      <c r="F20" s="21">
        <v>318.98009999999999</v>
      </c>
      <c r="G20" s="22">
        <v>2.41E-2</v>
      </c>
      <c r="H20" s="40"/>
      <c r="I20" s="24"/>
      <c r="J20" s="5"/>
    </row>
    <row r="21" spans="1:10" ht="12.95" customHeight="1">
      <c r="A21" s="18" t="s">
        <v>1591</v>
      </c>
      <c r="B21" s="19" t="s">
        <v>1592</v>
      </c>
      <c r="C21" s="15" t="s">
        <v>1593</v>
      </c>
      <c r="D21" s="15" t="s">
        <v>1594</v>
      </c>
      <c r="E21" s="20">
        <v>118516</v>
      </c>
      <c r="F21" s="21">
        <v>313.53410000000002</v>
      </c>
      <c r="G21" s="22">
        <v>2.3699999999999999E-2</v>
      </c>
      <c r="H21" s="40"/>
      <c r="I21" s="24"/>
      <c r="J21" s="5"/>
    </row>
    <row r="22" spans="1:10" ht="12.95" customHeight="1">
      <c r="A22" s="18" t="s">
        <v>824</v>
      </c>
      <c r="B22" s="19" t="s">
        <v>825</v>
      </c>
      <c r="C22" s="15" t="s">
        <v>826</v>
      </c>
      <c r="D22" s="15" t="s">
        <v>302</v>
      </c>
      <c r="E22" s="20">
        <v>773</v>
      </c>
      <c r="F22" s="21">
        <v>301.30500000000001</v>
      </c>
      <c r="G22" s="22">
        <v>2.2800000000000001E-2</v>
      </c>
      <c r="H22" s="40"/>
      <c r="I22" s="24"/>
      <c r="J22" s="5"/>
    </row>
    <row r="23" spans="1:10" ht="12.95" customHeight="1">
      <c r="A23" s="18" t="s">
        <v>3030</v>
      </c>
      <c r="B23" s="19" t="s">
        <v>3031</v>
      </c>
      <c r="C23" s="15" t="s">
        <v>3032</v>
      </c>
      <c r="D23" s="15" t="s">
        <v>295</v>
      </c>
      <c r="E23" s="20">
        <v>17399</v>
      </c>
      <c r="F23" s="21">
        <v>295.13920000000002</v>
      </c>
      <c r="G23" s="22">
        <v>2.23E-2</v>
      </c>
      <c r="H23" s="40"/>
      <c r="I23" s="24"/>
      <c r="J23" s="5"/>
    </row>
    <row r="24" spans="1:10" ht="12.95" customHeight="1">
      <c r="A24" s="18" t="s">
        <v>2454</v>
      </c>
      <c r="B24" s="19" t="s">
        <v>2455</v>
      </c>
      <c r="C24" s="15" t="s">
        <v>2456</v>
      </c>
      <c r="D24" s="15" t="s">
        <v>295</v>
      </c>
      <c r="E24" s="20">
        <v>15143</v>
      </c>
      <c r="F24" s="21">
        <v>289.60230000000001</v>
      </c>
      <c r="G24" s="22">
        <v>2.1899999999999999E-2</v>
      </c>
      <c r="H24" s="40"/>
      <c r="I24" s="24"/>
      <c r="J24" s="5"/>
    </row>
    <row r="25" spans="1:10" ht="12.95" customHeight="1">
      <c r="A25" s="18" t="s">
        <v>3033</v>
      </c>
      <c r="B25" s="19" t="s">
        <v>3034</v>
      </c>
      <c r="C25" s="15" t="s">
        <v>3035</v>
      </c>
      <c r="D25" s="15" t="s">
        <v>726</v>
      </c>
      <c r="E25" s="20">
        <v>14976</v>
      </c>
      <c r="F25" s="21">
        <v>289.4486</v>
      </c>
      <c r="G25" s="22">
        <v>2.1899999999999999E-2</v>
      </c>
      <c r="H25" s="40"/>
      <c r="I25" s="24"/>
      <c r="J25" s="5"/>
    </row>
    <row r="26" spans="1:10" ht="12.95" customHeight="1">
      <c r="A26" s="18" t="s">
        <v>3403</v>
      </c>
      <c r="B26" s="19" t="s">
        <v>3404</v>
      </c>
      <c r="C26" s="15" t="s">
        <v>3405</v>
      </c>
      <c r="D26" s="15" t="s">
        <v>259</v>
      </c>
      <c r="E26" s="20">
        <v>262</v>
      </c>
      <c r="F26" s="21">
        <v>281.11450000000002</v>
      </c>
      <c r="G26" s="22">
        <v>2.1299999999999999E-2</v>
      </c>
      <c r="H26" s="40"/>
      <c r="I26" s="24"/>
      <c r="J26" s="5"/>
    </row>
    <row r="27" spans="1:10" ht="12.95" customHeight="1">
      <c r="A27" s="18" t="s">
        <v>1810</v>
      </c>
      <c r="B27" s="19" t="s">
        <v>1811</v>
      </c>
      <c r="C27" s="15" t="s">
        <v>1812</v>
      </c>
      <c r="D27" s="15" t="s">
        <v>890</v>
      </c>
      <c r="E27" s="20">
        <v>30093</v>
      </c>
      <c r="F27" s="21">
        <v>273.77109999999999</v>
      </c>
      <c r="G27" s="22">
        <v>2.07E-2</v>
      </c>
      <c r="H27" s="40"/>
      <c r="I27" s="24"/>
      <c r="J27" s="5"/>
    </row>
    <row r="28" spans="1:10" ht="12.95" customHeight="1">
      <c r="A28" s="18" t="s">
        <v>3055</v>
      </c>
      <c r="B28" s="19" t="s">
        <v>3056</v>
      </c>
      <c r="C28" s="15" t="s">
        <v>3057</v>
      </c>
      <c r="D28" s="15" t="s">
        <v>808</v>
      </c>
      <c r="E28" s="20">
        <v>49101</v>
      </c>
      <c r="F28" s="21">
        <v>261.75740000000002</v>
      </c>
      <c r="G28" s="22">
        <v>1.9800000000000002E-2</v>
      </c>
      <c r="H28" s="40"/>
      <c r="I28" s="24"/>
      <c r="J28" s="5"/>
    </row>
    <row r="29" spans="1:10" ht="12.95" customHeight="1">
      <c r="A29" s="18" t="s">
        <v>3036</v>
      </c>
      <c r="B29" s="19" t="s">
        <v>3037</v>
      </c>
      <c r="C29" s="15" t="s">
        <v>3038</v>
      </c>
      <c r="D29" s="15" t="s">
        <v>259</v>
      </c>
      <c r="E29" s="20">
        <v>10174</v>
      </c>
      <c r="F29" s="21">
        <v>260.23059999999998</v>
      </c>
      <c r="G29" s="22">
        <v>1.9699999999999999E-2</v>
      </c>
      <c r="H29" s="40"/>
      <c r="I29" s="24"/>
      <c r="J29" s="5"/>
    </row>
    <row r="30" spans="1:10" ht="12.95" customHeight="1">
      <c r="A30" s="18" t="s">
        <v>2170</v>
      </c>
      <c r="B30" s="19" t="s">
        <v>2171</v>
      </c>
      <c r="C30" s="15" t="s">
        <v>2172</v>
      </c>
      <c r="D30" s="15" t="s">
        <v>263</v>
      </c>
      <c r="E30" s="20">
        <v>10654</v>
      </c>
      <c r="F30" s="21">
        <v>253.203</v>
      </c>
      <c r="G30" s="22">
        <v>1.9199999999999998E-2</v>
      </c>
      <c r="H30" s="40"/>
      <c r="I30" s="24"/>
      <c r="J30" s="5"/>
    </row>
    <row r="31" spans="1:10" ht="12.95" customHeight="1">
      <c r="A31" s="18" t="s">
        <v>371</v>
      </c>
      <c r="B31" s="19" t="s">
        <v>372</v>
      </c>
      <c r="C31" s="15" t="s">
        <v>373</v>
      </c>
      <c r="D31" s="15" t="s">
        <v>324</v>
      </c>
      <c r="E31" s="20">
        <v>29319</v>
      </c>
      <c r="F31" s="21">
        <v>253.11089999999999</v>
      </c>
      <c r="G31" s="22">
        <v>1.9199999999999998E-2</v>
      </c>
      <c r="H31" s="40"/>
      <c r="I31" s="24"/>
      <c r="J31" s="5"/>
    </row>
    <row r="32" spans="1:10" ht="12.95" customHeight="1">
      <c r="A32" s="18" t="s">
        <v>1804</v>
      </c>
      <c r="B32" s="19" t="s">
        <v>1805</v>
      </c>
      <c r="C32" s="15" t="s">
        <v>1806</v>
      </c>
      <c r="D32" s="15" t="s">
        <v>384</v>
      </c>
      <c r="E32" s="20">
        <v>35215</v>
      </c>
      <c r="F32" s="21">
        <v>252.2098</v>
      </c>
      <c r="G32" s="22">
        <v>1.9099999999999999E-2</v>
      </c>
      <c r="H32" s="40"/>
      <c r="I32" s="24"/>
      <c r="J32" s="5"/>
    </row>
    <row r="33" spans="1:10" ht="12.95" customHeight="1">
      <c r="A33" s="18" t="s">
        <v>3406</v>
      </c>
      <c r="B33" s="19" t="s">
        <v>3407</v>
      </c>
      <c r="C33" s="15" t="s">
        <v>3408</v>
      </c>
      <c r="D33" s="15" t="s">
        <v>267</v>
      </c>
      <c r="E33" s="20">
        <v>10096</v>
      </c>
      <c r="F33" s="21">
        <v>242.7432</v>
      </c>
      <c r="G33" s="22">
        <v>1.84E-2</v>
      </c>
      <c r="H33" s="40"/>
      <c r="I33" s="24"/>
      <c r="J33" s="5"/>
    </row>
    <row r="34" spans="1:10" ht="12.95" customHeight="1">
      <c r="A34" s="18" t="s">
        <v>711</v>
      </c>
      <c r="B34" s="19" t="s">
        <v>712</v>
      </c>
      <c r="C34" s="15" t="s">
        <v>713</v>
      </c>
      <c r="D34" s="15" t="s">
        <v>271</v>
      </c>
      <c r="E34" s="20">
        <v>95268</v>
      </c>
      <c r="F34" s="21">
        <v>239.6943</v>
      </c>
      <c r="G34" s="22">
        <v>1.8100000000000002E-2</v>
      </c>
      <c r="H34" s="40"/>
      <c r="I34" s="24"/>
      <c r="J34" s="5"/>
    </row>
    <row r="35" spans="1:10" ht="12.95" customHeight="1">
      <c r="A35" s="18" t="s">
        <v>1791</v>
      </c>
      <c r="B35" s="19" t="s">
        <v>1792</v>
      </c>
      <c r="C35" s="15" t="s">
        <v>1793</v>
      </c>
      <c r="D35" s="15" t="s">
        <v>1616</v>
      </c>
      <c r="E35" s="20">
        <v>96022</v>
      </c>
      <c r="F35" s="21">
        <v>230.40479999999999</v>
      </c>
      <c r="G35" s="22">
        <v>1.7399999999999999E-2</v>
      </c>
      <c r="H35" s="40"/>
      <c r="I35" s="24"/>
      <c r="J35" s="5"/>
    </row>
    <row r="36" spans="1:10" ht="12.95" customHeight="1">
      <c r="A36" s="18" t="s">
        <v>385</v>
      </c>
      <c r="B36" s="19" t="s">
        <v>386</v>
      </c>
      <c r="C36" s="15" t="s">
        <v>387</v>
      </c>
      <c r="D36" s="15" t="s">
        <v>255</v>
      </c>
      <c r="E36" s="20">
        <v>75949</v>
      </c>
      <c r="F36" s="21">
        <v>228.8723</v>
      </c>
      <c r="G36" s="22">
        <v>1.7299999999999999E-2</v>
      </c>
      <c r="H36" s="40"/>
      <c r="I36" s="24"/>
      <c r="J36" s="5"/>
    </row>
    <row r="37" spans="1:10" ht="12.95" customHeight="1">
      <c r="A37" s="18" t="s">
        <v>3409</v>
      </c>
      <c r="B37" s="19" t="s">
        <v>3410</v>
      </c>
      <c r="C37" s="15" t="s">
        <v>3411</v>
      </c>
      <c r="D37" s="15" t="s">
        <v>334</v>
      </c>
      <c r="E37" s="20">
        <v>14595</v>
      </c>
      <c r="F37" s="21">
        <v>226.82089999999999</v>
      </c>
      <c r="G37" s="22">
        <v>1.72E-2</v>
      </c>
      <c r="H37" s="40"/>
      <c r="I37" s="24"/>
      <c r="J37" s="5"/>
    </row>
    <row r="38" spans="1:10" ht="12.95" customHeight="1">
      <c r="A38" s="18" t="s">
        <v>2167</v>
      </c>
      <c r="B38" s="19" t="s">
        <v>2168</v>
      </c>
      <c r="C38" s="15" t="s">
        <v>2169</v>
      </c>
      <c r="D38" s="15" t="s">
        <v>745</v>
      </c>
      <c r="E38" s="20">
        <v>6277</v>
      </c>
      <c r="F38" s="21">
        <v>226.34229999999999</v>
      </c>
      <c r="G38" s="22">
        <v>1.7100000000000001E-2</v>
      </c>
      <c r="H38" s="40"/>
      <c r="I38" s="24"/>
      <c r="J38" s="5"/>
    </row>
    <row r="39" spans="1:10" ht="12.95" customHeight="1">
      <c r="A39" s="18" t="s">
        <v>1742</v>
      </c>
      <c r="B39" s="19" t="s">
        <v>1743</v>
      </c>
      <c r="C39" s="15" t="s">
        <v>1744</v>
      </c>
      <c r="D39" s="15" t="s">
        <v>1745</v>
      </c>
      <c r="E39" s="20">
        <v>146528</v>
      </c>
      <c r="F39" s="21">
        <v>216.78819999999999</v>
      </c>
      <c r="G39" s="22">
        <v>1.6400000000000001E-2</v>
      </c>
      <c r="H39" s="40"/>
      <c r="I39" s="24"/>
      <c r="J39" s="5"/>
    </row>
    <row r="40" spans="1:10" ht="12.95" customHeight="1">
      <c r="A40" s="18" t="s">
        <v>1601</v>
      </c>
      <c r="B40" s="19" t="s">
        <v>1602</v>
      </c>
      <c r="C40" s="15" t="s">
        <v>1603</v>
      </c>
      <c r="D40" s="15" t="s">
        <v>267</v>
      </c>
      <c r="E40" s="20">
        <v>10373</v>
      </c>
      <c r="F40" s="21">
        <v>208.73070000000001</v>
      </c>
      <c r="G40" s="22">
        <v>1.5800000000000002E-2</v>
      </c>
      <c r="H40" s="40"/>
      <c r="I40" s="24"/>
      <c r="J40" s="5"/>
    </row>
    <row r="41" spans="1:10" ht="12.95" customHeight="1">
      <c r="A41" s="18" t="s">
        <v>1782</v>
      </c>
      <c r="B41" s="19" t="s">
        <v>1783</v>
      </c>
      <c r="C41" s="15" t="s">
        <v>1784</v>
      </c>
      <c r="D41" s="15" t="s">
        <v>251</v>
      </c>
      <c r="E41" s="20">
        <v>81863</v>
      </c>
      <c r="F41" s="21">
        <v>208.7097</v>
      </c>
      <c r="G41" s="22">
        <v>1.5800000000000002E-2</v>
      </c>
      <c r="H41" s="40"/>
      <c r="I41" s="24"/>
      <c r="J41" s="5"/>
    </row>
    <row r="42" spans="1:10" ht="12.95" customHeight="1">
      <c r="A42" s="18" t="s">
        <v>1866</v>
      </c>
      <c r="B42" s="19" t="s">
        <v>1867</v>
      </c>
      <c r="C42" s="15" t="s">
        <v>1868</v>
      </c>
      <c r="D42" s="15" t="s">
        <v>1616</v>
      </c>
      <c r="E42" s="20">
        <v>44979</v>
      </c>
      <c r="F42" s="21">
        <v>204.58699999999999</v>
      </c>
      <c r="G42" s="22">
        <v>1.55E-2</v>
      </c>
      <c r="H42" s="40"/>
      <c r="I42" s="24"/>
      <c r="J42" s="5"/>
    </row>
    <row r="43" spans="1:10" ht="12.95" customHeight="1">
      <c r="A43" s="18" t="s">
        <v>1736</v>
      </c>
      <c r="B43" s="19" t="s">
        <v>1737</v>
      </c>
      <c r="C43" s="15" t="s">
        <v>1738</v>
      </c>
      <c r="D43" s="15" t="s">
        <v>255</v>
      </c>
      <c r="E43" s="20">
        <v>38896</v>
      </c>
      <c r="F43" s="21">
        <v>180.61359999999999</v>
      </c>
      <c r="G43" s="22">
        <v>1.37E-2</v>
      </c>
      <c r="H43" s="40"/>
      <c r="I43" s="24"/>
      <c r="J43" s="5"/>
    </row>
    <row r="44" spans="1:10" ht="12.95" customHeight="1">
      <c r="A44" s="18" t="s">
        <v>1752</v>
      </c>
      <c r="B44" s="19" t="s">
        <v>1753</v>
      </c>
      <c r="C44" s="15" t="s">
        <v>1754</v>
      </c>
      <c r="D44" s="15" t="s">
        <v>344</v>
      </c>
      <c r="E44" s="20">
        <v>186023</v>
      </c>
      <c r="F44" s="21">
        <v>174.58260000000001</v>
      </c>
      <c r="G44" s="22">
        <v>1.32E-2</v>
      </c>
      <c r="H44" s="40"/>
      <c r="I44" s="24"/>
      <c r="J44" s="5"/>
    </row>
    <row r="45" spans="1:10" ht="12.95" customHeight="1">
      <c r="A45" s="18" t="s">
        <v>1817</v>
      </c>
      <c r="B45" s="19" t="s">
        <v>1818</v>
      </c>
      <c r="C45" s="15" t="s">
        <v>1819</v>
      </c>
      <c r="D45" s="15" t="s">
        <v>334</v>
      </c>
      <c r="E45" s="20">
        <v>14974</v>
      </c>
      <c r="F45" s="21">
        <v>172.85239999999999</v>
      </c>
      <c r="G45" s="22">
        <v>1.3100000000000001E-2</v>
      </c>
      <c r="H45" s="40"/>
      <c r="I45" s="24"/>
      <c r="J45" s="5"/>
    </row>
    <row r="46" spans="1:10" ht="12.95" customHeight="1">
      <c r="A46" s="18" t="s">
        <v>1788</v>
      </c>
      <c r="B46" s="19" t="s">
        <v>1789</v>
      </c>
      <c r="C46" s="15" t="s">
        <v>1790</v>
      </c>
      <c r="D46" s="15" t="s">
        <v>255</v>
      </c>
      <c r="E46" s="20">
        <v>89757</v>
      </c>
      <c r="F46" s="21">
        <v>161.51769999999999</v>
      </c>
      <c r="G46" s="22">
        <v>1.2200000000000001E-2</v>
      </c>
      <c r="H46" s="40"/>
      <c r="I46" s="24"/>
      <c r="J46" s="5"/>
    </row>
    <row r="47" spans="1:10" ht="12.95" customHeight="1">
      <c r="A47" s="18" t="s">
        <v>3395</v>
      </c>
      <c r="B47" s="19" t="s">
        <v>3396</v>
      </c>
      <c r="C47" s="15" t="s">
        <v>3397</v>
      </c>
      <c r="D47" s="15" t="s">
        <v>3398</v>
      </c>
      <c r="E47" s="20">
        <v>3515</v>
      </c>
      <c r="F47" s="21">
        <v>160.84460000000001</v>
      </c>
      <c r="G47" s="22">
        <v>1.2200000000000001E-2</v>
      </c>
      <c r="H47" s="40"/>
      <c r="I47" s="24"/>
      <c r="J47" s="5"/>
    </row>
    <row r="48" spans="1:10" ht="12.95" customHeight="1">
      <c r="A48" s="18" t="s">
        <v>1715</v>
      </c>
      <c r="B48" s="19" t="s">
        <v>1716</v>
      </c>
      <c r="C48" s="15" t="s">
        <v>1717</v>
      </c>
      <c r="D48" s="15" t="s">
        <v>726</v>
      </c>
      <c r="E48" s="20">
        <v>82913</v>
      </c>
      <c r="F48" s="21">
        <v>158.9442</v>
      </c>
      <c r="G48" s="22">
        <v>1.2E-2</v>
      </c>
      <c r="H48" s="40"/>
      <c r="I48" s="24"/>
      <c r="J48" s="5"/>
    </row>
    <row r="49" spans="1:10" ht="12.95" customHeight="1">
      <c r="A49" s="18" t="s">
        <v>1885</v>
      </c>
      <c r="B49" s="19" t="s">
        <v>1886</v>
      </c>
      <c r="C49" s="15" t="s">
        <v>1887</v>
      </c>
      <c r="D49" s="15" t="s">
        <v>745</v>
      </c>
      <c r="E49" s="20">
        <v>681</v>
      </c>
      <c r="F49" s="21">
        <v>157.85210000000001</v>
      </c>
      <c r="G49" s="22">
        <v>1.1900000000000001E-2</v>
      </c>
      <c r="H49" s="40"/>
      <c r="I49" s="24"/>
      <c r="J49" s="5"/>
    </row>
    <row r="50" spans="1:10" ht="12.95" customHeight="1">
      <c r="A50" s="18" t="s">
        <v>1730</v>
      </c>
      <c r="B50" s="19" t="s">
        <v>1731</v>
      </c>
      <c r="C50" s="15" t="s">
        <v>1732</v>
      </c>
      <c r="D50" s="15" t="s">
        <v>745</v>
      </c>
      <c r="E50" s="20">
        <v>56864</v>
      </c>
      <c r="F50" s="21">
        <v>154.78380000000001</v>
      </c>
      <c r="G50" s="22">
        <v>1.17E-2</v>
      </c>
      <c r="H50" s="40"/>
      <c r="I50" s="24"/>
      <c r="J50" s="5"/>
    </row>
    <row r="51" spans="1:10" ht="12.95" customHeight="1">
      <c r="A51" s="18" t="s">
        <v>1860</v>
      </c>
      <c r="B51" s="19" t="s">
        <v>1861</v>
      </c>
      <c r="C51" s="15" t="s">
        <v>1862</v>
      </c>
      <c r="D51" s="15" t="s">
        <v>788</v>
      </c>
      <c r="E51" s="20">
        <v>9150</v>
      </c>
      <c r="F51" s="21">
        <v>142.46549999999999</v>
      </c>
      <c r="G51" s="22">
        <v>1.0800000000000001E-2</v>
      </c>
      <c r="H51" s="40"/>
      <c r="I51" s="24"/>
      <c r="J51" s="5"/>
    </row>
    <row r="52" spans="1:10" ht="12.95" customHeight="1">
      <c r="A52" s="18" t="s">
        <v>1869</v>
      </c>
      <c r="B52" s="19" t="s">
        <v>1870</v>
      </c>
      <c r="C52" s="15" t="s">
        <v>1871</v>
      </c>
      <c r="D52" s="15" t="s">
        <v>1872</v>
      </c>
      <c r="E52" s="20">
        <v>4251</v>
      </c>
      <c r="F52" s="21">
        <v>135.39859999999999</v>
      </c>
      <c r="G52" s="22">
        <v>1.0200000000000001E-2</v>
      </c>
      <c r="H52" s="40"/>
      <c r="I52" s="24"/>
      <c r="J52" s="5"/>
    </row>
    <row r="53" spans="1:10" ht="12.95" customHeight="1">
      <c r="A53" s="18" t="s">
        <v>3039</v>
      </c>
      <c r="B53" s="19" t="s">
        <v>3040</v>
      </c>
      <c r="C53" s="15" t="s">
        <v>3041</v>
      </c>
      <c r="D53" s="15" t="s">
        <v>324</v>
      </c>
      <c r="E53" s="20">
        <v>8246</v>
      </c>
      <c r="F53" s="21">
        <v>132.62870000000001</v>
      </c>
      <c r="G53" s="22">
        <v>0.01</v>
      </c>
      <c r="H53" s="40"/>
      <c r="I53" s="24"/>
      <c r="J53" s="5"/>
    </row>
    <row r="54" spans="1:10" ht="12.95" customHeight="1">
      <c r="A54" s="18" t="s">
        <v>1832</v>
      </c>
      <c r="B54" s="19" t="s">
        <v>1833</v>
      </c>
      <c r="C54" s="15" t="s">
        <v>1834</v>
      </c>
      <c r="D54" s="15" t="s">
        <v>263</v>
      </c>
      <c r="E54" s="20">
        <v>3002</v>
      </c>
      <c r="F54" s="21">
        <v>123.40770000000001</v>
      </c>
      <c r="G54" s="22">
        <v>9.2999999999999992E-3</v>
      </c>
      <c r="H54" s="40"/>
      <c r="I54" s="24"/>
      <c r="J54" s="5"/>
    </row>
    <row r="55" spans="1:10" ht="12.95" customHeight="1">
      <c r="A55" s="18" t="s">
        <v>1739</v>
      </c>
      <c r="B55" s="19" t="s">
        <v>1740</v>
      </c>
      <c r="C55" s="15" t="s">
        <v>1741</v>
      </c>
      <c r="D55" s="15" t="s">
        <v>726</v>
      </c>
      <c r="E55" s="20">
        <v>1001661</v>
      </c>
      <c r="F55" s="21">
        <v>116.6935</v>
      </c>
      <c r="G55" s="22">
        <v>8.8000000000000005E-3</v>
      </c>
      <c r="H55" s="40"/>
      <c r="I55" s="24"/>
      <c r="J55" s="5"/>
    </row>
    <row r="56" spans="1:10" ht="12.95" customHeight="1">
      <c r="A56" s="18" t="s">
        <v>3052</v>
      </c>
      <c r="B56" s="19" t="s">
        <v>3053</v>
      </c>
      <c r="C56" s="15" t="s">
        <v>3054</v>
      </c>
      <c r="D56" s="15" t="s">
        <v>1616</v>
      </c>
      <c r="E56" s="20">
        <v>21973</v>
      </c>
      <c r="F56" s="21">
        <v>92.9238</v>
      </c>
      <c r="G56" s="22">
        <v>7.0000000000000001E-3</v>
      </c>
      <c r="H56" s="40"/>
      <c r="I56" s="24"/>
      <c r="J56" s="5"/>
    </row>
    <row r="57" spans="1:10" ht="12.95" customHeight="1">
      <c r="A57" s="5"/>
      <c r="B57" s="14" t="s">
        <v>160</v>
      </c>
      <c r="C57" s="15"/>
      <c r="D57" s="15"/>
      <c r="E57" s="15"/>
      <c r="F57" s="25">
        <v>13091.5486</v>
      </c>
      <c r="G57" s="26">
        <v>0.99080000000000001</v>
      </c>
      <c r="H57" s="27"/>
      <c r="I57" s="28"/>
      <c r="J57" s="5"/>
    </row>
    <row r="58" spans="1:10" ht="12.95" customHeight="1">
      <c r="A58" s="5"/>
      <c r="B58" s="29" t="s">
        <v>408</v>
      </c>
      <c r="C58" s="2"/>
      <c r="D58" s="2"/>
      <c r="E58" s="2"/>
      <c r="F58" s="27" t="s">
        <v>162</v>
      </c>
      <c r="G58" s="27" t="s">
        <v>162</v>
      </c>
      <c r="H58" s="27"/>
      <c r="I58" s="28"/>
      <c r="J58" s="5"/>
    </row>
    <row r="59" spans="1:10" ht="12.95" customHeight="1">
      <c r="A59" s="5"/>
      <c r="B59" s="29" t="s">
        <v>160</v>
      </c>
      <c r="C59" s="2"/>
      <c r="D59" s="2"/>
      <c r="E59" s="2"/>
      <c r="F59" s="27" t="s">
        <v>162</v>
      </c>
      <c r="G59" s="27" t="s">
        <v>162</v>
      </c>
      <c r="H59" s="27"/>
      <c r="I59" s="28"/>
      <c r="J59" s="5"/>
    </row>
    <row r="60" spans="1:10" ht="12.95" customHeight="1">
      <c r="A60" s="5"/>
      <c r="B60" s="29" t="s">
        <v>163</v>
      </c>
      <c r="C60" s="30"/>
      <c r="D60" s="2"/>
      <c r="E60" s="30"/>
      <c r="F60" s="25">
        <v>13091.5486</v>
      </c>
      <c r="G60" s="26">
        <v>0.99080000000000001</v>
      </c>
      <c r="H60" s="27"/>
      <c r="I60" s="28"/>
      <c r="J60" s="5"/>
    </row>
    <row r="61" spans="1:10" ht="12.95" customHeight="1">
      <c r="A61" s="5"/>
      <c r="B61" s="14" t="s">
        <v>164</v>
      </c>
      <c r="C61" s="15"/>
      <c r="D61" s="15"/>
      <c r="E61" s="15"/>
      <c r="F61" s="15"/>
      <c r="G61" s="15"/>
      <c r="H61" s="16"/>
      <c r="I61" s="17"/>
      <c r="J61" s="5"/>
    </row>
    <row r="62" spans="1:10" ht="12.95" customHeight="1">
      <c r="A62" s="18" t="s">
        <v>165</v>
      </c>
      <c r="B62" s="19" t="s">
        <v>166</v>
      </c>
      <c r="C62" s="15"/>
      <c r="D62" s="15"/>
      <c r="E62" s="20"/>
      <c r="F62" s="21">
        <v>420.33339999999998</v>
      </c>
      <c r="G62" s="22">
        <v>3.1800000000000002E-2</v>
      </c>
      <c r="H62" s="23">
        <v>6.7996842472549418E-2</v>
      </c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420.33339999999998</v>
      </c>
      <c r="G63" s="26">
        <v>3.1800000000000002E-2</v>
      </c>
      <c r="H63" s="27"/>
      <c r="I63" s="28"/>
      <c r="J63" s="5"/>
    </row>
    <row r="64" spans="1:10" ht="12.95" customHeight="1">
      <c r="A64" s="5"/>
      <c r="B64" s="29" t="s">
        <v>163</v>
      </c>
      <c r="C64" s="30"/>
      <c r="D64" s="2"/>
      <c r="E64" s="30"/>
      <c r="F64" s="25">
        <v>420.33339999999998</v>
      </c>
      <c r="G64" s="26">
        <v>3.1800000000000002E-2</v>
      </c>
      <c r="H64" s="27"/>
      <c r="I64" s="28"/>
      <c r="J64" s="5"/>
    </row>
    <row r="65" spans="1:10" ht="12.95" customHeight="1">
      <c r="A65" s="5"/>
      <c r="B65" s="29" t="s">
        <v>167</v>
      </c>
      <c r="C65" s="15"/>
      <c r="D65" s="2"/>
      <c r="E65" s="15"/>
      <c r="F65" s="31">
        <v>-299.15199999999999</v>
      </c>
      <c r="G65" s="26">
        <v>-2.2599999999999999E-2</v>
      </c>
      <c r="H65" s="27"/>
      <c r="I65" s="28"/>
      <c r="J65" s="5"/>
    </row>
    <row r="66" spans="1:10" ht="12.95" customHeight="1">
      <c r="A66" s="5"/>
      <c r="B66" s="32" t="s">
        <v>168</v>
      </c>
      <c r="C66" s="33"/>
      <c r="D66" s="33"/>
      <c r="E66" s="33"/>
      <c r="F66" s="34">
        <v>13212.73</v>
      </c>
      <c r="G66" s="35">
        <v>1</v>
      </c>
      <c r="H66" s="36"/>
      <c r="I66" s="37"/>
      <c r="J66" s="5"/>
    </row>
    <row r="67" spans="1:10" ht="12.95" customHeight="1">
      <c r="A67" s="5"/>
      <c r="B67" s="7"/>
      <c r="C67" s="5"/>
      <c r="D67" s="5"/>
      <c r="E67" s="5"/>
      <c r="F67" s="5"/>
      <c r="G67" s="5"/>
      <c r="H67" s="5"/>
      <c r="I67" s="5"/>
      <c r="J67" s="5"/>
    </row>
    <row r="68" spans="1:10" ht="12.95" customHeight="1">
      <c r="A68" s="5"/>
      <c r="B68" s="4" t="s">
        <v>169</v>
      </c>
      <c r="C68" s="5"/>
      <c r="D68" s="5"/>
      <c r="E68" s="5"/>
      <c r="F68" s="5"/>
      <c r="G68" s="5"/>
      <c r="H68" s="5"/>
      <c r="I68" s="5"/>
      <c r="J68" s="5"/>
    </row>
    <row r="69" spans="1:10" ht="12.95" customHeight="1">
      <c r="A69" s="5"/>
      <c r="B69" s="4" t="s">
        <v>170</v>
      </c>
      <c r="C69" s="5"/>
      <c r="D69" s="5"/>
      <c r="E69" s="5"/>
      <c r="F69" s="5"/>
      <c r="G69" s="5"/>
      <c r="H69" s="5"/>
      <c r="I69" s="5"/>
      <c r="J69" s="5"/>
    </row>
    <row r="70" spans="1:10" ht="26.1" customHeight="1">
      <c r="A70" s="5"/>
      <c r="B70" s="86" t="s">
        <v>171</v>
      </c>
      <c r="C70" s="86"/>
      <c r="D70" s="86"/>
      <c r="E70" s="86"/>
      <c r="F70" s="86"/>
      <c r="G70" s="86"/>
      <c r="H70" s="86"/>
      <c r="I70" s="86"/>
      <c r="J70" s="5"/>
    </row>
    <row r="71" spans="1:10" ht="12.95" customHeight="1">
      <c r="A71" s="5"/>
      <c r="B71" s="86"/>
      <c r="C71" s="86"/>
      <c r="D71" s="86"/>
      <c r="E71" s="86"/>
      <c r="F71" s="86"/>
      <c r="G71" s="86"/>
      <c r="H71" s="86"/>
      <c r="I71" s="86"/>
      <c r="J71" s="5"/>
    </row>
    <row r="72" spans="1:10" ht="12.95" customHeight="1">
      <c r="A72" s="5"/>
      <c r="B72" s="86"/>
      <c r="C72" s="86"/>
      <c r="D72" s="86"/>
      <c r="E72" s="86"/>
      <c r="F72" s="86"/>
      <c r="G72" s="86"/>
      <c r="H72" s="86"/>
      <c r="I72" s="86"/>
      <c r="J72" s="5"/>
    </row>
    <row r="73" spans="1:10" ht="12.95" customHeight="1">
      <c r="A73" s="5"/>
      <c r="B73" s="5"/>
      <c r="C73" s="87" t="s">
        <v>3412</v>
      </c>
      <c r="D73" s="87"/>
      <c r="E73" s="87"/>
      <c r="F73" s="87"/>
      <c r="G73" s="5"/>
      <c r="H73" s="5"/>
      <c r="I73" s="5"/>
      <c r="J73" s="5"/>
    </row>
    <row r="74" spans="1:10" ht="12.95" customHeight="1">
      <c r="A74" s="5"/>
      <c r="B74" s="38" t="s">
        <v>173</v>
      </c>
      <c r="C74" s="87" t="s">
        <v>174</v>
      </c>
      <c r="D74" s="87"/>
      <c r="E74" s="87"/>
      <c r="F74" s="87"/>
      <c r="G74" s="5"/>
      <c r="H74" s="5"/>
      <c r="I74" s="5"/>
      <c r="J74" s="5"/>
    </row>
    <row r="75" spans="1:10" ht="120.95" customHeight="1">
      <c r="A75" s="5"/>
      <c r="B75" s="39"/>
      <c r="C75" s="85"/>
      <c r="D75" s="85"/>
      <c r="E75" s="5"/>
      <c r="F75" s="5"/>
      <c r="G75" s="5"/>
      <c r="H75" s="5"/>
      <c r="I75" s="5"/>
      <c r="J75" s="5"/>
    </row>
  </sheetData>
  <mergeCells count="6">
    <mergeCell ref="C75:D75"/>
    <mergeCell ref="B70:I70"/>
    <mergeCell ref="B71:I71"/>
    <mergeCell ref="B72:I72"/>
    <mergeCell ref="C73:F73"/>
    <mergeCell ref="C74:F74"/>
  </mergeCells>
  <hyperlinks>
    <hyperlink ref="A1" location="AXISNIFTYMIDCAP50INDEXFUND" display="AXISNM50" xr:uid="{00000000-0004-0000-3000-000000000000}"/>
    <hyperlink ref="B1" location="AXISNIFTYMIDCAP50INDEXFUND" display="AXIS NIFTY MIDCAP 50 INDEX FUND" xr:uid="{00000000-0004-0000-3000-000001000000}"/>
  </hyperlinks>
  <pageMargins left="0" right="0" top="0" bottom="0" header="0" footer="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/>
  </sheetPr>
  <dimension ref="A1:J7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100</v>
      </c>
      <c r="B1" s="4" t="s">
        <v>101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1873</v>
      </c>
      <c r="B7" s="19" t="s">
        <v>1874</v>
      </c>
      <c r="C7" s="15" t="s">
        <v>1875</v>
      </c>
      <c r="D7" s="15" t="s">
        <v>255</v>
      </c>
      <c r="E7" s="20">
        <v>18380</v>
      </c>
      <c r="F7" s="21">
        <v>352.7765</v>
      </c>
      <c r="G7" s="22">
        <v>3.9399999999999998E-2</v>
      </c>
      <c r="H7" s="40"/>
      <c r="I7" s="24"/>
      <c r="J7" s="5"/>
    </row>
    <row r="8" spans="1:10" ht="12.95" customHeight="1">
      <c r="A8" s="18" t="s">
        <v>325</v>
      </c>
      <c r="B8" s="19" t="s">
        <v>326</v>
      </c>
      <c r="C8" s="15" t="s">
        <v>327</v>
      </c>
      <c r="D8" s="15" t="s">
        <v>306</v>
      </c>
      <c r="E8" s="20">
        <v>237470</v>
      </c>
      <c r="F8" s="21">
        <v>328.42099999999999</v>
      </c>
      <c r="G8" s="22">
        <v>3.6700000000000003E-2</v>
      </c>
      <c r="H8" s="40"/>
      <c r="I8" s="24"/>
      <c r="J8" s="5"/>
    </row>
    <row r="9" spans="1:10" ht="12.95" customHeight="1">
      <c r="A9" s="18" t="s">
        <v>848</v>
      </c>
      <c r="B9" s="19" t="s">
        <v>849</v>
      </c>
      <c r="C9" s="15" t="s">
        <v>850</v>
      </c>
      <c r="D9" s="15" t="s">
        <v>255</v>
      </c>
      <c r="E9" s="20">
        <v>26172</v>
      </c>
      <c r="F9" s="21">
        <v>318.65719999999999</v>
      </c>
      <c r="G9" s="22">
        <v>3.56E-2</v>
      </c>
      <c r="H9" s="40"/>
      <c r="I9" s="24"/>
      <c r="J9" s="5"/>
    </row>
    <row r="10" spans="1:10" ht="12.95" customHeight="1">
      <c r="A10" s="18" t="s">
        <v>782</v>
      </c>
      <c r="B10" s="19" t="s">
        <v>783</v>
      </c>
      <c r="C10" s="15" t="s">
        <v>784</v>
      </c>
      <c r="D10" s="15" t="s">
        <v>403</v>
      </c>
      <c r="E10" s="20">
        <v>14563</v>
      </c>
      <c r="F10" s="21">
        <v>302.93220000000002</v>
      </c>
      <c r="G10" s="22">
        <v>3.39E-2</v>
      </c>
      <c r="H10" s="40"/>
      <c r="I10" s="24"/>
      <c r="J10" s="5"/>
    </row>
    <row r="11" spans="1:10" ht="12.95" customHeight="1">
      <c r="A11" s="18" t="s">
        <v>696</v>
      </c>
      <c r="B11" s="19" t="s">
        <v>697</v>
      </c>
      <c r="C11" s="15" t="s">
        <v>698</v>
      </c>
      <c r="D11" s="15" t="s">
        <v>271</v>
      </c>
      <c r="E11" s="20">
        <v>123431</v>
      </c>
      <c r="F11" s="21">
        <v>264.0806</v>
      </c>
      <c r="G11" s="22">
        <v>2.9499999999999998E-2</v>
      </c>
      <c r="H11" s="40"/>
      <c r="I11" s="24"/>
      <c r="J11" s="5"/>
    </row>
    <row r="12" spans="1:10" ht="12.95" customHeight="1">
      <c r="A12" s="18" t="s">
        <v>795</v>
      </c>
      <c r="B12" s="19" t="s">
        <v>796</v>
      </c>
      <c r="C12" s="15" t="s">
        <v>797</v>
      </c>
      <c r="D12" s="15" t="s">
        <v>798</v>
      </c>
      <c r="E12" s="20">
        <v>25089</v>
      </c>
      <c r="F12" s="21">
        <v>248.7825</v>
      </c>
      <c r="G12" s="22">
        <v>2.7799999999999998E-2</v>
      </c>
      <c r="H12" s="40"/>
      <c r="I12" s="24"/>
      <c r="J12" s="5"/>
    </row>
    <row r="13" spans="1:10" ht="12.95" customHeight="1">
      <c r="A13" s="18" t="s">
        <v>1776</v>
      </c>
      <c r="B13" s="19" t="s">
        <v>1777</v>
      </c>
      <c r="C13" s="15" t="s">
        <v>1778</v>
      </c>
      <c r="D13" s="15" t="s">
        <v>314</v>
      </c>
      <c r="E13" s="20">
        <v>10113</v>
      </c>
      <c r="F13" s="21">
        <v>246.70660000000001</v>
      </c>
      <c r="G13" s="22">
        <v>2.76E-2</v>
      </c>
      <c r="H13" s="40"/>
      <c r="I13" s="24"/>
      <c r="J13" s="5"/>
    </row>
    <row r="14" spans="1:10" ht="12.95" customHeight="1">
      <c r="A14" s="18" t="s">
        <v>799</v>
      </c>
      <c r="B14" s="19" t="s">
        <v>800</v>
      </c>
      <c r="C14" s="15" t="s">
        <v>801</v>
      </c>
      <c r="D14" s="15" t="s">
        <v>291</v>
      </c>
      <c r="E14" s="20">
        <v>93215</v>
      </c>
      <c r="F14" s="21">
        <v>244.50290000000001</v>
      </c>
      <c r="G14" s="22">
        <v>2.7300000000000001E-2</v>
      </c>
      <c r="H14" s="40"/>
      <c r="I14" s="24"/>
      <c r="J14" s="5"/>
    </row>
    <row r="15" spans="1:10" ht="12.95" customHeight="1">
      <c r="A15" s="18" t="s">
        <v>1761</v>
      </c>
      <c r="B15" s="19" t="s">
        <v>1762</v>
      </c>
      <c r="C15" s="15" t="s">
        <v>1763</v>
      </c>
      <c r="D15" s="15" t="s">
        <v>306</v>
      </c>
      <c r="E15" s="20">
        <v>12445</v>
      </c>
      <c r="F15" s="21">
        <v>239.95830000000001</v>
      </c>
      <c r="G15" s="22">
        <v>2.6800000000000001E-2</v>
      </c>
      <c r="H15" s="40"/>
      <c r="I15" s="24"/>
      <c r="J15" s="5"/>
    </row>
    <row r="16" spans="1:10" ht="12.95" customHeight="1">
      <c r="A16" s="18" t="s">
        <v>1581</v>
      </c>
      <c r="B16" s="19" t="s">
        <v>1582</v>
      </c>
      <c r="C16" s="15" t="s">
        <v>1583</v>
      </c>
      <c r="D16" s="15" t="s">
        <v>281</v>
      </c>
      <c r="E16" s="20">
        <v>15417</v>
      </c>
      <c r="F16" s="21">
        <v>234.61590000000001</v>
      </c>
      <c r="G16" s="22">
        <v>2.6200000000000001E-2</v>
      </c>
      <c r="H16" s="40"/>
      <c r="I16" s="24"/>
      <c r="J16" s="5"/>
    </row>
    <row r="17" spans="1:10" ht="12.95" customHeight="1">
      <c r="A17" s="18" t="s">
        <v>802</v>
      </c>
      <c r="B17" s="19" t="s">
        <v>803</v>
      </c>
      <c r="C17" s="15" t="s">
        <v>804</v>
      </c>
      <c r="D17" s="15" t="s">
        <v>324</v>
      </c>
      <c r="E17" s="20">
        <v>16619</v>
      </c>
      <c r="F17" s="21">
        <v>230.8296</v>
      </c>
      <c r="G17" s="22">
        <v>2.58E-2</v>
      </c>
      <c r="H17" s="40"/>
      <c r="I17" s="24"/>
      <c r="J17" s="5"/>
    </row>
    <row r="18" spans="1:10" ht="12.95" customHeight="1">
      <c r="A18" s="18" t="s">
        <v>353</v>
      </c>
      <c r="B18" s="19" t="s">
        <v>354</v>
      </c>
      <c r="C18" s="15" t="s">
        <v>355</v>
      </c>
      <c r="D18" s="15" t="s">
        <v>267</v>
      </c>
      <c r="E18" s="20">
        <v>885</v>
      </c>
      <c r="F18" s="21">
        <v>225.36529999999999</v>
      </c>
      <c r="G18" s="22">
        <v>2.52E-2</v>
      </c>
      <c r="H18" s="40"/>
      <c r="I18" s="24"/>
      <c r="J18" s="5"/>
    </row>
    <row r="19" spans="1:10" ht="12.95" customHeight="1">
      <c r="A19" s="18" t="s">
        <v>1613</v>
      </c>
      <c r="B19" s="19" t="s">
        <v>1614</v>
      </c>
      <c r="C19" s="15" t="s">
        <v>1615</v>
      </c>
      <c r="D19" s="15" t="s">
        <v>1616</v>
      </c>
      <c r="E19" s="20">
        <v>178728</v>
      </c>
      <c r="F19" s="21">
        <v>222.33760000000001</v>
      </c>
      <c r="G19" s="22">
        <v>2.4899999999999999E-2</v>
      </c>
      <c r="H19" s="40"/>
      <c r="I19" s="24"/>
      <c r="J19" s="5"/>
    </row>
    <row r="20" spans="1:10" ht="12.95" customHeight="1">
      <c r="A20" s="18" t="s">
        <v>2228</v>
      </c>
      <c r="B20" s="19" t="s">
        <v>2229</v>
      </c>
      <c r="C20" s="15" t="s">
        <v>2230</v>
      </c>
      <c r="D20" s="15" t="s">
        <v>890</v>
      </c>
      <c r="E20" s="20">
        <v>16941</v>
      </c>
      <c r="F20" s="21">
        <v>221.8509</v>
      </c>
      <c r="G20" s="22">
        <v>2.4799999999999999E-2</v>
      </c>
      <c r="H20" s="40"/>
      <c r="I20" s="24"/>
      <c r="J20" s="5"/>
    </row>
    <row r="21" spans="1:10" ht="12.95" customHeight="1">
      <c r="A21" s="18" t="s">
        <v>3362</v>
      </c>
      <c r="B21" s="19" t="s">
        <v>3363</v>
      </c>
      <c r="C21" s="15" t="s">
        <v>3364</v>
      </c>
      <c r="D21" s="15" t="s">
        <v>251</v>
      </c>
      <c r="E21" s="20">
        <v>243425</v>
      </c>
      <c r="F21" s="21">
        <v>221.39500000000001</v>
      </c>
      <c r="G21" s="22">
        <v>2.47E-2</v>
      </c>
      <c r="H21" s="40"/>
      <c r="I21" s="24"/>
      <c r="J21" s="5"/>
    </row>
    <row r="22" spans="1:10" ht="12.95" customHeight="1">
      <c r="A22" s="18" t="s">
        <v>338</v>
      </c>
      <c r="B22" s="19" t="s">
        <v>339</v>
      </c>
      <c r="C22" s="15" t="s">
        <v>340</v>
      </c>
      <c r="D22" s="15" t="s">
        <v>334</v>
      </c>
      <c r="E22" s="20">
        <v>41027</v>
      </c>
      <c r="F22" s="21">
        <v>217.81229999999999</v>
      </c>
      <c r="G22" s="22">
        <v>2.4299999999999999E-2</v>
      </c>
      <c r="H22" s="40"/>
      <c r="I22" s="24"/>
      <c r="J22" s="5"/>
    </row>
    <row r="23" spans="1:10" ht="12.95" customHeight="1">
      <c r="A23" s="18" t="s">
        <v>1813</v>
      </c>
      <c r="B23" s="19" t="s">
        <v>1814</v>
      </c>
      <c r="C23" s="15" t="s">
        <v>1815</v>
      </c>
      <c r="D23" s="15" t="s">
        <v>1816</v>
      </c>
      <c r="E23" s="20">
        <v>5903</v>
      </c>
      <c r="F23" s="21">
        <v>216.7877</v>
      </c>
      <c r="G23" s="22">
        <v>2.4199999999999999E-2</v>
      </c>
      <c r="H23" s="40"/>
      <c r="I23" s="24"/>
      <c r="J23" s="5"/>
    </row>
    <row r="24" spans="1:10" ht="12.95" customHeight="1">
      <c r="A24" s="18" t="s">
        <v>315</v>
      </c>
      <c r="B24" s="19" t="s">
        <v>316</v>
      </c>
      <c r="C24" s="15" t="s">
        <v>317</v>
      </c>
      <c r="D24" s="15" t="s">
        <v>314</v>
      </c>
      <c r="E24" s="20">
        <v>9630</v>
      </c>
      <c r="F24" s="21">
        <v>216.6172</v>
      </c>
      <c r="G24" s="22">
        <v>2.4199999999999999E-2</v>
      </c>
      <c r="H24" s="40"/>
      <c r="I24" s="24"/>
      <c r="J24" s="5"/>
    </row>
    <row r="25" spans="1:10" ht="12.95" customHeight="1">
      <c r="A25" s="18" t="s">
        <v>809</v>
      </c>
      <c r="B25" s="19" t="s">
        <v>810</v>
      </c>
      <c r="C25" s="15" t="s">
        <v>811</v>
      </c>
      <c r="D25" s="15" t="s">
        <v>403</v>
      </c>
      <c r="E25" s="20">
        <v>5139</v>
      </c>
      <c r="F25" s="21">
        <v>214.0548</v>
      </c>
      <c r="G25" s="22">
        <v>2.3900000000000001E-2</v>
      </c>
      <c r="H25" s="40"/>
      <c r="I25" s="24"/>
      <c r="J25" s="5"/>
    </row>
    <row r="26" spans="1:10" ht="12.95" customHeight="1">
      <c r="A26" s="18" t="s">
        <v>812</v>
      </c>
      <c r="B26" s="19" t="s">
        <v>813</v>
      </c>
      <c r="C26" s="15" t="s">
        <v>814</v>
      </c>
      <c r="D26" s="15" t="s">
        <v>798</v>
      </c>
      <c r="E26" s="20">
        <v>38769</v>
      </c>
      <c r="F26" s="21">
        <v>213.84979999999999</v>
      </c>
      <c r="G26" s="22">
        <v>2.3900000000000001E-2</v>
      </c>
      <c r="H26" s="40"/>
      <c r="I26" s="24"/>
      <c r="J26" s="5"/>
    </row>
    <row r="27" spans="1:10" ht="12.95" customHeight="1">
      <c r="A27" s="18" t="s">
        <v>1569</v>
      </c>
      <c r="B27" s="19" t="s">
        <v>1570</v>
      </c>
      <c r="C27" s="15" t="s">
        <v>1571</v>
      </c>
      <c r="D27" s="15" t="s">
        <v>267</v>
      </c>
      <c r="E27" s="20">
        <v>48709</v>
      </c>
      <c r="F27" s="21">
        <v>206.91579999999999</v>
      </c>
      <c r="G27" s="22">
        <v>2.3099999999999999E-2</v>
      </c>
      <c r="H27" s="40"/>
      <c r="I27" s="24"/>
      <c r="J27" s="5"/>
    </row>
    <row r="28" spans="1:10" ht="12.95" customHeight="1">
      <c r="A28" s="18" t="s">
        <v>381</v>
      </c>
      <c r="B28" s="19" t="s">
        <v>382</v>
      </c>
      <c r="C28" s="15" t="s">
        <v>383</v>
      </c>
      <c r="D28" s="15" t="s">
        <v>384</v>
      </c>
      <c r="E28" s="20">
        <v>8185</v>
      </c>
      <c r="F28" s="21">
        <v>194.90119999999999</v>
      </c>
      <c r="G28" s="22">
        <v>2.18E-2</v>
      </c>
      <c r="H28" s="40"/>
      <c r="I28" s="24"/>
      <c r="J28" s="5"/>
    </row>
    <row r="29" spans="1:10" ht="12.95" customHeight="1">
      <c r="A29" s="18" t="s">
        <v>815</v>
      </c>
      <c r="B29" s="19" t="s">
        <v>816</v>
      </c>
      <c r="C29" s="15" t="s">
        <v>817</v>
      </c>
      <c r="D29" s="15" t="s">
        <v>788</v>
      </c>
      <c r="E29" s="20">
        <v>19289</v>
      </c>
      <c r="F29" s="21">
        <v>194.2885</v>
      </c>
      <c r="G29" s="22">
        <v>2.1700000000000001E-2</v>
      </c>
      <c r="H29" s="40"/>
      <c r="I29" s="24"/>
      <c r="J29" s="5"/>
    </row>
    <row r="30" spans="1:10" ht="12.95" customHeight="1">
      <c r="A30" s="18" t="s">
        <v>374</v>
      </c>
      <c r="B30" s="19" t="s">
        <v>375</v>
      </c>
      <c r="C30" s="15" t="s">
        <v>376</v>
      </c>
      <c r="D30" s="15" t="s">
        <v>310</v>
      </c>
      <c r="E30" s="20">
        <v>34307</v>
      </c>
      <c r="F30" s="21">
        <v>192.68530000000001</v>
      </c>
      <c r="G30" s="22">
        <v>2.1499999999999998E-2</v>
      </c>
      <c r="H30" s="40"/>
      <c r="I30" s="24"/>
      <c r="J30" s="5"/>
    </row>
    <row r="31" spans="1:10" ht="12.95" customHeight="1">
      <c r="A31" s="18" t="s">
        <v>829</v>
      </c>
      <c r="B31" s="19" t="s">
        <v>830</v>
      </c>
      <c r="C31" s="15" t="s">
        <v>831</v>
      </c>
      <c r="D31" s="15" t="s">
        <v>832</v>
      </c>
      <c r="E31" s="20">
        <v>5331</v>
      </c>
      <c r="F31" s="21">
        <v>184.07939999999999</v>
      </c>
      <c r="G31" s="22">
        <v>2.06E-2</v>
      </c>
      <c r="H31" s="40"/>
      <c r="I31" s="24"/>
      <c r="J31" s="5"/>
    </row>
    <row r="32" spans="1:10" ht="12.95" customHeight="1">
      <c r="A32" s="18" t="s">
        <v>821</v>
      </c>
      <c r="B32" s="19" t="s">
        <v>822</v>
      </c>
      <c r="C32" s="15" t="s">
        <v>823</v>
      </c>
      <c r="D32" s="15" t="s">
        <v>798</v>
      </c>
      <c r="E32" s="20">
        <v>8836</v>
      </c>
      <c r="F32" s="21">
        <v>177.21039999999999</v>
      </c>
      <c r="G32" s="22">
        <v>1.9800000000000002E-2</v>
      </c>
      <c r="H32" s="40"/>
      <c r="I32" s="24"/>
      <c r="J32" s="5"/>
    </row>
    <row r="33" spans="1:10" ht="12.95" customHeight="1">
      <c r="A33" s="18" t="s">
        <v>1797</v>
      </c>
      <c r="B33" s="19" t="s">
        <v>1798</v>
      </c>
      <c r="C33" s="15" t="s">
        <v>1799</v>
      </c>
      <c r="D33" s="15" t="s">
        <v>1800</v>
      </c>
      <c r="E33" s="20">
        <v>78863</v>
      </c>
      <c r="F33" s="21">
        <v>175.50960000000001</v>
      </c>
      <c r="G33" s="22">
        <v>1.9599999999999999E-2</v>
      </c>
      <c r="H33" s="40"/>
      <c r="I33" s="24"/>
      <c r="J33" s="5"/>
    </row>
    <row r="34" spans="1:10" ht="12.95" customHeight="1">
      <c r="A34" s="18" t="s">
        <v>341</v>
      </c>
      <c r="B34" s="19" t="s">
        <v>342</v>
      </c>
      <c r="C34" s="15" t="s">
        <v>343</v>
      </c>
      <c r="D34" s="15" t="s">
        <v>344</v>
      </c>
      <c r="E34" s="20">
        <v>24347</v>
      </c>
      <c r="F34" s="21">
        <v>170.7577</v>
      </c>
      <c r="G34" s="22">
        <v>1.9099999999999999E-2</v>
      </c>
      <c r="H34" s="40"/>
      <c r="I34" s="24"/>
      <c r="J34" s="5"/>
    </row>
    <row r="35" spans="1:10" ht="12.95" customHeight="1">
      <c r="A35" s="18" t="s">
        <v>1746</v>
      </c>
      <c r="B35" s="19" t="s">
        <v>1747</v>
      </c>
      <c r="C35" s="15" t="s">
        <v>1748</v>
      </c>
      <c r="D35" s="15" t="s">
        <v>271</v>
      </c>
      <c r="E35" s="20">
        <v>44502</v>
      </c>
      <c r="F35" s="21">
        <v>167.43879999999999</v>
      </c>
      <c r="G35" s="22">
        <v>1.8700000000000001E-2</v>
      </c>
      <c r="H35" s="40"/>
      <c r="I35" s="24"/>
      <c r="J35" s="5"/>
    </row>
    <row r="36" spans="1:10" ht="12.95" customHeight="1">
      <c r="A36" s="18" t="s">
        <v>766</v>
      </c>
      <c r="B36" s="19" t="s">
        <v>767</v>
      </c>
      <c r="C36" s="15" t="s">
        <v>768</v>
      </c>
      <c r="D36" s="15" t="s">
        <v>403</v>
      </c>
      <c r="E36" s="20">
        <v>4522</v>
      </c>
      <c r="F36" s="21">
        <v>166.2106</v>
      </c>
      <c r="G36" s="22">
        <v>1.8599999999999998E-2</v>
      </c>
      <c r="H36" s="40"/>
      <c r="I36" s="24"/>
      <c r="J36" s="5"/>
    </row>
    <row r="37" spans="1:10" ht="12.95" customHeight="1">
      <c r="A37" s="18" t="s">
        <v>708</v>
      </c>
      <c r="B37" s="19" t="s">
        <v>709</v>
      </c>
      <c r="C37" s="15" t="s">
        <v>710</v>
      </c>
      <c r="D37" s="15" t="s">
        <v>271</v>
      </c>
      <c r="E37" s="20">
        <v>196883</v>
      </c>
      <c r="F37" s="21">
        <v>157.90020000000001</v>
      </c>
      <c r="G37" s="22">
        <v>1.7600000000000001E-2</v>
      </c>
      <c r="H37" s="40"/>
      <c r="I37" s="24"/>
      <c r="J37" s="5"/>
    </row>
    <row r="38" spans="1:10" ht="12.95" customHeight="1">
      <c r="A38" s="18" t="s">
        <v>3368</v>
      </c>
      <c r="B38" s="19" t="s">
        <v>3369</v>
      </c>
      <c r="C38" s="15" t="s">
        <v>3370</v>
      </c>
      <c r="D38" s="15" t="s">
        <v>255</v>
      </c>
      <c r="E38" s="20">
        <v>19456</v>
      </c>
      <c r="F38" s="21">
        <v>153.91640000000001</v>
      </c>
      <c r="G38" s="22">
        <v>1.72E-2</v>
      </c>
      <c r="H38" s="40"/>
      <c r="I38" s="24"/>
      <c r="J38" s="5"/>
    </row>
    <row r="39" spans="1:10" ht="12.95" customHeight="1">
      <c r="A39" s="18" t="s">
        <v>857</v>
      </c>
      <c r="B39" s="19" t="s">
        <v>858</v>
      </c>
      <c r="C39" s="15" t="s">
        <v>859</v>
      </c>
      <c r="D39" s="15" t="s">
        <v>259</v>
      </c>
      <c r="E39" s="20">
        <v>157250</v>
      </c>
      <c r="F39" s="21">
        <v>150.96</v>
      </c>
      <c r="G39" s="22">
        <v>1.6899999999999998E-2</v>
      </c>
      <c r="H39" s="40"/>
      <c r="I39" s="24"/>
      <c r="J39" s="5"/>
    </row>
    <row r="40" spans="1:10" ht="12.95" customHeight="1">
      <c r="A40" s="18" t="s">
        <v>887</v>
      </c>
      <c r="B40" s="19" t="s">
        <v>888</v>
      </c>
      <c r="C40" s="15" t="s">
        <v>889</v>
      </c>
      <c r="D40" s="15" t="s">
        <v>890</v>
      </c>
      <c r="E40" s="20">
        <v>25771</v>
      </c>
      <c r="F40" s="21">
        <v>145.91540000000001</v>
      </c>
      <c r="G40" s="22">
        <v>1.6299999999999999E-2</v>
      </c>
      <c r="H40" s="40"/>
      <c r="I40" s="24"/>
      <c r="J40" s="5"/>
    </row>
    <row r="41" spans="1:10" ht="12.95" customHeight="1">
      <c r="A41" s="18" t="s">
        <v>1850</v>
      </c>
      <c r="B41" s="19" t="s">
        <v>1851</v>
      </c>
      <c r="C41" s="15" t="s">
        <v>1852</v>
      </c>
      <c r="D41" s="15" t="s">
        <v>1816</v>
      </c>
      <c r="E41" s="20">
        <v>3512</v>
      </c>
      <c r="F41" s="21">
        <v>143.93049999999999</v>
      </c>
      <c r="G41" s="22">
        <v>1.61E-2</v>
      </c>
      <c r="H41" s="40"/>
      <c r="I41" s="24"/>
      <c r="J41" s="5"/>
    </row>
    <row r="42" spans="1:10" ht="12.95" customHeight="1">
      <c r="A42" s="18" t="s">
        <v>866</v>
      </c>
      <c r="B42" s="19" t="s">
        <v>867</v>
      </c>
      <c r="C42" s="15" t="s">
        <v>868</v>
      </c>
      <c r="D42" s="15" t="s">
        <v>403</v>
      </c>
      <c r="E42" s="20">
        <v>135263</v>
      </c>
      <c r="F42" s="21">
        <v>137.2919</v>
      </c>
      <c r="G42" s="22">
        <v>1.5299999999999999E-2</v>
      </c>
      <c r="H42" s="40"/>
      <c r="I42" s="24"/>
      <c r="J42" s="5"/>
    </row>
    <row r="43" spans="1:10" ht="12.95" customHeight="1">
      <c r="A43" s="18" t="s">
        <v>1853</v>
      </c>
      <c r="B43" s="19" t="s">
        <v>1854</v>
      </c>
      <c r="C43" s="15" t="s">
        <v>1855</v>
      </c>
      <c r="D43" s="15" t="s">
        <v>808</v>
      </c>
      <c r="E43" s="20">
        <v>20155</v>
      </c>
      <c r="F43" s="21">
        <v>137.2253</v>
      </c>
      <c r="G43" s="22">
        <v>1.5299999999999999E-2</v>
      </c>
      <c r="H43" s="40"/>
      <c r="I43" s="24"/>
      <c r="J43" s="5"/>
    </row>
    <row r="44" spans="1:10" ht="12.95" customHeight="1">
      <c r="A44" s="18" t="s">
        <v>785</v>
      </c>
      <c r="B44" s="19" t="s">
        <v>786</v>
      </c>
      <c r="C44" s="15" t="s">
        <v>787</v>
      </c>
      <c r="D44" s="15" t="s">
        <v>788</v>
      </c>
      <c r="E44" s="20">
        <v>14173</v>
      </c>
      <c r="F44" s="21">
        <v>134.0341</v>
      </c>
      <c r="G44" s="22">
        <v>1.4999999999999999E-2</v>
      </c>
      <c r="H44" s="40"/>
      <c r="I44" s="24"/>
      <c r="J44" s="5"/>
    </row>
    <row r="45" spans="1:10" ht="12.95" customHeight="1">
      <c r="A45" s="18" t="s">
        <v>1758</v>
      </c>
      <c r="B45" s="19" t="s">
        <v>1759</v>
      </c>
      <c r="C45" s="15" t="s">
        <v>1760</v>
      </c>
      <c r="D45" s="15" t="s">
        <v>745</v>
      </c>
      <c r="E45" s="20">
        <v>6059</v>
      </c>
      <c r="F45" s="21">
        <v>116.88420000000001</v>
      </c>
      <c r="G45" s="22">
        <v>1.3100000000000001E-2</v>
      </c>
      <c r="H45" s="40"/>
      <c r="I45" s="24"/>
      <c r="J45" s="5"/>
    </row>
    <row r="46" spans="1:10" ht="12.95" customHeight="1">
      <c r="A46" s="18" t="s">
        <v>3359</v>
      </c>
      <c r="B46" s="19" t="s">
        <v>3360</v>
      </c>
      <c r="C46" s="15" t="s">
        <v>3361</v>
      </c>
      <c r="D46" s="15" t="s">
        <v>291</v>
      </c>
      <c r="E46" s="20">
        <v>11029</v>
      </c>
      <c r="F46" s="21">
        <v>108.8728</v>
      </c>
      <c r="G46" s="22">
        <v>1.2200000000000001E-2</v>
      </c>
      <c r="H46" s="40"/>
      <c r="I46" s="24"/>
      <c r="J46" s="5"/>
    </row>
    <row r="47" spans="1:10" ht="12.95" customHeight="1">
      <c r="A47" s="18" t="s">
        <v>3379</v>
      </c>
      <c r="B47" s="19" t="s">
        <v>3380</v>
      </c>
      <c r="C47" s="15" t="s">
        <v>3381</v>
      </c>
      <c r="D47" s="15" t="s">
        <v>259</v>
      </c>
      <c r="E47" s="20">
        <v>567</v>
      </c>
      <c r="F47" s="21">
        <v>107.8417</v>
      </c>
      <c r="G47" s="22">
        <v>1.21E-2</v>
      </c>
      <c r="H47" s="40"/>
      <c r="I47" s="24"/>
      <c r="J47" s="5"/>
    </row>
    <row r="48" spans="1:10" ht="12.95" customHeight="1">
      <c r="A48" s="18" t="s">
        <v>3382</v>
      </c>
      <c r="B48" s="19" t="s">
        <v>3383</v>
      </c>
      <c r="C48" s="15" t="s">
        <v>3384</v>
      </c>
      <c r="D48" s="15" t="s">
        <v>324</v>
      </c>
      <c r="E48" s="20">
        <v>18548</v>
      </c>
      <c r="F48" s="21">
        <v>105.5103</v>
      </c>
      <c r="G48" s="22">
        <v>1.18E-2</v>
      </c>
      <c r="H48" s="40"/>
      <c r="I48" s="24"/>
      <c r="J48" s="5"/>
    </row>
    <row r="49" spans="1:10" ht="12.95" customHeight="1">
      <c r="A49" s="18" t="s">
        <v>2225</v>
      </c>
      <c r="B49" s="19" t="s">
        <v>2226</v>
      </c>
      <c r="C49" s="15" t="s">
        <v>2227</v>
      </c>
      <c r="D49" s="15" t="s">
        <v>745</v>
      </c>
      <c r="E49" s="20">
        <v>16724</v>
      </c>
      <c r="F49" s="21">
        <v>102.8526</v>
      </c>
      <c r="G49" s="22">
        <v>1.15E-2</v>
      </c>
      <c r="H49" s="40"/>
      <c r="I49" s="24"/>
      <c r="J49" s="5"/>
    </row>
    <row r="50" spans="1:10" ht="12.95" customHeight="1">
      <c r="A50" s="18" t="s">
        <v>3365</v>
      </c>
      <c r="B50" s="19" t="s">
        <v>3366</v>
      </c>
      <c r="C50" s="15" t="s">
        <v>3367</v>
      </c>
      <c r="D50" s="15" t="s">
        <v>255</v>
      </c>
      <c r="E50" s="20">
        <v>1315</v>
      </c>
      <c r="F50" s="21">
        <v>93.476799999999997</v>
      </c>
      <c r="G50" s="22">
        <v>1.04E-2</v>
      </c>
      <c r="H50" s="40"/>
      <c r="I50" s="24"/>
      <c r="J50" s="5"/>
    </row>
    <row r="51" spans="1:10" ht="12.95" customHeight="1">
      <c r="A51" s="18" t="s">
        <v>3385</v>
      </c>
      <c r="B51" s="19" t="s">
        <v>3386</v>
      </c>
      <c r="C51" s="15" t="s">
        <v>3387</v>
      </c>
      <c r="D51" s="15" t="s">
        <v>255</v>
      </c>
      <c r="E51" s="20">
        <v>7186</v>
      </c>
      <c r="F51" s="21">
        <v>89.968699999999998</v>
      </c>
      <c r="G51" s="22">
        <v>1.01E-2</v>
      </c>
      <c r="H51" s="40"/>
      <c r="I51" s="24"/>
      <c r="J51" s="5"/>
    </row>
    <row r="52" spans="1:10" ht="12.95" customHeight="1">
      <c r="A52" s="18" t="s">
        <v>818</v>
      </c>
      <c r="B52" s="19" t="s">
        <v>819</v>
      </c>
      <c r="C52" s="15" t="s">
        <v>820</v>
      </c>
      <c r="D52" s="15" t="s">
        <v>291</v>
      </c>
      <c r="E52" s="20">
        <v>10142</v>
      </c>
      <c r="F52" s="21">
        <v>82.175600000000003</v>
      </c>
      <c r="G52" s="22">
        <v>9.1999999999999998E-3</v>
      </c>
      <c r="H52" s="40"/>
      <c r="I52" s="24"/>
      <c r="J52" s="5"/>
    </row>
    <row r="53" spans="1:10" ht="12.95" customHeight="1">
      <c r="A53" s="18" t="s">
        <v>3376</v>
      </c>
      <c r="B53" s="19" t="s">
        <v>3377</v>
      </c>
      <c r="C53" s="15" t="s">
        <v>3378</v>
      </c>
      <c r="D53" s="15" t="s">
        <v>798</v>
      </c>
      <c r="E53" s="20">
        <v>285</v>
      </c>
      <c r="F53" s="21">
        <v>51.164499999999997</v>
      </c>
      <c r="G53" s="22">
        <v>5.7000000000000002E-3</v>
      </c>
      <c r="H53" s="40"/>
      <c r="I53" s="24"/>
      <c r="J53" s="5"/>
    </row>
    <row r="54" spans="1:10" ht="12.95" customHeight="1">
      <c r="A54" s="18" t="s">
        <v>3373</v>
      </c>
      <c r="B54" s="19" t="s">
        <v>3374</v>
      </c>
      <c r="C54" s="15" t="s">
        <v>3375</v>
      </c>
      <c r="D54" s="15" t="s">
        <v>1616</v>
      </c>
      <c r="E54" s="20">
        <v>8332</v>
      </c>
      <c r="F54" s="21">
        <v>51.095999999999997</v>
      </c>
      <c r="G54" s="22">
        <v>5.7000000000000002E-3</v>
      </c>
      <c r="H54" s="40"/>
      <c r="I54" s="24"/>
      <c r="J54" s="5"/>
    </row>
    <row r="55" spans="1:10" ht="12.95" customHeight="1">
      <c r="A55" s="18" t="s">
        <v>3388</v>
      </c>
      <c r="B55" s="19" t="s">
        <v>3389</v>
      </c>
      <c r="C55" s="15" t="s">
        <v>3390</v>
      </c>
      <c r="D55" s="15" t="s">
        <v>890</v>
      </c>
      <c r="E55" s="20">
        <v>7667</v>
      </c>
      <c r="F55" s="21">
        <v>49.816299999999998</v>
      </c>
      <c r="G55" s="22">
        <v>5.5999999999999999E-3</v>
      </c>
      <c r="H55" s="40"/>
      <c r="I55" s="24"/>
      <c r="J55" s="5"/>
    </row>
    <row r="56" spans="1:10" ht="12.95" customHeight="1">
      <c r="A56" s="18" t="s">
        <v>3391</v>
      </c>
      <c r="B56" s="19" t="s">
        <v>3392</v>
      </c>
      <c r="C56" s="15" t="s">
        <v>3393</v>
      </c>
      <c r="D56" s="15" t="s">
        <v>310</v>
      </c>
      <c r="E56" s="20">
        <v>4846</v>
      </c>
      <c r="F56" s="21">
        <v>16.3504</v>
      </c>
      <c r="G56" s="22">
        <v>1.8E-3</v>
      </c>
      <c r="H56" s="40"/>
      <c r="I56" s="24"/>
      <c r="J56" s="5"/>
    </row>
    <row r="57" spans="1:10" ht="12.95" customHeight="1">
      <c r="A57" s="5"/>
      <c r="B57" s="14" t="s">
        <v>160</v>
      </c>
      <c r="C57" s="15"/>
      <c r="D57" s="15"/>
      <c r="E57" s="15"/>
      <c r="F57" s="25">
        <v>8949.5149999999994</v>
      </c>
      <c r="G57" s="26">
        <v>1.0003</v>
      </c>
      <c r="H57" s="27"/>
      <c r="I57" s="28"/>
      <c r="J57" s="5"/>
    </row>
    <row r="58" spans="1:10" ht="12.95" customHeight="1">
      <c r="A58" s="5"/>
      <c r="B58" s="29" t="s">
        <v>408</v>
      </c>
      <c r="C58" s="2"/>
      <c r="D58" s="2"/>
      <c r="E58" s="2"/>
      <c r="F58" s="27" t="s">
        <v>162</v>
      </c>
      <c r="G58" s="27" t="s">
        <v>162</v>
      </c>
      <c r="H58" s="27"/>
      <c r="I58" s="28"/>
      <c r="J58" s="5"/>
    </row>
    <row r="59" spans="1:10" ht="12.95" customHeight="1">
      <c r="A59" s="5"/>
      <c r="B59" s="29" t="s">
        <v>160</v>
      </c>
      <c r="C59" s="2"/>
      <c r="D59" s="2"/>
      <c r="E59" s="2"/>
      <c r="F59" s="27" t="s">
        <v>162</v>
      </c>
      <c r="G59" s="27" t="s">
        <v>162</v>
      </c>
      <c r="H59" s="27"/>
      <c r="I59" s="28"/>
      <c r="J59" s="5"/>
    </row>
    <row r="60" spans="1:10" ht="12.95" customHeight="1">
      <c r="A60" s="5"/>
      <c r="B60" s="29" t="s">
        <v>163</v>
      </c>
      <c r="C60" s="30"/>
      <c r="D60" s="2"/>
      <c r="E60" s="30"/>
      <c r="F60" s="25">
        <v>8949.5149999999994</v>
      </c>
      <c r="G60" s="26">
        <v>1.0003</v>
      </c>
      <c r="H60" s="27"/>
      <c r="I60" s="28"/>
      <c r="J60" s="5"/>
    </row>
    <row r="61" spans="1:10" ht="12.95" customHeight="1">
      <c r="A61" s="5"/>
      <c r="B61" s="14" t="s">
        <v>164</v>
      </c>
      <c r="C61" s="15"/>
      <c r="D61" s="15"/>
      <c r="E61" s="15"/>
      <c r="F61" s="15"/>
      <c r="G61" s="15"/>
      <c r="H61" s="16"/>
      <c r="I61" s="17"/>
      <c r="J61" s="5"/>
    </row>
    <row r="62" spans="1:10" ht="12.95" customHeight="1">
      <c r="A62" s="18" t="s">
        <v>165</v>
      </c>
      <c r="B62" s="19" t="s">
        <v>166</v>
      </c>
      <c r="C62" s="15"/>
      <c r="D62" s="15"/>
      <c r="E62" s="20"/>
      <c r="F62" s="21">
        <v>26.450099999999999</v>
      </c>
      <c r="G62" s="22">
        <v>3.0000000000000001E-3</v>
      </c>
      <c r="H62" s="23">
        <v>6.7996573997601853E-2</v>
      </c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26.450099999999999</v>
      </c>
      <c r="G63" s="26">
        <v>3.0000000000000001E-3</v>
      </c>
      <c r="H63" s="27"/>
      <c r="I63" s="28"/>
      <c r="J63" s="5"/>
    </row>
    <row r="64" spans="1:10" ht="12.95" customHeight="1">
      <c r="A64" s="5"/>
      <c r="B64" s="29" t="s">
        <v>163</v>
      </c>
      <c r="C64" s="30"/>
      <c r="D64" s="2"/>
      <c r="E64" s="30"/>
      <c r="F64" s="25">
        <v>26.450099999999999</v>
      </c>
      <c r="G64" s="26">
        <v>3.0000000000000001E-3</v>
      </c>
      <c r="H64" s="27"/>
      <c r="I64" s="28"/>
      <c r="J64" s="5"/>
    </row>
    <row r="65" spans="1:10" ht="12.95" customHeight="1">
      <c r="A65" s="5"/>
      <c r="B65" s="29" t="s">
        <v>167</v>
      </c>
      <c r="C65" s="15"/>
      <c r="D65" s="2"/>
      <c r="E65" s="15"/>
      <c r="F65" s="31">
        <v>-29.1251</v>
      </c>
      <c r="G65" s="26">
        <v>-3.3E-3</v>
      </c>
      <c r="H65" s="27"/>
      <c r="I65" s="28"/>
      <c r="J65" s="5"/>
    </row>
    <row r="66" spans="1:10" ht="12.95" customHeight="1">
      <c r="A66" s="5"/>
      <c r="B66" s="32" t="s">
        <v>168</v>
      </c>
      <c r="C66" s="33"/>
      <c r="D66" s="33"/>
      <c r="E66" s="33"/>
      <c r="F66" s="34">
        <v>8946.84</v>
      </c>
      <c r="G66" s="35">
        <v>1</v>
      </c>
      <c r="H66" s="36"/>
      <c r="I66" s="37"/>
      <c r="J66" s="5"/>
    </row>
    <row r="67" spans="1:10" ht="12.95" customHeight="1">
      <c r="A67" s="5"/>
      <c r="B67" s="7"/>
      <c r="C67" s="5"/>
      <c r="D67" s="5"/>
      <c r="E67" s="5"/>
      <c r="F67" s="5"/>
      <c r="G67" s="5"/>
      <c r="H67" s="5"/>
      <c r="I67" s="5"/>
      <c r="J67" s="5"/>
    </row>
    <row r="68" spans="1:10" ht="12.95" customHeight="1">
      <c r="A68" s="5"/>
      <c r="B68" s="4" t="s">
        <v>169</v>
      </c>
      <c r="C68" s="5"/>
      <c r="D68" s="5"/>
      <c r="E68" s="5"/>
      <c r="F68" s="5"/>
      <c r="G68" s="5"/>
      <c r="H68" s="5"/>
      <c r="I68" s="5"/>
      <c r="J68" s="5"/>
    </row>
    <row r="69" spans="1:10" ht="12.95" customHeight="1">
      <c r="A69" s="5"/>
      <c r="B69" s="4" t="s">
        <v>170</v>
      </c>
      <c r="C69" s="5"/>
      <c r="D69" s="5"/>
      <c r="E69" s="5"/>
      <c r="F69" s="5"/>
      <c r="G69" s="5"/>
      <c r="H69" s="5"/>
      <c r="I69" s="5"/>
      <c r="J69" s="5"/>
    </row>
    <row r="70" spans="1:10" ht="26.1" customHeight="1">
      <c r="A70" s="5"/>
      <c r="B70" s="86" t="s">
        <v>171</v>
      </c>
      <c r="C70" s="86"/>
      <c r="D70" s="86"/>
      <c r="E70" s="86"/>
      <c r="F70" s="86"/>
      <c r="G70" s="86"/>
      <c r="H70" s="86"/>
      <c r="I70" s="86"/>
      <c r="J70" s="5"/>
    </row>
    <row r="71" spans="1:10" ht="12.95" customHeight="1">
      <c r="A71" s="5"/>
      <c r="B71" s="86"/>
      <c r="C71" s="86"/>
      <c r="D71" s="86"/>
      <c r="E71" s="86"/>
      <c r="F71" s="86"/>
      <c r="G71" s="86"/>
      <c r="H71" s="86"/>
      <c r="I71" s="86"/>
      <c r="J71" s="5"/>
    </row>
    <row r="72" spans="1:10" ht="12.95" customHeight="1">
      <c r="A72" s="5"/>
      <c r="B72" s="86"/>
      <c r="C72" s="86"/>
      <c r="D72" s="86"/>
      <c r="E72" s="86"/>
      <c r="F72" s="86"/>
      <c r="G72" s="86"/>
      <c r="H72" s="86"/>
      <c r="I72" s="86"/>
      <c r="J72" s="5"/>
    </row>
    <row r="73" spans="1:10" ht="12.95" customHeight="1">
      <c r="A73" s="5"/>
      <c r="B73" s="5"/>
      <c r="C73" s="87" t="s">
        <v>3413</v>
      </c>
      <c r="D73" s="87"/>
      <c r="E73" s="87"/>
      <c r="F73" s="87"/>
      <c r="G73" s="5"/>
      <c r="H73" s="5"/>
      <c r="I73" s="5"/>
      <c r="J73" s="5"/>
    </row>
    <row r="74" spans="1:10" ht="12.95" customHeight="1">
      <c r="A74" s="5"/>
      <c r="B74" s="38" t="s">
        <v>173</v>
      </c>
      <c r="C74" s="87" t="s">
        <v>174</v>
      </c>
      <c r="D74" s="87"/>
      <c r="E74" s="87"/>
      <c r="F74" s="87"/>
      <c r="G74" s="5"/>
      <c r="H74" s="5"/>
      <c r="I74" s="5"/>
      <c r="J74" s="5"/>
    </row>
    <row r="75" spans="1:10" ht="120.95" customHeight="1">
      <c r="A75" s="5"/>
      <c r="B75" s="39"/>
      <c r="C75" s="85"/>
      <c r="D75" s="85"/>
      <c r="E75" s="5"/>
      <c r="F75" s="5"/>
      <c r="G75" s="5"/>
      <c r="H75" s="5"/>
      <c r="I75" s="5"/>
      <c r="J75" s="5"/>
    </row>
  </sheetData>
  <mergeCells count="6">
    <mergeCell ref="C75:D75"/>
    <mergeCell ref="B70:I70"/>
    <mergeCell ref="B71:I71"/>
    <mergeCell ref="B72:I72"/>
    <mergeCell ref="C73:F73"/>
    <mergeCell ref="C74:F74"/>
  </mergeCells>
  <hyperlinks>
    <hyperlink ref="A1" location="AxisNiftyNext50IndexFund" display="AXISNNF" xr:uid="{00000000-0004-0000-3100-000000000000}"/>
    <hyperlink ref="B1" location="AxisNiftyNext50IndexFund" display="Axis Nifty Next 50 Index Fund" xr:uid="{00000000-0004-0000-3100-000001000000}"/>
  </hyperlinks>
  <pageMargins left="0" right="0" top="0" bottom="0" header="0" footer="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/>
  </sheetPr>
  <dimension ref="A1:J7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102</v>
      </c>
      <c r="B1" s="4" t="s">
        <v>103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3414</v>
      </c>
      <c r="B7" s="19" t="s">
        <v>3415</v>
      </c>
      <c r="C7" s="15" t="s">
        <v>3416</v>
      </c>
      <c r="D7" s="15" t="s">
        <v>1816</v>
      </c>
      <c r="E7" s="20">
        <v>2638632</v>
      </c>
      <c r="F7" s="21">
        <v>680.76710000000003</v>
      </c>
      <c r="G7" s="22">
        <v>6.6600000000000006E-2</v>
      </c>
      <c r="H7" s="40"/>
      <c r="I7" s="24"/>
      <c r="J7" s="5"/>
    </row>
    <row r="8" spans="1:10" ht="12.95" customHeight="1">
      <c r="A8" s="18" t="s">
        <v>3417</v>
      </c>
      <c r="B8" s="19" t="s">
        <v>3418</v>
      </c>
      <c r="C8" s="15" t="s">
        <v>3419</v>
      </c>
      <c r="D8" s="15" t="s">
        <v>255</v>
      </c>
      <c r="E8" s="20">
        <v>349170</v>
      </c>
      <c r="F8" s="21">
        <v>449.90550000000002</v>
      </c>
      <c r="G8" s="22">
        <v>4.3999999999999997E-2</v>
      </c>
      <c r="H8" s="40"/>
      <c r="I8" s="24"/>
      <c r="J8" s="5"/>
    </row>
    <row r="9" spans="1:10" ht="12.95" customHeight="1">
      <c r="A9" s="18" t="s">
        <v>1794</v>
      </c>
      <c r="B9" s="19" t="s">
        <v>1795</v>
      </c>
      <c r="C9" s="15" t="s">
        <v>1796</v>
      </c>
      <c r="D9" s="15" t="s">
        <v>271</v>
      </c>
      <c r="E9" s="20">
        <v>156462</v>
      </c>
      <c r="F9" s="21">
        <v>395.45769999999999</v>
      </c>
      <c r="G9" s="22">
        <v>3.8699999999999998E-2</v>
      </c>
      <c r="H9" s="40"/>
      <c r="I9" s="24"/>
      <c r="J9" s="5"/>
    </row>
    <row r="10" spans="1:10" ht="12.95" customHeight="1">
      <c r="A10" s="18" t="s">
        <v>3420</v>
      </c>
      <c r="B10" s="19" t="s">
        <v>3421</v>
      </c>
      <c r="C10" s="15" t="s">
        <v>3422</v>
      </c>
      <c r="D10" s="15" t="s">
        <v>295</v>
      </c>
      <c r="E10" s="20">
        <v>14329</v>
      </c>
      <c r="F10" s="21">
        <v>380.17700000000002</v>
      </c>
      <c r="G10" s="22">
        <v>3.7199999999999997E-2</v>
      </c>
      <c r="H10" s="40"/>
      <c r="I10" s="24"/>
      <c r="J10" s="5"/>
    </row>
    <row r="11" spans="1:10" ht="12.95" customHeight="1">
      <c r="A11" s="18" t="s">
        <v>3423</v>
      </c>
      <c r="B11" s="19" t="s">
        <v>3424</v>
      </c>
      <c r="C11" s="15" t="s">
        <v>3425</v>
      </c>
      <c r="D11" s="15" t="s">
        <v>3398</v>
      </c>
      <c r="E11" s="20">
        <v>22139</v>
      </c>
      <c r="F11" s="21">
        <v>375.10109999999997</v>
      </c>
      <c r="G11" s="22">
        <v>3.6700000000000003E-2</v>
      </c>
      <c r="H11" s="40"/>
      <c r="I11" s="24"/>
      <c r="J11" s="5"/>
    </row>
    <row r="12" spans="1:10" ht="12.95" customHeight="1">
      <c r="A12" s="18" t="s">
        <v>1829</v>
      </c>
      <c r="B12" s="19" t="s">
        <v>1830</v>
      </c>
      <c r="C12" s="15" t="s">
        <v>1831</v>
      </c>
      <c r="D12" s="15" t="s">
        <v>745</v>
      </c>
      <c r="E12" s="20">
        <v>39265</v>
      </c>
      <c r="F12" s="21">
        <v>335.91210000000001</v>
      </c>
      <c r="G12" s="22">
        <v>3.2899999999999999E-2</v>
      </c>
      <c r="H12" s="40"/>
      <c r="I12" s="24"/>
      <c r="J12" s="5"/>
    </row>
    <row r="13" spans="1:10" ht="12.95" customHeight="1">
      <c r="A13" s="18" t="s">
        <v>3426</v>
      </c>
      <c r="B13" s="19" t="s">
        <v>3427</v>
      </c>
      <c r="C13" s="15" t="s">
        <v>3428</v>
      </c>
      <c r="D13" s="15" t="s">
        <v>1590</v>
      </c>
      <c r="E13" s="20">
        <v>23361</v>
      </c>
      <c r="F13" s="21">
        <v>317.66289999999998</v>
      </c>
      <c r="G13" s="22">
        <v>3.1099999999999999E-2</v>
      </c>
      <c r="H13" s="40"/>
      <c r="I13" s="24"/>
      <c r="J13" s="5"/>
    </row>
    <row r="14" spans="1:10" ht="12.95" customHeight="1">
      <c r="A14" s="18" t="s">
        <v>1770</v>
      </c>
      <c r="B14" s="19" t="s">
        <v>1771</v>
      </c>
      <c r="C14" s="15" t="s">
        <v>1772</v>
      </c>
      <c r="D14" s="15" t="s">
        <v>1594</v>
      </c>
      <c r="E14" s="20">
        <v>18321</v>
      </c>
      <c r="F14" s="21">
        <v>314.56240000000003</v>
      </c>
      <c r="G14" s="22">
        <v>3.0800000000000001E-2</v>
      </c>
      <c r="H14" s="40"/>
      <c r="I14" s="24"/>
      <c r="J14" s="5"/>
    </row>
    <row r="15" spans="1:10" ht="12.95" customHeight="1">
      <c r="A15" s="18" t="s">
        <v>1835</v>
      </c>
      <c r="B15" s="19" t="s">
        <v>1836</v>
      </c>
      <c r="C15" s="15" t="s">
        <v>1837</v>
      </c>
      <c r="D15" s="15" t="s">
        <v>259</v>
      </c>
      <c r="E15" s="20">
        <v>118279</v>
      </c>
      <c r="F15" s="21">
        <v>308.23509999999999</v>
      </c>
      <c r="G15" s="22">
        <v>3.0200000000000001E-2</v>
      </c>
      <c r="H15" s="40"/>
      <c r="I15" s="24"/>
      <c r="J15" s="5"/>
    </row>
    <row r="16" spans="1:10" ht="12.95" customHeight="1">
      <c r="A16" s="18" t="s">
        <v>863</v>
      </c>
      <c r="B16" s="19" t="s">
        <v>864</v>
      </c>
      <c r="C16" s="15" t="s">
        <v>865</v>
      </c>
      <c r="D16" s="15" t="s">
        <v>745</v>
      </c>
      <c r="E16" s="20">
        <v>18728</v>
      </c>
      <c r="F16" s="21">
        <v>277.5677</v>
      </c>
      <c r="G16" s="22">
        <v>2.7199999999999998E-2</v>
      </c>
      <c r="H16" s="40"/>
      <c r="I16" s="24"/>
      <c r="J16" s="5"/>
    </row>
    <row r="17" spans="1:10" ht="12.95" customHeight="1">
      <c r="A17" s="18" t="s">
        <v>3429</v>
      </c>
      <c r="B17" s="19" t="s">
        <v>3430</v>
      </c>
      <c r="C17" s="15" t="s">
        <v>3431</v>
      </c>
      <c r="D17" s="15" t="s">
        <v>263</v>
      </c>
      <c r="E17" s="20">
        <v>25448</v>
      </c>
      <c r="F17" s="21">
        <v>269.18889999999999</v>
      </c>
      <c r="G17" s="22">
        <v>2.63E-2</v>
      </c>
      <c r="H17" s="40"/>
      <c r="I17" s="24"/>
      <c r="J17" s="5"/>
    </row>
    <row r="18" spans="1:10" ht="12.95" customHeight="1">
      <c r="A18" s="18" t="s">
        <v>1785</v>
      </c>
      <c r="B18" s="19" t="s">
        <v>1786</v>
      </c>
      <c r="C18" s="15" t="s">
        <v>1787</v>
      </c>
      <c r="D18" s="15" t="s">
        <v>1590</v>
      </c>
      <c r="E18" s="20">
        <v>199207</v>
      </c>
      <c r="F18" s="21">
        <v>263.35169999999999</v>
      </c>
      <c r="G18" s="22">
        <v>2.58E-2</v>
      </c>
      <c r="H18" s="40"/>
      <c r="I18" s="24"/>
      <c r="J18" s="5"/>
    </row>
    <row r="19" spans="1:10" ht="12.95" customHeight="1">
      <c r="A19" s="18" t="s">
        <v>3432</v>
      </c>
      <c r="B19" s="19" t="s">
        <v>3433</v>
      </c>
      <c r="C19" s="15" t="s">
        <v>3434</v>
      </c>
      <c r="D19" s="15" t="s">
        <v>788</v>
      </c>
      <c r="E19" s="20">
        <v>20407</v>
      </c>
      <c r="F19" s="21">
        <v>245.66970000000001</v>
      </c>
      <c r="G19" s="22">
        <v>2.4E-2</v>
      </c>
      <c r="H19" s="40"/>
      <c r="I19" s="24"/>
      <c r="J19" s="5"/>
    </row>
    <row r="20" spans="1:10" ht="12.95" customHeight="1">
      <c r="A20" s="18" t="s">
        <v>3435</v>
      </c>
      <c r="B20" s="19" t="s">
        <v>3436</v>
      </c>
      <c r="C20" s="15" t="s">
        <v>3437</v>
      </c>
      <c r="D20" s="15" t="s">
        <v>2182</v>
      </c>
      <c r="E20" s="20">
        <v>156349</v>
      </c>
      <c r="F20" s="21">
        <v>242.0283</v>
      </c>
      <c r="G20" s="22">
        <v>2.3699999999999999E-2</v>
      </c>
      <c r="H20" s="40"/>
      <c r="I20" s="24"/>
      <c r="J20" s="5"/>
    </row>
    <row r="21" spans="1:10" ht="12.95" customHeight="1">
      <c r="A21" s="18" t="s">
        <v>1847</v>
      </c>
      <c r="B21" s="19" t="s">
        <v>1848</v>
      </c>
      <c r="C21" s="15" t="s">
        <v>1849</v>
      </c>
      <c r="D21" s="15" t="s">
        <v>271</v>
      </c>
      <c r="E21" s="20">
        <v>189033</v>
      </c>
      <c r="F21" s="21">
        <v>239.50479999999999</v>
      </c>
      <c r="G21" s="22">
        <v>2.3400000000000001E-2</v>
      </c>
      <c r="H21" s="40"/>
      <c r="I21" s="24"/>
      <c r="J21" s="5"/>
    </row>
    <row r="22" spans="1:10" ht="12.95" customHeight="1">
      <c r="A22" s="18" t="s">
        <v>3438</v>
      </c>
      <c r="B22" s="19" t="s">
        <v>3439</v>
      </c>
      <c r="C22" s="15" t="s">
        <v>3440</v>
      </c>
      <c r="D22" s="15" t="s">
        <v>1590</v>
      </c>
      <c r="E22" s="20">
        <v>12800</v>
      </c>
      <c r="F22" s="21">
        <v>236.88319999999999</v>
      </c>
      <c r="G22" s="22">
        <v>2.3199999999999998E-2</v>
      </c>
      <c r="H22" s="40"/>
      <c r="I22" s="24"/>
      <c r="J22" s="5"/>
    </row>
    <row r="23" spans="1:10" ht="12.95" customHeight="1">
      <c r="A23" s="18" t="s">
        <v>3441</v>
      </c>
      <c r="B23" s="19" t="s">
        <v>3442</v>
      </c>
      <c r="C23" s="15" t="s">
        <v>3443</v>
      </c>
      <c r="D23" s="15" t="s">
        <v>403</v>
      </c>
      <c r="E23" s="20">
        <v>8051</v>
      </c>
      <c r="F23" s="21">
        <v>231.57089999999999</v>
      </c>
      <c r="G23" s="22">
        <v>2.2700000000000001E-2</v>
      </c>
      <c r="H23" s="40"/>
      <c r="I23" s="24"/>
      <c r="J23" s="5"/>
    </row>
    <row r="24" spans="1:10" ht="12.95" customHeight="1">
      <c r="A24" s="18" t="s">
        <v>1607</v>
      </c>
      <c r="B24" s="19" t="s">
        <v>1608</v>
      </c>
      <c r="C24" s="15" t="s">
        <v>1609</v>
      </c>
      <c r="D24" s="15" t="s">
        <v>407</v>
      </c>
      <c r="E24" s="20">
        <v>236170</v>
      </c>
      <c r="F24" s="21">
        <v>229.55719999999999</v>
      </c>
      <c r="G24" s="22">
        <v>2.2499999999999999E-2</v>
      </c>
      <c r="H24" s="40"/>
      <c r="I24" s="24"/>
      <c r="J24" s="5"/>
    </row>
    <row r="25" spans="1:10" ht="12.95" customHeight="1">
      <c r="A25" s="18" t="s">
        <v>3444</v>
      </c>
      <c r="B25" s="19" t="s">
        <v>3445</v>
      </c>
      <c r="C25" s="15" t="s">
        <v>3446</v>
      </c>
      <c r="D25" s="15" t="s">
        <v>1590</v>
      </c>
      <c r="E25" s="20">
        <v>9130</v>
      </c>
      <c r="F25" s="21">
        <v>229.2132</v>
      </c>
      <c r="G25" s="22">
        <v>2.24E-2</v>
      </c>
      <c r="H25" s="40"/>
      <c r="I25" s="24"/>
      <c r="J25" s="5"/>
    </row>
    <row r="26" spans="1:10" ht="12.95" customHeight="1">
      <c r="A26" s="18" t="s">
        <v>3447</v>
      </c>
      <c r="B26" s="19" t="s">
        <v>3448</v>
      </c>
      <c r="C26" s="15" t="s">
        <v>3449</v>
      </c>
      <c r="D26" s="15" t="s">
        <v>295</v>
      </c>
      <c r="E26" s="20">
        <v>19703</v>
      </c>
      <c r="F26" s="21">
        <v>220.8706</v>
      </c>
      <c r="G26" s="22">
        <v>2.1600000000000001E-2</v>
      </c>
      <c r="H26" s="40"/>
      <c r="I26" s="24"/>
      <c r="J26" s="5"/>
    </row>
    <row r="27" spans="1:10" ht="12.95" customHeight="1">
      <c r="A27" s="18" t="s">
        <v>1718</v>
      </c>
      <c r="B27" s="19" t="s">
        <v>1719</v>
      </c>
      <c r="C27" s="15" t="s">
        <v>1720</v>
      </c>
      <c r="D27" s="15" t="s">
        <v>255</v>
      </c>
      <c r="E27" s="20">
        <v>142229</v>
      </c>
      <c r="F27" s="21">
        <v>213.1302</v>
      </c>
      <c r="G27" s="22">
        <v>2.0899999999999998E-2</v>
      </c>
      <c r="H27" s="40"/>
      <c r="I27" s="24"/>
      <c r="J27" s="5"/>
    </row>
    <row r="28" spans="1:10" ht="12.95" customHeight="1">
      <c r="A28" s="18" t="s">
        <v>1724</v>
      </c>
      <c r="B28" s="19" t="s">
        <v>1725</v>
      </c>
      <c r="C28" s="15" t="s">
        <v>1726</v>
      </c>
      <c r="D28" s="15" t="s">
        <v>263</v>
      </c>
      <c r="E28" s="20">
        <v>42709</v>
      </c>
      <c r="F28" s="21">
        <v>206.434</v>
      </c>
      <c r="G28" s="22">
        <v>2.0199999999999999E-2</v>
      </c>
      <c r="H28" s="40"/>
      <c r="I28" s="24"/>
      <c r="J28" s="5"/>
    </row>
    <row r="29" spans="1:10" ht="12.95" customHeight="1">
      <c r="A29" s="18" t="s">
        <v>3450</v>
      </c>
      <c r="B29" s="19" t="s">
        <v>3451</v>
      </c>
      <c r="C29" s="15" t="s">
        <v>3452</v>
      </c>
      <c r="D29" s="15" t="s">
        <v>263</v>
      </c>
      <c r="E29" s="20">
        <v>18716</v>
      </c>
      <c r="F29" s="21">
        <v>194.19720000000001</v>
      </c>
      <c r="G29" s="22">
        <v>1.9E-2</v>
      </c>
      <c r="H29" s="40"/>
      <c r="I29" s="24"/>
      <c r="J29" s="5"/>
    </row>
    <row r="30" spans="1:10" ht="12.95" customHeight="1">
      <c r="A30" s="18" t="s">
        <v>3453</v>
      </c>
      <c r="B30" s="19" t="s">
        <v>3454</v>
      </c>
      <c r="C30" s="15" t="s">
        <v>3455</v>
      </c>
      <c r="D30" s="15" t="s">
        <v>255</v>
      </c>
      <c r="E30" s="20">
        <v>26639</v>
      </c>
      <c r="F30" s="21">
        <v>184.90129999999999</v>
      </c>
      <c r="G30" s="22">
        <v>1.8100000000000002E-2</v>
      </c>
      <c r="H30" s="40"/>
      <c r="I30" s="24"/>
      <c r="J30" s="5"/>
    </row>
    <row r="31" spans="1:10" ht="12.95" customHeight="1">
      <c r="A31" s="18" t="s">
        <v>3456</v>
      </c>
      <c r="B31" s="19" t="s">
        <v>3457</v>
      </c>
      <c r="C31" s="15" t="s">
        <v>3458</v>
      </c>
      <c r="D31" s="15" t="s">
        <v>726</v>
      </c>
      <c r="E31" s="20">
        <v>233160</v>
      </c>
      <c r="F31" s="21">
        <v>179.88290000000001</v>
      </c>
      <c r="G31" s="22">
        <v>1.7600000000000001E-2</v>
      </c>
      <c r="H31" s="40"/>
      <c r="I31" s="24"/>
      <c r="J31" s="5"/>
    </row>
    <row r="32" spans="1:10" ht="12.95" customHeight="1">
      <c r="A32" s="18" t="s">
        <v>3459</v>
      </c>
      <c r="B32" s="19" t="s">
        <v>3460</v>
      </c>
      <c r="C32" s="15" t="s">
        <v>3461</v>
      </c>
      <c r="D32" s="15" t="s">
        <v>3462</v>
      </c>
      <c r="E32" s="20">
        <v>19132</v>
      </c>
      <c r="F32" s="21">
        <v>167.47200000000001</v>
      </c>
      <c r="G32" s="22">
        <v>1.6400000000000001E-2</v>
      </c>
      <c r="H32" s="40"/>
      <c r="I32" s="24"/>
      <c r="J32" s="5"/>
    </row>
    <row r="33" spans="1:10" ht="12.95" customHeight="1">
      <c r="A33" s="18" t="s">
        <v>1595</v>
      </c>
      <c r="B33" s="19" t="s">
        <v>1596</v>
      </c>
      <c r="C33" s="15" t="s">
        <v>1597</v>
      </c>
      <c r="D33" s="15" t="s">
        <v>778</v>
      </c>
      <c r="E33" s="20">
        <v>23241</v>
      </c>
      <c r="F33" s="21">
        <v>166.41720000000001</v>
      </c>
      <c r="G33" s="22">
        <v>1.6299999999999999E-2</v>
      </c>
      <c r="H33" s="40"/>
      <c r="I33" s="24"/>
      <c r="J33" s="5"/>
    </row>
    <row r="34" spans="1:10" ht="12.95" customHeight="1">
      <c r="A34" s="18" t="s">
        <v>3463</v>
      </c>
      <c r="B34" s="19" t="s">
        <v>3464</v>
      </c>
      <c r="C34" s="15" t="s">
        <v>3465</v>
      </c>
      <c r="D34" s="15" t="s">
        <v>259</v>
      </c>
      <c r="E34" s="20">
        <v>26103</v>
      </c>
      <c r="F34" s="21">
        <v>166.38050000000001</v>
      </c>
      <c r="G34" s="22">
        <v>1.6299999999999999E-2</v>
      </c>
      <c r="H34" s="40"/>
      <c r="I34" s="24"/>
      <c r="J34" s="5"/>
    </row>
    <row r="35" spans="1:10" ht="12.95" customHeight="1">
      <c r="A35" s="18" t="s">
        <v>3466</v>
      </c>
      <c r="B35" s="19" t="s">
        <v>3467</v>
      </c>
      <c r="C35" s="15" t="s">
        <v>3468</v>
      </c>
      <c r="D35" s="15" t="s">
        <v>745</v>
      </c>
      <c r="E35" s="20">
        <v>159715</v>
      </c>
      <c r="F35" s="21">
        <v>162.98920000000001</v>
      </c>
      <c r="G35" s="22">
        <v>1.5900000000000001E-2</v>
      </c>
      <c r="H35" s="40"/>
      <c r="I35" s="24"/>
      <c r="J35" s="5"/>
    </row>
    <row r="36" spans="1:10" ht="12.95" customHeight="1">
      <c r="A36" s="18" t="s">
        <v>3469</v>
      </c>
      <c r="B36" s="19" t="s">
        <v>3470</v>
      </c>
      <c r="C36" s="15" t="s">
        <v>3471</v>
      </c>
      <c r="D36" s="15" t="s">
        <v>302</v>
      </c>
      <c r="E36" s="20">
        <v>8733</v>
      </c>
      <c r="F36" s="21">
        <v>157.9145</v>
      </c>
      <c r="G36" s="22">
        <v>1.55E-2</v>
      </c>
      <c r="H36" s="40"/>
      <c r="I36" s="24"/>
      <c r="J36" s="5"/>
    </row>
    <row r="37" spans="1:10" ht="12.95" customHeight="1">
      <c r="A37" s="18" t="s">
        <v>296</v>
      </c>
      <c r="B37" s="19" t="s">
        <v>297</v>
      </c>
      <c r="C37" s="15" t="s">
        <v>298</v>
      </c>
      <c r="D37" s="15" t="s">
        <v>259</v>
      </c>
      <c r="E37" s="20">
        <v>31867</v>
      </c>
      <c r="F37" s="21">
        <v>153.20060000000001</v>
      </c>
      <c r="G37" s="22">
        <v>1.4999999999999999E-2</v>
      </c>
      <c r="H37" s="40"/>
      <c r="I37" s="24"/>
      <c r="J37" s="5"/>
    </row>
    <row r="38" spans="1:10" ht="12.95" customHeight="1">
      <c r="A38" s="18" t="s">
        <v>3472</v>
      </c>
      <c r="B38" s="19" t="s">
        <v>3473</v>
      </c>
      <c r="C38" s="15" t="s">
        <v>3474</v>
      </c>
      <c r="D38" s="15" t="s">
        <v>1616</v>
      </c>
      <c r="E38" s="20">
        <v>14787</v>
      </c>
      <c r="F38" s="21">
        <v>152.136</v>
      </c>
      <c r="G38" s="22">
        <v>1.49E-2</v>
      </c>
      <c r="H38" s="40"/>
      <c r="I38" s="24"/>
      <c r="J38" s="5"/>
    </row>
    <row r="39" spans="1:10" ht="12.95" customHeight="1">
      <c r="A39" s="18" t="s">
        <v>3475</v>
      </c>
      <c r="B39" s="19" t="s">
        <v>3476</v>
      </c>
      <c r="C39" s="15" t="s">
        <v>3477</v>
      </c>
      <c r="D39" s="15" t="s">
        <v>291</v>
      </c>
      <c r="E39" s="20">
        <v>163486</v>
      </c>
      <c r="F39" s="21">
        <v>147.0557</v>
      </c>
      <c r="G39" s="22">
        <v>1.44E-2</v>
      </c>
      <c r="H39" s="40"/>
      <c r="I39" s="24"/>
      <c r="J39" s="5"/>
    </row>
    <row r="40" spans="1:10" ht="12.95" customHeight="1">
      <c r="A40" s="18" t="s">
        <v>1767</v>
      </c>
      <c r="B40" s="19" t="s">
        <v>1768</v>
      </c>
      <c r="C40" s="15" t="s">
        <v>1769</v>
      </c>
      <c r="D40" s="15" t="s">
        <v>314</v>
      </c>
      <c r="E40" s="20">
        <v>23262</v>
      </c>
      <c r="F40" s="21">
        <v>142.38669999999999</v>
      </c>
      <c r="G40" s="22">
        <v>1.3899999999999999E-2</v>
      </c>
      <c r="H40" s="40"/>
      <c r="I40" s="24"/>
      <c r="J40" s="5"/>
    </row>
    <row r="41" spans="1:10" ht="12.95" customHeight="1">
      <c r="A41" s="18" t="s">
        <v>1764</v>
      </c>
      <c r="B41" s="19" t="s">
        <v>1765</v>
      </c>
      <c r="C41" s="15" t="s">
        <v>1766</v>
      </c>
      <c r="D41" s="15" t="s">
        <v>407</v>
      </c>
      <c r="E41" s="20">
        <v>86374</v>
      </c>
      <c r="F41" s="21">
        <v>140.2714</v>
      </c>
      <c r="G41" s="22">
        <v>1.37E-2</v>
      </c>
      <c r="H41" s="40"/>
      <c r="I41" s="24"/>
      <c r="J41" s="5"/>
    </row>
    <row r="42" spans="1:10" ht="12.95" customHeight="1">
      <c r="A42" s="18" t="s">
        <v>3478</v>
      </c>
      <c r="B42" s="19" t="s">
        <v>3479</v>
      </c>
      <c r="C42" s="15" t="s">
        <v>3480</v>
      </c>
      <c r="D42" s="15" t="s">
        <v>324</v>
      </c>
      <c r="E42" s="20">
        <v>59648</v>
      </c>
      <c r="F42" s="21">
        <v>135.72900000000001</v>
      </c>
      <c r="G42" s="22">
        <v>1.3299999999999999E-2</v>
      </c>
      <c r="H42" s="40"/>
      <c r="I42" s="24"/>
      <c r="J42" s="5"/>
    </row>
    <row r="43" spans="1:10" ht="12.95" customHeight="1">
      <c r="A43" s="18" t="s">
        <v>3481</v>
      </c>
      <c r="B43" s="19" t="s">
        <v>3482</v>
      </c>
      <c r="C43" s="15" t="s">
        <v>3483</v>
      </c>
      <c r="D43" s="15" t="s">
        <v>722</v>
      </c>
      <c r="E43" s="20">
        <v>381351</v>
      </c>
      <c r="F43" s="21">
        <v>120.5069</v>
      </c>
      <c r="G43" s="22">
        <v>1.18E-2</v>
      </c>
      <c r="H43" s="40"/>
      <c r="I43" s="24"/>
      <c r="J43" s="5"/>
    </row>
    <row r="44" spans="1:10" ht="12.95" customHeight="1">
      <c r="A44" s="18" t="s">
        <v>1820</v>
      </c>
      <c r="B44" s="19" t="s">
        <v>1821</v>
      </c>
      <c r="C44" s="15" t="s">
        <v>1822</v>
      </c>
      <c r="D44" s="15" t="s">
        <v>832</v>
      </c>
      <c r="E44" s="20">
        <v>41654</v>
      </c>
      <c r="F44" s="21">
        <v>115.31910000000001</v>
      </c>
      <c r="G44" s="22">
        <v>1.1299999999999999E-2</v>
      </c>
      <c r="H44" s="40"/>
      <c r="I44" s="24"/>
      <c r="J44" s="5"/>
    </row>
    <row r="45" spans="1:10" ht="12.95" customHeight="1">
      <c r="A45" s="18" t="s">
        <v>3484</v>
      </c>
      <c r="B45" s="19" t="s">
        <v>3485</v>
      </c>
      <c r="C45" s="15" t="s">
        <v>3486</v>
      </c>
      <c r="D45" s="15" t="s">
        <v>310</v>
      </c>
      <c r="E45" s="20">
        <v>207405</v>
      </c>
      <c r="F45" s="21">
        <v>113.2431</v>
      </c>
      <c r="G45" s="22">
        <v>1.11E-2</v>
      </c>
      <c r="H45" s="40"/>
      <c r="I45" s="24"/>
      <c r="J45" s="5"/>
    </row>
    <row r="46" spans="1:10" ht="12.95" customHeight="1">
      <c r="A46" s="18" t="s">
        <v>3487</v>
      </c>
      <c r="B46" s="19" t="s">
        <v>3488</v>
      </c>
      <c r="C46" s="15" t="s">
        <v>3489</v>
      </c>
      <c r="D46" s="15" t="s">
        <v>726</v>
      </c>
      <c r="E46" s="20">
        <v>6931</v>
      </c>
      <c r="F46" s="21">
        <v>110.241</v>
      </c>
      <c r="G46" s="22">
        <v>1.0800000000000001E-2</v>
      </c>
      <c r="H46" s="40"/>
      <c r="I46" s="24"/>
      <c r="J46" s="5"/>
    </row>
    <row r="47" spans="1:10" ht="12.95" customHeight="1">
      <c r="A47" s="18" t="s">
        <v>3490</v>
      </c>
      <c r="B47" s="19" t="s">
        <v>3491</v>
      </c>
      <c r="C47" s="15" t="s">
        <v>3492</v>
      </c>
      <c r="D47" s="15" t="s">
        <v>271</v>
      </c>
      <c r="E47" s="20">
        <v>141923</v>
      </c>
      <c r="F47" s="21">
        <v>100.4105</v>
      </c>
      <c r="G47" s="22">
        <v>9.7999999999999997E-3</v>
      </c>
      <c r="H47" s="40"/>
      <c r="I47" s="24"/>
      <c r="J47" s="5"/>
    </row>
    <row r="48" spans="1:10" ht="12.95" customHeight="1">
      <c r="A48" s="18" t="s">
        <v>3493</v>
      </c>
      <c r="B48" s="19" t="s">
        <v>3494</v>
      </c>
      <c r="C48" s="15" t="s">
        <v>3495</v>
      </c>
      <c r="D48" s="15" t="s">
        <v>271</v>
      </c>
      <c r="E48" s="20">
        <v>197918</v>
      </c>
      <c r="F48" s="21">
        <v>92.526700000000005</v>
      </c>
      <c r="G48" s="22">
        <v>9.1000000000000004E-3</v>
      </c>
      <c r="H48" s="40"/>
      <c r="I48" s="24"/>
      <c r="J48" s="5"/>
    </row>
    <row r="49" spans="1:10" ht="12.95" customHeight="1">
      <c r="A49" s="18" t="s">
        <v>3496</v>
      </c>
      <c r="B49" s="19" t="s">
        <v>3497</v>
      </c>
      <c r="C49" s="15" t="s">
        <v>3498</v>
      </c>
      <c r="D49" s="15" t="s">
        <v>302</v>
      </c>
      <c r="E49" s="20">
        <v>71271</v>
      </c>
      <c r="F49" s="21">
        <v>86.558599999999998</v>
      </c>
      <c r="G49" s="22">
        <v>8.5000000000000006E-3</v>
      </c>
      <c r="H49" s="40"/>
      <c r="I49" s="24"/>
      <c r="J49" s="5"/>
    </row>
    <row r="50" spans="1:10" ht="12.95" customHeight="1">
      <c r="A50" s="18" t="s">
        <v>3499</v>
      </c>
      <c r="B50" s="19" t="s">
        <v>3500</v>
      </c>
      <c r="C50" s="15" t="s">
        <v>3501</v>
      </c>
      <c r="D50" s="15" t="s">
        <v>1590</v>
      </c>
      <c r="E50" s="20">
        <v>10647</v>
      </c>
      <c r="F50" s="21">
        <v>83.797200000000004</v>
      </c>
      <c r="G50" s="22">
        <v>8.2000000000000007E-3</v>
      </c>
      <c r="H50" s="40"/>
      <c r="I50" s="24"/>
      <c r="J50" s="5"/>
    </row>
    <row r="51" spans="1:10" ht="12.95" customHeight="1">
      <c r="A51" s="18" t="s">
        <v>3502</v>
      </c>
      <c r="B51" s="19" t="s">
        <v>3503</v>
      </c>
      <c r="C51" s="15" t="s">
        <v>3504</v>
      </c>
      <c r="D51" s="15" t="s">
        <v>755</v>
      </c>
      <c r="E51" s="20">
        <v>14382</v>
      </c>
      <c r="F51" s="21">
        <v>69.745500000000007</v>
      </c>
      <c r="G51" s="22">
        <v>6.7999999999999996E-3</v>
      </c>
      <c r="H51" s="40"/>
      <c r="I51" s="24"/>
      <c r="J51" s="5"/>
    </row>
    <row r="52" spans="1:10" ht="12.95" customHeight="1">
      <c r="A52" s="18" t="s">
        <v>3505</v>
      </c>
      <c r="B52" s="19" t="s">
        <v>3506</v>
      </c>
      <c r="C52" s="15" t="s">
        <v>3507</v>
      </c>
      <c r="D52" s="15" t="s">
        <v>271</v>
      </c>
      <c r="E52" s="20">
        <v>157045</v>
      </c>
      <c r="F52" s="21">
        <v>68.393100000000004</v>
      </c>
      <c r="G52" s="22">
        <v>6.7000000000000002E-3</v>
      </c>
      <c r="H52" s="40"/>
      <c r="I52" s="24"/>
      <c r="J52" s="5"/>
    </row>
    <row r="53" spans="1:10" ht="12.95" customHeight="1">
      <c r="A53" s="18" t="s">
        <v>3508</v>
      </c>
      <c r="B53" s="19" t="s">
        <v>3509</v>
      </c>
      <c r="C53" s="15" t="s">
        <v>3510</v>
      </c>
      <c r="D53" s="15" t="s">
        <v>259</v>
      </c>
      <c r="E53" s="20">
        <v>4640</v>
      </c>
      <c r="F53" s="21">
        <v>63.653799999999997</v>
      </c>
      <c r="G53" s="22">
        <v>6.1999999999999998E-3</v>
      </c>
      <c r="H53" s="40"/>
      <c r="I53" s="24"/>
      <c r="J53" s="5"/>
    </row>
    <row r="54" spans="1:10" ht="12.95" customHeight="1">
      <c r="A54" s="18" t="s">
        <v>3511</v>
      </c>
      <c r="B54" s="19" t="s">
        <v>3512</v>
      </c>
      <c r="C54" s="15" t="s">
        <v>3513</v>
      </c>
      <c r="D54" s="15" t="s">
        <v>324</v>
      </c>
      <c r="E54" s="20">
        <v>20877</v>
      </c>
      <c r="F54" s="21">
        <v>60.271900000000002</v>
      </c>
      <c r="G54" s="22">
        <v>5.8999999999999999E-3</v>
      </c>
      <c r="H54" s="40"/>
      <c r="I54" s="24"/>
      <c r="J54" s="5"/>
    </row>
    <row r="55" spans="1:10" ht="12.95" customHeight="1">
      <c r="A55" s="18" t="s">
        <v>3514</v>
      </c>
      <c r="B55" s="19" t="s">
        <v>3515</v>
      </c>
      <c r="C55" s="15" t="s">
        <v>3516</v>
      </c>
      <c r="D55" s="15" t="s">
        <v>314</v>
      </c>
      <c r="E55" s="20">
        <v>5959</v>
      </c>
      <c r="F55" s="21">
        <v>52.728200000000001</v>
      </c>
      <c r="G55" s="22">
        <v>5.1999999999999998E-3</v>
      </c>
      <c r="H55" s="40"/>
      <c r="I55" s="24"/>
      <c r="J55" s="5"/>
    </row>
    <row r="56" spans="1:10" ht="12.95" customHeight="1">
      <c r="A56" s="18" t="s">
        <v>3517</v>
      </c>
      <c r="B56" s="19" t="s">
        <v>3518</v>
      </c>
      <c r="C56" s="15" t="s">
        <v>3519</v>
      </c>
      <c r="D56" s="15" t="s">
        <v>251</v>
      </c>
      <c r="E56" s="20">
        <v>46382</v>
      </c>
      <c r="F56" s="21">
        <v>44.341200000000001</v>
      </c>
      <c r="G56" s="22">
        <v>4.3E-3</v>
      </c>
      <c r="H56" s="40"/>
      <c r="I56" s="24"/>
      <c r="J56" s="5"/>
    </row>
    <row r="57" spans="1:10" ht="12.95" customHeight="1">
      <c r="A57" s="5"/>
      <c r="B57" s="14" t="s">
        <v>160</v>
      </c>
      <c r="C57" s="15"/>
      <c r="D57" s="15"/>
      <c r="E57" s="15"/>
      <c r="F57" s="25">
        <v>10095.4223</v>
      </c>
      <c r="G57" s="26">
        <v>0.98780000000000001</v>
      </c>
      <c r="H57" s="27"/>
      <c r="I57" s="28"/>
      <c r="J57" s="5"/>
    </row>
    <row r="58" spans="1:10" ht="12.95" customHeight="1">
      <c r="A58" s="5"/>
      <c r="B58" s="29" t="s">
        <v>408</v>
      </c>
      <c r="C58" s="2"/>
      <c r="D58" s="2"/>
      <c r="E58" s="2"/>
      <c r="F58" s="27" t="s">
        <v>162</v>
      </c>
      <c r="G58" s="27" t="s">
        <v>162</v>
      </c>
      <c r="H58" s="27"/>
      <c r="I58" s="28"/>
      <c r="J58" s="5"/>
    </row>
    <row r="59" spans="1:10" ht="12.95" customHeight="1">
      <c r="A59" s="5"/>
      <c r="B59" s="29" t="s">
        <v>160</v>
      </c>
      <c r="C59" s="2"/>
      <c r="D59" s="2"/>
      <c r="E59" s="2"/>
      <c r="F59" s="27" t="s">
        <v>162</v>
      </c>
      <c r="G59" s="27" t="s">
        <v>162</v>
      </c>
      <c r="H59" s="27"/>
      <c r="I59" s="28"/>
      <c r="J59" s="5"/>
    </row>
    <row r="60" spans="1:10" ht="12.95" customHeight="1">
      <c r="A60" s="5"/>
      <c r="B60" s="29" t="s">
        <v>163</v>
      </c>
      <c r="C60" s="30"/>
      <c r="D60" s="2"/>
      <c r="E60" s="30"/>
      <c r="F60" s="25">
        <v>10095.4223</v>
      </c>
      <c r="G60" s="26">
        <v>0.98780000000000001</v>
      </c>
      <c r="H60" s="27"/>
      <c r="I60" s="28"/>
      <c r="J60" s="5"/>
    </row>
    <row r="61" spans="1:10" ht="12.95" customHeight="1">
      <c r="A61" s="5"/>
      <c r="B61" s="14" t="s">
        <v>164</v>
      </c>
      <c r="C61" s="15"/>
      <c r="D61" s="15"/>
      <c r="E61" s="15"/>
      <c r="F61" s="15"/>
      <c r="G61" s="15"/>
      <c r="H61" s="16"/>
      <c r="I61" s="17"/>
      <c r="J61" s="5"/>
    </row>
    <row r="62" spans="1:10" ht="12.95" customHeight="1">
      <c r="A62" s="18" t="s">
        <v>165</v>
      </c>
      <c r="B62" s="19" t="s">
        <v>166</v>
      </c>
      <c r="C62" s="15"/>
      <c r="D62" s="15"/>
      <c r="E62" s="20"/>
      <c r="F62" s="21">
        <v>369.87220000000002</v>
      </c>
      <c r="G62" s="22">
        <v>3.6200000000000003E-2</v>
      </c>
      <c r="H62" s="23">
        <v>6.7996796813544674E-2</v>
      </c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369.87220000000002</v>
      </c>
      <c r="G63" s="26">
        <v>3.6200000000000003E-2</v>
      </c>
      <c r="H63" s="27"/>
      <c r="I63" s="28"/>
      <c r="J63" s="5"/>
    </row>
    <row r="64" spans="1:10" ht="12.95" customHeight="1">
      <c r="A64" s="5"/>
      <c r="B64" s="29" t="s">
        <v>163</v>
      </c>
      <c r="C64" s="30"/>
      <c r="D64" s="2"/>
      <c r="E64" s="30"/>
      <c r="F64" s="25">
        <v>369.87220000000002</v>
      </c>
      <c r="G64" s="26">
        <v>3.6200000000000003E-2</v>
      </c>
      <c r="H64" s="27"/>
      <c r="I64" s="28"/>
      <c r="J64" s="5"/>
    </row>
    <row r="65" spans="1:10" ht="12.95" customHeight="1">
      <c r="A65" s="5"/>
      <c r="B65" s="29" t="s">
        <v>167</v>
      </c>
      <c r="C65" s="15"/>
      <c r="D65" s="2"/>
      <c r="E65" s="15"/>
      <c r="F65" s="31">
        <v>-245.4145</v>
      </c>
      <c r="G65" s="26">
        <v>-2.4E-2</v>
      </c>
      <c r="H65" s="27"/>
      <c r="I65" s="28"/>
      <c r="J65" s="5"/>
    </row>
    <row r="66" spans="1:10" ht="12.95" customHeight="1">
      <c r="A66" s="5"/>
      <c r="B66" s="32" t="s">
        <v>168</v>
      </c>
      <c r="C66" s="33"/>
      <c r="D66" s="33"/>
      <c r="E66" s="33"/>
      <c r="F66" s="34">
        <v>10219.879999999999</v>
      </c>
      <c r="G66" s="35">
        <v>1</v>
      </c>
      <c r="H66" s="36"/>
      <c r="I66" s="37"/>
      <c r="J66" s="5"/>
    </row>
    <row r="67" spans="1:10" ht="12.95" customHeight="1">
      <c r="A67" s="5"/>
      <c r="B67" s="7"/>
      <c r="C67" s="5"/>
      <c r="D67" s="5"/>
      <c r="E67" s="5"/>
      <c r="F67" s="5"/>
      <c r="G67" s="5"/>
      <c r="H67" s="5"/>
      <c r="I67" s="5"/>
      <c r="J67" s="5"/>
    </row>
    <row r="68" spans="1:10" ht="12.95" customHeight="1">
      <c r="A68" s="5"/>
      <c r="B68" s="4" t="s">
        <v>169</v>
      </c>
      <c r="C68" s="5"/>
      <c r="D68" s="5"/>
      <c r="E68" s="5"/>
      <c r="F68" s="5"/>
      <c r="G68" s="5"/>
      <c r="H68" s="5"/>
      <c r="I68" s="5"/>
      <c r="J68" s="5"/>
    </row>
    <row r="69" spans="1:10" ht="12.95" customHeight="1">
      <c r="A69" s="5"/>
      <c r="B69" s="4" t="s">
        <v>170</v>
      </c>
      <c r="C69" s="5"/>
      <c r="D69" s="5"/>
      <c r="E69" s="5"/>
      <c r="F69" s="5"/>
      <c r="G69" s="5"/>
      <c r="H69" s="5"/>
      <c r="I69" s="5"/>
      <c r="J69" s="5"/>
    </row>
    <row r="70" spans="1:10" ht="26.1" customHeight="1">
      <c r="A70" s="5"/>
      <c r="B70" s="86" t="s">
        <v>171</v>
      </c>
      <c r="C70" s="86"/>
      <c r="D70" s="86"/>
      <c r="E70" s="86"/>
      <c r="F70" s="86"/>
      <c r="G70" s="86"/>
      <c r="H70" s="86"/>
      <c r="I70" s="86"/>
      <c r="J70" s="5"/>
    </row>
    <row r="71" spans="1:10" ht="12.95" customHeight="1">
      <c r="A71" s="5"/>
      <c r="B71" s="86"/>
      <c r="C71" s="86"/>
      <c r="D71" s="86"/>
      <c r="E71" s="86"/>
      <c r="F71" s="86"/>
      <c r="G71" s="86"/>
      <c r="H71" s="86"/>
      <c r="I71" s="86"/>
      <c r="J71" s="5"/>
    </row>
    <row r="72" spans="1:10" ht="12.95" customHeight="1">
      <c r="A72" s="5"/>
      <c r="B72" s="86"/>
      <c r="C72" s="86"/>
      <c r="D72" s="86"/>
      <c r="E72" s="86"/>
      <c r="F72" s="86"/>
      <c r="G72" s="86"/>
      <c r="H72" s="86"/>
      <c r="I72" s="86"/>
      <c r="J72" s="5"/>
    </row>
    <row r="73" spans="1:10" ht="12.95" customHeight="1">
      <c r="A73" s="5"/>
      <c r="B73" s="5"/>
      <c r="C73" s="87" t="s">
        <v>3520</v>
      </c>
      <c r="D73" s="87"/>
      <c r="E73" s="87"/>
      <c r="F73" s="87"/>
      <c r="G73" s="5"/>
      <c r="H73" s="5"/>
      <c r="I73" s="5"/>
      <c r="J73" s="5"/>
    </row>
    <row r="74" spans="1:10" ht="12.95" customHeight="1">
      <c r="A74" s="5"/>
      <c r="B74" s="38" t="s">
        <v>173</v>
      </c>
      <c r="C74" s="87" t="s">
        <v>174</v>
      </c>
      <c r="D74" s="87"/>
      <c r="E74" s="87"/>
      <c r="F74" s="87"/>
      <c r="G74" s="5"/>
      <c r="H74" s="5"/>
      <c r="I74" s="5"/>
      <c r="J74" s="5"/>
    </row>
    <row r="75" spans="1:10" ht="120.95" customHeight="1">
      <c r="A75" s="5"/>
      <c r="B75" s="39"/>
      <c r="C75" s="85"/>
      <c r="D75" s="85"/>
      <c r="E75" s="5"/>
      <c r="F75" s="5"/>
      <c r="G75" s="5"/>
      <c r="H75" s="5"/>
      <c r="I75" s="5"/>
      <c r="J75" s="5"/>
    </row>
  </sheetData>
  <mergeCells count="6">
    <mergeCell ref="C75:D75"/>
    <mergeCell ref="B70:I70"/>
    <mergeCell ref="B71:I71"/>
    <mergeCell ref="B72:I72"/>
    <mergeCell ref="C73:F73"/>
    <mergeCell ref="C74:F74"/>
  </mergeCells>
  <hyperlinks>
    <hyperlink ref="A1" location="AXISNIFTYSMALLCAP50INDEXFUND" display="AXISNS50" xr:uid="{00000000-0004-0000-3200-000000000000}"/>
    <hyperlink ref="B1" location="AXISNIFTYSMALLCAP50INDEXFUND" display="AXIS NIFTY SMALLCAP 50 INDEX FUND" xr:uid="{00000000-0004-0000-3200-000001000000}"/>
  </hyperlinks>
  <pageMargins left="0" right="0" top="0" bottom="0" header="0" footer="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/>
  </sheetPr>
  <dimension ref="A1:J2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104</v>
      </c>
      <c r="B1" s="4" t="s">
        <v>105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417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418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3521</v>
      </c>
      <c r="B7" s="19" t="s">
        <v>3522</v>
      </c>
      <c r="C7" s="15" t="s">
        <v>3523</v>
      </c>
      <c r="D7" s="15" t="s">
        <v>156</v>
      </c>
      <c r="E7" s="20">
        <v>20000000</v>
      </c>
      <c r="F7" s="21">
        <v>19934.14</v>
      </c>
      <c r="G7" s="22">
        <v>2.7900000000000001E-2</v>
      </c>
      <c r="H7" s="23">
        <v>6.7000000000000004E-2</v>
      </c>
      <c r="I7" s="24"/>
      <c r="J7" s="5"/>
    </row>
    <row r="8" spans="1:10" ht="12.95" customHeight="1">
      <c r="A8" s="18" t="s">
        <v>1708</v>
      </c>
      <c r="B8" s="19" t="s">
        <v>1709</v>
      </c>
      <c r="C8" s="15" t="s">
        <v>1710</v>
      </c>
      <c r="D8" s="15" t="s">
        <v>156</v>
      </c>
      <c r="E8" s="20">
        <v>7500000</v>
      </c>
      <c r="F8" s="21">
        <v>7465.74</v>
      </c>
      <c r="G8" s="22">
        <v>1.04E-2</v>
      </c>
      <c r="H8" s="23">
        <v>6.7000000000000004E-2</v>
      </c>
      <c r="I8" s="24"/>
      <c r="J8" s="5"/>
    </row>
    <row r="9" spans="1:10" ht="12.95" customHeight="1">
      <c r="A9" s="18" t="s">
        <v>3524</v>
      </c>
      <c r="B9" s="19" t="s">
        <v>3525</v>
      </c>
      <c r="C9" s="15" t="s">
        <v>3526</v>
      </c>
      <c r="D9" s="15" t="s">
        <v>156</v>
      </c>
      <c r="E9" s="20">
        <v>6500000</v>
      </c>
      <c r="F9" s="21">
        <v>6495.2875000000004</v>
      </c>
      <c r="G9" s="22">
        <v>9.1000000000000004E-3</v>
      </c>
      <c r="H9" s="23">
        <v>6.6203999999999999E-2</v>
      </c>
      <c r="I9" s="24"/>
      <c r="J9" s="5"/>
    </row>
    <row r="10" spans="1:10" ht="12.95" customHeight="1">
      <c r="A10" s="5"/>
      <c r="B10" s="14" t="s">
        <v>160</v>
      </c>
      <c r="C10" s="15"/>
      <c r="D10" s="15"/>
      <c r="E10" s="15"/>
      <c r="F10" s="25">
        <v>33895.167500000003</v>
      </c>
      <c r="G10" s="26">
        <v>4.7399999999999998E-2</v>
      </c>
      <c r="H10" s="27"/>
      <c r="I10" s="28"/>
      <c r="J10" s="5"/>
    </row>
    <row r="11" spans="1:10" ht="12.95" customHeight="1">
      <c r="A11" s="5"/>
      <c r="B11" s="29" t="s">
        <v>163</v>
      </c>
      <c r="C11" s="30"/>
      <c r="D11" s="2"/>
      <c r="E11" s="30"/>
      <c r="F11" s="25">
        <v>33895.167500000003</v>
      </c>
      <c r="G11" s="26">
        <v>4.7399999999999998E-2</v>
      </c>
      <c r="H11" s="27"/>
      <c r="I11" s="28"/>
      <c r="J11" s="5"/>
    </row>
    <row r="12" spans="1:10" ht="12.95" customHeight="1">
      <c r="A12" s="5"/>
      <c r="B12" s="14" t="s">
        <v>164</v>
      </c>
      <c r="C12" s="15"/>
      <c r="D12" s="15"/>
      <c r="E12" s="15"/>
      <c r="F12" s="15"/>
      <c r="G12" s="15"/>
      <c r="H12" s="16"/>
      <c r="I12" s="17"/>
      <c r="J12" s="5"/>
    </row>
    <row r="13" spans="1:10" ht="12.95" customHeight="1">
      <c r="A13" s="18" t="s">
        <v>165</v>
      </c>
      <c r="B13" s="19" t="s">
        <v>166</v>
      </c>
      <c r="C13" s="15"/>
      <c r="D13" s="15"/>
      <c r="E13" s="20"/>
      <c r="F13" s="21">
        <v>679811.82209999999</v>
      </c>
      <c r="G13" s="22">
        <v>0.95109999999999995</v>
      </c>
      <c r="H13" s="23">
        <v>6.7996829688028088E-2</v>
      </c>
      <c r="I13" s="24"/>
      <c r="J13" s="5"/>
    </row>
    <row r="14" spans="1:10" ht="12.95" customHeight="1">
      <c r="A14" s="5"/>
      <c r="B14" s="14" t="s">
        <v>160</v>
      </c>
      <c r="C14" s="15"/>
      <c r="D14" s="15"/>
      <c r="E14" s="15"/>
      <c r="F14" s="25">
        <v>679811.82209999999</v>
      </c>
      <c r="G14" s="26">
        <v>0.95109999999999995</v>
      </c>
      <c r="H14" s="27"/>
      <c r="I14" s="28"/>
      <c r="J14" s="5"/>
    </row>
    <row r="15" spans="1:10" ht="12.95" customHeight="1">
      <c r="A15" s="5"/>
      <c r="B15" s="29" t="s">
        <v>163</v>
      </c>
      <c r="C15" s="30"/>
      <c r="D15" s="2"/>
      <c r="E15" s="30"/>
      <c r="F15" s="25">
        <v>679811.82209999999</v>
      </c>
      <c r="G15" s="26">
        <v>0.95109999999999995</v>
      </c>
      <c r="H15" s="27"/>
      <c r="I15" s="28"/>
      <c r="J15" s="5"/>
    </row>
    <row r="16" spans="1:10" ht="12.95" customHeight="1">
      <c r="A16" s="5"/>
      <c r="B16" s="29" t="s">
        <v>167</v>
      </c>
      <c r="C16" s="15"/>
      <c r="D16" s="2"/>
      <c r="E16" s="15"/>
      <c r="F16" s="31">
        <v>1062.9404</v>
      </c>
      <c r="G16" s="26">
        <v>1.5E-3</v>
      </c>
      <c r="H16" s="27"/>
      <c r="I16" s="28"/>
      <c r="J16" s="5"/>
    </row>
    <row r="17" spans="1:10" ht="12.95" customHeight="1">
      <c r="A17" s="5"/>
      <c r="B17" s="32" t="s">
        <v>168</v>
      </c>
      <c r="C17" s="33"/>
      <c r="D17" s="33"/>
      <c r="E17" s="33"/>
      <c r="F17" s="34">
        <v>714769.93</v>
      </c>
      <c r="G17" s="35">
        <v>1</v>
      </c>
      <c r="H17" s="36"/>
      <c r="I17" s="37"/>
      <c r="J17" s="5"/>
    </row>
    <row r="18" spans="1:10" ht="12.95" customHeight="1">
      <c r="A18" s="5"/>
      <c r="B18" s="7"/>
      <c r="C18" s="5"/>
      <c r="D18" s="5"/>
      <c r="E18" s="5"/>
      <c r="F18" s="5"/>
      <c r="G18" s="5"/>
      <c r="H18" s="5"/>
      <c r="I18" s="5"/>
      <c r="J18" s="5"/>
    </row>
    <row r="19" spans="1:10" ht="12.95" customHeight="1">
      <c r="A19" s="5"/>
      <c r="B19" s="4" t="s">
        <v>169</v>
      </c>
      <c r="C19" s="5"/>
      <c r="D19" s="5"/>
      <c r="E19" s="5"/>
      <c r="F19" s="5"/>
      <c r="G19" s="5"/>
      <c r="H19" s="5"/>
      <c r="I19" s="5"/>
      <c r="J19" s="5"/>
    </row>
    <row r="20" spans="1:10" ht="12.95" customHeight="1">
      <c r="A20" s="5"/>
      <c r="B20" s="4" t="s">
        <v>170</v>
      </c>
      <c r="C20" s="5"/>
      <c r="D20" s="5"/>
      <c r="E20" s="5"/>
      <c r="F20" s="5"/>
      <c r="G20" s="5"/>
      <c r="H20" s="5"/>
      <c r="I20" s="5"/>
      <c r="J20" s="5"/>
    </row>
    <row r="21" spans="1:10" ht="26.1" customHeight="1">
      <c r="A21" s="5"/>
      <c r="B21" s="86" t="s">
        <v>171</v>
      </c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86"/>
      <c r="C22" s="86"/>
      <c r="D22" s="86"/>
      <c r="E22" s="86"/>
      <c r="F22" s="86"/>
      <c r="G22" s="86"/>
      <c r="H22" s="86"/>
      <c r="I22" s="86"/>
      <c r="J22" s="5"/>
    </row>
    <row r="23" spans="1:10" ht="12.95" customHeight="1">
      <c r="A23" s="5"/>
      <c r="B23" s="86"/>
      <c r="C23" s="86"/>
      <c r="D23" s="86"/>
      <c r="E23" s="86"/>
      <c r="F23" s="86"/>
      <c r="G23" s="86"/>
      <c r="H23" s="86"/>
      <c r="I23" s="86"/>
      <c r="J23" s="5"/>
    </row>
    <row r="24" spans="1:10" ht="12.95" customHeight="1">
      <c r="A24" s="5"/>
      <c r="B24" s="5"/>
      <c r="C24" s="87" t="s">
        <v>3527</v>
      </c>
      <c r="D24" s="87"/>
      <c r="E24" s="87"/>
      <c r="F24" s="87"/>
      <c r="G24" s="5"/>
      <c r="H24" s="5"/>
      <c r="I24" s="5"/>
      <c r="J24" s="5"/>
    </row>
    <row r="25" spans="1:10" ht="12.95" customHeight="1">
      <c r="A25" s="5"/>
      <c r="B25" s="38" t="s">
        <v>173</v>
      </c>
      <c r="C25" s="87" t="s">
        <v>174</v>
      </c>
      <c r="D25" s="87"/>
      <c r="E25" s="87"/>
      <c r="F25" s="87"/>
      <c r="G25" s="5"/>
      <c r="H25" s="5"/>
      <c r="I25" s="5"/>
      <c r="J25" s="5"/>
    </row>
    <row r="26" spans="1:10" ht="120.95" customHeight="1">
      <c r="A26" s="5"/>
      <c r="B26" s="39"/>
      <c r="C26" s="85"/>
      <c r="D26" s="85"/>
      <c r="E26" s="5"/>
      <c r="F26" s="5"/>
      <c r="G26" s="5"/>
      <c r="H26" s="5"/>
      <c r="I26" s="5"/>
      <c r="J26" s="5"/>
    </row>
  </sheetData>
  <mergeCells count="6">
    <mergeCell ref="C26:D26"/>
    <mergeCell ref="B21:I21"/>
    <mergeCell ref="B22:I22"/>
    <mergeCell ref="B23:I23"/>
    <mergeCell ref="C24:F24"/>
    <mergeCell ref="C25:F25"/>
  </mergeCells>
  <hyperlinks>
    <hyperlink ref="A1" location="AxisOvernightFund" display="AXISONF" xr:uid="{00000000-0004-0000-3300-000000000000}"/>
    <hyperlink ref="B1" location="AxisOvernightFund" display="Axis Overnight Fund" xr:uid="{00000000-0004-0000-3300-000001000000}"/>
  </hyperlinks>
  <pageMargins left="0" right="0" top="0" bottom="0" header="0" footer="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/>
  </sheetPr>
  <dimension ref="A1:J7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106</v>
      </c>
      <c r="B1" s="4" t="s">
        <v>107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268</v>
      </c>
      <c r="B7" s="19" t="s">
        <v>269</v>
      </c>
      <c r="C7" s="15" t="s">
        <v>270</v>
      </c>
      <c r="D7" s="15" t="s">
        <v>271</v>
      </c>
      <c r="E7" s="20">
        <v>928649</v>
      </c>
      <c r="F7" s="21">
        <v>8839.8098000000009</v>
      </c>
      <c r="G7" s="22">
        <v>9.2600000000000002E-2</v>
      </c>
      <c r="H7" s="40"/>
      <c r="I7" s="24"/>
      <c r="J7" s="5"/>
    </row>
    <row r="8" spans="1:10" ht="12.95" customHeight="1">
      <c r="A8" s="18" t="s">
        <v>716</v>
      </c>
      <c r="B8" s="19" t="s">
        <v>717</v>
      </c>
      <c r="C8" s="15" t="s">
        <v>718</v>
      </c>
      <c r="D8" s="15" t="s">
        <v>348</v>
      </c>
      <c r="E8" s="20">
        <v>1415959</v>
      </c>
      <c r="F8" s="21">
        <v>6292.5218000000004</v>
      </c>
      <c r="G8" s="22">
        <v>6.59E-2</v>
      </c>
      <c r="H8" s="40"/>
      <c r="I8" s="24"/>
      <c r="J8" s="5"/>
    </row>
    <row r="9" spans="1:10" ht="12.95" customHeight="1">
      <c r="A9" s="18" t="s">
        <v>282</v>
      </c>
      <c r="B9" s="19" t="s">
        <v>283</v>
      </c>
      <c r="C9" s="15" t="s">
        <v>284</v>
      </c>
      <c r="D9" s="15" t="s">
        <v>271</v>
      </c>
      <c r="E9" s="20">
        <v>340907</v>
      </c>
      <c r="F9" s="21">
        <v>5203.2635</v>
      </c>
      <c r="G9" s="22">
        <v>5.45E-2</v>
      </c>
      <c r="H9" s="40"/>
      <c r="I9" s="24"/>
      <c r="J9" s="5"/>
    </row>
    <row r="10" spans="1:10" ht="12.95" customHeight="1">
      <c r="A10" s="18" t="s">
        <v>696</v>
      </c>
      <c r="B10" s="19" t="s">
        <v>697</v>
      </c>
      <c r="C10" s="15" t="s">
        <v>698</v>
      </c>
      <c r="D10" s="15" t="s">
        <v>271</v>
      </c>
      <c r="E10" s="20">
        <v>1644062</v>
      </c>
      <c r="F10" s="21">
        <v>3517.4706000000001</v>
      </c>
      <c r="G10" s="22">
        <v>3.6799999999999999E-2</v>
      </c>
      <c r="H10" s="40"/>
      <c r="I10" s="24"/>
      <c r="J10" s="5"/>
    </row>
    <row r="11" spans="1:10" ht="12.95" customHeight="1">
      <c r="A11" s="18" t="s">
        <v>763</v>
      </c>
      <c r="B11" s="19" t="s">
        <v>764</v>
      </c>
      <c r="C11" s="15" t="s">
        <v>765</v>
      </c>
      <c r="D11" s="15" t="s">
        <v>281</v>
      </c>
      <c r="E11" s="20">
        <v>67985</v>
      </c>
      <c r="F11" s="21">
        <v>3442.5563999999999</v>
      </c>
      <c r="G11" s="22">
        <v>3.5999999999999997E-2</v>
      </c>
      <c r="H11" s="40"/>
      <c r="I11" s="24"/>
      <c r="J11" s="5"/>
    </row>
    <row r="12" spans="1:10" ht="12.95" customHeight="1">
      <c r="A12" s="18" t="s">
        <v>278</v>
      </c>
      <c r="B12" s="19" t="s">
        <v>279</v>
      </c>
      <c r="C12" s="15" t="s">
        <v>280</v>
      </c>
      <c r="D12" s="15" t="s">
        <v>281</v>
      </c>
      <c r="E12" s="20">
        <v>539616</v>
      </c>
      <c r="F12" s="21">
        <v>3400.66</v>
      </c>
      <c r="G12" s="22">
        <v>3.56E-2</v>
      </c>
      <c r="H12" s="40"/>
      <c r="I12" s="24"/>
      <c r="J12" s="5"/>
    </row>
    <row r="13" spans="1:10" ht="12.95" customHeight="1">
      <c r="A13" s="18" t="s">
        <v>719</v>
      </c>
      <c r="B13" s="19" t="s">
        <v>720</v>
      </c>
      <c r="C13" s="15" t="s">
        <v>721</v>
      </c>
      <c r="D13" s="15" t="s">
        <v>722</v>
      </c>
      <c r="E13" s="20">
        <v>110992</v>
      </c>
      <c r="F13" s="21">
        <v>3355.8986</v>
      </c>
      <c r="G13" s="22">
        <v>3.5099999999999999E-2</v>
      </c>
      <c r="H13" s="40"/>
      <c r="I13" s="24"/>
      <c r="J13" s="5"/>
    </row>
    <row r="14" spans="1:10" ht="12.95" customHeight="1">
      <c r="A14" s="18" t="s">
        <v>1841</v>
      </c>
      <c r="B14" s="19" t="s">
        <v>1842</v>
      </c>
      <c r="C14" s="15" t="s">
        <v>1843</v>
      </c>
      <c r="D14" s="15" t="s">
        <v>295</v>
      </c>
      <c r="E14" s="20">
        <v>55177</v>
      </c>
      <c r="F14" s="21">
        <v>2948.1347000000001</v>
      </c>
      <c r="G14" s="22">
        <v>3.09E-2</v>
      </c>
      <c r="H14" s="40"/>
      <c r="I14" s="24"/>
      <c r="J14" s="5"/>
    </row>
    <row r="15" spans="1:10" ht="12.95" customHeight="1">
      <c r="A15" s="18" t="s">
        <v>739</v>
      </c>
      <c r="B15" s="19" t="s">
        <v>740</v>
      </c>
      <c r="C15" s="15" t="s">
        <v>741</v>
      </c>
      <c r="D15" s="15" t="s">
        <v>263</v>
      </c>
      <c r="E15" s="20">
        <v>230499</v>
      </c>
      <c r="F15" s="21">
        <v>2846.2017000000001</v>
      </c>
      <c r="G15" s="22">
        <v>2.98E-2</v>
      </c>
      <c r="H15" s="40"/>
      <c r="I15" s="24"/>
      <c r="J15" s="5"/>
    </row>
    <row r="16" spans="1:10" ht="12.95" customHeight="1">
      <c r="A16" s="18" t="s">
        <v>752</v>
      </c>
      <c r="B16" s="19" t="s">
        <v>753</v>
      </c>
      <c r="C16" s="15" t="s">
        <v>754</v>
      </c>
      <c r="D16" s="15" t="s">
        <v>755</v>
      </c>
      <c r="E16" s="20">
        <v>12155</v>
      </c>
      <c r="F16" s="21">
        <v>2735.7136999999998</v>
      </c>
      <c r="G16" s="22">
        <v>2.86E-2</v>
      </c>
      <c r="H16" s="40"/>
      <c r="I16" s="24"/>
      <c r="J16" s="5"/>
    </row>
    <row r="17" spans="1:10" ht="12.95" customHeight="1">
      <c r="A17" s="18" t="s">
        <v>248</v>
      </c>
      <c r="B17" s="19" t="s">
        <v>249</v>
      </c>
      <c r="C17" s="15" t="s">
        <v>250</v>
      </c>
      <c r="D17" s="15" t="s">
        <v>251</v>
      </c>
      <c r="E17" s="20">
        <v>110221</v>
      </c>
      <c r="F17" s="21">
        <v>2584.6824999999999</v>
      </c>
      <c r="G17" s="22">
        <v>2.7099999999999999E-2</v>
      </c>
      <c r="H17" s="40"/>
      <c r="I17" s="24"/>
      <c r="J17" s="5"/>
    </row>
    <row r="18" spans="1:10" ht="12.95" customHeight="1">
      <c r="A18" s="18" t="s">
        <v>1801</v>
      </c>
      <c r="B18" s="19" t="s">
        <v>1802</v>
      </c>
      <c r="C18" s="15" t="s">
        <v>1803</v>
      </c>
      <c r="D18" s="15" t="s">
        <v>745</v>
      </c>
      <c r="E18" s="20">
        <v>200524</v>
      </c>
      <c r="F18" s="21">
        <v>2348.6374000000001</v>
      </c>
      <c r="G18" s="22">
        <v>2.46E-2</v>
      </c>
      <c r="H18" s="40"/>
      <c r="I18" s="24"/>
      <c r="J18" s="5"/>
    </row>
    <row r="19" spans="1:10" ht="12.95" customHeight="1">
      <c r="A19" s="18" t="s">
        <v>3362</v>
      </c>
      <c r="B19" s="19" t="s">
        <v>3363</v>
      </c>
      <c r="C19" s="15" t="s">
        <v>3364</v>
      </c>
      <c r="D19" s="15" t="s">
        <v>251</v>
      </c>
      <c r="E19" s="20">
        <v>2445488</v>
      </c>
      <c r="F19" s="21">
        <v>2224.1713</v>
      </c>
      <c r="G19" s="22">
        <v>2.3300000000000001E-2</v>
      </c>
      <c r="H19" s="40"/>
      <c r="I19" s="24"/>
      <c r="J19" s="5"/>
    </row>
    <row r="20" spans="1:10" ht="12.95" customHeight="1">
      <c r="A20" s="18" t="s">
        <v>368</v>
      </c>
      <c r="B20" s="19" t="s">
        <v>369</v>
      </c>
      <c r="C20" s="15" t="s">
        <v>370</v>
      </c>
      <c r="D20" s="15" t="s">
        <v>251</v>
      </c>
      <c r="E20" s="20">
        <v>637387</v>
      </c>
      <c r="F20" s="21">
        <v>2209.1833000000001</v>
      </c>
      <c r="G20" s="22">
        <v>2.3099999999999999E-2</v>
      </c>
      <c r="H20" s="40"/>
      <c r="I20" s="24"/>
      <c r="J20" s="5"/>
    </row>
    <row r="21" spans="1:10" ht="12.95" customHeight="1">
      <c r="A21" s="18" t="s">
        <v>690</v>
      </c>
      <c r="B21" s="19" t="s">
        <v>691</v>
      </c>
      <c r="C21" s="15" t="s">
        <v>692</v>
      </c>
      <c r="D21" s="15" t="s">
        <v>271</v>
      </c>
      <c r="E21" s="20">
        <v>113975</v>
      </c>
      <c r="F21" s="21">
        <v>1978.2641000000001</v>
      </c>
      <c r="G21" s="22">
        <v>2.07E-2</v>
      </c>
      <c r="H21" s="40"/>
      <c r="I21" s="24"/>
      <c r="J21" s="5"/>
    </row>
    <row r="22" spans="1:10" ht="12.95" customHeight="1">
      <c r="A22" s="18" t="s">
        <v>1581</v>
      </c>
      <c r="B22" s="19" t="s">
        <v>1582</v>
      </c>
      <c r="C22" s="15" t="s">
        <v>1583</v>
      </c>
      <c r="D22" s="15" t="s">
        <v>281</v>
      </c>
      <c r="E22" s="20">
        <v>125603</v>
      </c>
      <c r="F22" s="21">
        <v>1911.4265</v>
      </c>
      <c r="G22" s="22">
        <v>0.02</v>
      </c>
      <c r="H22" s="40"/>
      <c r="I22" s="24"/>
      <c r="J22" s="5"/>
    </row>
    <row r="23" spans="1:10" ht="12.95" customHeight="1">
      <c r="A23" s="18" t="s">
        <v>3528</v>
      </c>
      <c r="B23" s="19" t="s">
        <v>3529</v>
      </c>
      <c r="C23" s="15" t="s">
        <v>3530</v>
      </c>
      <c r="D23" s="15" t="s">
        <v>263</v>
      </c>
      <c r="E23" s="20">
        <v>358937</v>
      </c>
      <c r="F23" s="21">
        <v>1857.14</v>
      </c>
      <c r="G23" s="22">
        <v>1.9400000000000001E-2</v>
      </c>
      <c r="H23" s="40"/>
      <c r="I23" s="24"/>
      <c r="J23" s="5"/>
    </row>
    <row r="24" spans="1:10" ht="12.95" customHeight="1">
      <c r="A24" s="18" t="s">
        <v>2225</v>
      </c>
      <c r="B24" s="19" t="s">
        <v>2226</v>
      </c>
      <c r="C24" s="15" t="s">
        <v>2227</v>
      </c>
      <c r="D24" s="15" t="s">
        <v>745</v>
      </c>
      <c r="E24" s="20">
        <v>285737</v>
      </c>
      <c r="F24" s="21">
        <v>1757.2826</v>
      </c>
      <c r="G24" s="22">
        <v>1.84E-2</v>
      </c>
      <c r="H24" s="40"/>
      <c r="I24" s="24"/>
      <c r="J24" s="5"/>
    </row>
    <row r="25" spans="1:10" ht="12.95" customHeight="1">
      <c r="A25" s="18" t="s">
        <v>275</v>
      </c>
      <c r="B25" s="19" t="s">
        <v>276</v>
      </c>
      <c r="C25" s="15" t="s">
        <v>277</v>
      </c>
      <c r="D25" s="15" t="s">
        <v>271</v>
      </c>
      <c r="E25" s="20">
        <v>291428</v>
      </c>
      <c r="F25" s="21">
        <v>1744.3423</v>
      </c>
      <c r="G25" s="22">
        <v>1.83E-2</v>
      </c>
      <c r="H25" s="40"/>
      <c r="I25" s="24"/>
      <c r="J25" s="5"/>
    </row>
    <row r="26" spans="1:10" ht="12.95" customHeight="1">
      <c r="A26" s="18" t="s">
        <v>1758</v>
      </c>
      <c r="B26" s="19" t="s">
        <v>1759</v>
      </c>
      <c r="C26" s="15" t="s">
        <v>1760</v>
      </c>
      <c r="D26" s="15" t="s">
        <v>745</v>
      </c>
      <c r="E26" s="20">
        <v>88841</v>
      </c>
      <c r="F26" s="21">
        <v>1713.8317</v>
      </c>
      <c r="G26" s="22">
        <v>1.7899999999999999E-2</v>
      </c>
      <c r="H26" s="40"/>
      <c r="I26" s="24"/>
      <c r="J26" s="5"/>
    </row>
    <row r="27" spans="1:10" ht="12.95" customHeight="1">
      <c r="A27" s="18" t="s">
        <v>821</v>
      </c>
      <c r="B27" s="19" t="s">
        <v>822</v>
      </c>
      <c r="C27" s="15" t="s">
        <v>823</v>
      </c>
      <c r="D27" s="15" t="s">
        <v>798</v>
      </c>
      <c r="E27" s="20">
        <v>84512</v>
      </c>
      <c r="F27" s="21">
        <v>1694.9304</v>
      </c>
      <c r="G27" s="22">
        <v>1.77E-2</v>
      </c>
      <c r="H27" s="40"/>
      <c r="I27" s="24"/>
      <c r="J27" s="5"/>
    </row>
    <row r="28" spans="1:10" ht="12.95" customHeight="1">
      <c r="A28" s="18" t="s">
        <v>2457</v>
      </c>
      <c r="B28" s="19" t="s">
        <v>2458</v>
      </c>
      <c r="C28" s="15" t="s">
        <v>2459</v>
      </c>
      <c r="D28" s="15" t="s">
        <v>295</v>
      </c>
      <c r="E28" s="20">
        <v>40097</v>
      </c>
      <c r="F28" s="21">
        <v>1652.5979</v>
      </c>
      <c r="G28" s="22">
        <v>1.7299999999999999E-2</v>
      </c>
      <c r="H28" s="40"/>
      <c r="I28" s="24"/>
      <c r="J28" s="5"/>
    </row>
    <row r="29" spans="1:10" ht="12.95" customHeight="1">
      <c r="A29" s="18" t="s">
        <v>815</v>
      </c>
      <c r="B29" s="19" t="s">
        <v>816</v>
      </c>
      <c r="C29" s="15" t="s">
        <v>817</v>
      </c>
      <c r="D29" s="15" t="s">
        <v>788</v>
      </c>
      <c r="E29" s="20">
        <v>158275</v>
      </c>
      <c r="F29" s="21">
        <v>1594.2248999999999</v>
      </c>
      <c r="G29" s="22">
        <v>1.67E-2</v>
      </c>
      <c r="H29" s="40"/>
      <c r="I29" s="24"/>
      <c r="J29" s="5"/>
    </row>
    <row r="30" spans="1:10" ht="12.95" customHeight="1">
      <c r="A30" s="18" t="s">
        <v>391</v>
      </c>
      <c r="B30" s="19" t="s">
        <v>392</v>
      </c>
      <c r="C30" s="15" t="s">
        <v>393</v>
      </c>
      <c r="D30" s="15" t="s">
        <v>271</v>
      </c>
      <c r="E30" s="20">
        <v>1465008</v>
      </c>
      <c r="F30" s="21">
        <v>1557.3035</v>
      </c>
      <c r="G30" s="22">
        <v>1.6299999999999999E-2</v>
      </c>
      <c r="H30" s="40"/>
      <c r="I30" s="24"/>
      <c r="J30" s="5"/>
    </row>
    <row r="31" spans="1:10" ht="12.95" customHeight="1">
      <c r="A31" s="18" t="s">
        <v>1850</v>
      </c>
      <c r="B31" s="19" t="s">
        <v>1851</v>
      </c>
      <c r="C31" s="15" t="s">
        <v>1852</v>
      </c>
      <c r="D31" s="15" t="s">
        <v>1816</v>
      </c>
      <c r="E31" s="20">
        <v>37869</v>
      </c>
      <c r="F31" s="21">
        <v>1551.9663</v>
      </c>
      <c r="G31" s="22">
        <v>1.6199999999999999E-2</v>
      </c>
      <c r="H31" s="40"/>
      <c r="I31" s="24"/>
      <c r="J31" s="5"/>
    </row>
    <row r="32" spans="1:10" ht="12.95" customHeight="1">
      <c r="A32" s="18" t="s">
        <v>3403</v>
      </c>
      <c r="B32" s="19" t="s">
        <v>3404</v>
      </c>
      <c r="C32" s="15" t="s">
        <v>3405</v>
      </c>
      <c r="D32" s="15" t="s">
        <v>259</v>
      </c>
      <c r="E32" s="20">
        <v>1428</v>
      </c>
      <c r="F32" s="21">
        <v>1532.1812</v>
      </c>
      <c r="G32" s="22">
        <v>1.6E-2</v>
      </c>
      <c r="H32" s="40"/>
      <c r="I32" s="24"/>
      <c r="J32" s="5"/>
    </row>
    <row r="33" spans="1:10" ht="12.95" customHeight="1">
      <c r="A33" s="18" t="s">
        <v>288</v>
      </c>
      <c r="B33" s="19" t="s">
        <v>289</v>
      </c>
      <c r="C33" s="15" t="s">
        <v>290</v>
      </c>
      <c r="D33" s="15" t="s">
        <v>291</v>
      </c>
      <c r="E33" s="20">
        <v>622198</v>
      </c>
      <c r="F33" s="21">
        <v>1527.8072</v>
      </c>
      <c r="G33" s="22">
        <v>1.6E-2</v>
      </c>
      <c r="H33" s="40"/>
      <c r="I33" s="24"/>
      <c r="J33" s="5"/>
    </row>
    <row r="34" spans="1:10" ht="12.95" customHeight="1">
      <c r="A34" s="18" t="s">
        <v>829</v>
      </c>
      <c r="B34" s="19" t="s">
        <v>830</v>
      </c>
      <c r="C34" s="15" t="s">
        <v>831</v>
      </c>
      <c r="D34" s="15" t="s">
        <v>832</v>
      </c>
      <c r="E34" s="20">
        <v>44091</v>
      </c>
      <c r="F34" s="21">
        <v>1522.4621999999999</v>
      </c>
      <c r="G34" s="22">
        <v>1.5900000000000001E-2</v>
      </c>
      <c r="H34" s="40"/>
      <c r="I34" s="24"/>
      <c r="J34" s="5"/>
    </row>
    <row r="35" spans="1:10" ht="12.95" customHeight="1">
      <c r="A35" s="18" t="s">
        <v>1761</v>
      </c>
      <c r="B35" s="19" t="s">
        <v>1762</v>
      </c>
      <c r="C35" s="15" t="s">
        <v>1763</v>
      </c>
      <c r="D35" s="15" t="s">
        <v>306</v>
      </c>
      <c r="E35" s="20">
        <v>75904</v>
      </c>
      <c r="F35" s="21">
        <v>1463.5429999999999</v>
      </c>
      <c r="G35" s="22">
        <v>1.5299999999999999E-2</v>
      </c>
      <c r="H35" s="40"/>
      <c r="I35" s="24"/>
      <c r="J35" s="5"/>
    </row>
    <row r="36" spans="1:10" ht="12.95" customHeight="1">
      <c r="A36" s="18" t="s">
        <v>3531</v>
      </c>
      <c r="B36" s="19" t="s">
        <v>3532</v>
      </c>
      <c r="C36" s="15" t="s">
        <v>3533</v>
      </c>
      <c r="D36" s="15" t="s">
        <v>1816</v>
      </c>
      <c r="E36" s="20">
        <v>309627</v>
      </c>
      <c r="F36" s="21">
        <v>1357.4048</v>
      </c>
      <c r="G36" s="22">
        <v>1.4200000000000001E-2</v>
      </c>
      <c r="H36" s="40"/>
      <c r="I36" s="24"/>
      <c r="J36" s="5"/>
    </row>
    <row r="37" spans="1:10" ht="12.95" customHeight="1">
      <c r="A37" s="18" t="s">
        <v>388</v>
      </c>
      <c r="B37" s="19" t="s">
        <v>389</v>
      </c>
      <c r="C37" s="15" t="s">
        <v>390</v>
      </c>
      <c r="D37" s="15" t="s">
        <v>259</v>
      </c>
      <c r="E37" s="20">
        <v>61301</v>
      </c>
      <c r="F37" s="21">
        <v>1300.8379</v>
      </c>
      <c r="G37" s="22">
        <v>1.3599999999999999E-2</v>
      </c>
      <c r="H37" s="40"/>
      <c r="I37" s="24"/>
      <c r="J37" s="5"/>
    </row>
    <row r="38" spans="1:10" ht="12.95" customHeight="1">
      <c r="A38" s="18" t="s">
        <v>1885</v>
      </c>
      <c r="B38" s="19" t="s">
        <v>1886</v>
      </c>
      <c r="C38" s="15" t="s">
        <v>1887</v>
      </c>
      <c r="D38" s="15" t="s">
        <v>745</v>
      </c>
      <c r="E38" s="20">
        <v>5610</v>
      </c>
      <c r="F38" s="21">
        <v>1300.3670999999999</v>
      </c>
      <c r="G38" s="22">
        <v>1.3599999999999999E-2</v>
      </c>
      <c r="H38" s="40"/>
      <c r="I38" s="24"/>
      <c r="J38" s="5"/>
    </row>
    <row r="39" spans="1:10" ht="12.95" customHeight="1">
      <c r="A39" s="18" t="s">
        <v>252</v>
      </c>
      <c r="B39" s="19" t="s">
        <v>253</v>
      </c>
      <c r="C39" s="15" t="s">
        <v>254</v>
      </c>
      <c r="D39" s="15" t="s">
        <v>255</v>
      </c>
      <c r="E39" s="20">
        <v>98719</v>
      </c>
      <c r="F39" s="21">
        <v>1298.6484</v>
      </c>
      <c r="G39" s="22">
        <v>1.3599999999999999E-2</v>
      </c>
      <c r="H39" s="40"/>
      <c r="I39" s="24"/>
      <c r="J39" s="5"/>
    </row>
    <row r="40" spans="1:10" ht="12.95" customHeight="1">
      <c r="A40" s="18" t="s">
        <v>3071</v>
      </c>
      <c r="B40" s="19" t="s">
        <v>3072</v>
      </c>
      <c r="C40" s="15" t="s">
        <v>3073</v>
      </c>
      <c r="D40" s="15" t="s">
        <v>778</v>
      </c>
      <c r="E40" s="20">
        <v>108140</v>
      </c>
      <c r="F40" s="21">
        <v>1173.8597</v>
      </c>
      <c r="G40" s="22">
        <v>1.23E-2</v>
      </c>
      <c r="H40" s="40"/>
      <c r="I40" s="24"/>
      <c r="J40" s="5"/>
    </row>
    <row r="41" spans="1:10" ht="12.95" customHeight="1">
      <c r="A41" s="18" t="s">
        <v>2463</v>
      </c>
      <c r="B41" s="19" t="s">
        <v>2464</v>
      </c>
      <c r="C41" s="15" t="s">
        <v>2465</v>
      </c>
      <c r="D41" s="15" t="s">
        <v>295</v>
      </c>
      <c r="E41" s="20">
        <v>32051</v>
      </c>
      <c r="F41" s="21">
        <v>1125.8554999999999</v>
      </c>
      <c r="G41" s="22">
        <v>1.18E-2</v>
      </c>
      <c r="H41" s="40"/>
      <c r="I41" s="24"/>
      <c r="J41" s="5"/>
    </row>
    <row r="42" spans="1:10" ht="12.95" customHeight="1">
      <c r="A42" s="18" t="s">
        <v>3429</v>
      </c>
      <c r="B42" s="19" t="s">
        <v>3430</v>
      </c>
      <c r="C42" s="15" t="s">
        <v>3431</v>
      </c>
      <c r="D42" s="15" t="s">
        <v>263</v>
      </c>
      <c r="E42" s="20">
        <v>96820</v>
      </c>
      <c r="F42" s="21">
        <v>1024.162</v>
      </c>
      <c r="G42" s="22">
        <v>1.0699999999999999E-2</v>
      </c>
      <c r="H42" s="40"/>
      <c r="I42" s="24"/>
      <c r="J42" s="5"/>
    </row>
    <row r="43" spans="1:10" ht="12.95" customHeight="1">
      <c r="A43" s="18" t="s">
        <v>848</v>
      </c>
      <c r="B43" s="19" t="s">
        <v>849</v>
      </c>
      <c r="C43" s="15" t="s">
        <v>850</v>
      </c>
      <c r="D43" s="15" t="s">
        <v>255</v>
      </c>
      <c r="E43" s="20">
        <v>78298</v>
      </c>
      <c r="F43" s="21">
        <v>953.31730000000005</v>
      </c>
      <c r="G43" s="22">
        <v>0.01</v>
      </c>
      <c r="H43" s="40"/>
      <c r="I43" s="24"/>
      <c r="J43" s="5"/>
    </row>
    <row r="44" spans="1:10" ht="12.95" customHeight="1">
      <c r="A44" s="18" t="s">
        <v>2216</v>
      </c>
      <c r="B44" s="19" t="s">
        <v>2217</v>
      </c>
      <c r="C44" s="15" t="s">
        <v>2218</v>
      </c>
      <c r="D44" s="15" t="s">
        <v>755</v>
      </c>
      <c r="E44" s="20">
        <v>89821</v>
      </c>
      <c r="F44" s="21">
        <v>936.56359999999995</v>
      </c>
      <c r="G44" s="22">
        <v>9.7999999999999997E-3</v>
      </c>
      <c r="H44" s="40"/>
      <c r="I44" s="24"/>
      <c r="J44" s="5"/>
    </row>
    <row r="45" spans="1:10" ht="12.95" customHeight="1">
      <c r="A45" s="18" t="s">
        <v>3534</v>
      </c>
      <c r="B45" s="19" t="s">
        <v>3535</v>
      </c>
      <c r="C45" s="15" t="s">
        <v>3536</v>
      </c>
      <c r="D45" s="15" t="s">
        <v>745</v>
      </c>
      <c r="E45" s="20">
        <v>37053</v>
      </c>
      <c r="F45" s="21">
        <v>666.91690000000006</v>
      </c>
      <c r="G45" s="22">
        <v>7.0000000000000001E-3</v>
      </c>
      <c r="H45" s="40"/>
      <c r="I45" s="24"/>
      <c r="J45" s="5"/>
    </row>
    <row r="46" spans="1:10" ht="12.95" customHeight="1">
      <c r="A46" s="18" t="s">
        <v>3537</v>
      </c>
      <c r="B46" s="19" t="s">
        <v>3538</v>
      </c>
      <c r="C46" s="15" t="s">
        <v>3539</v>
      </c>
      <c r="D46" s="15" t="s">
        <v>1859</v>
      </c>
      <c r="E46" s="20">
        <v>490114</v>
      </c>
      <c r="F46" s="21">
        <v>608.96659999999997</v>
      </c>
      <c r="G46" s="22">
        <v>6.4000000000000003E-3</v>
      </c>
      <c r="H46" s="40"/>
      <c r="I46" s="24"/>
      <c r="J46" s="5"/>
    </row>
    <row r="47" spans="1:10" ht="12.95" customHeight="1">
      <c r="A47" s="18" t="s">
        <v>3540</v>
      </c>
      <c r="B47" s="19" t="s">
        <v>3541</v>
      </c>
      <c r="C47" s="15" t="s">
        <v>3542</v>
      </c>
      <c r="D47" s="15" t="s">
        <v>251</v>
      </c>
      <c r="E47" s="20">
        <v>408848</v>
      </c>
      <c r="F47" s="21">
        <v>566.45889999999997</v>
      </c>
      <c r="G47" s="22">
        <v>5.8999999999999999E-3</v>
      </c>
      <c r="H47" s="40"/>
      <c r="I47" s="24"/>
      <c r="J47" s="5"/>
    </row>
    <row r="48" spans="1:10" ht="12.95" customHeight="1">
      <c r="A48" s="18" t="s">
        <v>2466</v>
      </c>
      <c r="B48" s="19" t="s">
        <v>2467</v>
      </c>
      <c r="C48" s="15" t="s">
        <v>2468</v>
      </c>
      <c r="D48" s="15" t="s">
        <v>778</v>
      </c>
      <c r="E48" s="20">
        <v>102940</v>
      </c>
      <c r="F48" s="21">
        <v>513.87649999999996</v>
      </c>
      <c r="G48" s="22">
        <v>5.4000000000000003E-3</v>
      </c>
      <c r="H48" s="40"/>
      <c r="I48" s="24"/>
      <c r="J48" s="5"/>
    </row>
    <row r="49" spans="1:10" ht="12.95" customHeight="1">
      <c r="A49" s="18" t="s">
        <v>742</v>
      </c>
      <c r="B49" s="19" t="s">
        <v>743</v>
      </c>
      <c r="C49" s="15" t="s">
        <v>744</v>
      </c>
      <c r="D49" s="15" t="s">
        <v>745</v>
      </c>
      <c r="E49" s="20">
        <v>42384</v>
      </c>
      <c r="F49" s="21">
        <v>491.0822</v>
      </c>
      <c r="G49" s="22">
        <v>5.1000000000000004E-3</v>
      </c>
      <c r="H49" s="40"/>
      <c r="I49" s="24"/>
      <c r="J49" s="5"/>
    </row>
    <row r="50" spans="1:10" ht="12.95" customHeight="1">
      <c r="A50" s="18" t="s">
        <v>2270</v>
      </c>
      <c r="B50" s="19" t="s">
        <v>2271</v>
      </c>
      <c r="C50" s="15" t="s">
        <v>2272</v>
      </c>
      <c r="D50" s="15" t="s">
        <v>2273</v>
      </c>
      <c r="E50" s="20">
        <v>135515</v>
      </c>
      <c r="F50" s="21">
        <v>488.53160000000003</v>
      </c>
      <c r="G50" s="22">
        <v>5.1000000000000004E-3</v>
      </c>
      <c r="H50" s="40"/>
      <c r="I50" s="24"/>
      <c r="J50" s="5"/>
    </row>
    <row r="51" spans="1:10" ht="12.95" customHeight="1">
      <c r="A51" s="18" t="s">
        <v>1782</v>
      </c>
      <c r="B51" s="19" t="s">
        <v>1783</v>
      </c>
      <c r="C51" s="15" t="s">
        <v>1784</v>
      </c>
      <c r="D51" s="15" t="s">
        <v>251</v>
      </c>
      <c r="E51" s="20">
        <v>189678</v>
      </c>
      <c r="F51" s="21">
        <v>483.58409999999998</v>
      </c>
      <c r="G51" s="22">
        <v>5.1000000000000004E-3</v>
      </c>
      <c r="H51" s="40"/>
      <c r="I51" s="24"/>
      <c r="J51" s="5"/>
    </row>
    <row r="52" spans="1:10" ht="12.95" customHeight="1">
      <c r="A52" s="18" t="s">
        <v>3543</v>
      </c>
      <c r="B52" s="19" t="s">
        <v>3544</v>
      </c>
      <c r="C52" s="15" t="s">
        <v>3545</v>
      </c>
      <c r="D52" s="15" t="s">
        <v>255</v>
      </c>
      <c r="E52" s="20">
        <v>94809</v>
      </c>
      <c r="F52" s="21">
        <v>476.036</v>
      </c>
      <c r="G52" s="22">
        <v>5.0000000000000001E-3</v>
      </c>
      <c r="H52" s="40"/>
      <c r="I52" s="24"/>
      <c r="J52" s="5"/>
    </row>
    <row r="53" spans="1:10" ht="12.95" customHeight="1">
      <c r="A53" s="18" t="s">
        <v>356</v>
      </c>
      <c r="B53" s="19" t="s">
        <v>357</v>
      </c>
      <c r="C53" s="15" t="s">
        <v>358</v>
      </c>
      <c r="D53" s="15" t="s">
        <v>291</v>
      </c>
      <c r="E53" s="20">
        <v>226519</v>
      </c>
      <c r="F53" s="21">
        <v>452.4717</v>
      </c>
      <c r="G53" s="22">
        <v>4.7000000000000002E-3</v>
      </c>
      <c r="H53" s="40"/>
      <c r="I53" s="24"/>
      <c r="J53" s="5"/>
    </row>
    <row r="54" spans="1:10" ht="12.95" customHeight="1">
      <c r="A54" s="18" t="s">
        <v>891</v>
      </c>
      <c r="B54" s="19" t="s">
        <v>892</v>
      </c>
      <c r="C54" s="15" t="s">
        <v>893</v>
      </c>
      <c r="D54" s="15" t="s">
        <v>255</v>
      </c>
      <c r="E54" s="20">
        <v>9246</v>
      </c>
      <c r="F54" s="21">
        <v>283.94</v>
      </c>
      <c r="G54" s="22">
        <v>3.0000000000000001E-3</v>
      </c>
      <c r="H54" s="40"/>
      <c r="I54" s="24"/>
      <c r="J54" s="5"/>
    </row>
    <row r="55" spans="1:10" ht="12.95" customHeight="1">
      <c r="A55" s="18" t="s">
        <v>359</v>
      </c>
      <c r="B55" s="19" t="s">
        <v>360</v>
      </c>
      <c r="C55" s="15" t="s">
        <v>361</v>
      </c>
      <c r="D55" s="15" t="s">
        <v>255</v>
      </c>
      <c r="E55" s="20">
        <v>111752</v>
      </c>
      <c r="F55" s="21">
        <v>258.37060000000002</v>
      </c>
      <c r="G55" s="22">
        <v>2.7000000000000001E-3</v>
      </c>
      <c r="H55" s="40"/>
      <c r="I55" s="24"/>
      <c r="J55" s="5"/>
    </row>
    <row r="56" spans="1:10" ht="12.95" customHeight="1">
      <c r="A56" s="18" t="s">
        <v>1607</v>
      </c>
      <c r="B56" s="19" t="s">
        <v>1608</v>
      </c>
      <c r="C56" s="15" t="s">
        <v>1609</v>
      </c>
      <c r="D56" s="15" t="s">
        <v>407</v>
      </c>
      <c r="E56" s="20">
        <v>464</v>
      </c>
      <c r="F56" s="21">
        <v>0.45100000000000001</v>
      </c>
      <c r="G56" s="40" t="s">
        <v>675</v>
      </c>
      <c r="H56" s="40"/>
      <c r="I56" s="24"/>
      <c r="J56" s="5"/>
    </row>
    <row r="57" spans="1:10" ht="12.95" customHeight="1">
      <c r="A57" s="5"/>
      <c r="B57" s="14" t="s">
        <v>160</v>
      </c>
      <c r="C57" s="15"/>
      <c r="D57" s="15"/>
      <c r="E57" s="15"/>
      <c r="F57" s="25">
        <v>92769.911600000007</v>
      </c>
      <c r="G57" s="26">
        <v>0.97130000000000005</v>
      </c>
      <c r="H57" s="27"/>
      <c r="I57" s="28"/>
      <c r="J57" s="5"/>
    </row>
    <row r="58" spans="1:10" ht="12.95" customHeight="1">
      <c r="A58" s="5"/>
      <c r="B58" s="29" t="s">
        <v>408</v>
      </c>
      <c r="C58" s="2"/>
      <c r="D58" s="2"/>
      <c r="E58" s="2"/>
      <c r="F58" s="27" t="s">
        <v>162</v>
      </c>
      <c r="G58" s="27" t="s">
        <v>162</v>
      </c>
      <c r="H58" s="27"/>
      <c r="I58" s="28"/>
      <c r="J58" s="5"/>
    </row>
    <row r="59" spans="1:10" ht="12.95" customHeight="1">
      <c r="A59" s="5"/>
      <c r="B59" s="29" t="s">
        <v>160</v>
      </c>
      <c r="C59" s="2"/>
      <c r="D59" s="2"/>
      <c r="E59" s="2"/>
      <c r="F59" s="27" t="s">
        <v>162</v>
      </c>
      <c r="G59" s="27" t="s">
        <v>162</v>
      </c>
      <c r="H59" s="27"/>
      <c r="I59" s="28"/>
      <c r="J59" s="5"/>
    </row>
    <row r="60" spans="1:10" ht="12.95" customHeight="1">
      <c r="A60" s="5"/>
      <c r="B60" s="29" t="s">
        <v>163</v>
      </c>
      <c r="C60" s="30"/>
      <c r="D60" s="2"/>
      <c r="E60" s="30"/>
      <c r="F60" s="25">
        <v>92769.911600000007</v>
      </c>
      <c r="G60" s="26">
        <v>0.97130000000000005</v>
      </c>
      <c r="H60" s="27"/>
      <c r="I60" s="28"/>
      <c r="J60" s="5"/>
    </row>
    <row r="61" spans="1:10" ht="12.95" customHeight="1">
      <c r="A61" s="5"/>
      <c r="B61" s="14" t="s">
        <v>164</v>
      </c>
      <c r="C61" s="15"/>
      <c r="D61" s="15"/>
      <c r="E61" s="15"/>
      <c r="F61" s="15"/>
      <c r="G61" s="15"/>
      <c r="H61" s="16"/>
      <c r="I61" s="17"/>
      <c r="J61" s="5"/>
    </row>
    <row r="62" spans="1:10" ht="12.95" customHeight="1">
      <c r="A62" s="18" t="s">
        <v>165</v>
      </c>
      <c r="B62" s="19" t="s">
        <v>166</v>
      </c>
      <c r="C62" s="15"/>
      <c r="D62" s="15"/>
      <c r="E62" s="20"/>
      <c r="F62" s="21">
        <v>2643.7950000000001</v>
      </c>
      <c r="G62" s="22">
        <v>2.7699999999999999E-2</v>
      </c>
      <c r="H62" s="23">
        <v>6.7996827861667899E-2</v>
      </c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2643.7950000000001</v>
      </c>
      <c r="G63" s="26">
        <v>2.7699999999999999E-2</v>
      </c>
      <c r="H63" s="27"/>
      <c r="I63" s="28"/>
      <c r="J63" s="5"/>
    </row>
    <row r="64" spans="1:10" ht="12.95" customHeight="1">
      <c r="A64" s="5"/>
      <c r="B64" s="29" t="s">
        <v>163</v>
      </c>
      <c r="C64" s="30"/>
      <c r="D64" s="2"/>
      <c r="E64" s="30"/>
      <c r="F64" s="25">
        <v>2643.7950000000001</v>
      </c>
      <c r="G64" s="26">
        <v>2.7699999999999999E-2</v>
      </c>
      <c r="H64" s="27"/>
      <c r="I64" s="28"/>
      <c r="J64" s="5"/>
    </row>
    <row r="65" spans="1:10" ht="12.95" customHeight="1">
      <c r="A65" s="5"/>
      <c r="B65" s="29" t="s">
        <v>167</v>
      </c>
      <c r="C65" s="15"/>
      <c r="D65" s="2"/>
      <c r="E65" s="15"/>
      <c r="F65" s="31">
        <v>94.713399999999993</v>
      </c>
      <c r="G65" s="26">
        <v>1E-3</v>
      </c>
      <c r="H65" s="27"/>
      <c r="I65" s="28"/>
      <c r="J65" s="5"/>
    </row>
    <row r="66" spans="1:10" ht="12.95" customHeight="1">
      <c r="A66" s="5"/>
      <c r="B66" s="32" t="s">
        <v>168</v>
      </c>
      <c r="C66" s="33"/>
      <c r="D66" s="33"/>
      <c r="E66" s="33"/>
      <c r="F66" s="34">
        <v>95508.42</v>
      </c>
      <c r="G66" s="35">
        <v>1</v>
      </c>
      <c r="H66" s="36"/>
      <c r="I66" s="37"/>
      <c r="J66" s="5"/>
    </row>
    <row r="67" spans="1:10" ht="12.95" customHeight="1">
      <c r="A67" s="5"/>
      <c r="B67" s="7"/>
      <c r="C67" s="5"/>
      <c r="D67" s="5"/>
      <c r="E67" s="5"/>
      <c r="F67" s="5"/>
      <c r="G67" s="5"/>
      <c r="H67" s="5"/>
      <c r="I67" s="5"/>
      <c r="J67" s="5"/>
    </row>
    <row r="68" spans="1:10" ht="12.95" customHeight="1">
      <c r="A68" s="5"/>
      <c r="B68" s="4" t="s">
        <v>169</v>
      </c>
      <c r="C68" s="5"/>
      <c r="D68" s="5"/>
      <c r="E68" s="5"/>
      <c r="F68" s="5"/>
      <c r="G68" s="5"/>
      <c r="H68" s="5"/>
      <c r="I68" s="5"/>
      <c r="J68" s="5"/>
    </row>
    <row r="69" spans="1:10" ht="12.95" customHeight="1">
      <c r="A69" s="5"/>
      <c r="B69" s="4" t="s">
        <v>685</v>
      </c>
      <c r="C69" s="5"/>
      <c r="D69" s="5"/>
      <c r="E69" s="5"/>
      <c r="F69" s="5"/>
      <c r="G69" s="5"/>
      <c r="H69" s="5"/>
      <c r="I69" s="5"/>
      <c r="J69" s="5"/>
    </row>
    <row r="70" spans="1:10" ht="12.95" customHeight="1">
      <c r="A70" s="5"/>
      <c r="B70" s="4" t="s">
        <v>170</v>
      </c>
      <c r="C70" s="5"/>
      <c r="D70" s="5"/>
      <c r="E70" s="5"/>
      <c r="F70" s="5"/>
      <c r="G70" s="5"/>
      <c r="H70" s="5"/>
      <c r="I70" s="5"/>
      <c r="J70" s="5"/>
    </row>
    <row r="71" spans="1:10" ht="26.1" customHeight="1">
      <c r="A71" s="5"/>
      <c r="B71" s="86" t="s">
        <v>171</v>
      </c>
      <c r="C71" s="86"/>
      <c r="D71" s="86"/>
      <c r="E71" s="86"/>
      <c r="F71" s="86"/>
      <c r="G71" s="86"/>
      <c r="H71" s="86"/>
      <c r="I71" s="86"/>
      <c r="J71" s="5"/>
    </row>
    <row r="72" spans="1:10" ht="12.95" customHeight="1">
      <c r="A72" s="5"/>
      <c r="B72" s="86"/>
      <c r="C72" s="86"/>
      <c r="D72" s="86"/>
      <c r="E72" s="86"/>
      <c r="F72" s="86"/>
      <c r="G72" s="86"/>
      <c r="H72" s="86"/>
      <c r="I72" s="86"/>
      <c r="J72" s="5"/>
    </row>
    <row r="73" spans="1:10" ht="12.95" customHeight="1">
      <c r="A73" s="5"/>
      <c r="B73" s="86"/>
      <c r="C73" s="86"/>
      <c r="D73" s="86"/>
      <c r="E73" s="86"/>
      <c r="F73" s="86"/>
      <c r="G73" s="86"/>
      <c r="H73" s="86"/>
      <c r="I73" s="86"/>
      <c r="J73" s="5"/>
    </row>
    <row r="74" spans="1:10" ht="12.95" customHeight="1">
      <c r="A74" s="5"/>
      <c r="B74" s="5"/>
      <c r="C74" s="87" t="s">
        <v>3546</v>
      </c>
      <c r="D74" s="87"/>
      <c r="E74" s="87"/>
      <c r="F74" s="87"/>
      <c r="G74" s="5"/>
      <c r="H74" s="5"/>
      <c r="I74" s="5"/>
      <c r="J74" s="5"/>
    </row>
    <row r="75" spans="1:10" ht="12.95" customHeight="1">
      <c r="A75" s="5"/>
      <c r="B75" s="38" t="s">
        <v>173</v>
      </c>
      <c r="C75" s="87" t="s">
        <v>174</v>
      </c>
      <c r="D75" s="87"/>
      <c r="E75" s="87"/>
      <c r="F75" s="87"/>
      <c r="G75" s="5"/>
      <c r="H75" s="5"/>
      <c r="I75" s="5"/>
      <c r="J75" s="5"/>
    </row>
    <row r="76" spans="1:10" ht="120.95" customHeight="1">
      <c r="A76" s="5"/>
      <c r="B76" s="39"/>
      <c r="C76" s="85"/>
      <c r="D76" s="85"/>
      <c r="E76" s="5"/>
      <c r="F76" s="5"/>
      <c r="G76" s="5"/>
      <c r="H76" s="5"/>
      <c r="I76" s="5"/>
      <c r="J76" s="5"/>
    </row>
  </sheetData>
  <mergeCells count="6">
    <mergeCell ref="C76:D76"/>
    <mergeCell ref="B71:I71"/>
    <mergeCell ref="B72:I72"/>
    <mergeCell ref="B73:I73"/>
    <mergeCell ref="C74:F74"/>
    <mergeCell ref="C75:F75"/>
  </mergeCells>
  <hyperlinks>
    <hyperlink ref="A1" location="AxisQuantFund" display="AXISQUA" xr:uid="{00000000-0004-0000-3400-000000000000}"/>
    <hyperlink ref="B1" location="AxisQuantFund" display="Axis Quant Fund" xr:uid="{00000000-0004-0000-3400-000001000000}"/>
  </hyperlinks>
  <pageMargins left="0" right="0" top="0" bottom="0" header="0" footer="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/>
  </sheetPr>
  <dimension ref="A1:J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108</v>
      </c>
      <c r="B1" s="4" t="s">
        <v>109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260</v>
      </c>
      <c r="B7" s="19" t="s">
        <v>261</v>
      </c>
      <c r="C7" s="15" t="s">
        <v>262</v>
      </c>
      <c r="D7" s="15" t="s">
        <v>263</v>
      </c>
      <c r="E7" s="20">
        <v>112826</v>
      </c>
      <c r="F7" s="21">
        <v>3981.1781999999998</v>
      </c>
      <c r="G7" s="22">
        <v>5.6000000000000001E-2</v>
      </c>
      <c r="H7" s="40"/>
      <c r="I7" s="24"/>
      <c r="J7" s="5"/>
    </row>
    <row r="8" spans="1:10" ht="12.95" customHeight="1">
      <c r="A8" s="18" t="s">
        <v>727</v>
      </c>
      <c r="B8" s="19" t="s">
        <v>728</v>
      </c>
      <c r="C8" s="15" t="s">
        <v>729</v>
      </c>
      <c r="D8" s="15" t="s">
        <v>255</v>
      </c>
      <c r="E8" s="20">
        <v>48304</v>
      </c>
      <c r="F8" s="21">
        <v>3772.9047</v>
      </c>
      <c r="G8" s="22">
        <v>5.2999999999999999E-2</v>
      </c>
      <c r="H8" s="40"/>
      <c r="I8" s="24"/>
      <c r="J8" s="5"/>
    </row>
    <row r="9" spans="1:10" ht="12.95" customHeight="1">
      <c r="A9" s="18" t="s">
        <v>766</v>
      </c>
      <c r="B9" s="19" t="s">
        <v>767</v>
      </c>
      <c r="C9" s="15" t="s">
        <v>768</v>
      </c>
      <c r="D9" s="15" t="s">
        <v>403</v>
      </c>
      <c r="E9" s="20">
        <v>89062</v>
      </c>
      <c r="F9" s="21">
        <v>3273.5628999999999</v>
      </c>
      <c r="G9" s="22">
        <v>4.5999999999999999E-2</v>
      </c>
      <c r="H9" s="40"/>
      <c r="I9" s="24"/>
      <c r="J9" s="5"/>
    </row>
    <row r="10" spans="1:10" ht="12.95" customHeight="1">
      <c r="A10" s="18" t="s">
        <v>282</v>
      </c>
      <c r="B10" s="19" t="s">
        <v>283</v>
      </c>
      <c r="C10" s="15" t="s">
        <v>284</v>
      </c>
      <c r="D10" s="15" t="s">
        <v>271</v>
      </c>
      <c r="E10" s="20">
        <v>154320</v>
      </c>
      <c r="F10" s="21">
        <v>2355.3861999999999</v>
      </c>
      <c r="G10" s="22">
        <v>3.3099999999999997E-2</v>
      </c>
      <c r="H10" s="40"/>
      <c r="I10" s="24"/>
      <c r="J10" s="5"/>
    </row>
    <row r="11" spans="1:10" ht="12.95" customHeight="1">
      <c r="A11" s="18" t="s">
        <v>2258</v>
      </c>
      <c r="B11" s="19" t="s">
        <v>2259</v>
      </c>
      <c r="C11" s="15" t="s">
        <v>2260</v>
      </c>
      <c r="D11" s="15" t="s">
        <v>291</v>
      </c>
      <c r="E11" s="20">
        <v>310004</v>
      </c>
      <c r="F11" s="21">
        <v>2289.3795</v>
      </c>
      <c r="G11" s="22">
        <v>3.2199999999999999E-2</v>
      </c>
      <c r="H11" s="40"/>
      <c r="I11" s="24"/>
      <c r="J11" s="5"/>
    </row>
    <row r="12" spans="1:10" ht="12.95" customHeight="1">
      <c r="A12" s="18" t="s">
        <v>1776</v>
      </c>
      <c r="B12" s="19" t="s">
        <v>1777</v>
      </c>
      <c r="C12" s="15" t="s">
        <v>1778</v>
      </c>
      <c r="D12" s="15" t="s">
        <v>314</v>
      </c>
      <c r="E12" s="20">
        <v>91669</v>
      </c>
      <c r="F12" s="21">
        <v>2236.2653</v>
      </c>
      <c r="G12" s="22">
        <v>3.1399999999999997E-2</v>
      </c>
      <c r="H12" s="40"/>
      <c r="I12" s="24"/>
      <c r="J12" s="5"/>
    </row>
    <row r="13" spans="1:10" ht="12.95" customHeight="1">
      <c r="A13" s="18" t="s">
        <v>268</v>
      </c>
      <c r="B13" s="19" t="s">
        <v>269</v>
      </c>
      <c r="C13" s="15" t="s">
        <v>270</v>
      </c>
      <c r="D13" s="15" t="s">
        <v>271</v>
      </c>
      <c r="E13" s="20">
        <v>219756</v>
      </c>
      <c r="F13" s="21">
        <v>2091.8573999999999</v>
      </c>
      <c r="G13" s="22">
        <v>2.9399999999999999E-2</v>
      </c>
      <c r="H13" s="40"/>
      <c r="I13" s="24"/>
      <c r="J13" s="5"/>
    </row>
    <row r="14" spans="1:10" ht="12.95" customHeight="1">
      <c r="A14" s="18" t="s">
        <v>829</v>
      </c>
      <c r="B14" s="19" t="s">
        <v>830</v>
      </c>
      <c r="C14" s="15" t="s">
        <v>831</v>
      </c>
      <c r="D14" s="15" t="s">
        <v>832</v>
      </c>
      <c r="E14" s="20">
        <v>58148</v>
      </c>
      <c r="F14" s="21">
        <v>2007.8504</v>
      </c>
      <c r="G14" s="22">
        <v>2.8199999999999999E-2</v>
      </c>
      <c r="H14" s="40"/>
      <c r="I14" s="24"/>
      <c r="J14" s="5"/>
    </row>
    <row r="15" spans="1:10" ht="12.95" customHeight="1">
      <c r="A15" s="18" t="s">
        <v>2454</v>
      </c>
      <c r="B15" s="19" t="s">
        <v>2455</v>
      </c>
      <c r="C15" s="15" t="s">
        <v>2456</v>
      </c>
      <c r="D15" s="15" t="s">
        <v>295</v>
      </c>
      <c r="E15" s="20">
        <v>99946</v>
      </c>
      <c r="F15" s="21">
        <v>1911.4173000000001</v>
      </c>
      <c r="G15" s="22">
        <v>2.69E-2</v>
      </c>
      <c r="H15" s="40"/>
      <c r="I15" s="24"/>
      <c r="J15" s="5"/>
    </row>
    <row r="16" spans="1:10" ht="12.95" customHeight="1">
      <c r="A16" s="18" t="s">
        <v>891</v>
      </c>
      <c r="B16" s="19" t="s">
        <v>892</v>
      </c>
      <c r="C16" s="15" t="s">
        <v>893</v>
      </c>
      <c r="D16" s="15" t="s">
        <v>255</v>
      </c>
      <c r="E16" s="20">
        <v>61661</v>
      </c>
      <c r="F16" s="21">
        <v>1893.5785000000001</v>
      </c>
      <c r="G16" s="22">
        <v>2.6599999999999999E-2</v>
      </c>
      <c r="H16" s="40"/>
      <c r="I16" s="24"/>
      <c r="J16" s="5"/>
    </row>
    <row r="17" spans="1:10" ht="12.95" customHeight="1">
      <c r="A17" s="18" t="s">
        <v>848</v>
      </c>
      <c r="B17" s="19" t="s">
        <v>849</v>
      </c>
      <c r="C17" s="15" t="s">
        <v>850</v>
      </c>
      <c r="D17" s="15" t="s">
        <v>255</v>
      </c>
      <c r="E17" s="20">
        <v>148431</v>
      </c>
      <c r="F17" s="21">
        <v>1807.2216000000001</v>
      </c>
      <c r="G17" s="22">
        <v>2.5399999999999999E-2</v>
      </c>
      <c r="H17" s="40"/>
      <c r="I17" s="24"/>
      <c r="J17" s="5"/>
    </row>
    <row r="18" spans="1:10" ht="12.95" customHeight="1">
      <c r="A18" s="18" t="s">
        <v>285</v>
      </c>
      <c r="B18" s="19" t="s">
        <v>286</v>
      </c>
      <c r="C18" s="15" t="s">
        <v>287</v>
      </c>
      <c r="D18" s="15" t="s">
        <v>263</v>
      </c>
      <c r="E18" s="20">
        <v>120000</v>
      </c>
      <c r="F18" s="21">
        <v>1722.54</v>
      </c>
      <c r="G18" s="22">
        <v>2.4199999999999999E-2</v>
      </c>
      <c r="H18" s="40"/>
      <c r="I18" s="24"/>
      <c r="J18" s="5"/>
    </row>
    <row r="19" spans="1:10" ht="12.95" customHeight="1">
      <c r="A19" s="18" t="s">
        <v>752</v>
      </c>
      <c r="B19" s="19" t="s">
        <v>753</v>
      </c>
      <c r="C19" s="15" t="s">
        <v>754</v>
      </c>
      <c r="D19" s="15" t="s">
        <v>755</v>
      </c>
      <c r="E19" s="20">
        <v>6321</v>
      </c>
      <c r="F19" s="21">
        <v>1422.6611</v>
      </c>
      <c r="G19" s="22">
        <v>0.02</v>
      </c>
      <c r="H19" s="40"/>
      <c r="I19" s="24"/>
      <c r="J19" s="5"/>
    </row>
    <row r="20" spans="1:10" ht="12.95" customHeight="1">
      <c r="A20" s="18" t="s">
        <v>3547</v>
      </c>
      <c r="B20" s="19" t="s">
        <v>3548</v>
      </c>
      <c r="C20" s="15" t="s">
        <v>3549</v>
      </c>
      <c r="D20" s="15" t="s">
        <v>324</v>
      </c>
      <c r="E20" s="20">
        <v>449451</v>
      </c>
      <c r="F20" s="21">
        <v>1381.1629</v>
      </c>
      <c r="G20" s="22">
        <v>1.9400000000000001E-2</v>
      </c>
      <c r="H20" s="40"/>
      <c r="I20" s="24"/>
      <c r="J20" s="5"/>
    </row>
    <row r="21" spans="1:10" ht="12.95" customHeight="1">
      <c r="A21" s="18" t="s">
        <v>248</v>
      </c>
      <c r="B21" s="19" t="s">
        <v>249</v>
      </c>
      <c r="C21" s="15" t="s">
        <v>250</v>
      </c>
      <c r="D21" s="15" t="s">
        <v>251</v>
      </c>
      <c r="E21" s="20">
        <v>55000</v>
      </c>
      <c r="F21" s="21">
        <v>1289.75</v>
      </c>
      <c r="G21" s="22">
        <v>1.8100000000000002E-2</v>
      </c>
      <c r="H21" s="40"/>
      <c r="I21" s="24"/>
      <c r="J21" s="5"/>
    </row>
    <row r="22" spans="1:10" ht="12.95" customHeight="1">
      <c r="A22" s="18" t="s">
        <v>809</v>
      </c>
      <c r="B22" s="19" t="s">
        <v>810</v>
      </c>
      <c r="C22" s="15" t="s">
        <v>811</v>
      </c>
      <c r="D22" s="15" t="s">
        <v>403</v>
      </c>
      <c r="E22" s="20">
        <v>30544</v>
      </c>
      <c r="F22" s="21">
        <v>1272.2492</v>
      </c>
      <c r="G22" s="22">
        <v>1.7899999999999999E-2</v>
      </c>
      <c r="H22" s="40"/>
      <c r="I22" s="24"/>
      <c r="J22" s="5"/>
    </row>
    <row r="23" spans="1:10" ht="12.95" customHeight="1">
      <c r="A23" s="18" t="s">
        <v>335</v>
      </c>
      <c r="B23" s="19" t="s">
        <v>336</v>
      </c>
      <c r="C23" s="15" t="s">
        <v>337</v>
      </c>
      <c r="D23" s="15" t="s">
        <v>263</v>
      </c>
      <c r="E23" s="20">
        <v>100000</v>
      </c>
      <c r="F23" s="21">
        <v>1222.8</v>
      </c>
      <c r="G23" s="22">
        <v>1.72E-2</v>
      </c>
      <c r="H23" s="40"/>
      <c r="I23" s="24"/>
      <c r="J23" s="5"/>
    </row>
    <row r="24" spans="1:10" ht="12.95" customHeight="1">
      <c r="A24" s="18" t="s">
        <v>311</v>
      </c>
      <c r="B24" s="19" t="s">
        <v>312</v>
      </c>
      <c r="C24" s="15" t="s">
        <v>313</v>
      </c>
      <c r="D24" s="15" t="s">
        <v>314</v>
      </c>
      <c r="E24" s="20">
        <v>25000</v>
      </c>
      <c r="F24" s="21">
        <v>1205</v>
      </c>
      <c r="G24" s="22">
        <v>1.6899999999999998E-2</v>
      </c>
      <c r="H24" s="40"/>
      <c r="I24" s="24"/>
      <c r="J24" s="5"/>
    </row>
    <row r="25" spans="1:10" ht="12.95" customHeight="1">
      <c r="A25" s="18" t="s">
        <v>278</v>
      </c>
      <c r="B25" s="19" t="s">
        <v>279</v>
      </c>
      <c r="C25" s="15" t="s">
        <v>280</v>
      </c>
      <c r="D25" s="15" t="s">
        <v>281</v>
      </c>
      <c r="E25" s="20">
        <v>186769</v>
      </c>
      <c r="F25" s="21">
        <v>1177.0182</v>
      </c>
      <c r="G25" s="22">
        <v>1.6500000000000001E-2</v>
      </c>
      <c r="H25" s="40"/>
      <c r="I25" s="24"/>
      <c r="J25" s="5"/>
    </row>
    <row r="26" spans="1:10" ht="12.95" customHeight="1">
      <c r="A26" s="18" t="s">
        <v>719</v>
      </c>
      <c r="B26" s="19" t="s">
        <v>720</v>
      </c>
      <c r="C26" s="15" t="s">
        <v>721</v>
      </c>
      <c r="D26" s="15" t="s">
        <v>722</v>
      </c>
      <c r="E26" s="20">
        <v>36291</v>
      </c>
      <c r="F26" s="21">
        <v>1097.2764999999999</v>
      </c>
      <c r="G26" s="22">
        <v>1.54E-2</v>
      </c>
      <c r="H26" s="40"/>
      <c r="I26" s="24"/>
      <c r="J26" s="5"/>
    </row>
    <row r="27" spans="1:10" ht="12.95" customHeight="1">
      <c r="A27" s="18" t="s">
        <v>866</v>
      </c>
      <c r="B27" s="19" t="s">
        <v>867</v>
      </c>
      <c r="C27" s="15" t="s">
        <v>868</v>
      </c>
      <c r="D27" s="15" t="s">
        <v>403</v>
      </c>
      <c r="E27" s="20">
        <v>976034</v>
      </c>
      <c r="F27" s="21">
        <v>990.67449999999997</v>
      </c>
      <c r="G27" s="22">
        <v>1.3899999999999999E-2</v>
      </c>
      <c r="H27" s="40"/>
      <c r="I27" s="24"/>
      <c r="J27" s="5"/>
    </row>
    <row r="28" spans="1:10" ht="12.95" customHeight="1">
      <c r="A28" s="18" t="s">
        <v>1841</v>
      </c>
      <c r="B28" s="19" t="s">
        <v>1842</v>
      </c>
      <c r="C28" s="15" t="s">
        <v>1843</v>
      </c>
      <c r="D28" s="15" t="s">
        <v>295</v>
      </c>
      <c r="E28" s="20">
        <v>16777</v>
      </c>
      <c r="F28" s="21">
        <v>896.40350000000001</v>
      </c>
      <c r="G28" s="22">
        <v>1.26E-2</v>
      </c>
      <c r="H28" s="40"/>
      <c r="I28" s="24"/>
      <c r="J28" s="5"/>
    </row>
    <row r="29" spans="1:10" ht="12.95" customHeight="1">
      <c r="A29" s="18" t="s">
        <v>690</v>
      </c>
      <c r="B29" s="19" t="s">
        <v>691</v>
      </c>
      <c r="C29" s="15" t="s">
        <v>692</v>
      </c>
      <c r="D29" s="15" t="s">
        <v>271</v>
      </c>
      <c r="E29" s="20">
        <v>51048</v>
      </c>
      <c r="F29" s="21">
        <v>886.04010000000005</v>
      </c>
      <c r="G29" s="22">
        <v>1.2500000000000001E-2</v>
      </c>
      <c r="H29" s="40"/>
      <c r="I29" s="24"/>
      <c r="J29" s="5"/>
    </row>
    <row r="30" spans="1:10" ht="12.95" customHeight="1">
      <c r="A30" s="18" t="s">
        <v>733</v>
      </c>
      <c r="B30" s="19" t="s">
        <v>734</v>
      </c>
      <c r="C30" s="15" t="s">
        <v>735</v>
      </c>
      <c r="D30" s="15" t="s">
        <v>281</v>
      </c>
      <c r="E30" s="20">
        <v>7831</v>
      </c>
      <c r="F30" s="21">
        <v>830.91610000000003</v>
      </c>
      <c r="G30" s="22">
        <v>1.17E-2</v>
      </c>
      <c r="H30" s="40"/>
      <c r="I30" s="24"/>
      <c r="J30" s="5"/>
    </row>
    <row r="31" spans="1:10" ht="12.95" customHeight="1">
      <c r="A31" s="18" t="s">
        <v>2173</v>
      </c>
      <c r="B31" s="19" t="s">
        <v>2174</v>
      </c>
      <c r="C31" s="15" t="s">
        <v>2175</v>
      </c>
      <c r="D31" s="15" t="s">
        <v>295</v>
      </c>
      <c r="E31" s="20">
        <v>57960</v>
      </c>
      <c r="F31" s="21">
        <v>811.41099999999994</v>
      </c>
      <c r="G31" s="22">
        <v>1.14E-2</v>
      </c>
      <c r="H31" s="40"/>
      <c r="I31" s="24"/>
      <c r="J31" s="5"/>
    </row>
    <row r="32" spans="1:10" ht="12.95" customHeight="1">
      <c r="A32" s="18" t="s">
        <v>1581</v>
      </c>
      <c r="B32" s="19" t="s">
        <v>1582</v>
      </c>
      <c r="C32" s="15" t="s">
        <v>1583</v>
      </c>
      <c r="D32" s="15" t="s">
        <v>281</v>
      </c>
      <c r="E32" s="20">
        <v>52562</v>
      </c>
      <c r="F32" s="21">
        <v>799.88850000000002</v>
      </c>
      <c r="G32" s="22">
        <v>1.12E-2</v>
      </c>
      <c r="H32" s="40"/>
      <c r="I32" s="24"/>
      <c r="J32" s="5"/>
    </row>
    <row r="33" spans="1:10" ht="12.95" customHeight="1">
      <c r="A33" s="18" t="s">
        <v>2404</v>
      </c>
      <c r="B33" s="19" t="s">
        <v>2405</v>
      </c>
      <c r="C33" s="15" t="s">
        <v>2406</v>
      </c>
      <c r="D33" s="15" t="s">
        <v>314</v>
      </c>
      <c r="E33" s="20">
        <v>13000</v>
      </c>
      <c r="F33" s="21">
        <v>773.99400000000003</v>
      </c>
      <c r="G33" s="22">
        <v>1.09E-2</v>
      </c>
      <c r="H33" s="40"/>
      <c r="I33" s="24"/>
      <c r="J33" s="5"/>
    </row>
    <row r="34" spans="1:10" ht="12.95" customHeight="1">
      <c r="A34" s="18" t="s">
        <v>1724</v>
      </c>
      <c r="B34" s="19" t="s">
        <v>1725</v>
      </c>
      <c r="C34" s="15" t="s">
        <v>1726</v>
      </c>
      <c r="D34" s="15" t="s">
        <v>263</v>
      </c>
      <c r="E34" s="20">
        <v>160000</v>
      </c>
      <c r="F34" s="21">
        <v>773.36</v>
      </c>
      <c r="G34" s="22">
        <v>1.09E-2</v>
      </c>
      <c r="H34" s="40"/>
      <c r="I34" s="24"/>
      <c r="J34" s="5"/>
    </row>
    <row r="35" spans="1:10" ht="12.95" customHeight="1">
      <c r="A35" s="18" t="s">
        <v>338</v>
      </c>
      <c r="B35" s="19" t="s">
        <v>339</v>
      </c>
      <c r="C35" s="15" t="s">
        <v>340</v>
      </c>
      <c r="D35" s="15" t="s">
        <v>334</v>
      </c>
      <c r="E35" s="20">
        <v>140000</v>
      </c>
      <c r="F35" s="21">
        <v>743.26</v>
      </c>
      <c r="G35" s="22">
        <v>1.04E-2</v>
      </c>
      <c r="H35" s="40"/>
      <c r="I35" s="24"/>
      <c r="J35" s="5"/>
    </row>
    <row r="36" spans="1:10" ht="12.95" customHeight="1">
      <c r="A36" s="18" t="s">
        <v>723</v>
      </c>
      <c r="B36" s="19" t="s">
        <v>724</v>
      </c>
      <c r="C36" s="15" t="s">
        <v>725</v>
      </c>
      <c r="D36" s="15" t="s">
        <v>726</v>
      </c>
      <c r="E36" s="20">
        <v>80000</v>
      </c>
      <c r="F36" s="21">
        <v>741.12</v>
      </c>
      <c r="G36" s="22">
        <v>1.04E-2</v>
      </c>
      <c r="H36" s="40"/>
      <c r="I36" s="24"/>
      <c r="J36" s="5"/>
    </row>
    <row r="37" spans="1:10" ht="12.95" customHeight="1">
      <c r="A37" s="18" t="s">
        <v>887</v>
      </c>
      <c r="B37" s="19" t="s">
        <v>888</v>
      </c>
      <c r="C37" s="15" t="s">
        <v>889</v>
      </c>
      <c r="D37" s="15" t="s">
        <v>890</v>
      </c>
      <c r="E37" s="20">
        <v>126952</v>
      </c>
      <c r="F37" s="21">
        <v>718.80219999999997</v>
      </c>
      <c r="G37" s="22">
        <v>1.01E-2</v>
      </c>
      <c r="H37" s="40"/>
      <c r="I37" s="24"/>
      <c r="J37" s="5"/>
    </row>
    <row r="38" spans="1:10" ht="12.95" customHeight="1">
      <c r="A38" s="18" t="s">
        <v>878</v>
      </c>
      <c r="B38" s="19" t="s">
        <v>879</v>
      </c>
      <c r="C38" s="15" t="s">
        <v>880</v>
      </c>
      <c r="D38" s="15" t="s">
        <v>255</v>
      </c>
      <c r="E38" s="20">
        <v>92928</v>
      </c>
      <c r="F38" s="21">
        <v>710.7133</v>
      </c>
      <c r="G38" s="22">
        <v>0.01</v>
      </c>
      <c r="H38" s="40"/>
      <c r="I38" s="24"/>
      <c r="J38" s="5"/>
    </row>
    <row r="39" spans="1:10" ht="12.95" customHeight="1">
      <c r="A39" s="18" t="s">
        <v>742</v>
      </c>
      <c r="B39" s="19" t="s">
        <v>743</v>
      </c>
      <c r="C39" s="15" t="s">
        <v>744</v>
      </c>
      <c r="D39" s="15" t="s">
        <v>745</v>
      </c>
      <c r="E39" s="20">
        <v>60000</v>
      </c>
      <c r="F39" s="21">
        <v>695.19</v>
      </c>
      <c r="G39" s="22">
        <v>9.7999999999999997E-3</v>
      </c>
      <c r="H39" s="40"/>
      <c r="I39" s="24"/>
      <c r="J39" s="5"/>
    </row>
    <row r="40" spans="1:10" ht="12.95" customHeight="1">
      <c r="A40" s="18" t="s">
        <v>730</v>
      </c>
      <c r="B40" s="19" t="s">
        <v>731</v>
      </c>
      <c r="C40" s="15" t="s">
        <v>732</v>
      </c>
      <c r="D40" s="15" t="s">
        <v>281</v>
      </c>
      <c r="E40" s="20">
        <v>44641</v>
      </c>
      <c r="F40" s="21">
        <v>693.83270000000005</v>
      </c>
      <c r="G40" s="22">
        <v>9.7999999999999997E-3</v>
      </c>
      <c r="H40" s="40"/>
      <c r="I40" s="24"/>
      <c r="J40" s="5"/>
    </row>
    <row r="41" spans="1:10" ht="12.95" customHeight="1">
      <c r="A41" s="18" t="s">
        <v>385</v>
      </c>
      <c r="B41" s="19" t="s">
        <v>386</v>
      </c>
      <c r="C41" s="15" t="s">
        <v>387</v>
      </c>
      <c r="D41" s="15" t="s">
        <v>255</v>
      </c>
      <c r="E41" s="20">
        <v>230076</v>
      </c>
      <c r="F41" s="21">
        <v>693.33399999999995</v>
      </c>
      <c r="G41" s="22">
        <v>9.7000000000000003E-3</v>
      </c>
      <c r="H41" s="40"/>
      <c r="I41" s="24"/>
      <c r="J41" s="5"/>
    </row>
    <row r="42" spans="1:10" ht="12.95" customHeight="1">
      <c r="A42" s="18" t="s">
        <v>325</v>
      </c>
      <c r="B42" s="19" t="s">
        <v>326</v>
      </c>
      <c r="C42" s="15" t="s">
        <v>327</v>
      </c>
      <c r="D42" s="15" t="s">
        <v>306</v>
      </c>
      <c r="E42" s="20">
        <v>500000</v>
      </c>
      <c r="F42" s="21">
        <v>691.5</v>
      </c>
      <c r="G42" s="22">
        <v>9.7000000000000003E-3</v>
      </c>
      <c r="H42" s="40"/>
      <c r="I42" s="24"/>
      <c r="J42" s="5"/>
    </row>
    <row r="43" spans="1:10" ht="12.95" customHeight="1">
      <c r="A43" s="18" t="s">
        <v>328</v>
      </c>
      <c r="B43" s="19" t="s">
        <v>329</v>
      </c>
      <c r="C43" s="15" t="s">
        <v>330</v>
      </c>
      <c r="D43" s="15" t="s">
        <v>259</v>
      </c>
      <c r="E43" s="20">
        <v>20000</v>
      </c>
      <c r="F43" s="21">
        <v>662.98</v>
      </c>
      <c r="G43" s="22">
        <v>9.2999999999999992E-3</v>
      </c>
      <c r="H43" s="40"/>
      <c r="I43" s="24"/>
      <c r="J43" s="5"/>
    </row>
    <row r="44" spans="1:10" ht="12.95" customHeight="1">
      <c r="A44" s="18" t="s">
        <v>775</v>
      </c>
      <c r="B44" s="19" t="s">
        <v>776</v>
      </c>
      <c r="C44" s="15" t="s">
        <v>777</v>
      </c>
      <c r="D44" s="15" t="s">
        <v>778</v>
      </c>
      <c r="E44" s="20">
        <v>12898</v>
      </c>
      <c r="F44" s="21">
        <v>662.66700000000003</v>
      </c>
      <c r="G44" s="22">
        <v>9.2999999999999992E-3</v>
      </c>
      <c r="H44" s="40"/>
      <c r="I44" s="24"/>
      <c r="J44" s="5"/>
    </row>
    <row r="45" spans="1:10" ht="12.95" customHeight="1">
      <c r="A45" s="18" t="s">
        <v>799</v>
      </c>
      <c r="B45" s="19" t="s">
        <v>800</v>
      </c>
      <c r="C45" s="15" t="s">
        <v>801</v>
      </c>
      <c r="D45" s="15" t="s">
        <v>291</v>
      </c>
      <c r="E45" s="20">
        <v>247184</v>
      </c>
      <c r="F45" s="21">
        <v>648.36360000000002</v>
      </c>
      <c r="G45" s="22">
        <v>9.1000000000000004E-3</v>
      </c>
      <c r="H45" s="40"/>
      <c r="I45" s="24"/>
      <c r="J45" s="5"/>
    </row>
    <row r="46" spans="1:10" ht="12.95" customHeight="1">
      <c r="A46" s="18" t="s">
        <v>1823</v>
      </c>
      <c r="B46" s="19" t="s">
        <v>1824</v>
      </c>
      <c r="C46" s="15" t="s">
        <v>1825</v>
      </c>
      <c r="D46" s="15" t="s">
        <v>295</v>
      </c>
      <c r="E46" s="20">
        <v>55513</v>
      </c>
      <c r="F46" s="21">
        <v>605.97990000000004</v>
      </c>
      <c r="G46" s="22">
        <v>8.5000000000000006E-3</v>
      </c>
      <c r="H46" s="40"/>
      <c r="I46" s="24"/>
      <c r="J46" s="5"/>
    </row>
    <row r="47" spans="1:10" ht="12.95" customHeight="1">
      <c r="A47" s="18" t="s">
        <v>1617</v>
      </c>
      <c r="B47" s="19" t="s">
        <v>1618</v>
      </c>
      <c r="C47" s="15" t="s">
        <v>1619</v>
      </c>
      <c r="D47" s="15" t="s">
        <v>745</v>
      </c>
      <c r="E47" s="20">
        <v>32135</v>
      </c>
      <c r="F47" s="21">
        <v>576.91970000000003</v>
      </c>
      <c r="G47" s="22">
        <v>8.0999999999999996E-3</v>
      </c>
      <c r="H47" s="40"/>
      <c r="I47" s="24"/>
      <c r="J47" s="5"/>
    </row>
    <row r="48" spans="1:10" ht="12.95" customHeight="1">
      <c r="A48" s="18" t="s">
        <v>2222</v>
      </c>
      <c r="B48" s="19" t="s">
        <v>2223</v>
      </c>
      <c r="C48" s="15" t="s">
        <v>2224</v>
      </c>
      <c r="D48" s="15" t="s">
        <v>306</v>
      </c>
      <c r="E48" s="20">
        <v>43666</v>
      </c>
      <c r="F48" s="21">
        <v>392.339</v>
      </c>
      <c r="G48" s="22">
        <v>5.4999999999999997E-3</v>
      </c>
      <c r="H48" s="40"/>
      <c r="I48" s="24"/>
      <c r="J48" s="5"/>
    </row>
    <row r="49" spans="1:10" ht="12.95" customHeight="1">
      <c r="A49" s="18" t="s">
        <v>3055</v>
      </c>
      <c r="B49" s="19" t="s">
        <v>3056</v>
      </c>
      <c r="C49" s="15" t="s">
        <v>3057</v>
      </c>
      <c r="D49" s="15" t="s">
        <v>808</v>
      </c>
      <c r="E49" s="20">
        <v>68172</v>
      </c>
      <c r="F49" s="21">
        <v>363.42489999999998</v>
      </c>
      <c r="G49" s="22">
        <v>5.1000000000000004E-3</v>
      </c>
      <c r="H49" s="40"/>
      <c r="I49" s="24"/>
      <c r="J49" s="5"/>
    </row>
    <row r="50" spans="1:10" ht="12.95" customHeight="1">
      <c r="A50" s="18" t="s">
        <v>2478</v>
      </c>
      <c r="B50" s="19" t="s">
        <v>2479</v>
      </c>
      <c r="C50" s="15" t="s">
        <v>2480</v>
      </c>
      <c r="D50" s="15" t="s">
        <v>259</v>
      </c>
      <c r="E50" s="20">
        <v>15802</v>
      </c>
      <c r="F50" s="21">
        <v>251.51249999999999</v>
      </c>
      <c r="G50" s="22">
        <v>3.5000000000000001E-3</v>
      </c>
      <c r="H50" s="40"/>
      <c r="I50" s="24"/>
      <c r="J50" s="5"/>
    </row>
    <row r="51" spans="1:10" ht="12.95" customHeight="1">
      <c r="A51" s="18" t="s">
        <v>359</v>
      </c>
      <c r="B51" s="19" t="s">
        <v>360</v>
      </c>
      <c r="C51" s="15" t="s">
        <v>361</v>
      </c>
      <c r="D51" s="15" t="s">
        <v>255</v>
      </c>
      <c r="E51" s="20">
        <v>25000</v>
      </c>
      <c r="F51" s="21">
        <v>57.8</v>
      </c>
      <c r="G51" s="22">
        <v>8.0000000000000004E-4</v>
      </c>
      <c r="H51" s="40"/>
      <c r="I51" s="24"/>
      <c r="J51" s="5"/>
    </row>
    <row r="52" spans="1:10" ht="12.95" customHeight="1">
      <c r="A52" s="18" t="s">
        <v>763</v>
      </c>
      <c r="B52" s="19" t="s">
        <v>764</v>
      </c>
      <c r="C52" s="15" t="s">
        <v>765</v>
      </c>
      <c r="D52" s="15" t="s">
        <v>281</v>
      </c>
      <c r="E52" s="20">
        <v>1130</v>
      </c>
      <c r="F52" s="21">
        <v>57.219799999999999</v>
      </c>
      <c r="G52" s="22">
        <v>8.0000000000000004E-4</v>
      </c>
      <c r="H52" s="40"/>
      <c r="I52" s="24"/>
      <c r="J52" s="5"/>
    </row>
    <row r="53" spans="1:10" ht="12.95" customHeight="1">
      <c r="A53" s="5"/>
      <c r="B53" s="14" t="s">
        <v>160</v>
      </c>
      <c r="C53" s="15"/>
      <c r="D53" s="15"/>
      <c r="E53" s="15"/>
      <c r="F53" s="25">
        <v>56140.706599999998</v>
      </c>
      <c r="G53" s="26">
        <v>0.7893</v>
      </c>
      <c r="H53" s="27"/>
      <c r="I53" s="28"/>
      <c r="J53" s="5"/>
    </row>
    <row r="54" spans="1:10" ht="12.95" customHeight="1">
      <c r="A54" s="5"/>
      <c r="B54" s="29" t="s">
        <v>408</v>
      </c>
      <c r="C54" s="2"/>
      <c r="D54" s="2"/>
      <c r="E54" s="2"/>
      <c r="F54" s="27" t="s">
        <v>162</v>
      </c>
      <c r="G54" s="27" t="s">
        <v>162</v>
      </c>
      <c r="H54" s="27"/>
      <c r="I54" s="28"/>
      <c r="J54" s="5"/>
    </row>
    <row r="55" spans="1:10" ht="12.95" customHeight="1">
      <c r="A55" s="5"/>
      <c r="B55" s="29" t="s">
        <v>160</v>
      </c>
      <c r="C55" s="2"/>
      <c r="D55" s="2"/>
      <c r="E55" s="2"/>
      <c r="F55" s="27" t="s">
        <v>162</v>
      </c>
      <c r="G55" s="27" t="s">
        <v>162</v>
      </c>
      <c r="H55" s="27"/>
      <c r="I55" s="28"/>
      <c r="J55" s="5"/>
    </row>
    <row r="56" spans="1:10" ht="12.95" customHeight="1">
      <c r="A56" s="5"/>
      <c r="B56" s="29" t="s">
        <v>163</v>
      </c>
      <c r="C56" s="30"/>
      <c r="D56" s="2"/>
      <c r="E56" s="30"/>
      <c r="F56" s="25">
        <v>56140.706599999998</v>
      </c>
      <c r="G56" s="26">
        <v>0.7893</v>
      </c>
      <c r="H56" s="27"/>
      <c r="I56" s="28"/>
      <c r="J56" s="5"/>
    </row>
    <row r="57" spans="1:10" ht="12.95" customHeight="1">
      <c r="A57" s="5"/>
      <c r="B57" s="14" t="s">
        <v>151</v>
      </c>
      <c r="C57" s="15"/>
      <c r="D57" s="15"/>
      <c r="E57" s="15"/>
      <c r="F57" s="15"/>
      <c r="G57" s="15"/>
      <c r="H57" s="16"/>
      <c r="I57" s="17"/>
      <c r="J57" s="5"/>
    </row>
    <row r="58" spans="1:10" ht="12.95" customHeight="1">
      <c r="A58" s="5"/>
      <c r="B58" s="14" t="s">
        <v>152</v>
      </c>
      <c r="C58" s="15"/>
      <c r="D58" s="15"/>
      <c r="E58" s="15"/>
      <c r="F58" s="5"/>
      <c r="G58" s="16"/>
      <c r="H58" s="16"/>
      <c r="I58" s="17"/>
      <c r="J58" s="5"/>
    </row>
    <row r="59" spans="1:10" ht="12.95" customHeight="1">
      <c r="A59" s="18" t="s">
        <v>974</v>
      </c>
      <c r="B59" s="19" t="s">
        <v>975</v>
      </c>
      <c r="C59" s="15" t="s">
        <v>976</v>
      </c>
      <c r="D59" s="15" t="s">
        <v>156</v>
      </c>
      <c r="E59" s="20">
        <v>3500000</v>
      </c>
      <c r="F59" s="21">
        <v>3568.6909999999998</v>
      </c>
      <c r="G59" s="22">
        <v>5.0200000000000002E-2</v>
      </c>
      <c r="H59" s="40"/>
      <c r="I59" s="24"/>
      <c r="J59" s="5"/>
    </row>
    <row r="60" spans="1:10" ht="12.95" customHeight="1">
      <c r="A60" s="18" t="s">
        <v>899</v>
      </c>
      <c r="B60" s="19" t="s">
        <v>900</v>
      </c>
      <c r="C60" s="15" t="s">
        <v>901</v>
      </c>
      <c r="D60" s="15" t="s">
        <v>156</v>
      </c>
      <c r="E60" s="20">
        <v>2500000</v>
      </c>
      <c r="F60" s="21">
        <v>2499.2575000000002</v>
      </c>
      <c r="G60" s="22">
        <v>3.5099999999999999E-2</v>
      </c>
      <c r="H60" s="23">
        <v>7.3948E-2</v>
      </c>
      <c r="I60" s="24"/>
      <c r="J60" s="5"/>
    </row>
    <row r="61" spans="1:10" ht="12.95" customHeight="1">
      <c r="A61" s="18" t="s">
        <v>1496</v>
      </c>
      <c r="B61" s="19" t="s">
        <v>1497</v>
      </c>
      <c r="C61" s="15" t="s">
        <v>1498</v>
      </c>
      <c r="D61" s="15" t="s">
        <v>179</v>
      </c>
      <c r="E61" s="20">
        <v>100</v>
      </c>
      <c r="F61" s="21">
        <v>1039.5519999999999</v>
      </c>
      <c r="G61" s="22">
        <v>1.46E-2</v>
      </c>
      <c r="H61" s="23">
        <v>7.5475E-2</v>
      </c>
      <c r="I61" s="24"/>
      <c r="J61" s="5"/>
    </row>
    <row r="62" spans="1:10" ht="12.95" customHeight="1">
      <c r="A62" s="18" t="s">
        <v>1655</v>
      </c>
      <c r="B62" s="19" t="s">
        <v>1656</v>
      </c>
      <c r="C62" s="15" t="s">
        <v>1657</v>
      </c>
      <c r="D62" s="15" t="s">
        <v>156</v>
      </c>
      <c r="E62" s="20">
        <v>1000000</v>
      </c>
      <c r="F62" s="21">
        <v>1000.775</v>
      </c>
      <c r="G62" s="22">
        <v>1.41E-2</v>
      </c>
      <c r="H62" s="23">
        <v>7.3776999999999995E-2</v>
      </c>
      <c r="I62" s="24"/>
      <c r="J62" s="5"/>
    </row>
    <row r="63" spans="1:10" ht="12.95" customHeight="1">
      <c r="A63" s="18" t="s">
        <v>1493</v>
      </c>
      <c r="B63" s="19" t="s">
        <v>1494</v>
      </c>
      <c r="C63" s="15" t="s">
        <v>1495</v>
      </c>
      <c r="D63" s="15" t="s">
        <v>179</v>
      </c>
      <c r="E63" s="20">
        <v>95</v>
      </c>
      <c r="F63" s="21">
        <v>999.63279999999997</v>
      </c>
      <c r="G63" s="22">
        <v>1.41E-2</v>
      </c>
      <c r="H63" s="23">
        <v>7.6399999999999996E-2</v>
      </c>
      <c r="I63" s="24"/>
      <c r="J63" s="5"/>
    </row>
    <row r="64" spans="1:10" ht="12.95" customHeight="1">
      <c r="A64" s="18" t="s">
        <v>927</v>
      </c>
      <c r="B64" s="19" t="s">
        <v>928</v>
      </c>
      <c r="C64" s="15" t="s">
        <v>929</v>
      </c>
      <c r="D64" s="15" t="s">
        <v>156</v>
      </c>
      <c r="E64" s="20">
        <v>1000000</v>
      </c>
      <c r="F64" s="21">
        <v>997.798</v>
      </c>
      <c r="G64" s="22">
        <v>1.4E-2</v>
      </c>
      <c r="H64" s="23">
        <v>7.3570999999999998E-2</v>
      </c>
      <c r="I64" s="24"/>
      <c r="J64" s="5"/>
    </row>
    <row r="65" spans="1:10" ht="12.95" customHeight="1">
      <c r="A65" s="18" t="s">
        <v>923</v>
      </c>
      <c r="B65" s="19" t="s">
        <v>924</v>
      </c>
      <c r="C65" s="15" t="s">
        <v>925</v>
      </c>
      <c r="D65" s="15" t="s">
        <v>156</v>
      </c>
      <c r="E65" s="20">
        <v>900000</v>
      </c>
      <c r="F65" s="21">
        <v>918.59400000000005</v>
      </c>
      <c r="G65" s="22">
        <v>1.29E-2</v>
      </c>
      <c r="H65" s="23">
        <v>7.3994000000000004E-2</v>
      </c>
      <c r="I65" s="24"/>
      <c r="J65" s="5"/>
    </row>
    <row r="66" spans="1:10" ht="12.95" customHeight="1">
      <c r="A66" s="18" t="s">
        <v>3550</v>
      </c>
      <c r="B66" s="19" t="s">
        <v>3551</v>
      </c>
      <c r="C66" s="15" t="s">
        <v>3552</v>
      </c>
      <c r="D66" s="15" t="s">
        <v>1034</v>
      </c>
      <c r="E66" s="20">
        <v>75</v>
      </c>
      <c r="F66" s="21">
        <v>747.59029999999996</v>
      </c>
      <c r="G66" s="22">
        <v>1.0500000000000001E-2</v>
      </c>
      <c r="H66" s="23">
        <v>7.8760999999999998E-2</v>
      </c>
      <c r="I66" s="41">
        <v>7.8946965999999993E-2</v>
      </c>
      <c r="J66" s="5"/>
    </row>
    <row r="67" spans="1:10" ht="12.95" customHeight="1">
      <c r="A67" s="18" t="s">
        <v>3553</v>
      </c>
      <c r="B67" s="19" t="s">
        <v>3554</v>
      </c>
      <c r="C67" s="15" t="s">
        <v>3555</v>
      </c>
      <c r="D67" s="15" t="s">
        <v>1034</v>
      </c>
      <c r="E67" s="20">
        <v>50</v>
      </c>
      <c r="F67" s="21">
        <v>493.738</v>
      </c>
      <c r="G67" s="22">
        <v>6.8999999999999999E-3</v>
      </c>
      <c r="H67" s="23">
        <v>7.9232999999999998E-2</v>
      </c>
      <c r="I67" s="41">
        <v>8.0197737000000005E-2</v>
      </c>
      <c r="J67" s="5"/>
    </row>
    <row r="68" spans="1:10" ht="12.95" customHeight="1">
      <c r="A68" s="18" t="s">
        <v>514</v>
      </c>
      <c r="B68" s="19" t="s">
        <v>515</v>
      </c>
      <c r="C68" s="15" t="s">
        <v>516</v>
      </c>
      <c r="D68" s="15" t="s">
        <v>156</v>
      </c>
      <c r="E68" s="20">
        <v>300000</v>
      </c>
      <c r="F68" s="21">
        <v>302.08980000000003</v>
      </c>
      <c r="G68" s="22">
        <v>4.1999999999999997E-3</v>
      </c>
      <c r="H68" s="23">
        <v>7.3759000000000005E-2</v>
      </c>
      <c r="I68" s="41"/>
      <c r="J68" s="5"/>
    </row>
    <row r="69" spans="1:10" ht="12.95" customHeight="1">
      <c r="A69" s="18" t="s">
        <v>914</v>
      </c>
      <c r="B69" s="19" t="s">
        <v>915</v>
      </c>
      <c r="C69" s="15" t="s">
        <v>916</v>
      </c>
      <c r="D69" s="15" t="s">
        <v>156</v>
      </c>
      <c r="E69" s="20">
        <v>191800</v>
      </c>
      <c r="F69" s="21">
        <v>187.71729999999999</v>
      </c>
      <c r="G69" s="22">
        <v>2.5999999999999999E-3</v>
      </c>
      <c r="H69" s="23">
        <v>7.5534000000000004E-2</v>
      </c>
      <c r="I69" s="41"/>
      <c r="J69" s="5"/>
    </row>
    <row r="70" spans="1:10" ht="12.95" customHeight="1">
      <c r="A70" s="5"/>
      <c r="B70" s="14" t="s">
        <v>160</v>
      </c>
      <c r="C70" s="15"/>
      <c r="D70" s="15"/>
      <c r="E70" s="15"/>
      <c r="F70" s="25">
        <v>12755.435600000001</v>
      </c>
      <c r="G70" s="26">
        <v>0.17929999999999999</v>
      </c>
      <c r="H70" s="27"/>
      <c r="I70" s="28"/>
      <c r="J70" s="5"/>
    </row>
    <row r="71" spans="1:10" ht="12.95" customHeight="1">
      <c r="A71" s="5"/>
      <c r="B71" s="29" t="s">
        <v>161</v>
      </c>
      <c r="C71" s="2"/>
      <c r="D71" s="2"/>
      <c r="E71" s="2"/>
      <c r="F71" s="27" t="s">
        <v>162</v>
      </c>
      <c r="G71" s="27" t="s">
        <v>162</v>
      </c>
      <c r="H71" s="27"/>
      <c r="I71" s="28"/>
      <c r="J71" s="5"/>
    </row>
    <row r="72" spans="1:10" ht="12.95" customHeight="1">
      <c r="A72" s="5"/>
      <c r="B72" s="29" t="s">
        <v>160</v>
      </c>
      <c r="C72" s="2"/>
      <c r="D72" s="2"/>
      <c r="E72" s="2"/>
      <c r="F72" s="27" t="s">
        <v>162</v>
      </c>
      <c r="G72" s="27" t="s">
        <v>162</v>
      </c>
      <c r="H72" s="27"/>
      <c r="I72" s="28"/>
      <c r="J72" s="5"/>
    </row>
    <row r="73" spans="1:10" ht="12.95" customHeight="1">
      <c r="A73" s="5"/>
      <c r="B73" s="29" t="s">
        <v>163</v>
      </c>
      <c r="C73" s="30"/>
      <c r="D73" s="2"/>
      <c r="E73" s="30"/>
      <c r="F73" s="25">
        <v>12755.435600000001</v>
      </c>
      <c r="G73" s="26">
        <v>0.17929999999999999</v>
      </c>
      <c r="H73" s="27"/>
      <c r="I73" s="28"/>
      <c r="J73" s="5"/>
    </row>
    <row r="74" spans="1:10" ht="12.95" customHeight="1">
      <c r="A74" s="5"/>
      <c r="B74" s="14" t="s">
        <v>208</v>
      </c>
      <c r="C74" s="15"/>
      <c r="D74" s="15"/>
      <c r="E74" s="15"/>
      <c r="F74" s="15"/>
      <c r="G74" s="15"/>
      <c r="H74" s="16"/>
      <c r="I74" s="17"/>
      <c r="J74" s="5"/>
    </row>
    <row r="75" spans="1:10" ht="12.95" customHeight="1">
      <c r="A75" s="5"/>
      <c r="B75" s="14" t="s">
        <v>213</v>
      </c>
      <c r="C75" s="15"/>
      <c r="D75" s="15"/>
      <c r="E75" s="15"/>
      <c r="F75" s="5"/>
      <c r="G75" s="16"/>
      <c r="H75" s="16"/>
      <c r="I75" s="17"/>
      <c r="J75" s="5"/>
    </row>
    <row r="76" spans="1:10" ht="12.95" customHeight="1">
      <c r="A76" s="18" t="s">
        <v>3556</v>
      </c>
      <c r="B76" s="19" t="s">
        <v>3557</v>
      </c>
      <c r="C76" s="15" t="s">
        <v>3558</v>
      </c>
      <c r="D76" s="15"/>
      <c r="E76" s="20">
        <v>44997.750099999997</v>
      </c>
      <c r="F76" s="21">
        <v>477.07920000000001</v>
      </c>
      <c r="G76" s="22">
        <v>6.7000000000000002E-3</v>
      </c>
      <c r="H76" s="23"/>
      <c r="I76" s="41"/>
      <c r="J76" s="5"/>
    </row>
    <row r="77" spans="1:10" ht="12.95" customHeight="1">
      <c r="A77" s="5"/>
      <c r="B77" s="14" t="s">
        <v>160</v>
      </c>
      <c r="C77" s="15"/>
      <c r="D77" s="15"/>
      <c r="E77" s="15"/>
      <c r="F77" s="25">
        <v>477.07920000000001</v>
      </c>
      <c r="G77" s="26">
        <v>6.7000000000000002E-3</v>
      </c>
      <c r="H77" s="27"/>
      <c r="I77" s="28"/>
      <c r="J77" s="5"/>
    </row>
    <row r="78" spans="1:10" ht="12.95" customHeight="1">
      <c r="A78" s="5"/>
      <c r="B78" s="29" t="s">
        <v>163</v>
      </c>
      <c r="C78" s="30"/>
      <c r="D78" s="2"/>
      <c r="E78" s="30"/>
      <c r="F78" s="25">
        <v>477.07920000000001</v>
      </c>
      <c r="G78" s="26">
        <v>6.7000000000000002E-3</v>
      </c>
      <c r="H78" s="27"/>
      <c r="I78" s="28"/>
      <c r="J78" s="5"/>
    </row>
    <row r="79" spans="1:10" ht="12.95" customHeight="1">
      <c r="A79" s="5"/>
      <c r="B79" s="14" t="s">
        <v>164</v>
      </c>
      <c r="C79" s="15"/>
      <c r="D79" s="15"/>
      <c r="E79" s="15"/>
      <c r="F79" s="15"/>
      <c r="G79" s="15"/>
      <c r="H79" s="16"/>
      <c r="I79" s="17"/>
      <c r="J79" s="5"/>
    </row>
    <row r="80" spans="1:10" ht="12.95" customHeight="1">
      <c r="A80" s="18" t="s">
        <v>165</v>
      </c>
      <c r="B80" s="19" t="s">
        <v>166</v>
      </c>
      <c r="C80" s="15"/>
      <c r="D80" s="15"/>
      <c r="E80" s="20"/>
      <c r="F80" s="21">
        <v>918.99760000000003</v>
      </c>
      <c r="G80" s="22">
        <v>1.29E-2</v>
      </c>
      <c r="H80" s="23">
        <v>6.7996838819829042E-2</v>
      </c>
      <c r="I80" s="41"/>
      <c r="J80" s="5"/>
    </row>
    <row r="81" spans="1:10" ht="12.95" customHeight="1">
      <c r="A81" s="5"/>
      <c r="B81" s="14" t="s">
        <v>160</v>
      </c>
      <c r="C81" s="15"/>
      <c r="D81" s="15"/>
      <c r="E81" s="15"/>
      <c r="F81" s="25">
        <v>918.99760000000003</v>
      </c>
      <c r="G81" s="26">
        <v>1.29E-2</v>
      </c>
      <c r="H81" s="27"/>
      <c r="I81" s="28"/>
      <c r="J81" s="5"/>
    </row>
    <row r="82" spans="1:10" ht="12.95" customHeight="1">
      <c r="A82" s="5"/>
      <c r="B82" s="29" t="s">
        <v>163</v>
      </c>
      <c r="C82" s="30"/>
      <c r="D82" s="2"/>
      <c r="E82" s="30"/>
      <c r="F82" s="25">
        <v>918.99760000000003</v>
      </c>
      <c r="G82" s="26">
        <v>1.29E-2</v>
      </c>
      <c r="H82" s="27"/>
      <c r="I82" s="28"/>
      <c r="J82" s="5"/>
    </row>
    <row r="83" spans="1:10" ht="12.95" customHeight="1">
      <c r="A83" s="5"/>
      <c r="B83" s="29" t="s">
        <v>167</v>
      </c>
      <c r="C83" s="15"/>
      <c r="D83" s="2"/>
      <c r="E83" s="15"/>
      <c r="F83" s="31">
        <v>835.43100000000004</v>
      </c>
      <c r="G83" s="26">
        <v>1.18E-2</v>
      </c>
      <c r="H83" s="27"/>
      <c r="I83" s="28"/>
      <c r="J83" s="5"/>
    </row>
    <row r="84" spans="1:10" ht="12.95" customHeight="1">
      <c r="A84" s="5"/>
      <c r="B84" s="32" t="s">
        <v>168</v>
      </c>
      <c r="C84" s="33"/>
      <c r="D84" s="33"/>
      <c r="E84" s="33"/>
      <c r="F84" s="34">
        <v>71127.649999999994</v>
      </c>
      <c r="G84" s="35">
        <v>1</v>
      </c>
      <c r="H84" s="36"/>
      <c r="I84" s="37"/>
      <c r="J84" s="5"/>
    </row>
    <row r="85" spans="1:10" ht="12.95" customHeight="1">
      <c r="A85" s="5"/>
      <c r="B85" s="7"/>
      <c r="C85" s="5"/>
      <c r="D85" s="5"/>
      <c r="E85" s="5"/>
      <c r="F85" s="5"/>
      <c r="G85" s="5"/>
      <c r="H85" s="5"/>
      <c r="I85" s="5"/>
      <c r="J85" s="5"/>
    </row>
    <row r="86" spans="1:10" ht="12.95" customHeight="1">
      <c r="A86" s="5"/>
      <c r="B86" s="4" t="s">
        <v>169</v>
      </c>
      <c r="C86" s="5"/>
      <c r="D86" s="5"/>
      <c r="E86" s="5"/>
      <c r="F86" s="5"/>
      <c r="G86" s="5"/>
      <c r="H86" s="5"/>
      <c r="I86" s="5"/>
      <c r="J86" s="5"/>
    </row>
    <row r="87" spans="1:10" ht="12.95" customHeight="1">
      <c r="A87" s="5"/>
      <c r="B87" s="4" t="s">
        <v>207</v>
      </c>
      <c r="C87" s="5"/>
      <c r="D87" s="5"/>
      <c r="E87" s="5"/>
      <c r="F87" s="5"/>
      <c r="G87" s="5"/>
      <c r="H87" s="5"/>
      <c r="I87" s="5"/>
      <c r="J87" s="5"/>
    </row>
    <row r="88" spans="1:10" ht="12.95" customHeight="1">
      <c r="A88" s="5"/>
      <c r="B88" s="4" t="s">
        <v>170</v>
      </c>
      <c r="C88" s="5"/>
      <c r="D88" s="5"/>
      <c r="E88" s="5"/>
      <c r="F88" s="5"/>
      <c r="G88" s="5"/>
      <c r="H88" s="5"/>
      <c r="I88" s="5"/>
      <c r="J88" s="5"/>
    </row>
    <row r="89" spans="1:10" ht="26.1" customHeight="1">
      <c r="A89" s="5"/>
      <c r="B89" s="86" t="s">
        <v>171</v>
      </c>
      <c r="C89" s="86"/>
      <c r="D89" s="86"/>
      <c r="E89" s="86"/>
      <c r="F89" s="86"/>
      <c r="G89" s="86"/>
      <c r="H89" s="86"/>
      <c r="I89" s="86"/>
      <c r="J89" s="5"/>
    </row>
    <row r="90" spans="1:10" ht="12.95" customHeight="1">
      <c r="A90" s="5"/>
      <c r="B90" s="86"/>
      <c r="C90" s="86"/>
      <c r="D90" s="86"/>
      <c r="E90" s="86"/>
      <c r="F90" s="86"/>
      <c r="G90" s="86"/>
      <c r="H90" s="86"/>
      <c r="I90" s="86"/>
      <c r="J90" s="5"/>
    </row>
    <row r="91" spans="1:10" ht="12.95" customHeight="1">
      <c r="A91" s="5"/>
      <c r="B91" s="86"/>
      <c r="C91" s="86"/>
      <c r="D91" s="86"/>
      <c r="E91" s="86"/>
      <c r="F91" s="86"/>
      <c r="G91" s="86"/>
      <c r="H91" s="86"/>
      <c r="I91" s="86"/>
      <c r="J91" s="5"/>
    </row>
    <row r="92" spans="1:10" ht="12.95" customHeight="1">
      <c r="A92" s="5"/>
      <c r="B92" s="5"/>
      <c r="C92" s="87" t="s">
        <v>4281</v>
      </c>
      <c r="D92" s="87"/>
      <c r="E92" s="87"/>
      <c r="F92" s="87"/>
      <c r="G92" s="5"/>
      <c r="H92" s="5"/>
      <c r="I92" s="5"/>
      <c r="J92" s="5"/>
    </row>
    <row r="93" spans="1:10" ht="12.95" customHeight="1">
      <c r="A93" s="5"/>
      <c r="B93" s="38" t="s">
        <v>173</v>
      </c>
      <c r="C93" s="87" t="s">
        <v>174</v>
      </c>
      <c r="D93" s="87"/>
      <c r="E93" s="87"/>
      <c r="F93" s="87"/>
      <c r="G93" s="5"/>
      <c r="H93" s="5"/>
      <c r="I93" s="5"/>
      <c r="J93" s="5"/>
    </row>
    <row r="94" spans="1:10" ht="120.95" customHeight="1">
      <c r="A94" s="5"/>
      <c r="B94" s="5"/>
      <c r="C94" s="85"/>
      <c r="D94" s="85"/>
      <c r="E94" s="5"/>
      <c r="F94" s="5"/>
      <c r="G94" s="5"/>
      <c r="H94" s="5"/>
      <c r="I94" s="5"/>
      <c r="J94" s="5"/>
    </row>
  </sheetData>
  <mergeCells count="6">
    <mergeCell ref="C94:D94"/>
    <mergeCell ref="B89:I89"/>
    <mergeCell ref="B90:I90"/>
    <mergeCell ref="B91:I91"/>
    <mergeCell ref="C92:F92"/>
    <mergeCell ref="C93:F93"/>
  </mergeCells>
  <hyperlinks>
    <hyperlink ref="A1" location="AxisRetirementSavingsFundAggressivePlan" display="AXISRAP" xr:uid="{00000000-0004-0000-3500-000000000000}"/>
    <hyperlink ref="B1" location="AxisRetirementSavingsFundAggressivePlan" display="Axis Retirement Savings Fund - Aggressive Plan" xr:uid="{00000000-0004-0000-3500-000001000000}"/>
  </hyperlinks>
  <pageMargins left="0" right="0" top="0" bottom="0" header="0" footer="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/>
  </sheetPr>
  <dimension ref="A1:J5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110</v>
      </c>
      <c r="B1" s="4" t="s">
        <v>111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733</v>
      </c>
      <c r="B7" s="19" t="s">
        <v>734</v>
      </c>
      <c r="C7" s="15" t="s">
        <v>735</v>
      </c>
      <c r="D7" s="15" t="s">
        <v>281</v>
      </c>
      <c r="E7" s="20">
        <v>3202</v>
      </c>
      <c r="F7" s="21">
        <v>339.75139999999999</v>
      </c>
      <c r="G7" s="22">
        <v>4.4699999999999997E-2</v>
      </c>
      <c r="H7" s="40"/>
      <c r="I7" s="24"/>
      <c r="J7" s="5"/>
    </row>
    <row r="8" spans="1:10" ht="12.95" customHeight="1">
      <c r="A8" s="18" t="s">
        <v>260</v>
      </c>
      <c r="B8" s="19" t="s">
        <v>261</v>
      </c>
      <c r="C8" s="15" t="s">
        <v>262</v>
      </c>
      <c r="D8" s="15" t="s">
        <v>263</v>
      </c>
      <c r="E8" s="20">
        <v>8000</v>
      </c>
      <c r="F8" s="21">
        <v>282.28800000000001</v>
      </c>
      <c r="G8" s="22">
        <v>3.7199999999999997E-2</v>
      </c>
      <c r="H8" s="40"/>
      <c r="I8" s="24"/>
      <c r="J8" s="5"/>
    </row>
    <row r="9" spans="1:10" ht="12.95" customHeight="1">
      <c r="A9" s="18" t="s">
        <v>763</v>
      </c>
      <c r="B9" s="19" t="s">
        <v>764</v>
      </c>
      <c r="C9" s="15" t="s">
        <v>765</v>
      </c>
      <c r="D9" s="15" t="s">
        <v>281</v>
      </c>
      <c r="E9" s="20">
        <v>5036</v>
      </c>
      <c r="F9" s="21">
        <v>255.00790000000001</v>
      </c>
      <c r="G9" s="22">
        <v>3.3599999999999998E-2</v>
      </c>
      <c r="H9" s="40"/>
      <c r="I9" s="24"/>
      <c r="J9" s="5"/>
    </row>
    <row r="10" spans="1:10" ht="12.95" customHeight="1">
      <c r="A10" s="18" t="s">
        <v>248</v>
      </c>
      <c r="B10" s="19" t="s">
        <v>249</v>
      </c>
      <c r="C10" s="15" t="s">
        <v>250</v>
      </c>
      <c r="D10" s="15" t="s">
        <v>251</v>
      </c>
      <c r="E10" s="20">
        <v>10000</v>
      </c>
      <c r="F10" s="21">
        <v>234.5</v>
      </c>
      <c r="G10" s="22">
        <v>3.09E-2</v>
      </c>
      <c r="H10" s="40"/>
      <c r="I10" s="24"/>
      <c r="J10" s="5"/>
    </row>
    <row r="11" spans="1:10" ht="12.95" customHeight="1">
      <c r="A11" s="18" t="s">
        <v>321</v>
      </c>
      <c r="B11" s="19" t="s">
        <v>322</v>
      </c>
      <c r="C11" s="15" t="s">
        <v>323</v>
      </c>
      <c r="D11" s="15" t="s">
        <v>324</v>
      </c>
      <c r="E11" s="20">
        <v>7247</v>
      </c>
      <c r="F11" s="21">
        <v>229.0813</v>
      </c>
      <c r="G11" s="22">
        <v>3.0200000000000001E-2</v>
      </c>
      <c r="H11" s="40"/>
      <c r="I11" s="24"/>
      <c r="J11" s="5"/>
    </row>
    <row r="12" spans="1:10" ht="12.95" customHeight="1">
      <c r="A12" s="18" t="s">
        <v>752</v>
      </c>
      <c r="B12" s="19" t="s">
        <v>753</v>
      </c>
      <c r="C12" s="15" t="s">
        <v>754</v>
      </c>
      <c r="D12" s="15" t="s">
        <v>755</v>
      </c>
      <c r="E12" s="20">
        <v>1000</v>
      </c>
      <c r="F12" s="21">
        <v>225.06899999999999</v>
      </c>
      <c r="G12" s="22">
        <v>2.9600000000000001E-2</v>
      </c>
      <c r="H12" s="40"/>
      <c r="I12" s="24"/>
      <c r="J12" s="5"/>
    </row>
    <row r="13" spans="1:10" ht="12.95" customHeight="1">
      <c r="A13" s="18" t="s">
        <v>285</v>
      </c>
      <c r="B13" s="19" t="s">
        <v>286</v>
      </c>
      <c r="C13" s="15" t="s">
        <v>287</v>
      </c>
      <c r="D13" s="15" t="s">
        <v>263</v>
      </c>
      <c r="E13" s="20">
        <v>12800</v>
      </c>
      <c r="F13" s="21">
        <v>183.73759999999999</v>
      </c>
      <c r="G13" s="22">
        <v>2.4199999999999999E-2</v>
      </c>
      <c r="H13" s="40"/>
      <c r="I13" s="24"/>
      <c r="J13" s="5"/>
    </row>
    <row r="14" spans="1:10" ht="12.95" customHeight="1">
      <c r="A14" s="18" t="s">
        <v>335</v>
      </c>
      <c r="B14" s="19" t="s">
        <v>336</v>
      </c>
      <c r="C14" s="15" t="s">
        <v>337</v>
      </c>
      <c r="D14" s="15" t="s">
        <v>263</v>
      </c>
      <c r="E14" s="20">
        <v>14475</v>
      </c>
      <c r="F14" s="21">
        <v>177.00030000000001</v>
      </c>
      <c r="G14" s="22">
        <v>2.3300000000000001E-2</v>
      </c>
      <c r="H14" s="40"/>
      <c r="I14" s="24"/>
      <c r="J14" s="5"/>
    </row>
    <row r="15" spans="1:10" ht="12.95" customHeight="1">
      <c r="A15" s="18" t="s">
        <v>775</v>
      </c>
      <c r="B15" s="19" t="s">
        <v>776</v>
      </c>
      <c r="C15" s="15" t="s">
        <v>777</v>
      </c>
      <c r="D15" s="15" t="s">
        <v>778</v>
      </c>
      <c r="E15" s="20">
        <v>3000</v>
      </c>
      <c r="F15" s="21">
        <v>154.13249999999999</v>
      </c>
      <c r="G15" s="22">
        <v>2.0299999999999999E-2</v>
      </c>
      <c r="H15" s="40"/>
      <c r="I15" s="24"/>
      <c r="J15" s="5"/>
    </row>
    <row r="16" spans="1:10" ht="12.95" customHeight="1">
      <c r="A16" s="18" t="s">
        <v>742</v>
      </c>
      <c r="B16" s="19" t="s">
        <v>743</v>
      </c>
      <c r="C16" s="15" t="s">
        <v>744</v>
      </c>
      <c r="D16" s="15" t="s">
        <v>745</v>
      </c>
      <c r="E16" s="20">
        <v>13000</v>
      </c>
      <c r="F16" s="21">
        <v>150.62450000000001</v>
      </c>
      <c r="G16" s="22">
        <v>1.9800000000000002E-2</v>
      </c>
      <c r="H16" s="40"/>
      <c r="I16" s="24"/>
      <c r="J16" s="5"/>
    </row>
    <row r="17" spans="1:10" ht="12.95" customHeight="1">
      <c r="A17" s="18" t="s">
        <v>863</v>
      </c>
      <c r="B17" s="19" t="s">
        <v>864</v>
      </c>
      <c r="C17" s="15" t="s">
        <v>865</v>
      </c>
      <c r="D17" s="15" t="s">
        <v>745</v>
      </c>
      <c r="E17" s="20">
        <v>10000</v>
      </c>
      <c r="F17" s="21">
        <v>148.21</v>
      </c>
      <c r="G17" s="22">
        <v>1.95E-2</v>
      </c>
      <c r="H17" s="40"/>
      <c r="I17" s="24"/>
      <c r="J17" s="5"/>
    </row>
    <row r="18" spans="1:10" ht="12.95" customHeight="1">
      <c r="A18" s="18" t="s">
        <v>739</v>
      </c>
      <c r="B18" s="19" t="s">
        <v>740</v>
      </c>
      <c r="C18" s="15" t="s">
        <v>741</v>
      </c>
      <c r="D18" s="15" t="s">
        <v>263</v>
      </c>
      <c r="E18" s="20">
        <v>11222</v>
      </c>
      <c r="F18" s="21">
        <v>138.5693</v>
      </c>
      <c r="G18" s="22">
        <v>1.8200000000000001E-2</v>
      </c>
      <c r="H18" s="40"/>
      <c r="I18" s="24"/>
      <c r="J18" s="5"/>
    </row>
    <row r="19" spans="1:10" ht="12.95" customHeight="1">
      <c r="A19" s="18" t="s">
        <v>891</v>
      </c>
      <c r="B19" s="19" t="s">
        <v>892</v>
      </c>
      <c r="C19" s="15" t="s">
        <v>893</v>
      </c>
      <c r="D19" s="15" t="s">
        <v>255</v>
      </c>
      <c r="E19" s="20">
        <v>3655</v>
      </c>
      <c r="F19" s="21">
        <v>112.2432</v>
      </c>
      <c r="G19" s="22">
        <v>1.4800000000000001E-2</v>
      </c>
      <c r="H19" s="40"/>
      <c r="I19" s="24"/>
      <c r="J19" s="5"/>
    </row>
    <row r="20" spans="1:10" ht="12.95" customHeight="1">
      <c r="A20" s="18" t="s">
        <v>356</v>
      </c>
      <c r="B20" s="19" t="s">
        <v>357</v>
      </c>
      <c r="C20" s="15" t="s">
        <v>358</v>
      </c>
      <c r="D20" s="15" t="s">
        <v>291</v>
      </c>
      <c r="E20" s="20">
        <v>53333</v>
      </c>
      <c r="F20" s="21">
        <v>106.53270000000001</v>
      </c>
      <c r="G20" s="22">
        <v>1.4E-2</v>
      </c>
      <c r="H20" s="40"/>
      <c r="I20" s="24"/>
      <c r="J20" s="5"/>
    </row>
    <row r="21" spans="1:10" ht="12.95" customHeight="1">
      <c r="A21" s="18" t="s">
        <v>716</v>
      </c>
      <c r="B21" s="19" t="s">
        <v>717</v>
      </c>
      <c r="C21" s="15" t="s">
        <v>718</v>
      </c>
      <c r="D21" s="15" t="s">
        <v>348</v>
      </c>
      <c r="E21" s="20">
        <v>22681</v>
      </c>
      <c r="F21" s="21">
        <v>100.7944</v>
      </c>
      <c r="G21" s="22">
        <v>1.3299999999999999E-2</v>
      </c>
      <c r="H21" s="40"/>
      <c r="I21" s="24"/>
      <c r="J21" s="5"/>
    </row>
    <row r="22" spans="1:10" ht="12.95" customHeight="1">
      <c r="A22" s="18" t="s">
        <v>792</v>
      </c>
      <c r="B22" s="19" t="s">
        <v>793</v>
      </c>
      <c r="C22" s="15" t="s">
        <v>794</v>
      </c>
      <c r="D22" s="15" t="s">
        <v>281</v>
      </c>
      <c r="E22" s="20">
        <v>2793</v>
      </c>
      <c r="F22" s="21">
        <v>85.388999999999996</v>
      </c>
      <c r="G22" s="22">
        <v>1.12E-2</v>
      </c>
      <c r="H22" s="40"/>
      <c r="I22" s="24"/>
      <c r="J22" s="5"/>
    </row>
    <row r="23" spans="1:10" ht="12.95" customHeight="1">
      <c r="A23" s="18" t="s">
        <v>359</v>
      </c>
      <c r="B23" s="19" t="s">
        <v>360</v>
      </c>
      <c r="C23" s="15" t="s">
        <v>361</v>
      </c>
      <c r="D23" s="15" t="s">
        <v>255</v>
      </c>
      <c r="E23" s="20">
        <v>20000</v>
      </c>
      <c r="F23" s="21">
        <v>46.24</v>
      </c>
      <c r="G23" s="22">
        <v>6.1000000000000004E-3</v>
      </c>
      <c r="H23" s="40"/>
      <c r="I23" s="24"/>
      <c r="J23" s="5"/>
    </row>
    <row r="24" spans="1:10" ht="12.95" customHeight="1">
      <c r="A24" s="18" t="s">
        <v>3027</v>
      </c>
      <c r="B24" s="19" t="s">
        <v>3028</v>
      </c>
      <c r="C24" s="15" t="s">
        <v>3029</v>
      </c>
      <c r="D24" s="15" t="s">
        <v>832</v>
      </c>
      <c r="E24" s="20">
        <v>2064</v>
      </c>
      <c r="F24" s="21">
        <v>23.659600000000001</v>
      </c>
      <c r="G24" s="22">
        <v>3.0999999999999999E-3</v>
      </c>
      <c r="H24" s="40"/>
      <c r="I24" s="24"/>
      <c r="J24" s="5"/>
    </row>
    <row r="25" spans="1:10" ht="12.95" customHeight="1">
      <c r="A25" s="18" t="s">
        <v>766</v>
      </c>
      <c r="B25" s="19" t="s">
        <v>767</v>
      </c>
      <c r="C25" s="15" t="s">
        <v>768</v>
      </c>
      <c r="D25" s="15" t="s">
        <v>403</v>
      </c>
      <c r="E25" s="20">
        <v>381</v>
      </c>
      <c r="F25" s="21">
        <v>14.004</v>
      </c>
      <c r="G25" s="22">
        <v>1.8E-3</v>
      </c>
      <c r="H25" s="40"/>
      <c r="I25" s="24"/>
      <c r="J25" s="5"/>
    </row>
    <row r="26" spans="1:10" ht="12.95" customHeight="1">
      <c r="A26" s="5"/>
      <c r="B26" s="14" t="s">
        <v>160</v>
      </c>
      <c r="C26" s="15"/>
      <c r="D26" s="15"/>
      <c r="E26" s="15"/>
      <c r="F26" s="25">
        <v>3006.8346999999999</v>
      </c>
      <c r="G26" s="26">
        <v>0.39589999999999997</v>
      </c>
      <c r="H26" s="27"/>
      <c r="I26" s="28"/>
      <c r="J26" s="5"/>
    </row>
    <row r="27" spans="1:10" ht="12.95" customHeight="1">
      <c r="A27" s="5"/>
      <c r="B27" s="29" t="s">
        <v>408</v>
      </c>
      <c r="C27" s="2"/>
      <c r="D27" s="2"/>
      <c r="E27" s="2"/>
      <c r="F27" s="27" t="s">
        <v>162</v>
      </c>
      <c r="G27" s="27" t="s">
        <v>162</v>
      </c>
      <c r="H27" s="27"/>
      <c r="I27" s="28"/>
      <c r="J27" s="5"/>
    </row>
    <row r="28" spans="1:10" ht="12.95" customHeight="1">
      <c r="A28" s="5"/>
      <c r="B28" s="29" t="s">
        <v>160</v>
      </c>
      <c r="C28" s="2"/>
      <c r="D28" s="2"/>
      <c r="E28" s="2"/>
      <c r="F28" s="27" t="s">
        <v>162</v>
      </c>
      <c r="G28" s="27" t="s">
        <v>162</v>
      </c>
      <c r="H28" s="27"/>
      <c r="I28" s="28"/>
      <c r="J28" s="5"/>
    </row>
    <row r="29" spans="1:10" ht="12.95" customHeight="1">
      <c r="A29" s="5"/>
      <c r="B29" s="29" t="s">
        <v>163</v>
      </c>
      <c r="C29" s="30"/>
      <c r="D29" s="2"/>
      <c r="E29" s="30"/>
      <c r="F29" s="25">
        <v>3006.8346999999999</v>
      </c>
      <c r="G29" s="26">
        <v>0.39589999999999997</v>
      </c>
      <c r="H29" s="27"/>
      <c r="I29" s="28"/>
      <c r="J29" s="5"/>
    </row>
    <row r="30" spans="1:10" ht="12.95" customHeight="1">
      <c r="A30" s="5"/>
      <c r="B30" s="14" t="s">
        <v>151</v>
      </c>
      <c r="C30" s="15"/>
      <c r="D30" s="15"/>
      <c r="E30" s="15"/>
      <c r="F30" s="15"/>
      <c r="G30" s="15"/>
      <c r="H30" s="16"/>
      <c r="I30" s="17"/>
      <c r="J30" s="5"/>
    </row>
    <row r="31" spans="1:10" ht="12.95" customHeight="1">
      <c r="A31" s="5"/>
      <c r="B31" s="14" t="s">
        <v>152</v>
      </c>
      <c r="C31" s="15"/>
      <c r="D31" s="15"/>
      <c r="E31" s="15"/>
      <c r="F31" s="5"/>
      <c r="G31" s="16"/>
      <c r="H31" s="16"/>
      <c r="I31" s="17"/>
      <c r="J31" s="5"/>
    </row>
    <row r="32" spans="1:10" ht="12.95" customHeight="1">
      <c r="A32" s="18" t="s">
        <v>899</v>
      </c>
      <c r="B32" s="19" t="s">
        <v>900</v>
      </c>
      <c r="C32" s="15" t="s">
        <v>901</v>
      </c>
      <c r="D32" s="15" t="s">
        <v>156</v>
      </c>
      <c r="E32" s="20">
        <v>1000000</v>
      </c>
      <c r="F32" s="21">
        <v>999.70299999999997</v>
      </c>
      <c r="G32" s="22">
        <v>0.13159999999999999</v>
      </c>
      <c r="H32" s="23">
        <v>7.3948E-2</v>
      </c>
      <c r="I32" s="24"/>
      <c r="J32" s="5"/>
    </row>
    <row r="33" spans="1:10" ht="12.95" customHeight="1">
      <c r="A33" s="18" t="s">
        <v>3550</v>
      </c>
      <c r="B33" s="19" t="s">
        <v>3551</v>
      </c>
      <c r="C33" s="15" t="s">
        <v>3552</v>
      </c>
      <c r="D33" s="15" t="s">
        <v>1034</v>
      </c>
      <c r="E33" s="20">
        <v>75</v>
      </c>
      <c r="F33" s="21">
        <v>747.59029999999996</v>
      </c>
      <c r="G33" s="22">
        <v>9.8400000000000001E-2</v>
      </c>
      <c r="H33" s="23">
        <v>7.8760999999999998E-2</v>
      </c>
      <c r="I33" s="41">
        <v>7.8946965999999993E-2</v>
      </c>
      <c r="J33" s="5"/>
    </row>
    <row r="34" spans="1:10" ht="12.95" customHeight="1">
      <c r="A34" s="18" t="s">
        <v>1493</v>
      </c>
      <c r="B34" s="19" t="s">
        <v>1494</v>
      </c>
      <c r="C34" s="15" t="s">
        <v>1495</v>
      </c>
      <c r="D34" s="15" t="s">
        <v>179</v>
      </c>
      <c r="E34" s="20">
        <v>65</v>
      </c>
      <c r="F34" s="21">
        <v>683.95929999999998</v>
      </c>
      <c r="G34" s="22">
        <v>9.01E-2</v>
      </c>
      <c r="H34" s="23">
        <v>7.6399999999999996E-2</v>
      </c>
      <c r="I34" s="41"/>
      <c r="J34" s="5"/>
    </row>
    <row r="35" spans="1:10" ht="12.95" customHeight="1">
      <c r="A35" s="18" t="s">
        <v>974</v>
      </c>
      <c r="B35" s="19" t="s">
        <v>975</v>
      </c>
      <c r="C35" s="15" t="s">
        <v>976</v>
      </c>
      <c r="D35" s="15" t="s">
        <v>156</v>
      </c>
      <c r="E35" s="20">
        <v>500000</v>
      </c>
      <c r="F35" s="21">
        <v>509.81299999999999</v>
      </c>
      <c r="G35" s="22">
        <v>6.7100000000000007E-2</v>
      </c>
      <c r="H35" s="23"/>
      <c r="I35" s="41"/>
      <c r="J35" s="5"/>
    </row>
    <row r="36" spans="1:10" ht="12.95" customHeight="1">
      <c r="A36" s="18" t="s">
        <v>927</v>
      </c>
      <c r="B36" s="19" t="s">
        <v>928</v>
      </c>
      <c r="C36" s="15" t="s">
        <v>929</v>
      </c>
      <c r="D36" s="15" t="s">
        <v>156</v>
      </c>
      <c r="E36" s="20">
        <v>500000</v>
      </c>
      <c r="F36" s="21">
        <v>498.899</v>
      </c>
      <c r="G36" s="22">
        <v>6.5699999999999995E-2</v>
      </c>
      <c r="H36" s="23">
        <v>7.3570999999999998E-2</v>
      </c>
      <c r="I36" s="41"/>
      <c r="J36" s="5"/>
    </row>
    <row r="37" spans="1:10" ht="12.95" customHeight="1">
      <c r="A37" s="18" t="s">
        <v>1499</v>
      </c>
      <c r="B37" s="19" t="s">
        <v>1500</v>
      </c>
      <c r="C37" s="15" t="s">
        <v>1501</v>
      </c>
      <c r="D37" s="15" t="s">
        <v>179</v>
      </c>
      <c r="E37" s="20">
        <v>40</v>
      </c>
      <c r="F37" s="21">
        <v>421.67759999999998</v>
      </c>
      <c r="G37" s="22">
        <v>5.5500000000000001E-2</v>
      </c>
      <c r="H37" s="23">
        <v>7.6175000000000007E-2</v>
      </c>
      <c r="I37" s="41"/>
      <c r="J37" s="5"/>
    </row>
    <row r="38" spans="1:10" ht="12.95" customHeight="1">
      <c r="A38" s="18" t="s">
        <v>914</v>
      </c>
      <c r="B38" s="19" t="s">
        <v>915</v>
      </c>
      <c r="C38" s="15" t="s">
        <v>916</v>
      </c>
      <c r="D38" s="15" t="s">
        <v>156</v>
      </c>
      <c r="E38" s="20">
        <v>100000</v>
      </c>
      <c r="F38" s="21">
        <v>97.871399999999994</v>
      </c>
      <c r="G38" s="22">
        <v>1.29E-2</v>
      </c>
      <c r="H38" s="23">
        <v>7.5534000000000004E-2</v>
      </c>
      <c r="I38" s="41"/>
      <c r="J38" s="5"/>
    </row>
    <row r="39" spans="1:10" ht="12.95" customHeight="1">
      <c r="A39" s="5"/>
      <c r="B39" s="14" t="s">
        <v>160</v>
      </c>
      <c r="C39" s="15"/>
      <c r="D39" s="15"/>
      <c r="E39" s="15"/>
      <c r="F39" s="25">
        <v>3959.5135</v>
      </c>
      <c r="G39" s="26">
        <v>0.52129999999999999</v>
      </c>
      <c r="H39" s="27"/>
      <c r="I39" s="28"/>
      <c r="J39" s="5"/>
    </row>
    <row r="40" spans="1:10" ht="12.95" customHeight="1">
      <c r="A40" s="5"/>
      <c r="B40" s="29" t="s">
        <v>161</v>
      </c>
      <c r="C40" s="2"/>
      <c r="D40" s="2"/>
      <c r="E40" s="2"/>
      <c r="F40" s="27" t="s">
        <v>162</v>
      </c>
      <c r="G40" s="27" t="s">
        <v>162</v>
      </c>
      <c r="H40" s="27"/>
      <c r="I40" s="28"/>
      <c r="J40" s="5"/>
    </row>
    <row r="41" spans="1:10" ht="12.95" customHeight="1">
      <c r="A41" s="5"/>
      <c r="B41" s="29" t="s">
        <v>160</v>
      </c>
      <c r="C41" s="2"/>
      <c r="D41" s="2"/>
      <c r="E41" s="2"/>
      <c r="F41" s="27" t="s">
        <v>162</v>
      </c>
      <c r="G41" s="27" t="s">
        <v>162</v>
      </c>
      <c r="H41" s="27"/>
      <c r="I41" s="28"/>
      <c r="J41" s="5"/>
    </row>
    <row r="42" spans="1:10" ht="12.95" customHeight="1">
      <c r="A42" s="5"/>
      <c r="B42" s="29" t="s">
        <v>163</v>
      </c>
      <c r="C42" s="30"/>
      <c r="D42" s="2"/>
      <c r="E42" s="30"/>
      <c r="F42" s="25">
        <v>3959.5135</v>
      </c>
      <c r="G42" s="26">
        <v>0.52129999999999999</v>
      </c>
      <c r="H42" s="27"/>
      <c r="I42" s="28"/>
      <c r="J42" s="5"/>
    </row>
    <row r="43" spans="1:10" ht="12.95" customHeight="1">
      <c r="A43" s="5"/>
      <c r="B43" s="14" t="s">
        <v>164</v>
      </c>
      <c r="C43" s="15"/>
      <c r="D43" s="15"/>
      <c r="E43" s="15"/>
      <c r="F43" s="15"/>
      <c r="G43" s="15"/>
      <c r="H43" s="16"/>
      <c r="I43" s="17"/>
      <c r="J43" s="5"/>
    </row>
    <row r="44" spans="1:10" ht="12.95" customHeight="1">
      <c r="A44" s="18" t="s">
        <v>165</v>
      </c>
      <c r="B44" s="19" t="s">
        <v>166</v>
      </c>
      <c r="C44" s="15"/>
      <c r="D44" s="15"/>
      <c r="E44" s="20"/>
      <c r="F44" s="21">
        <v>435.77760000000001</v>
      </c>
      <c r="G44" s="22">
        <v>5.74E-2</v>
      </c>
      <c r="H44" s="23">
        <v>6.799680046626505E-2</v>
      </c>
      <c r="I44" s="41"/>
      <c r="J44" s="5"/>
    </row>
    <row r="45" spans="1:10" ht="12.95" customHeight="1">
      <c r="A45" s="5"/>
      <c r="B45" s="14" t="s">
        <v>160</v>
      </c>
      <c r="C45" s="15"/>
      <c r="D45" s="15"/>
      <c r="E45" s="15"/>
      <c r="F45" s="25">
        <v>435.77760000000001</v>
      </c>
      <c r="G45" s="26">
        <v>5.74E-2</v>
      </c>
      <c r="H45" s="27"/>
      <c r="I45" s="28"/>
      <c r="J45" s="5"/>
    </row>
    <row r="46" spans="1:10" ht="12.95" customHeight="1">
      <c r="A46" s="5"/>
      <c r="B46" s="29" t="s">
        <v>163</v>
      </c>
      <c r="C46" s="30"/>
      <c r="D46" s="2"/>
      <c r="E46" s="30"/>
      <c r="F46" s="25">
        <v>435.77760000000001</v>
      </c>
      <c r="G46" s="26">
        <v>5.74E-2</v>
      </c>
      <c r="H46" s="27"/>
      <c r="I46" s="28"/>
      <c r="J46" s="5"/>
    </row>
    <row r="47" spans="1:10" ht="12.95" customHeight="1">
      <c r="A47" s="5"/>
      <c r="B47" s="29" t="s">
        <v>167</v>
      </c>
      <c r="C47" s="15"/>
      <c r="D47" s="2"/>
      <c r="E47" s="15"/>
      <c r="F47" s="31">
        <v>192.85419999999999</v>
      </c>
      <c r="G47" s="26">
        <v>2.5399999999999999E-2</v>
      </c>
      <c r="H47" s="27"/>
      <c r="I47" s="28"/>
      <c r="J47" s="5"/>
    </row>
    <row r="48" spans="1:10" ht="12.95" customHeight="1">
      <c r="A48" s="5"/>
      <c r="B48" s="32" t="s">
        <v>168</v>
      </c>
      <c r="C48" s="33"/>
      <c r="D48" s="33"/>
      <c r="E48" s="33"/>
      <c r="F48" s="34">
        <v>7594.98</v>
      </c>
      <c r="G48" s="35">
        <v>1</v>
      </c>
      <c r="H48" s="36"/>
      <c r="I48" s="37"/>
      <c r="J48" s="5"/>
    </row>
    <row r="49" spans="1:10" ht="12.95" customHeight="1">
      <c r="A49" s="5"/>
      <c r="B49" s="7"/>
      <c r="C49" s="5"/>
      <c r="D49" s="5"/>
      <c r="E49" s="5"/>
      <c r="F49" s="5"/>
      <c r="G49" s="5"/>
      <c r="H49" s="5"/>
      <c r="I49" s="5"/>
      <c r="J49" s="5"/>
    </row>
    <row r="50" spans="1:10" ht="12.95" customHeight="1">
      <c r="A50" s="5"/>
      <c r="B50" s="4" t="s">
        <v>169</v>
      </c>
      <c r="C50" s="5"/>
      <c r="D50" s="5"/>
      <c r="E50" s="5"/>
      <c r="F50" s="5"/>
      <c r="G50" s="5"/>
      <c r="H50" s="5"/>
      <c r="I50" s="5"/>
      <c r="J50" s="5"/>
    </row>
    <row r="51" spans="1:10" ht="12.95" customHeight="1">
      <c r="A51" s="5"/>
      <c r="B51" s="4" t="s">
        <v>207</v>
      </c>
      <c r="C51" s="5"/>
      <c r="D51" s="5"/>
      <c r="E51" s="5"/>
      <c r="F51" s="5"/>
      <c r="G51" s="5"/>
      <c r="H51" s="5"/>
      <c r="I51" s="5"/>
      <c r="J51" s="5"/>
    </row>
    <row r="52" spans="1:10" ht="12.95" customHeight="1">
      <c r="A52" s="5"/>
      <c r="B52" s="4" t="s">
        <v>170</v>
      </c>
      <c r="C52" s="5"/>
      <c r="D52" s="5"/>
      <c r="E52" s="5"/>
      <c r="F52" s="5"/>
      <c r="G52" s="5"/>
      <c r="H52" s="5"/>
      <c r="I52" s="5"/>
      <c r="J52" s="5"/>
    </row>
    <row r="53" spans="1:10" ht="26.1" customHeight="1">
      <c r="A53" s="5"/>
      <c r="B53" s="86" t="s">
        <v>171</v>
      </c>
      <c r="C53" s="86"/>
      <c r="D53" s="86"/>
      <c r="E53" s="86"/>
      <c r="F53" s="86"/>
      <c r="G53" s="86"/>
      <c r="H53" s="86"/>
      <c r="I53" s="86"/>
      <c r="J53" s="5"/>
    </row>
    <row r="54" spans="1:10" ht="12.95" customHeight="1">
      <c r="A54" s="5"/>
      <c r="B54" s="86"/>
      <c r="C54" s="86"/>
      <c r="D54" s="86"/>
      <c r="E54" s="86"/>
      <c r="F54" s="86"/>
      <c r="G54" s="86"/>
      <c r="H54" s="86"/>
      <c r="I54" s="86"/>
      <c r="J54" s="5"/>
    </row>
    <row r="55" spans="1:10" ht="12.95" customHeight="1">
      <c r="A55" s="5"/>
      <c r="B55" s="86"/>
      <c r="C55" s="86"/>
      <c r="D55" s="86"/>
      <c r="E55" s="86"/>
      <c r="F55" s="86"/>
      <c r="G55" s="86"/>
      <c r="H55" s="86"/>
      <c r="I55" s="86"/>
      <c r="J55" s="5"/>
    </row>
    <row r="56" spans="1:10" ht="12.95" customHeight="1">
      <c r="A56" s="5"/>
      <c r="B56" s="5"/>
      <c r="C56" s="87" t="s">
        <v>4282</v>
      </c>
      <c r="D56" s="87"/>
      <c r="E56" s="87"/>
      <c r="F56" s="87"/>
      <c r="G56" s="5"/>
      <c r="H56" s="5"/>
      <c r="I56" s="5"/>
      <c r="J56" s="5"/>
    </row>
    <row r="57" spans="1:10" ht="12.95" customHeight="1">
      <c r="A57" s="5"/>
      <c r="B57" s="38" t="s">
        <v>173</v>
      </c>
      <c r="C57" s="87" t="s">
        <v>174</v>
      </c>
      <c r="D57" s="87"/>
      <c r="E57" s="87"/>
      <c r="F57" s="87"/>
      <c r="G57" s="5"/>
      <c r="H57" s="5"/>
      <c r="I57" s="5"/>
      <c r="J57" s="5"/>
    </row>
    <row r="58" spans="1:10" ht="120.95" customHeight="1">
      <c r="A58" s="5"/>
      <c r="B58" s="39"/>
      <c r="C58" s="85"/>
      <c r="D58" s="85"/>
      <c r="E58" s="5"/>
      <c r="F58" s="5"/>
      <c r="G58" s="5"/>
      <c r="H58" s="5"/>
      <c r="I58" s="5"/>
      <c r="J58" s="5"/>
    </row>
  </sheetData>
  <mergeCells count="6">
    <mergeCell ref="C58:D58"/>
    <mergeCell ref="B53:I53"/>
    <mergeCell ref="B54:I54"/>
    <mergeCell ref="B55:I55"/>
    <mergeCell ref="C56:F56"/>
    <mergeCell ref="C57:F57"/>
  </mergeCells>
  <hyperlinks>
    <hyperlink ref="A1" location="AxisRetirementSavingsFundConservativePlan" display="AXISRCP" xr:uid="{00000000-0004-0000-3600-000000000000}"/>
    <hyperlink ref="B1" location="AxisRetirementSavingsFundConservativePlan" display="Axis Retirement Savings Fund - Conservative Plan" xr:uid="{00000000-0004-0000-3600-000001000000}"/>
  </hyperlinks>
  <pageMargins left="0" right="0" top="0" bottom="0" header="0" footer="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/>
  </sheetPr>
  <dimension ref="A1:J9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112</v>
      </c>
      <c r="B1" s="4" t="s">
        <v>113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32199</v>
      </c>
      <c r="F7" s="21">
        <v>2514.9834000000001</v>
      </c>
      <c r="G7" s="22">
        <v>8.5500000000000007E-2</v>
      </c>
      <c r="H7" s="40"/>
      <c r="I7" s="24"/>
      <c r="J7" s="5"/>
    </row>
    <row r="8" spans="1:10" ht="12.95" customHeight="1">
      <c r="A8" s="18" t="s">
        <v>268</v>
      </c>
      <c r="B8" s="19" t="s">
        <v>269</v>
      </c>
      <c r="C8" s="15" t="s">
        <v>270</v>
      </c>
      <c r="D8" s="15" t="s">
        <v>271</v>
      </c>
      <c r="E8" s="20">
        <v>186846</v>
      </c>
      <c r="F8" s="21">
        <v>1778.5871</v>
      </c>
      <c r="G8" s="22">
        <v>6.0400000000000002E-2</v>
      </c>
      <c r="H8" s="40"/>
      <c r="I8" s="24"/>
      <c r="J8" s="5"/>
    </row>
    <row r="9" spans="1:10" ht="12.95" customHeight="1">
      <c r="A9" s="18" t="s">
        <v>766</v>
      </c>
      <c r="B9" s="19" t="s">
        <v>767</v>
      </c>
      <c r="C9" s="15" t="s">
        <v>768</v>
      </c>
      <c r="D9" s="15" t="s">
        <v>403</v>
      </c>
      <c r="E9" s="20">
        <v>38578</v>
      </c>
      <c r="F9" s="21">
        <v>1417.973</v>
      </c>
      <c r="G9" s="22">
        <v>4.82E-2</v>
      </c>
      <c r="H9" s="40"/>
      <c r="I9" s="24"/>
      <c r="J9" s="5"/>
    </row>
    <row r="10" spans="1:10" ht="12.95" customHeight="1">
      <c r="A10" s="18" t="s">
        <v>260</v>
      </c>
      <c r="B10" s="19" t="s">
        <v>261</v>
      </c>
      <c r="C10" s="15" t="s">
        <v>262</v>
      </c>
      <c r="D10" s="15" t="s">
        <v>263</v>
      </c>
      <c r="E10" s="20">
        <v>35438</v>
      </c>
      <c r="F10" s="21">
        <v>1250.4653000000001</v>
      </c>
      <c r="G10" s="22">
        <v>4.2500000000000003E-2</v>
      </c>
      <c r="H10" s="40"/>
      <c r="I10" s="24"/>
      <c r="J10" s="5"/>
    </row>
    <row r="11" spans="1:10" ht="12.95" customHeight="1">
      <c r="A11" s="18" t="s">
        <v>752</v>
      </c>
      <c r="B11" s="19" t="s">
        <v>753</v>
      </c>
      <c r="C11" s="15" t="s">
        <v>754</v>
      </c>
      <c r="D11" s="15" t="s">
        <v>755</v>
      </c>
      <c r="E11" s="20">
        <v>5242</v>
      </c>
      <c r="F11" s="21">
        <v>1179.8117</v>
      </c>
      <c r="G11" s="22">
        <v>4.0099999999999997E-2</v>
      </c>
      <c r="H11" s="40"/>
      <c r="I11" s="24"/>
      <c r="J11" s="5"/>
    </row>
    <row r="12" spans="1:10" ht="12.95" customHeight="1">
      <c r="A12" s="18" t="s">
        <v>282</v>
      </c>
      <c r="B12" s="19" t="s">
        <v>283</v>
      </c>
      <c r="C12" s="15" t="s">
        <v>284</v>
      </c>
      <c r="D12" s="15" t="s">
        <v>271</v>
      </c>
      <c r="E12" s="20">
        <v>70387</v>
      </c>
      <c r="F12" s="21">
        <v>1074.3168000000001</v>
      </c>
      <c r="G12" s="22">
        <v>3.6499999999999998E-2</v>
      </c>
      <c r="H12" s="40"/>
      <c r="I12" s="24"/>
      <c r="J12" s="5"/>
    </row>
    <row r="13" spans="1:10" ht="12.95" customHeight="1">
      <c r="A13" s="18" t="s">
        <v>2258</v>
      </c>
      <c r="B13" s="19" t="s">
        <v>2259</v>
      </c>
      <c r="C13" s="15" t="s">
        <v>2260</v>
      </c>
      <c r="D13" s="15" t="s">
        <v>291</v>
      </c>
      <c r="E13" s="20">
        <v>123391</v>
      </c>
      <c r="F13" s="21">
        <v>911.24249999999995</v>
      </c>
      <c r="G13" s="22">
        <v>3.1E-2</v>
      </c>
      <c r="H13" s="40"/>
      <c r="I13" s="24"/>
      <c r="J13" s="5"/>
    </row>
    <row r="14" spans="1:10" ht="12.95" customHeight="1">
      <c r="A14" s="18" t="s">
        <v>285</v>
      </c>
      <c r="B14" s="19" t="s">
        <v>286</v>
      </c>
      <c r="C14" s="15" t="s">
        <v>287</v>
      </c>
      <c r="D14" s="15" t="s">
        <v>263</v>
      </c>
      <c r="E14" s="20">
        <v>60000</v>
      </c>
      <c r="F14" s="21">
        <v>861.27</v>
      </c>
      <c r="G14" s="22">
        <v>2.93E-2</v>
      </c>
      <c r="H14" s="40"/>
      <c r="I14" s="24"/>
      <c r="J14" s="5"/>
    </row>
    <row r="15" spans="1:10" ht="12.95" customHeight="1">
      <c r="A15" s="18" t="s">
        <v>1776</v>
      </c>
      <c r="B15" s="19" t="s">
        <v>1777</v>
      </c>
      <c r="C15" s="15" t="s">
        <v>1778</v>
      </c>
      <c r="D15" s="15" t="s">
        <v>314</v>
      </c>
      <c r="E15" s="20">
        <v>35179</v>
      </c>
      <c r="F15" s="21">
        <v>858.19169999999997</v>
      </c>
      <c r="G15" s="22">
        <v>2.92E-2</v>
      </c>
      <c r="H15" s="40"/>
      <c r="I15" s="24"/>
      <c r="J15" s="5"/>
    </row>
    <row r="16" spans="1:10" ht="12.95" customHeight="1">
      <c r="A16" s="18" t="s">
        <v>809</v>
      </c>
      <c r="B16" s="19" t="s">
        <v>810</v>
      </c>
      <c r="C16" s="15" t="s">
        <v>811</v>
      </c>
      <c r="D16" s="15" t="s">
        <v>403</v>
      </c>
      <c r="E16" s="20">
        <v>19189</v>
      </c>
      <c r="F16" s="21">
        <v>799.27940000000001</v>
      </c>
      <c r="G16" s="22">
        <v>2.7199999999999998E-2</v>
      </c>
      <c r="H16" s="40"/>
      <c r="I16" s="24"/>
      <c r="J16" s="5"/>
    </row>
    <row r="17" spans="1:10" ht="12.95" customHeight="1">
      <c r="A17" s="18" t="s">
        <v>3547</v>
      </c>
      <c r="B17" s="19" t="s">
        <v>3548</v>
      </c>
      <c r="C17" s="15" t="s">
        <v>3549</v>
      </c>
      <c r="D17" s="15" t="s">
        <v>324</v>
      </c>
      <c r="E17" s="20">
        <v>230414</v>
      </c>
      <c r="F17" s="21">
        <v>708.06219999999996</v>
      </c>
      <c r="G17" s="22">
        <v>2.41E-2</v>
      </c>
      <c r="H17" s="40"/>
      <c r="I17" s="24"/>
      <c r="J17" s="5"/>
    </row>
    <row r="18" spans="1:10" ht="12.95" customHeight="1">
      <c r="A18" s="18" t="s">
        <v>1885</v>
      </c>
      <c r="B18" s="19" t="s">
        <v>1886</v>
      </c>
      <c r="C18" s="15" t="s">
        <v>1887</v>
      </c>
      <c r="D18" s="15" t="s">
        <v>745</v>
      </c>
      <c r="E18" s="20">
        <v>2890</v>
      </c>
      <c r="F18" s="21">
        <v>669.88610000000006</v>
      </c>
      <c r="G18" s="22">
        <v>2.2800000000000001E-2</v>
      </c>
      <c r="H18" s="40"/>
      <c r="I18" s="24"/>
      <c r="J18" s="5"/>
    </row>
    <row r="19" spans="1:10" ht="12.95" customHeight="1">
      <c r="A19" s="18" t="s">
        <v>719</v>
      </c>
      <c r="B19" s="19" t="s">
        <v>720</v>
      </c>
      <c r="C19" s="15" t="s">
        <v>721</v>
      </c>
      <c r="D19" s="15" t="s">
        <v>722</v>
      </c>
      <c r="E19" s="20">
        <v>19617</v>
      </c>
      <c r="F19" s="21">
        <v>593.12980000000005</v>
      </c>
      <c r="G19" s="22">
        <v>2.0199999999999999E-2</v>
      </c>
      <c r="H19" s="40"/>
      <c r="I19" s="24"/>
      <c r="J19" s="5"/>
    </row>
    <row r="20" spans="1:10" ht="12.95" customHeight="1">
      <c r="A20" s="18" t="s">
        <v>3559</v>
      </c>
      <c r="B20" s="19" t="s">
        <v>3560</v>
      </c>
      <c r="C20" s="15" t="s">
        <v>3561</v>
      </c>
      <c r="D20" s="15" t="s">
        <v>324</v>
      </c>
      <c r="E20" s="20">
        <v>69751</v>
      </c>
      <c r="F20" s="21">
        <v>546.28980000000001</v>
      </c>
      <c r="G20" s="22">
        <v>1.8599999999999998E-2</v>
      </c>
      <c r="H20" s="40"/>
      <c r="I20" s="24"/>
      <c r="J20" s="5"/>
    </row>
    <row r="21" spans="1:10" ht="12.95" customHeight="1">
      <c r="A21" s="18" t="s">
        <v>2454</v>
      </c>
      <c r="B21" s="19" t="s">
        <v>2455</v>
      </c>
      <c r="C21" s="15" t="s">
        <v>2456</v>
      </c>
      <c r="D21" s="15" t="s">
        <v>295</v>
      </c>
      <c r="E21" s="20">
        <v>28274</v>
      </c>
      <c r="F21" s="21">
        <v>540.72609999999997</v>
      </c>
      <c r="G21" s="22">
        <v>1.84E-2</v>
      </c>
      <c r="H21" s="40"/>
      <c r="I21" s="24"/>
      <c r="J21" s="5"/>
    </row>
    <row r="22" spans="1:10" ht="12.95" customHeight="1">
      <c r="A22" s="18" t="s">
        <v>278</v>
      </c>
      <c r="B22" s="19" t="s">
        <v>279</v>
      </c>
      <c r="C22" s="15" t="s">
        <v>280</v>
      </c>
      <c r="D22" s="15" t="s">
        <v>281</v>
      </c>
      <c r="E22" s="20">
        <v>81987</v>
      </c>
      <c r="F22" s="21">
        <v>516.68209999999999</v>
      </c>
      <c r="G22" s="22">
        <v>1.7600000000000001E-2</v>
      </c>
      <c r="H22" s="40"/>
      <c r="I22" s="24"/>
      <c r="J22" s="5"/>
    </row>
    <row r="23" spans="1:10" ht="12.95" customHeight="1">
      <c r="A23" s="18" t="s">
        <v>891</v>
      </c>
      <c r="B23" s="19" t="s">
        <v>892</v>
      </c>
      <c r="C23" s="15" t="s">
        <v>893</v>
      </c>
      <c r="D23" s="15" t="s">
        <v>255</v>
      </c>
      <c r="E23" s="20">
        <v>15533</v>
      </c>
      <c r="F23" s="21">
        <v>477.01069999999999</v>
      </c>
      <c r="G23" s="22">
        <v>1.6199999999999999E-2</v>
      </c>
      <c r="H23" s="40"/>
      <c r="I23" s="24"/>
      <c r="J23" s="5"/>
    </row>
    <row r="24" spans="1:10" ht="12.95" customHeight="1">
      <c r="A24" s="18" t="s">
        <v>248</v>
      </c>
      <c r="B24" s="19" t="s">
        <v>249</v>
      </c>
      <c r="C24" s="15" t="s">
        <v>250</v>
      </c>
      <c r="D24" s="15" t="s">
        <v>251</v>
      </c>
      <c r="E24" s="20">
        <v>20000</v>
      </c>
      <c r="F24" s="21">
        <v>469</v>
      </c>
      <c r="G24" s="22">
        <v>1.5900000000000001E-2</v>
      </c>
      <c r="H24" s="40"/>
      <c r="I24" s="24"/>
      <c r="J24" s="5"/>
    </row>
    <row r="25" spans="1:10" ht="12.95" customHeight="1">
      <c r="A25" s="18" t="s">
        <v>878</v>
      </c>
      <c r="B25" s="19" t="s">
        <v>879</v>
      </c>
      <c r="C25" s="15" t="s">
        <v>880</v>
      </c>
      <c r="D25" s="15" t="s">
        <v>255</v>
      </c>
      <c r="E25" s="20">
        <v>57000</v>
      </c>
      <c r="F25" s="21">
        <v>435.93599999999998</v>
      </c>
      <c r="G25" s="22">
        <v>1.4800000000000001E-2</v>
      </c>
      <c r="H25" s="40"/>
      <c r="I25" s="24"/>
      <c r="J25" s="5"/>
    </row>
    <row r="26" spans="1:10" ht="12.95" customHeight="1">
      <c r="A26" s="18" t="s">
        <v>733</v>
      </c>
      <c r="B26" s="19" t="s">
        <v>734</v>
      </c>
      <c r="C26" s="15" t="s">
        <v>735</v>
      </c>
      <c r="D26" s="15" t="s">
        <v>281</v>
      </c>
      <c r="E26" s="20">
        <v>4000</v>
      </c>
      <c r="F26" s="21">
        <v>424.42399999999998</v>
      </c>
      <c r="G26" s="22">
        <v>1.44E-2</v>
      </c>
      <c r="H26" s="40"/>
      <c r="I26" s="24"/>
      <c r="J26" s="5"/>
    </row>
    <row r="27" spans="1:10" ht="12.95" customHeight="1">
      <c r="A27" s="18" t="s">
        <v>866</v>
      </c>
      <c r="B27" s="19" t="s">
        <v>867</v>
      </c>
      <c r="C27" s="15" t="s">
        <v>868</v>
      </c>
      <c r="D27" s="15" t="s">
        <v>403</v>
      </c>
      <c r="E27" s="20">
        <v>414053</v>
      </c>
      <c r="F27" s="21">
        <v>420.2638</v>
      </c>
      <c r="G27" s="22">
        <v>1.43E-2</v>
      </c>
      <c r="H27" s="40"/>
      <c r="I27" s="24"/>
      <c r="J27" s="5"/>
    </row>
    <row r="28" spans="1:10" ht="12.95" customHeight="1">
      <c r="A28" s="18" t="s">
        <v>397</v>
      </c>
      <c r="B28" s="19" t="s">
        <v>398</v>
      </c>
      <c r="C28" s="15" t="s">
        <v>399</v>
      </c>
      <c r="D28" s="15" t="s">
        <v>259</v>
      </c>
      <c r="E28" s="20">
        <v>123989</v>
      </c>
      <c r="F28" s="21">
        <v>412.88339999999999</v>
      </c>
      <c r="G28" s="22">
        <v>1.4E-2</v>
      </c>
      <c r="H28" s="40"/>
      <c r="I28" s="24"/>
      <c r="J28" s="5"/>
    </row>
    <row r="29" spans="1:10" ht="12.95" customHeight="1">
      <c r="A29" s="18" t="s">
        <v>1617</v>
      </c>
      <c r="B29" s="19" t="s">
        <v>1618</v>
      </c>
      <c r="C29" s="15" t="s">
        <v>1619</v>
      </c>
      <c r="D29" s="15" t="s">
        <v>745</v>
      </c>
      <c r="E29" s="20">
        <v>22742</v>
      </c>
      <c r="F29" s="21">
        <v>408.28710000000001</v>
      </c>
      <c r="G29" s="22">
        <v>1.3899999999999999E-2</v>
      </c>
      <c r="H29" s="40"/>
      <c r="I29" s="24"/>
      <c r="J29" s="5"/>
    </row>
    <row r="30" spans="1:10" ht="12.95" customHeight="1">
      <c r="A30" s="18" t="s">
        <v>887</v>
      </c>
      <c r="B30" s="19" t="s">
        <v>888</v>
      </c>
      <c r="C30" s="15" t="s">
        <v>889</v>
      </c>
      <c r="D30" s="15" t="s">
        <v>890</v>
      </c>
      <c r="E30" s="20">
        <v>71233</v>
      </c>
      <c r="F30" s="21">
        <v>403.32119999999998</v>
      </c>
      <c r="G30" s="22">
        <v>1.37E-2</v>
      </c>
      <c r="H30" s="40"/>
      <c r="I30" s="24"/>
      <c r="J30" s="5"/>
    </row>
    <row r="31" spans="1:10" ht="12.95" customHeight="1">
      <c r="A31" s="18" t="s">
        <v>2176</v>
      </c>
      <c r="B31" s="19" t="s">
        <v>2177</v>
      </c>
      <c r="C31" s="15" t="s">
        <v>2178</v>
      </c>
      <c r="D31" s="15" t="s">
        <v>255</v>
      </c>
      <c r="E31" s="20">
        <v>479060</v>
      </c>
      <c r="F31" s="21">
        <v>398.8175</v>
      </c>
      <c r="G31" s="22">
        <v>1.3599999999999999E-2</v>
      </c>
      <c r="H31" s="40"/>
      <c r="I31" s="24"/>
      <c r="J31" s="5"/>
    </row>
    <row r="32" spans="1:10" ht="12.95" customHeight="1">
      <c r="A32" s="18" t="s">
        <v>338</v>
      </c>
      <c r="B32" s="19" t="s">
        <v>339</v>
      </c>
      <c r="C32" s="15" t="s">
        <v>340</v>
      </c>
      <c r="D32" s="15" t="s">
        <v>334</v>
      </c>
      <c r="E32" s="20">
        <v>75000</v>
      </c>
      <c r="F32" s="21">
        <v>398.17500000000001</v>
      </c>
      <c r="G32" s="22">
        <v>1.35E-2</v>
      </c>
      <c r="H32" s="40"/>
      <c r="I32" s="24"/>
      <c r="J32" s="5"/>
    </row>
    <row r="33" spans="1:10" ht="12.95" customHeight="1">
      <c r="A33" s="18" t="s">
        <v>842</v>
      </c>
      <c r="B33" s="19" t="s">
        <v>843</v>
      </c>
      <c r="C33" s="15" t="s">
        <v>844</v>
      </c>
      <c r="D33" s="15" t="s">
        <v>259</v>
      </c>
      <c r="E33" s="20">
        <v>40000</v>
      </c>
      <c r="F33" s="21">
        <v>376.84</v>
      </c>
      <c r="G33" s="22">
        <v>1.2800000000000001E-2</v>
      </c>
      <c r="H33" s="40"/>
      <c r="I33" s="24"/>
      <c r="J33" s="5"/>
    </row>
    <row r="34" spans="1:10" ht="12.95" customHeight="1">
      <c r="A34" s="18" t="s">
        <v>763</v>
      </c>
      <c r="B34" s="19" t="s">
        <v>764</v>
      </c>
      <c r="C34" s="15" t="s">
        <v>765</v>
      </c>
      <c r="D34" s="15" t="s">
        <v>281</v>
      </c>
      <c r="E34" s="20">
        <v>7000</v>
      </c>
      <c r="F34" s="21">
        <v>354.459</v>
      </c>
      <c r="G34" s="22">
        <v>1.2E-2</v>
      </c>
      <c r="H34" s="40"/>
      <c r="I34" s="24"/>
      <c r="J34" s="5"/>
    </row>
    <row r="35" spans="1:10" ht="12.95" customHeight="1">
      <c r="A35" s="18" t="s">
        <v>2466</v>
      </c>
      <c r="B35" s="19" t="s">
        <v>2467</v>
      </c>
      <c r="C35" s="15" t="s">
        <v>2468</v>
      </c>
      <c r="D35" s="15" t="s">
        <v>778</v>
      </c>
      <c r="E35" s="20">
        <v>70000</v>
      </c>
      <c r="F35" s="21">
        <v>349.44</v>
      </c>
      <c r="G35" s="22">
        <v>1.1900000000000001E-2</v>
      </c>
      <c r="H35" s="40"/>
      <c r="I35" s="24"/>
      <c r="J35" s="5"/>
    </row>
    <row r="36" spans="1:10" ht="12.95" customHeight="1">
      <c r="A36" s="18" t="s">
        <v>1823</v>
      </c>
      <c r="B36" s="19" t="s">
        <v>1824</v>
      </c>
      <c r="C36" s="15" t="s">
        <v>1825</v>
      </c>
      <c r="D36" s="15" t="s">
        <v>295</v>
      </c>
      <c r="E36" s="20">
        <v>30865</v>
      </c>
      <c r="F36" s="21">
        <v>336.92230000000001</v>
      </c>
      <c r="G36" s="22">
        <v>1.14E-2</v>
      </c>
      <c r="H36" s="40"/>
      <c r="I36" s="24"/>
      <c r="J36" s="5"/>
    </row>
    <row r="37" spans="1:10" ht="12.95" customHeight="1">
      <c r="A37" s="18" t="s">
        <v>2270</v>
      </c>
      <c r="B37" s="19" t="s">
        <v>2271</v>
      </c>
      <c r="C37" s="15" t="s">
        <v>2272</v>
      </c>
      <c r="D37" s="15" t="s">
        <v>2273</v>
      </c>
      <c r="E37" s="20">
        <v>89920</v>
      </c>
      <c r="F37" s="21">
        <v>324.16160000000002</v>
      </c>
      <c r="G37" s="22">
        <v>1.0999999999999999E-2</v>
      </c>
      <c r="H37" s="40"/>
      <c r="I37" s="24"/>
      <c r="J37" s="5"/>
    </row>
    <row r="38" spans="1:10" ht="12.95" customHeight="1">
      <c r="A38" s="18" t="s">
        <v>359</v>
      </c>
      <c r="B38" s="19" t="s">
        <v>360</v>
      </c>
      <c r="C38" s="15" t="s">
        <v>361</v>
      </c>
      <c r="D38" s="15" t="s">
        <v>255</v>
      </c>
      <c r="E38" s="20">
        <v>140000</v>
      </c>
      <c r="F38" s="21">
        <v>323.68</v>
      </c>
      <c r="G38" s="22">
        <v>1.0999999999999999E-2</v>
      </c>
      <c r="H38" s="40"/>
      <c r="I38" s="24"/>
      <c r="J38" s="5"/>
    </row>
    <row r="39" spans="1:10" ht="12.95" customHeight="1">
      <c r="A39" s="18" t="s">
        <v>730</v>
      </c>
      <c r="B39" s="19" t="s">
        <v>731</v>
      </c>
      <c r="C39" s="15" t="s">
        <v>732</v>
      </c>
      <c r="D39" s="15" t="s">
        <v>281</v>
      </c>
      <c r="E39" s="20">
        <v>20000</v>
      </c>
      <c r="F39" s="21">
        <v>310.85000000000002</v>
      </c>
      <c r="G39" s="22">
        <v>1.06E-2</v>
      </c>
      <c r="H39" s="40"/>
      <c r="I39" s="24"/>
      <c r="J39" s="5"/>
    </row>
    <row r="40" spans="1:10" ht="12.95" customHeight="1">
      <c r="A40" s="18" t="s">
        <v>385</v>
      </c>
      <c r="B40" s="19" t="s">
        <v>386</v>
      </c>
      <c r="C40" s="15" t="s">
        <v>387</v>
      </c>
      <c r="D40" s="15" t="s">
        <v>255</v>
      </c>
      <c r="E40" s="20">
        <v>98638</v>
      </c>
      <c r="F40" s="21">
        <v>297.24560000000002</v>
      </c>
      <c r="G40" s="22">
        <v>1.01E-2</v>
      </c>
      <c r="H40" s="40"/>
      <c r="I40" s="24"/>
      <c r="J40" s="5"/>
    </row>
    <row r="41" spans="1:10" ht="12.95" customHeight="1">
      <c r="A41" s="18" t="s">
        <v>775</v>
      </c>
      <c r="B41" s="19" t="s">
        <v>776</v>
      </c>
      <c r="C41" s="15" t="s">
        <v>777</v>
      </c>
      <c r="D41" s="15" t="s">
        <v>778</v>
      </c>
      <c r="E41" s="20">
        <v>5738</v>
      </c>
      <c r="F41" s="21">
        <v>294.80410000000001</v>
      </c>
      <c r="G41" s="22">
        <v>0.01</v>
      </c>
      <c r="H41" s="40"/>
      <c r="I41" s="24"/>
      <c r="J41" s="5"/>
    </row>
    <row r="42" spans="1:10" ht="12.95" customHeight="1">
      <c r="A42" s="18" t="s">
        <v>256</v>
      </c>
      <c r="B42" s="19" t="s">
        <v>257</v>
      </c>
      <c r="C42" s="15" t="s">
        <v>258</v>
      </c>
      <c r="D42" s="15" t="s">
        <v>259</v>
      </c>
      <c r="E42" s="20">
        <v>50000</v>
      </c>
      <c r="F42" s="21">
        <v>291.7</v>
      </c>
      <c r="G42" s="22">
        <v>9.9000000000000008E-3</v>
      </c>
      <c r="H42" s="40"/>
      <c r="I42" s="24"/>
      <c r="J42" s="5"/>
    </row>
    <row r="43" spans="1:10" ht="12.95" customHeight="1">
      <c r="A43" s="18" t="s">
        <v>742</v>
      </c>
      <c r="B43" s="19" t="s">
        <v>743</v>
      </c>
      <c r="C43" s="15" t="s">
        <v>744</v>
      </c>
      <c r="D43" s="15" t="s">
        <v>745</v>
      </c>
      <c r="E43" s="20">
        <v>25000</v>
      </c>
      <c r="F43" s="21">
        <v>289.66250000000002</v>
      </c>
      <c r="G43" s="22">
        <v>9.7999999999999997E-3</v>
      </c>
      <c r="H43" s="40"/>
      <c r="I43" s="24"/>
      <c r="J43" s="5"/>
    </row>
    <row r="44" spans="1:10" ht="12.95" customHeight="1">
      <c r="A44" s="18" t="s">
        <v>799</v>
      </c>
      <c r="B44" s="19" t="s">
        <v>800</v>
      </c>
      <c r="C44" s="15" t="s">
        <v>801</v>
      </c>
      <c r="D44" s="15" t="s">
        <v>291</v>
      </c>
      <c r="E44" s="20">
        <v>109823</v>
      </c>
      <c r="F44" s="21">
        <v>288.06569999999999</v>
      </c>
      <c r="G44" s="22">
        <v>9.7999999999999997E-3</v>
      </c>
      <c r="H44" s="40"/>
      <c r="I44" s="24"/>
      <c r="J44" s="5"/>
    </row>
    <row r="45" spans="1:10" ht="12.95" customHeight="1">
      <c r="A45" s="18" t="s">
        <v>2170</v>
      </c>
      <c r="B45" s="19" t="s">
        <v>2171</v>
      </c>
      <c r="C45" s="15" t="s">
        <v>2172</v>
      </c>
      <c r="D45" s="15" t="s">
        <v>263</v>
      </c>
      <c r="E45" s="20">
        <v>12000</v>
      </c>
      <c r="F45" s="21">
        <v>285.19200000000001</v>
      </c>
      <c r="G45" s="22">
        <v>9.7000000000000003E-3</v>
      </c>
      <c r="H45" s="40"/>
      <c r="I45" s="24"/>
      <c r="J45" s="5"/>
    </row>
    <row r="46" spans="1:10" ht="12.95" customHeight="1">
      <c r="A46" s="18" t="s">
        <v>723</v>
      </c>
      <c r="B46" s="19" t="s">
        <v>724</v>
      </c>
      <c r="C46" s="15" t="s">
        <v>725</v>
      </c>
      <c r="D46" s="15" t="s">
        <v>726</v>
      </c>
      <c r="E46" s="20">
        <v>30000</v>
      </c>
      <c r="F46" s="21">
        <v>277.92</v>
      </c>
      <c r="G46" s="22">
        <v>9.4000000000000004E-3</v>
      </c>
      <c r="H46" s="40"/>
      <c r="I46" s="24"/>
      <c r="J46" s="5"/>
    </row>
    <row r="47" spans="1:10" ht="12.95" customHeight="1">
      <c r="A47" s="18" t="s">
        <v>325</v>
      </c>
      <c r="B47" s="19" t="s">
        <v>326</v>
      </c>
      <c r="C47" s="15" t="s">
        <v>327</v>
      </c>
      <c r="D47" s="15" t="s">
        <v>306</v>
      </c>
      <c r="E47" s="20">
        <v>200000</v>
      </c>
      <c r="F47" s="21">
        <v>276.60000000000002</v>
      </c>
      <c r="G47" s="22">
        <v>9.4000000000000004E-3</v>
      </c>
      <c r="H47" s="40"/>
      <c r="I47" s="24"/>
      <c r="J47" s="5"/>
    </row>
    <row r="48" spans="1:10" ht="12.95" customHeight="1">
      <c r="A48" s="18" t="s">
        <v>349</v>
      </c>
      <c r="B48" s="19" t="s">
        <v>350</v>
      </c>
      <c r="C48" s="15" t="s">
        <v>351</v>
      </c>
      <c r="D48" s="15" t="s">
        <v>352</v>
      </c>
      <c r="E48" s="20">
        <v>10000</v>
      </c>
      <c r="F48" s="21">
        <v>230.03</v>
      </c>
      <c r="G48" s="22">
        <v>7.7999999999999996E-3</v>
      </c>
      <c r="H48" s="40"/>
      <c r="I48" s="24"/>
      <c r="J48" s="5"/>
    </row>
    <row r="49" spans="1:10" ht="12.95" customHeight="1">
      <c r="A49" s="18" t="s">
        <v>3055</v>
      </c>
      <c r="B49" s="19" t="s">
        <v>3056</v>
      </c>
      <c r="C49" s="15" t="s">
        <v>3057</v>
      </c>
      <c r="D49" s="15" t="s">
        <v>808</v>
      </c>
      <c r="E49" s="20">
        <v>37902</v>
      </c>
      <c r="F49" s="21">
        <v>202.0556</v>
      </c>
      <c r="G49" s="22">
        <v>6.8999999999999999E-3</v>
      </c>
      <c r="H49" s="40"/>
      <c r="I49" s="24"/>
      <c r="J49" s="5"/>
    </row>
    <row r="50" spans="1:10" ht="12.95" customHeight="1">
      <c r="A50" s="18" t="s">
        <v>1891</v>
      </c>
      <c r="B50" s="19" t="s">
        <v>1892</v>
      </c>
      <c r="C50" s="15" t="s">
        <v>1893</v>
      </c>
      <c r="D50" s="15" t="s">
        <v>267</v>
      </c>
      <c r="E50" s="20">
        <v>5676</v>
      </c>
      <c r="F50" s="21">
        <v>180.46559999999999</v>
      </c>
      <c r="G50" s="22">
        <v>6.1000000000000004E-3</v>
      </c>
      <c r="H50" s="40"/>
      <c r="I50" s="24"/>
      <c r="J50" s="5"/>
    </row>
    <row r="51" spans="1:10" ht="12.95" customHeight="1">
      <c r="A51" s="18" t="s">
        <v>3562</v>
      </c>
      <c r="B51" s="19" t="s">
        <v>3563</v>
      </c>
      <c r="C51" s="15" t="s">
        <v>3564</v>
      </c>
      <c r="D51" s="15" t="s">
        <v>302</v>
      </c>
      <c r="E51" s="20">
        <v>40000</v>
      </c>
      <c r="F51" s="21">
        <v>149.26</v>
      </c>
      <c r="G51" s="22">
        <v>5.1000000000000004E-3</v>
      </c>
      <c r="H51" s="40"/>
      <c r="I51" s="24"/>
      <c r="J51" s="5"/>
    </row>
    <row r="52" spans="1:10" ht="12.95" customHeight="1">
      <c r="A52" s="18" t="s">
        <v>2478</v>
      </c>
      <c r="B52" s="19" t="s">
        <v>2479</v>
      </c>
      <c r="C52" s="15" t="s">
        <v>2480</v>
      </c>
      <c r="D52" s="15" t="s">
        <v>259</v>
      </c>
      <c r="E52" s="20">
        <v>6628</v>
      </c>
      <c r="F52" s="21">
        <v>105.49460000000001</v>
      </c>
      <c r="G52" s="22">
        <v>3.5999999999999999E-3</v>
      </c>
      <c r="H52" s="40"/>
      <c r="I52" s="24"/>
      <c r="J52" s="5"/>
    </row>
    <row r="53" spans="1:10" ht="12.95" customHeight="1">
      <c r="A53" s="18" t="s">
        <v>3565</v>
      </c>
      <c r="B53" s="19" t="s">
        <v>3566</v>
      </c>
      <c r="C53" s="15" t="s">
        <v>3567</v>
      </c>
      <c r="D53" s="15" t="s">
        <v>722</v>
      </c>
      <c r="E53" s="20">
        <v>17985</v>
      </c>
      <c r="F53" s="21">
        <v>88.576099999999997</v>
      </c>
      <c r="G53" s="22">
        <v>3.0000000000000001E-3</v>
      </c>
      <c r="H53" s="40"/>
      <c r="I53" s="24"/>
      <c r="J53" s="5"/>
    </row>
    <row r="54" spans="1:10" ht="12.95" customHeight="1">
      <c r="A54" s="18" t="s">
        <v>690</v>
      </c>
      <c r="B54" s="19" t="s">
        <v>691</v>
      </c>
      <c r="C54" s="15" t="s">
        <v>692</v>
      </c>
      <c r="D54" s="15" t="s">
        <v>271</v>
      </c>
      <c r="E54" s="20">
        <v>239</v>
      </c>
      <c r="F54" s="21">
        <v>4.1482999999999999</v>
      </c>
      <c r="G54" s="22">
        <v>1E-4</v>
      </c>
      <c r="H54" s="40"/>
      <c r="I54" s="24"/>
      <c r="J54" s="5"/>
    </row>
    <row r="55" spans="1:10" ht="12.95" customHeight="1">
      <c r="A55" s="5"/>
      <c r="B55" s="14" t="s">
        <v>160</v>
      </c>
      <c r="C55" s="15"/>
      <c r="D55" s="15"/>
      <c r="E55" s="15"/>
      <c r="F55" s="25">
        <v>26106.5887</v>
      </c>
      <c r="G55" s="26">
        <v>0.8871</v>
      </c>
      <c r="H55" s="27"/>
      <c r="I55" s="28"/>
      <c r="J55" s="5"/>
    </row>
    <row r="56" spans="1:10" ht="12.95" customHeight="1">
      <c r="A56" s="5"/>
      <c r="B56" s="29" t="s">
        <v>408</v>
      </c>
      <c r="C56" s="2"/>
      <c r="D56" s="2"/>
      <c r="E56" s="2"/>
      <c r="F56" s="27" t="s">
        <v>162</v>
      </c>
      <c r="G56" s="27" t="s">
        <v>162</v>
      </c>
      <c r="H56" s="27"/>
      <c r="I56" s="28"/>
      <c r="J56" s="5"/>
    </row>
    <row r="57" spans="1:10" ht="12.95" customHeight="1">
      <c r="A57" s="5"/>
      <c r="B57" s="29" t="s">
        <v>160</v>
      </c>
      <c r="C57" s="2"/>
      <c r="D57" s="2"/>
      <c r="E57" s="2"/>
      <c r="F57" s="27" t="s">
        <v>162</v>
      </c>
      <c r="G57" s="27" t="s">
        <v>162</v>
      </c>
      <c r="H57" s="27"/>
      <c r="I57" s="28"/>
      <c r="J57" s="5"/>
    </row>
    <row r="58" spans="1:10" ht="12.95" customHeight="1">
      <c r="A58" s="5"/>
      <c r="B58" s="29" t="s">
        <v>163</v>
      </c>
      <c r="C58" s="30"/>
      <c r="D58" s="2"/>
      <c r="E58" s="30"/>
      <c r="F58" s="25">
        <v>26106.5887</v>
      </c>
      <c r="G58" s="26">
        <v>0.8871</v>
      </c>
      <c r="H58" s="27"/>
      <c r="I58" s="28"/>
      <c r="J58" s="5"/>
    </row>
    <row r="59" spans="1:10" ht="12.95" customHeight="1">
      <c r="A59" s="5"/>
      <c r="B59" s="14" t="s">
        <v>409</v>
      </c>
      <c r="C59" s="15"/>
      <c r="D59" s="15"/>
      <c r="E59" s="15"/>
      <c r="F59" s="15"/>
      <c r="G59" s="15"/>
      <c r="H59" s="16"/>
      <c r="I59" s="17"/>
      <c r="J59" s="5"/>
    </row>
    <row r="60" spans="1:10" ht="12.95" customHeight="1">
      <c r="A60" s="5"/>
      <c r="B60" s="14" t="s">
        <v>3568</v>
      </c>
      <c r="C60" s="15"/>
      <c r="D60" s="15"/>
      <c r="E60" s="15"/>
      <c r="F60" s="5"/>
      <c r="G60" s="16"/>
      <c r="H60" s="16"/>
      <c r="I60" s="17"/>
      <c r="J60" s="5"/>
    </row>
    <row r="61" spans="1:10" ht="12.95" customHeight="1">
      <c r="A61" s="18" t="s">
        <v>3569</v>
      </c>
      <c r="B61" s="19" t="s">
        <v>3570</v>
      </c>
      <c r="C61" s="15"/>
      <c r="D61" s="15"/>
      <c r="E61" s="20">
        <v>13000</v>
      </c>
      <c r="F61" s="21">
        <v>18.973500000000001</v>
      </c>
      <c r="G61" s="22">
        <v>5.9999999999999995E-4</v>
      </c>
      <c r="H61" s="40"/>
      <c r="I61" s="24"/>
      <c r="J61" s="5"/>
    </row>
    <row r="62" spans="1:10" ht="12.95" customHeight="1">
      <c r="A62" s="18" t="s">
        <v>3571</v>
      </c>
      <c r="B62" s="19" t="s">
        <v>3572</v>
      </c>
      <c r="C62" s="15"/>
      <c r="D62" s="15"/>
      <c r="E62" s="20">
        <v>7850</v>
      </c>
      <c r="F62" s="21">
        <v>4.0858999999999996</v>
      </c>
      <c r="G62" s="22">
        <v>1E-4</v>
      </c>
      <c r="H62" s="40"/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23.0594</v>
      </c>
      <c r="G63" s="26">
        <v>8.0000000000000004E-4</v>
      </c>
      <c r="H63" s="27"/>
      <c r="I63" s="28"/>
      <c r="J63" s="5"/>
    </row>
    <row r="64" spans="1:10" ht="12.95" customHeight="1">
      <c r="A64" s="5"/>
      <c r="B64" s="29" t="s">
        <v>163</v>
      </c>
      <c r="C64" s="30"/>
      <c r="D64" s="2"/>
      <c r="E64" s="30"/>
      <c r="F64" s="25">
        <v>23.0594</v>
      </c>
      <c r="G64" s="26">
        <v>8.0000000000000004E-4</v>
      </c>
      <c r="H64" s="27"/>
      <c r="I64" s="28"/>
      <c r="J64" s="5"/>
    </row>
    <row r="65" spans="1:10" ht="12.95" customHeight="1">
      <c r="A65" s="5"/>
      <c r="B65" s="14" t="s">
        <v>151</v>
      </c>
      <c r="C65" s="15"/>
      <c r="D65" s="15"/>
      <c r="E65" s="15"/>
      <c r="F65" s="15"/>
      <c r="G65" s="15"/>
      <c r="H65" s="16"/>
      <c r="I65" s="17"/>
      <c r="J65" s="5"/>
    </row>
    <row r="66" spans="1:10" ht="12.95" customHeight="1">
      <c r="A66" s="5"/>
      <c r="B66" s="14" t="s">
        <v>152</v>
      </c>
      <c r="C66" s="15"/>
      <c r="D66" s="15"/>
      <c r="E66" s="15"/>
      <c r="F66" s="5"/>
      <c r="G66" s="16"/>
      <c r="H66" s="16"/>
      <c r="I66" s="17"/>
      <c r="J66" s="5"/>
    </row>
    <row r="67" spans="1:10" ht="12.95" customHeight="1">
      <c r="A67" s="18" t="s">
        <v>1655</v>
      </c>
      <c r="B67" s="19" t="s">
        <v>1656</v>
      </c>
      <c r="C67" s="15" t="s">
        <v>1657</v>
      </c>
      <c r="D67" s="15" t="s">
        <v>156</v>
      </c>
      <c r="E67" s="20">
        <v>500000</v>
      </c>
      <c r="F67" s="21">
        <v>500.38749999999999</v>
      </c>
      <c r="G67" s="22">
        <v>1.7000000000000001E-2</v>
      </c>
      <c r="H67" s="23">
        <v>7.3776999999999995E-2</v>
      </c>
      <c r="I67" s="24"/>
      <c r="J67" s="5"/>
    </row>
    <row r="68" spans="1:10" ht="12.95" customHeight="1">
      <c r="A68" s="18" t="s">
        <v>899</v>
      </c>
      <c r="B68" s="19" t="s">
        <v>900</v>
      </c>
      <c r="C68" s="15" t="s">
        <v>901</v>
      </c>
      <c r="D68" s="15" t="s">
        <v>156</v>
      </c>
      <c r="E68" s="20">
        <v>500000</v>
      </c>
      <c r="F68" s="21">
        <v>499.85149999999999</v>
      </c>
      <c r="G68" s="22">
        <v>1.7000000000000001E-2</v>
      </c>
      <c r="H68" s="23">
        <v>7.3948E-2</v>
      </c>
      <c r="I68" s="24"/>
      <c r="J68" s="5"/>
    </row>
    <row r="69" spans="1:10" ht="12.95" customHeight="1">
      <c r="A69" s="18" t="s">
        <v>3550</v>
      </c>
      <c r="B69" s="19" t="s">
        <v>3551</v>
      </c>
      <c r="C69" s="15" t="s">
        <v>3552</v>
      </c>
      <c r="D69" s="15" t="s">
        <v>1034</v>
      </c>
      <c r="E69" s="20">
        <v>50</v>
      </c>
      <c r="F69" s="21">
        <v>498.39350000000002</v>
      </c>
      <c r="G69" s="22">
        <v>1.6899999999999998E-2</v>
      </c>
      <c r="H69" s="23">
        <v>7.8760999999999998E-2</v>
      </c>
      <c r="I69" s="41">
        <v>7.8946965999999993E-2</v>
      </c>
      <c r="J69" s="5"/>
    </row>
    <row r="70" spans="1:10" ht="12.95" customHeight="1">
      <c r="A70" s="18" t="s">
        <v>3553</v>
      </c>
      <c r="B70" s="19" t="s">
        <v>3554</v>
      </c>
      <c r="C70" s="15" t="s">
        <v>3555</v>
      </c>
      <c r="D70" s="15" t="s">
        <v>1034</v>
      </c>
      <c r="E70" s="20">
        <v>50</v>
      </c>
      <c r="F70" s="21">
        <v>493.738</v>
      </c>
      <c r="G70" s="22">
        <v>1.6799999999999999E-2</v>
      </c>
      <c r="H70" s="23">
        <v>7.9232999999999998E-2</v>
      </c>
      <c r="I70" s="41">
        <v>8.0197737000000005E-2</v>
      </c>
      <c r="J70" s="5"/>
    </row>
    <row r="71" spans="1:10" ht="12.95" customHeight="1">
      <c r="A71" s="18" t="s">
        <v>514</v>
      </c>
      <c r="B71" s="19" t="s">
        <v>515</v>
      </c>
      <c r="C71" s="15" t="s">
        <v>516</v>
      </c>
      <c r="D71" s="15" t="s">
        <v>156</v>
      </c>
      <c r="E71" s="20">
        <v>200000</v>
      </c>
      <c r="F71" s="21">
        <v>201.39320000000001</v>
      </c>
      <c r="G71" s="22">
        <v>6.7999999999999996E-3</v>
      </c>
      <c r="H71" s="23">
        <v>7.3759000000000005E-2</v>
      </c>
      <c r="I71" s="41"/>
      <c r="J71" s="5"/>
    </row>
    <row r="72" spans="1:10" ht="12.95" customHeight="1">
      <c r="A72" s="5"/>
      <c r="B72" s="14" t="s">
        <v>160</v>
      </c>
      <c r="C72" s="15"/>
      <c r="D72" s="15"/>
      <c r="E72" s="15"/>
      <c r="F72" s="25">
        <v>2193.7637</v>
      </c>
      <c r="G72" s="26">
        <v>7.4499999999999997E-2</v>
      </c>
      <c r="H72" s="27"/>
      <c r="I72" s="28"/>
      <c r="J72" s="5"/>
    </row>
    <row r="73" spans="1:10" ht="12.95" customHeight="1">
      <c r="A73" s="5"/>
      <c r="B73" s="29" t="s">
        <v>161</v>
      </c>
      <c r="C73" s="2"/>
      <c r="D73" s="2"/>
      <c r="E73" s="2"/>
      <c r="F73" s="27" t="s">
        <v>162</v>
      </c>
      <c r="G73" s="27" t="s">
        <v>162</v>
      </c>
      <c r="H73" s="27"/>
      <c r="I73" s="28"/>
      <c r="J73" s="5"/>
    </row>
    <row r="74" spans="1:10" ht="12.95" customHeight="1">
      <c r="A74" s="5"/>
      <c r="B74" s="29" t="s">
        <v>160</v>
      </c>
      <c r="C74" s="2"/>
      <c r="D74" s="2"/>
      <c r="E74" s="2"/>
      <c r="F74" s="27" t="s">
        <v>162</v>
      </c>
      <c r="G74" s="27" t="s">
        <v>162</v>
      </c>
      <c r="H74" s="27"/>
      <c r="I74" s="28"/>
      <c r="J74" s="5"/>
    </row>
    <row r="75" spans="1:10" ht="12.95" customHeight="1">
      <c r="A75" s="5"/>
      <c r="B75" s="29" t="s">
        <v>163</v>
      </c>
      <c r="C75" s="30"/>
      <c r="D75" s="2"/>
      <c r="E75" s="30"/>
      <c r="F75" s="25">
        <v>2193.7637</v>
      </c>
      <c r="G75" s="26">
        <v>7.4499999999999997E-2</v>
      </c>
      <c r="H75" s="27"/>
      <c r="I75" s="28"/>
      <c r="J75" s="5"/>
    </row>
    <row r="76" spans="1:10" ht="12.95" customHeight="1">
      <c r="A76" s="5"/>
      <c r="B76" s="14" t="s">
        <v>208</v>
      </c>
      <c r="C76" s="15"/>
      <c r="D76" s="15"/>
      <c r="E76" s="15"/>
      <c r="F76" s="15"/>
      <c r="G76" s="15"/>
      <c r="H76" s="16"/>
      <c r="I76" s="17"/>
      <c r="J76" s="5"/>
    </row>
    <row r="77" spans="1:10" ht="12.95" customHeight="1">
      <c r="A77" s="5"/>
      <c r="B77" s="14" t="s">
        <v>213</v>
      </c>
      <c r="C77" s="15"/>
      <c r="D77" s="15"/>
      <c r="E77" s="15"/>
      <c r="F77" s="5"/>
      <c r="G77" s="16"/>
      <c r="H77" s="16"/>
      <c r="I77" s="17"/>
      <c r="J77" s="5"/>
    </row>
    <row r="78" spans="1:10" ht="12.95" customHeight="1">
      <c r="A78" s="18" t="s">
        <v>3556</v>
      </c>
      <c r="B78" s="19" t="s">
        <v>3557</v>
      </c>
      <c r="C78" s="15" t="s">
        <v>3558</v>
      </c>
      <c r="D78" s="15"/>
      <c r="E78" s="20">
        <v>34998.250099999997</v>
      </c>
      <c r="F78" s="21">
        <v>371.0616</v>
      </c>
      <c r="G78" s="22">
        <v>1.26E-2</v>
      </c>
      <c r="H78" s="23"/>
      <c r="I78" s="41"/>
      <c r="J78" s="5"/>
    </row>
    <row r="79" spans="1:10" ht="12.95" customHeight="1">
      <c r="A79" s="5"/>
      <c r="B79" s="14" t="s">
        <v>160</v>
      </c>
      <c r="C79" s="15"/>
      <c r="D79" s="15"/>
      <c r="E79" s="15"/>
      <c r="F79" s="25">
        <v>371.0616</v>
      </c>
      <c r="G79" s="26">
        <v>1.26E-2</v>
      </c>
      <c r="H79" s="27"/>
      <c r="I79" s="28"/>
      <c r="J79" s="5"/>
    </row>
    <row r="80" spans="1:10" ht="12.95" customHeight="1">
      <c r="A80" s="5"/>
      <c r="B80" s="29" t="s">
        <v>163</v>
      </c>
      <c r="C80" s="30"/>
      <c r="D80" s="2"/>
      <c r="E80" s="30"/>
      <c r="F80" s="25">
        <v>371.0616</v>
      </c>
      <c r="G80" s="26">
        <v>1.26E-2</v>
      </c>
      <c r="H80" s="27"/>
      <c r="I80" s="28"/>
      <c r="J80" s="5"/>
    </row>
    <row r="81" spans="1:10" ht="12.95" customHeight="1">
      <c r="A81" s="5"/>
      <c r="B81" s="14" t="s">
        <v>164</v>
      </c>
      <c r="C81" s="15"/>
      <c r="D81" s="15"/>
      <c r="E81" s="15"/>
      <c r="F81" s="15"/>
      <c r="G81" s="15"/>
      <c r="H81" s="16"/>
      <c r="I81" s="17"/>
      <c r="J81" s="5"/>
    </row>
    <row r="82" spans="1:10" ht="12.95" customHeight="1">
      <c r="A82" s="18" t="s">
        <v>165</v>
      </c>
      <c r="B82" s="19" t="s">
        <v>166</v>
      </c>
      <c r="C82" s="15"/>
      <c r="D82" s="15"/>
      <c r="E82" s="20"/>
      <c r="F82" s="21">
        <v>60.497500000000002</v>
      </c>
      <c r="G82" s="22">
        <v>2.0999999999999999E-3</v>
      </c>
      <c r="H82" s="23">
        <v>6.7996924658758007E-2</v>
      </c>
      <c r="I82" s="41"/>
      <c r="J82" s="5"/>
    </row>
    <row r="83" spans="1:10" ht="12.95" customHeight="1">
      <c r="A83" s="5"/>
      <c r="B83" s="14" t="s">
        <v>160</v>
      </c>
      <c r="C83" s="15"/>
      <c r="D83" s="15"/>
      <c r="E83" s="15"/>
      <c r="F83" s="25">
        <v>60.497500000000002</v>
      </c>
      <c r="G83" s="26">
        <v>2.0999999999999999E-3</v>
      </c>
      <c r="H83" s="27"/>
      <c r="I83" s="28"/>
      <c r="J83" s="5"/>
    </row>
    <row r="84" spans="1:10" ht="12.95" customHeight="1">
      <c r="A84" s="5"/>
      <c r="B84" s="29" t="s">
        <v>163</v>
      </c>
      <c r="C84" s="30"/>
      <c r="D84" s="2"/>
      <c r="E84" s="30"/>
      <c r="F84" s="25">
        <v>60.497500000000002</v>
      </c>
      <c r="G84" s="26">
        <v>2.0999999999999999E-3</v>
      </c>
      <c r="H84" s="27"/>
      <c r="I84" s="28"/>
      <c r="J84" s="5"/>
    </row>
    <row r="85" spans="1:10" ht="12.95" customHeight="1">
      <c r="A85" s="5"/>
      <c r="B85" s="29" t="s">
        <v>167</v>
      </c>
      <c r="C85" s="15"/>
      <c r="D85" s="2"/>
      <c r="E85" s="15"/>
      <c r="F85" s="31">
        <v>673.16909999999996</v>
      </c>
      <c r="G85" s="26">
        <v>2.29E-2</v>
      </c>
      <c r="H85" s="27"/>
      <c r="I85" s="28"/>
      <c r="J85" s="5"/>
    </row>
    <row r="86" spans="1:10" ht="12.95" customHeight="1">
      <c r="A86" s="5"/>
      <c r="B86" s="32" t="s">
        <v>168</v>
      </c>
      <c r="C86" s="33"/>
      <c r="D86" s="33"/>
      <c r="E86" s="33"/>
      <c r="F86" s="34">
        <v>29428.14</v>
      </c>
      <c r="G86" s="35">
        <v>1</v>
      </c>
      <c r="H86" s="36"/>
      <c r="I86" s="37"/>
      <c r="J86" s="5"/>
    </row>
    <row r="87" spans="1:10" ht="12.95" customHeight="1">
      <c r="A87" s="5"/>
      <c r="B87" s="7"/>
      <c r="C87" s="5"/>
      <c r="D87" s="5"/>
      <c r="E87" s="5"/>
      <c r="F87" s="5"/>
      <c r="G87" s="5"/>
      <c r="H87" s="5"/>
      <c r="I87" s="5"/>
      <c r="J87" s="5"/>
    </row>
    <row r="88" spans="1:10" ht="12.95" customHeight="1">
      <c r="A88" s="5"/>
      <c r="B88" s="4" t="s">
        <v>169</v>
      </c>
      <c r="C88" s="5"/>
      <c r="D88" s="5"/>
      <c r="E88" s="5"/>
      <c r="F88" s="5"/>
      <c r="G88" s="5"/>
      <c r="H88" s="5"/>
      <c r="I88" s="5"/>
      <c r="J88" s="5"/>
    </row>
    <row r="89" spans="1:10" ht="12.95" customHeight="1">
      <c r="A89" s="5"/>
      <c r="B89" s="4" t="s">
        <v>207</v>
      </c>
      <c r="C89" s="5"/>
      <c r="D89" s="5"/>
      <c r="E89" s="5"/>
      <c r="F89" s="5"/>
      <c r="G89" s="5"/>
      <c r="H89" s="5"/>
      <c r="I89" s="5"/>
      <c r="J89" s="5"/>
    </row>
    <row r="90" spans="1:10" ht="12.95" customHeight="1">
      <c r="A90" s="5"/>
      <c r="B90" s="4" t="s">
        <v>170</v>
      </c>
      <c r="C90" s="5"/>
      <c r="D90" s="5"/>
      <c r="E90" s="5"/>
      <c r="F90" s="5"/>
      <c r="G90" s="5"/>
      <c r="H90" s="5"/>
      <c r="I90" s="5"/>
      <c r="J90" s="5"/>
    </row>
    <row r="91" spans="1:10" ht="26.1" customHeight="1">
      <c r="A91" s="5"/>
      <c r="B91" s="86" t="s">
        <v>171</v>
      </c>
      <c r="C91" s="86"/>
      <c r="D91" s="86"/>
      <c r="E91" s="86"/>
      <c r="F91" s="86"/>
      <c r="G91" s="86"/>
      <c r="H91" s="86"/>
      <c r="I91" s="86"/>
      <c r="J91" s="5"/>
    </row>
    <row r="92" spans="1:10" ht="12.95" customHeight="1">
      <c r="A92" s="5"/>
      <c r="B92" s="86"/>
      <c r="C92" s="86"/>
      <c r="D92" s="86"/>
      <c r="E92" s="86"/>
      <c r="F92" s="86"/>
      <c r="G92" s="86"/>
      <c r="H92" s="86"/>
      <c r="I92" s="86"/>
      <c r="J92" s="5"/>
    </row>
    <row r="93" spans="1:10" ht="12.95" customHeight="1">
      <c r="A93" s="5"/>
      <c r="B93" s="86"/>
      <c r="C93" s="86"/>
      <c r="D93" s="86"/>
      <c r="E93" s="86"/>
      <c r="F93" s="86"/>
      <c r="G93" s="86"/>
      <c r="H93" s="86"/>
      <c r="I93" s="86"/>
      <c r="J93" s="5"/>
    </row>
    <row r="94" spans="1:10" ht="12.95" customHeight="1">
      <c r="A94" s="5"/>
      <c r="B94" s="5"/>
      <c r="C94" s="87" t="s">
        <v>4283</v>
      </c>
      <c r="D94" s="87"/>
      <c r="E94" s="87"/>
      <c r="F94" s="87"/>
      <c r="G94" s="5"/>
      <c r="H94" s="5"/>
      <c r="I94" s="5"/>
      <c r="J94" s="5"/>
    </row>
    <row r="95" spans="1:10" ht="12.95" customHeight="1">
      <c r="A95" s="5"/>
      <c r="B95" s="38" t="s">
        <v>173</v>
      </c>
      <c r="C95" s="87" t="s">
        <v>174</v>
      </c>
      <c r="D95" s="87"/>
      <c r="E95" s="87"/>
      <c r="F95" s="87"/>
      <c r="G95" s="5"/>
      <c r="H95" s="5"/>
      <c r="I95" s="5"/>
      <c r="J95" s="5"/>
    </row>
    <row r="96" spans="1:10" ht="120.95" customHeight="1">
      <c r="A96" s="5"/>
      <c r="B96" s="5"/>
      <c r="C96" s="85"/>
      <c r="D96" s="85"/>
      <c r="E96" s="5"/>
      <c r="F96" s="5"/>
      <c r="G96" s="5"/>
      <c r="H96" s="5"/>
      <c r="I96" s="5"/>
      <c r="J96" s="5"/>
    </row>
  </sheetData>
  <mergeCells count="6">
    <mergeCell ref="C96:D96"/>
    <mergeCell ref="B91:I91"/>
    <mergeCell ref="B92:I92"/>
    <mergeCell ref="B93:I93"/>
    <mergeCell ref="C94:F94"/>
    <mergeCell ref="C95:F95"/>
  </mergeCells>
  <hyperlinks>
    <hyperlink ref="A1" location="AxisRetirementSavingsFundDynamicPlan" display="AXISRDP" xr:uid="{00000000-0004-0000-3700-000000000000}"/>
    <hyperlink ref="B1" location="AxisRetirementSavingsFundDynamicPlan" display="Axis Retirement Savings Fund - Dynamic Plan" xr:uid="{00000000-0004-0000-3700-000001000000}"/>
  </hyperlinks>
  <pageMargins left="0" right="0" top="0" bottom="0" header="0" footer="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/>
  </sheetPr>
  <dimension ref="A1:J12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114</v>
      </c>
      <c r="B1" s="4" t="s">
        <v>115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3071</v>
      </c>
      <c r="B7" s="19" t="s">
        <v>3072</v>
      </c>
      <c r="C7" s="15" t="s">
        <v>3073</v>
      </c>
      <c r="D7" s="15" t="s">
        <v>778</v>
      </c>
      <c r="E7" s="20">
        <v>6754348</v>
      </c>
      <c r="F7" s="21">
        <v>73318.447499999995</v>
      </c>
      <c r="G7" s="22">
        <v>4.53E-2</v>
      </c>
      <c r="H7" s="40"/>
      <c r="I7" s="24"/>
      <c r="J7" s="5"/>
    </row>
    <row r="8" spans="1:10" ht="12.95" customHeight="1">
      <c r="A8" s="18" t="s">
        <v>272</v>
      </c>
      <c r="B8" s="19" t="s">
        <v>273</v>
      </c>
      <c r="C8" s="15" t="s">
        <v>274</v>
      </c>
      <c r="D8" s="15" t="s">
        <v>255</v>
      </c>
      <c r="E8" s="20">
        <v>5339897</v>
      </c>
      <c r="F8" s="21">
        <v>61966.834699999999</v>
      </c>
      <c r="G8" s="22">
        <v>3.8300000000000001E-2</v>
      </c>
      <c r="H8" s="40"/>
      <c r="I8" s="24"/>
      <c r="J8" s="5"/>
    </row>
    <row r="9" spans="1:10" ht="12.95" customHeight="1">
      <c r="A9" s="18" t="s">
        <v>1724</v>
      </c>
      <c r="B9" s="19" t="s">
        <v>1725</v>
      </c>
      <c r="C9" s="15" t="s">
        <v>1726</v>
      </c>
      <c r="D9" s="15" t="s">
        <v>263</v>
      </c>
      <c r="E9" s="20">
        <v>10963846</v>
      </c>
      <c r="F9" s="21">
        <v>52993.749600000003</v>
      </c>
      <c r="G9" s="22">
        <v>3.2800000000000003E-2</v>
      </c>
      <c r="H9" s="40"/>
      <c r="I9" s="24"/>
      <c r="J9" s="5"/>
    </row>
    <row r="10" spans="1:10" ht="12.95" customHeight="1">
      <c r="A10" s="18" t="s">
        <v>3068</v>
      </c>
      <c r="B10" s="19" t="s">
        <v>3069</v>
      </c>
      <c r="C10" s="15" t="s">
        <v>3070</v>
      </c>
      <c r="D10" s="15" t="s">
        <v>778</v>
      </c>
      <c r="E10" s="20">
        <v>2429347</v>
      </c>
      <c r="F10" s="21">
        <v>48023.3315</v>
      </c>
      <c r="G10" s="22">
        <v>2.9700000000000001E-2</v>
      </c>
      <c r="H10" s="40"/>
      <c r="I10" s="24"/>
      <c r="J10" s="5"/>
    </row>
    <row r="11" spans="1:10" ht="12.95" customHeight="1">
      <c r="A11" s="18" t="s">
        <v>3080</v>
      </c>
      <c r="B11" s="19" t="s">
        <v>3081</v>
      </c>
      <c r="C11" s="15" t="s">
        <v>3082</v>
      </c>
      <c r="D11" s="15" t="s">
        <v>310</v>
      </c>
      <c r="E11" s="20">
        <v>7234610</v>
      </c>
      <c r="F11" s="21">
        <v>46713.876799999998</v>
      </c>
      <c r="G11" s="22">
        <v>2.8899999999999999E-2</v>
      </c>
      <c r="H11" s="40"/>
      <c r="I11" s="24"/>
      <c r="J11" s="5"/>
    </row>
    <row r="12" spans="1:10" ht="12.95" customHeight="1">
      <c r="A12" s="18" t="s">
        <v>331</v>
      </c>
      <c r="B12" s="19" t="s">
        <v>332</v>
      </c>
      <c r="C12" s="15" t="s">
        <v>333</v>
      </c>
      <c r="D12" s="15" t="s">
        <v>334</v>
      </c>
      <c r="E12" s="20">
        <v>7939846</v>
      </c>
      <c r="F12" s="21">
        <v>45086.415500000003</v>
      </c>
      <c r="G12" s="22">
        <v>2.7900000000000001E-2</v>
      </c>
      <c r="H12" s="40"/>
      <c r="I12" s="24"/>
      <c r="J12" s="5"/>
    </row>
    <row r="13" spans="1:10" ht="12.95" customHeight="1">
      <c r="A13" s="18" t="s">
        <v>3074</v>
      </c>
      <c r="B13" s="19" t="s">
        <v>3075</v>
      </c>
      <c r="C13" s="15" t="s">
        <v>3076</v>
      </c>
      <c r="D13" s="15" t="s">
        <v>324</v>
      </c>
      <c r="E13" s="20">
        <v>5097614</v>
      </c>
      <c r="F13" s="21">
        <v>44614.3177</v>
      </c>
      <c r="G13" s="22">
        <v>2.76E-2</v>
      </c>
      <c r="H13" s="40"/>
      <c r="I13" s="24"/>
      <c r="J13" s="5"/>
    </row>
    <row r="14" spans="1:10" ht="12.95" customHeight="1">
      <c r="A14" s="18" t="s">
        <v>3077</v>
      </c>
      <c r="B14" s="19" t="s">
        <v>3078</v>
      </c>
      <c r="C14" s="15" t="s">
        <v>3079</v>
      </c>
      <c r="D14" s="15" t="s">
        <v>314</v>
      </c>
      <c r="E14" s="20">
        <v>1706429</v>
      </c>
      <c r="F14" s="21">
        <v>43380.838000000003</v>
      </c>
      <c r="G14" s="22">
        <v>2.6800000000000001E-2</v>
      </c>
      <c r="H14" s="40"/>
      <c r="I14" s="24"/>
      <c r="J14" s="5"/>
    </row>
    <row r="15" spans="1:10" ht="12.95" customHeight="1">
      <c r="A15" s="18" t="s">
        <v>2161</v>
      </c>
      <c r="B15" s="19" t="s">
        <v>2162</v>
      </c>
      <c r="C15" s="15" t="s">
        <v>2163</v>
      </c>
      <c r="D15" s="15" t="s">
        <v>314</v>
      </c>
      <c r="E15" s="20">
        <v>865370</v>
      </c>
      <c r="F15" s="21">
        <v>41495.356899999999</v>
      </c>
      <c r="G15" s="22">
        <v>2.5700000000000001E-2</v>
      </c>
      <c r="H15" s="40"/>
      <c r="I15" s="24"/>
      <c r="J15" s="5"/>
    </row>
    <row r="16" spans="1:10" ht="12.95" customHeight="1">
      <c r="A16" s="18" t="s">
        <v>878</v>
      </c>
      <c r="B16" s="19" t="s">
        <v>879</v>
      </c>
      <c r="C16" s="15" t="s">
        <v>880</v>
      </c>
      <c r="D16" s="15" t="s">
        <v>255</v>
      </c>
      <c r="E16" s="20">
        <v>5243788</v>
      </c>
      <c r="F16" s="21">
        <v>40104.490599999997</v>
      </c>
      <c r="G16" s="22">
        <v>2.4799999999999999E-2</v>
      </c>
      <c r="H16" s="40"/>
      <c r="I16" s="24"/>
      <c r="J16" s="5"/>
    </row>
    <row r="17" spans="1:10" ht="12.95" customHeight="1">
      <c r="A17" s="18" t="s">
        <v>296</v>
      </c>
      <c r="B17" s="19" t="s">
        <v>297</v>
      </c>
      <c r="C17" s="15" t="s">
        <v>298</v>
      </c>
      <c r="D17" s="15" t="s">
        <v>259</v>
      </c>
      <c r="E17" s="20">
        <v>7150065</v>
      </c>
      <c r="F17" s="21">
        <v>34373.9375</v>
      </c>
      <c r="G17" s="22">
        <v>2.1299999999999999E-2</v>
      </c>
      <c r="H17" s="40"/>
      <c r="I17" s="24"/>
      <c r="J17" s="5"/>
    </row>
    <row r="18" spans="1:10" ht="12.95" customHeight="1">
      <c r="A18" s="18" t="s">
        <v>292</v>
      </c>
      <c r="B18" s="19" t="s">
        <v>293</v>
      </c>
      <c r="C18" s="15" t="s">
        <v>294</v>
      </c>
      <c r="D18" s="15" t="s">
        <v>295</v>
      </c>
      <c r="E18" s="20">
        <v>4405014</v>
      </c>
      <c r="F18" s="21">
        <v>32870.214500000002</v>
      </c>
      <c r="G18" s="22">
        <v>2.0299999999999999E-2</v>
      </c>
      <c r="H18" s="40"/>
      <c r="I18" s="24"/>
      <c r="J18" s="5"/>
    </row>
    <row r="19" spans="1:10" ht="12.95" customHeight="1">
      <c r="A19" s="18" t="s">
        <v>3573</v>
      </c>
      <c r="B19" s="19" t="s">
        <v>3574</v>
      </c>
      <c r="C19" s="15" t="s">
        <v>3575</v>
      </c>
      <c r="D19" s="15" t="s">
        <v>267</v>
      </c>
      <c r="E19" s="20">
        <v>4795921</v>
      </c>
      <c r="F19" s="21">
        <v>30955.272099999998</v>
      </c>
      <c r="G19" s="22">
        <v>1.9099999999999999E-2</v>
      </c>
      <c r="H19" s="40"/>
      <c r="I19" s="24"/>
      <c r="J19" s="5"/>
    </row>
    <row r="20" spans="1:10" ht="12.95" customHeight="1">
      <c r="A20" s="18" t="s">
        <v>863</v>
      </c>
      <c r="B20" s="19" t="s">
        <v>864</v>
      </c>
      <c r="C20" s="15" t="s">
        <v>865</v>
      </c>
      <c r="D20" s="15" t="s">
        <v>745</v>
      </c>
      <c r="E20" s="20">
        <v>2068218</v>
      </c>
      <c r="F20" s="21">
        <v>30653.059000000001</v>
      </c>
      <c r="G20" s="22">
        <v>1.9E-2</v>
      </c>
      <c r="H20" s="40"/>
      <c r="I20" s="24"/>
      <c r="J20" s="5"/>
    </row>
    <row r="21" spans="1:10" ht="12.95" customHeight="1">
      <c r="A21" s="18" t="s">
        <v>362</v>
      </c>
      <c r="B21" s="19" t="s">
        <v>363</v>
      </c>
      <c r="C21" s="15" t="s">
        <v>364</v>
      </c>
      <c r="D21" s="15" t="s">
        <v>314</v>
      </c>
      <c r="E21" s="20">
        <v>5796049</v>
      </c>
      <c r="F21" s="21">
        <v>28061.571199999998</v>
      </c>
      <c r="G21" s="22">
        <v>1.7299999999999999E-2</v>
      </c>
      <c r="H21" s="40"/>
      <c r="I21" s="24"/>
      <c r="J21" s="5"/>
    </row>
    <row r="22" spans="1:10" ht="12.95" customHeight="1">
      <c r="A22" s="18" t="s">
        <v>3576</v>
      </c>
      <c r="B22" s="19" t="s">
        <v>3577</v>
      </c>
      <c r="C22" s="15" t="s">
        <v>3578</v>
      </c>
      <c r="D22" s="15" t="s">
        <v>722</v>
      </c>
      <c r="E22" s="20">
        <v>3931533</v>
      </c>
      <c r="F22" s="21">
        <v>27660.3004</v>
      </c>
      <c r="G22" s="22">
        <v>1.7100000000000001E-2</v>
      </c>
      <c r="H22" s="40"/>
      <c r="I22" s="24"/>
      <c r="J22" s="5"/>
    </row>
    <row r="23" spans="1:10" ht="12.95" customHeight="1">
      <c r="A23" s="18" t="s">
        <v>833</v>
      </c>
      <c r="B23" s="19" t="s">
        <v>834</v>
      </c>
      <c r="C23" s="15" t="s">
        <v>835</v>
      </c>
      <c r="D23" s="15" t="s">
        <v>306</v>
      </c>
      <c r="E23" s="20">
        <v>1071711</v>
      </c>
      <c r="F23" s="21">
        <v>27195.738300000001</v>
      </c>
      <c r="G23" s="22">
        <v>1.6799999999999999E-2</v>
      </c>
      <c r="H23" s="40"/>
      <c r="I23" s="24"/>
      <c r="J23" s="5"/>
    </row>
    <row r="24" spans="1:10" ht="12.95" customHeight="1">
      <c r="A24" s="18" t="s">
        <v>1572</v>
      </c>
      <c r="B24" s="19" t="s">
        <v>1573</v>
      </c>
      <c r="C24" s="15" t="s">
        <v>1574</v>
      </c>
      <c r="D24" s="15" t="s">
        <v>263</v>
      </c>
      <c r="E24" s="20">
        <v>459516</v>
      </c>
      <c r="F24" s="21">
        <v>26636.763999999999</v>
      </c>
      <c r="G24" s="22">
        <v>1.6500000000000001E-2</v>
      </c>
      <c r="H24" s="40"/>
      <c r="I24" s="24"/>
      <c r="J24" s="5"/>
    </row>
    <row r="25" spans="1:10" ht="12.95" customHeight="1">
      <c r="A25" s="18" t="s">
        <v>349</v>
      </c>
      <c r="B25" s="19" t="s">
        <v>350</v>
      </c>
      <c r="C25" s="15" t="s">
        <v>351</v>
      </c>
      <c r="D25" s="15" t="s">
        <v>352</v>
      </c>
      <c r="E25" s="20">
        <v>1121970</v>
      </c>
      <c r="F25" s="21">
        <v>25808.675899999998</v>
      </c>
      <c r="G25" s="22">
        <v>1.6E-2</v>
      </c>
      <c r="H25" s="40"/>
      <c r="I25" s="24"/>
      <c r="J25" s="5"/>
    </row>
    <row r="26" spans="1:10" ht="12.95" customHeight="1">
      <c r="A26" s="18" t="s">
        <v>2219</v>
      </c>
      <c r="B26" s="19" t="s">
        <v>2220</v>
      </c>
      <c r="C26" s="15" t="s">
        <v>2221</v>
      </c>
      <c r="D26" s="15" t="s">
        <v>259</v>
      </c>
      <c r="E26" s="20">
        <v>513083</v>
      </c>
      <c r="F26" s="21">
        <v>23783.705900000001</v>
      </c>
      <c r="G26" s="22">
        <v>1.47E-2</v>
      </c>
      <c r="H26" s="40"/>
      <c r="I26" s="24"/>
      <c r="J26" s="5"/>
    </row>
    <row r="27" spans="1:10" ht="12.95" customHeight="1">
      <c r="A27" s="18" t="s">
        <v>2469</v>
      </c>
      <c r="B27" s="19" t="s">
        <v>2470</v>
      </c>
      <c r="C27" s="15" t="s">
        <v>2471</v>
      </c>
      <c r="D27" s="15" t="s">
        <v>295</v>
      </c>
      <c r="E27" s="20">
        <v>1133983</v>
      </c>
      <c r="F27" s="21">
        <v>23571.5376</v>
      </c>
      <c r="G27" s="22">
        <v>1.46E-2</v>
      </c>
      <c r="H27" s="40"/>
      <c r="I27" s="24"/>
      <c r="J27" s="5"/>
    </row>
    <row r="28" spans="1:10" ht="12.95" customHeight="1">
      <c r="A28" s="18" t="s">
        <v>278</v>
      </c>
      <c r="B28" s="19" t="s">
        <v>279</v>
      </c>
      <c r="C28" s="15" t="s">
        <v>280</v>
      </c>
      <c r="D28" s="15" t="s">
        <v>281</v>
      </c>
      <c r="E28" s="20">
        <v>3627758</v>
      </c>
      <c r="F28" s="21">
        <v>22862.1309</v>
      </c>
      <c r="G28" s="22">
        <v>1.41E-2</v>
      </c>
      <c r="H28" s="40"/>
      <c r="I28" s="24"/>
      <c r="J28" s="5"/>
    </row>
    <row r="29" spans="1:10" ht="12.95" customHeight="1">
      <c r="A29" s="18" t="s">
        <v>1847</v>
      </c>
      <c r="B29" s="19" t="s">
        <v>1848</v>
      </c>
      <c r="C29" s="15" t="s">
        <v>1849</v>
      </c>
      <c r="D29" s="15" t="s">
        <v>271</v>
      </c>
      <c r="E29" s="20">
        <v>17624283</v>
      </c>
      <c r="F29" s="21">
        <v>22329.9666</v>
      </c>
      <c r="G29" s="22">
        <v>1.38E-2</v>
      </c>
      <c r="H29" s="40"/>
      <c r="I29" s="24"/>
      <c r="J29" s="5"/>
    </row>
    <row r="30" spans="1:10" ht="12.95" customHeight="1">
      <c r="A30" s="18" t="s">
        <v>252</v>
      </c>
      <c r="B30" s="19" t="s">
        <v>253</v>
      </c>
      <c r="C30" s="15" t="s">
        <v>254</v>
      </c>
      <c r="D30" s="15" t="s">
        <v>255</v>
      </c>
      <c r="E30" s="20">
        <v>1642957</v>
      </c>
      <c r="F30" s="21">
        <v>21613.099300000002</v>
      </c>
      <c r="G30" s="22">
        <v>1.34E-2</v>
      </c>
      <c r="H30" s="40"/>
      <c r="I30" s="24"/>
      <c r="J30" s="5"/>
    </row>
    <row r="31" spans="1:10" ht="12.95" customHeight="1">
      <c r="A31" s="18" t="s">
        <v>3579</v>
      </c>
      <c r="B31" s="19" t="s">
        <v>3580</v>
      </c>
      <c r="C31" s="15" t="s">
        <v>3581</v>
      </c>
      <c r="D31" s="15" t="s">
        <v>295</v>
      </c>
      <c r="E31" s="20">
        <v>690296</v>
      </c>
      <c r="F31" s="21">
        <v>21516.871500000001</v>
      </c>
      <c r="G31" s="22">
        <v>1.3299999999999999E-2</v>
      </c>
      <c r="H31" s="40"/>
      <c r="I31" s="24"/>
      <c r="J31" s="5"/>
    </row>
    <row r="32" spans="1:10" ht="12.95" customHeight="1">
      <c r="A32" s="18" t="s">
        <v>836</v>
      </c>
      <c r="B32" s="19" t="s">
        <v>837</v>
      </c>
      <c r="C32" s="15" t="s">
        <v>838</v>
      </c>
      <c r="D32" s="15" t="s">
        <v>314</v>
      </c>
      <c r="E32" s="20">
        <v>1217809</v>
      </c>
      <c r="F32" s="21">
        <v>21412.7356</v>
      </c>
      <c r="G32" s="22">
        <v>1.32E-2</v>
      </c>
      <c r="H32" s="40"/>
      <c r="I32" s="24"/>
      <c r="J32" s="5"/>
    </row>
    <row r="33" spans="1:10" ht="12.95" customHeight="1">
      <c r="A33" s="18" t="s">
        <v>2475</v>
      </c>
      <c r="B33" s="19" t="s">
        <v>2476</v>
      </c>
      <c r="C33" s="15" t="s">
        <v>2477</v>
      </c>
      <c r="D33" s="15" t="s">
        <v>334</v>
      </c>
      <c r="E33" s="20">
        <v>1156928</v>
      </c>
      <c r="F33" s="21">
        <v>20990.7232</v>
      </c>
      <c r="G33" s="22">
        <v>1.2999999999999999E-2</v>
      </c>
      <c r="H33" s="40"/>
      <c r="I33" s="24"/>
      <c r="J33" s="5"/>
    </row>
    <row r="34" spans="1:10" ht="12.95" customHeight="1">
      <c r="A34" s="18" t="s">
        <v>3582</v>
      </c>
      <c r="B34" s="19" t="s">
        <v>3583</v>
      </c>
      <c r="C34" s="15" t="s">
        <v>3584</v>
      </c>
      <c r="D34" s="15" t="s">
        <v>263</v>
      </c>
      <c r="E34" s="20">
        <v>1784826</v>
      </c>
      <c r="F34" s="21">
        <v>20566.55</v>
      </c>
      <c r="G34" s="22">
        <v>1.2699999999999999E-2</v>
      </c>
      <c r="H34" s="40"/>
      <c r="I34" s="24"/>
      <c r="J34" s="5"/>
    </row>
    <row r="35" spans="1:10" ht="12.95" customHeight="1">
      <c r="A35" s="18" t="s">
        <v>3083</v>
      </c>
      <c r="B35" s="19" t="s">
        <v>3084</v>
      </c>
      <c r="C35" s="15" t="s">
        <v>3085</v>
      </c>
      <c r="D35" s="15" t="s">
        <v>259</v>
      </c>
      <c r="E35" s="20">
        <v>930700</v>
      </c>
      <c r="F35" s="21">
        <v>20493.083299999998</v>
      </c>
      <c r="G35" s="22">
        <v>1.2699999999999999E-2</v>
      </c>
      <c r="H35" s="40"/>
      <c r="I35" s="24"/>
      <c r="J35" s="5"/>
    </row>
    <row r="36" spans="1:10" ht="12.95" customHeight="1">
      <c r="A36" s="18" t="s">
        <v>2216</v>
      </c>
      <c r="B36" s="19" t="s">
        <v>2217</v>
      </c>
      <c r="C36" s="15" t="s">
        <v>2218</v>
      </c>
      <c r="D36" s="15" t="s">
        <v>755</v>
      </c>
      <c r="E36" s="20">
        <v>1930559</v>
      </c>
      <c r="F36" s="21">
        <v>20129.938699999999</v>
      </c>
      <c r="G36" s="22">
        <v>1.24E-2</v>
      </c>
      <c r="H36" s="40"/>
      <c r="I36" s="24"/>
      <c r="J36" s="5"/>
    </row>
    <row r="37" spans="1:10" ht="12.95" customHeight="1">
      <c r="A37" s="18" t="s">
        <v>1584</v>
      </c>
      <c r="B37" s="19" t="s">
        <v>1585</v>
      </c>
      <c r="C37" s="15" t="s">
        <v>1586</v>
      </c>
      <c r="D37" s="15" t="s">
        <v>263</v>
      </c>
      <c r="E37" s="20">
        <v>389393</v>
      </c>
      <c r="F37" s="21">
        <v>19876.370999999999</v>
      </c>
      <c r="G37" s="22">
        <v>1.23E-2</v>
      </c>
      <c r="H37" s="40"/>
      <c r="I37" s="24"/>
      <c r="J37" s="5"/>
    </row>
    <row r="38" spans="1:10" ht="12.95" customHeight="1">
      <c r="A38" s="18" t="s">
        <v>3049</v>
      </c>
      <c r="B38" s="19" t="s">
        <v>3050</v>
      </c>
      <c r="C38" s="15" t="s">
        <v>3051</v>
      </c>
      <c r="D38" s="15" t="s">
        <v>295</v>
      </c>
      <c r="E38" s="20">
        <v>1650618</v>
      </c>
      <c r="F38" s="21">
        <v>19427.7739</v>
      </c>
      <c r="G38" s="22">
        <v>1.2E-2</v>
      </c>
      <c r="H38" s="40"/>
      <c r="I38" s="24"/>
      <c r="J38" s="5"/>
    </row>
    <row r="39" spans="1:10" ht="12.95" customHeight="1">
      <c r="A39" s="18" t="s">
        <v>3585</v>
      </c>
      <c r="B39" s="19" t="s">
        <v>3586</v>
      </c>
      <c r="C39" s="15" t="s">
        <v>3587</v>
      </c>
      <c r="D39" s="15" t="s">
        <v>3588</v>
      </c>
      <c r="E39" s="20">
        <v>2424380</v>
      </c>
      <c r="F39" s="21">
        <v>18552.567999999999</v>
      </c>
      <c r="G39" s="22">
        <v>1.15E-2</v>
      </c>
      <c r="H39" s="40"/>
      <c r="I39" s="24"/>
      <c r="J39" s="5"/>
    </row>
    <row r="40" spans="1:10" ht="12.95" customHeight="1">
      <c r="A40" s="18" t="s">
        <v>303</v>
      </c>
      <c r="B40" s="19" t="s">
        <v>304</v>
      </c>
      <c r="C40" s="15" t="s">
        <v>305</v>
      </c>
      <c r="D40" s="15" t="s">
        <v>306</v>
      </c>
      <c r="E40" s="20">
        <v>780836</v>
      </c>
      <c r="F40" s="21">
        <v>16406.925999999999</v>
      </c>
      <c r="G40" s="22">
        <v>1.01E-2</v>
      </c>
      <c r="H40" s="40"/>
      <c r="I40" s="24"/>
      <c r="J40" s="5"/>
    </row>
    <row r="41" spans="1:10" ht="12.95" customHeight="1">
      <c r="A41" s="18" t="s">
        <v>397</v>
      </c>
      <c r="B41" s="19" t="s">
        <v>398</v>
      </c>
      <c r="C41" s="15" t="s">
        <v>399</v>
      </c>
      <c r="D41" s="15" t="s">
        <v>259</v>
      </c>
      <c r="E41" s="20">
        <v>4805160</v>
      </c>
      <c r="F41" s="21">
        <v>16001.1828</v>
      </c>
      <c r="G41" s="22">
        <v>9.9000000000000008E-3</v>
      </c>
      <c r="H41" s="40"/>
      <c r="I41" s="24"/>
      <c r="J41" s="5"/>
    </row>
    <row r="42" spans="1:10" ht="12.95" customHeight="1">
      <c r="A42" s="18" t="s">
        <v>3589</v>
      </c>
      <c r="B42" s="19" t="s">
        <v>3590</v>
      </c>
      <c r="C42" s="15" t="s">
        <v>3591</v>
      </c>
      <c r="D42" s="15" t="s">
        <v>324</v>
      </c>
      <c r="E42" s="20">
        <v>6732692</v>
      </c>
      <c r="F42" s="21">
        <v>14936.477199999999</v>
      </c>
      <c r="G42" s="22">
        <v>9.1999999999999998E-3</v>
      </c>
      <c r="H42" s="40"/>
      <c r="I42" s="24"/>
      <c r="J42" s="5"/>
    </row>
    <row r="43" spans="1:10" ht="12.95" customHeight="1">
      <c r="A43" s="18" t="s">
        <v>891</v>
      </c>
      <c r="B43" s="19" t="s">
        <v>892</v>
      </c>
      <c r="C43" s="15" t="s">
        <v>893</v>
      </c>
      <c r="D43" s="15" t="s">
        <v>255</v>
      </c>
      <c r="E43" s="20">
        <v>483872</v>
      </c>
      <c r="F43" s="21">
        <v>14859.467199999999</v>
      </c>
      <c r="G43" s="22">
        <v>9.1999999999999998E-3</v>
      </c>
      <c r="H43" s="40"/>
      <c r="I43" s="24"/>
      <c r="J43" s="5"/>
    </row>
    <row r="44" spans="1:10" ht="12.95" customHeight="1">
      <c r="A44" s="18" t="s">
        <v>3592</v>
      </c>
      <c r="B44" s="19" t="s">
        <v>3593</v>
      </c>
      <c r="C44" s="15" t="s">
        <v>3594</v>
      </c>
      <c r="D44" s="15" t="s">
        <v>722</v>
      </c>
      <c r="E44" s="20">
        <v>3805180</v>
      </c>
      <c r="F44" s="21">
        <v>13909.835499999999</v>
      </c>
      <c r="G44" s="22">
        <v>8.6E-3</v>
      </c>
      <c r="H44" s="40"/>
      <c r="I44" s="24"/>
      <c r="J44" s="5"/>
    </row>
    <row r="45" spans="1:10" ht="12.95" customHeight="1">
      <c r="A45" s="18" t="s">
        <v>1891</v>
      </c>
      <c r="B45" s="19" t="s">
        <v>1892</v>
      </c>
      <c r="C45" s="15" t="s">
        <v>1893</v>
      </c>
      <c r="D45" s="15" t="s">
        <v>267</v>
      </c>
      <c r="E45" s="20">
        <v>428363</v>
      </c>
      <c r="F45" s="21">
        <v>13619.5874</v>
      </c>
      <c r="G45" s="22">
        <v>8.3999999999999995E-3</v>
      </c>
      <c r="H45" s="40"/>
      <c r="I45" s="24"/>
      <c r="J45" s="5"/>
    </row>
    <row r="46" spans="1:10" ht="12.95" customHeight="1">
      <c r="A46" s="18" t="s">
        <v>884</v>
      </c>
      <c r="B46" s="19" t="s">
        <v>885</v>
      </c>
      <c r="C46" s="15" t="s">
        <v>886</v>
      </c>
      <c r="D46" s="15" t="s">
        <v>314</v>
      </c>
      <c r="E46" s="20">
        <v>2440688</v>
      </c>
      <c r="F46" s="21">
        <v>11683.5735</v>
      </c>
      <c r="G46" s="22">
        <v>7.1999999999999998E-3</v>
      </c>
      <c r="H46" s="40"/>
      <c r="I46" s="24"/>
      <c r="J46" s="5"/>
    </row>
    <row r="47" spans="1:10" ht="12.95" customHeight="1">
      <c r="A47" s="18" t="s">
        <v>256</v>
      </c>
      <c r="B47" s="19" t="s">
        <v>257</v>
      </c>
      <c r="C47" s="15" t="s">
        <v>258</v>
      </c>
      <c r="D47" s="15" t="s">
        <v>259</v>
      </c>
      <c r="E47" s="20">
        <v>1990068</v>
      </c>
      <c r="F47" s="21">
        <v>11610.056699999999</v>
      </c>
      <c r="G47" s="22">
        <v>7.1999999999999998E-3</v>
      </c>
      <c r="H47" s="40"/>
      <c r="I47" s="24"/>
      <c r="J47" s="5"/>
    </row>
    <row r="48" spans="1:10" ht="12.95" customHeight="1">
      <c r="A48" s="18" t="s">
        <v>3595</v>
      </c>
      <c r="B48" s="19" t="s">
        <v>3596</v>
      </c>
      <c r="C48" s="15" t="s">
        <v>3597</v>
      </c>
      <c r="D48" s="15" t="s">
        <v>722</v>
      </c>
      <c r="E48" s="20">
        <v>3873356</v>
      </c>
      <c r="F48" s="21">
        <v>11000.331</v>
      </c>
      <c r="G48" s="22">
        <v>6.7999999999999996E-3</v>
      </c>
      <c r="H48" s="40"/>
      <c r="I48" s="24"/>
      <c r="J48" s="5"/>
    </row>
    <row r="49" spans="1:10" ht="12.95" customHeight="1">
      <c r="A49" s="18" t="s">
        <v>3598</v>
      </c>
      <c r="B49" s="19" t="s">
        <v>3599</v>
      </c>
      <c r="C49" s="15" t="s">
        <v>3600</v>
      </c>
      <c r="D49" s="15" t="s">
        <v>255</v>
      </c>
      <c r="E49" s="20">
        <v>1216254</v>
      </c>
      <c r="F49" s="21">
        <v>10983.9899</v>
      </c>
      <c r="G49" s="22">
        <v>6.7999999999999996E-3</v>
      </c>
      <c r="H49" s="40"/>
      <c r="I49" s="24"/>
      <c r="J49" s="5"/>
    </row>
    <row r="50" spans="1:10" ht="12.95" customHeight="1">
      <c r="A50" s="18" t="s">
        <v>842</v>
      </c>
      <c r="B50" s="19" t="s">
        <v>843</v>
      </c>
      <c r="C50" s="15" t="s">
        <v>844</v>
      </c>
      <c r="D50" s="15" t="s">
        <v>259</v>
      </c>
      <c r="E50" s="20">
        <v>1154559</v>
      </c>
      <c r="F50" s="21">
        <v>10877.1003</v>
      </c>
      <c r="G50" s="22">
        <v>6.7000000000000002E-3</v>
      </c>
      <c r="H50" s="40"/>
      <c r="I50" s="24"/>
      <c r="J50" s="5"/>
    </row>
    <row r="51" spans="1:10" ht="12.95" customHeight="1">
      <c r="A51" s="18" t="s">
        <v>2164</v>
      </c>
      <c r="B51" s="19" t="s">
        <v>2165</v>
      </c>
      <c r="C51" s="15" t="s">
        <v>2166</v>
      </c>
      <c r="D51" s="15" t="s">
        <v>314</v>
      </c>
      <c r="E51" s="20">
        <v>1530185</v>
      </c>
      <c r="F51" s="21">
        <v>9897.2366000000002</v>
      </c>
      <c r="G51" s="22">
        <v>6.1000000000000004E-3</v>
      </c>
      <c r="H51" s="40"/>
      <c r="I51" s="24"/>
      <c r="J51" s="5"/>
    </row>
    <row r="52" spans="1:10" ht="12.95" customHeight="1">
      <c r="A52" s="18" t="s">
        <v>3601</v>
      </c>
      <c r="B52" s="19" t="s">
        <v>3602</v>
      </c>
      <c r="C52" s="15" t="s">
        <v>3603</v>
      </c>
      <c r="D52" s="15" t="s">
        <v>259</v>
      </c>
      <c r="E52" s="20">
        <v>1377351</v>
      </c>
      <c r="F52" s="21">
        <v>9432.0995999999996</v>
      </c>
      <c r="G52" s="22">
        <v>5.7999999999999996E-3</v>
      </c>
      <c r="H52" s="40"/>
      <c r="I52" s="24"/>
      <c r="J52" s="5"/>
    </row>
    <row r="53" spans="1:10" ht="12.95" customHeight="1">
      <c r="A53" s="18" t="s">
        <v>307</v>
      </c>
      <c r="B53" s="19" t="s">
        <v>308</v>
      </c>
      <c r="C53" s="15" t="s">
        <v>309</v>
      </c>
      <c r="D53" s="15" t="s">
        <v>310</v>
      </c>
      <c r="E53" s="20">
        <v>2078266</v>
      </c>
      <c r="F53" s="21">
        <v>9077.8659000000007</v>
      </c>
      <c r="G53" s="22">
        <v>5.5999999999999999E-3</v>
      </c>
      <c r="H53" s="40"/>
      <c r="I53" s="24"/>
      <c r="J53" s="5"/>
    </row>
    <row r="54" spans="1:10" ht="12.95" customHeight="1">
      <c r="A54" s="18" t="s">
        <v>3604</v>
      </c>
      <c r="B54" s="19" t="s">
        <v>3605</v>
      </c>
      <c r="C54" s="15" t="s">
        <v>3606</v>
      </c>
      <c r="D54" s="15" t="s">
        <v>267</v>
      </c>
      <c r="E54" s="20">
        <v>5040690</v>
      </c>
      <c r="F54" s="21">
        <v>9025.3554000000004</v>
      </c>
      <c r="G54" s="22">
        <v>5.5999999999999999E-3</v>
      </c>
      <c r="H54" s="40"/>
      <c r="I54" s="24"/>
      <c r="J54" s="5"/>
    </row>
    <row r="55" spans="1:10" ht="12.95" customHeight="1">
      <c r="A55" s="18" t="s">
        <v>851</v>
      </c>
      <c r="B55" s="19" t="s">
        <v>852</v>
      </c>
      <c r="C55" s="15" t="s">
        <v>853</v>
      </c>
      <c r="D55" s="15" t="s">
        <v>259</v>
      </c>
      <c r="E55" s="20">
        <v>1499841</v>
      </c>
      <c r="F55" s="21">
        <v>8990.7968999999994</v>
      </c>
      <c r="G55" s="22">
        <v>5.5999999999999999E-3</v>
      </c>
      <c r="H55" s="40"/>
      <c r="I55" s="24"/>
      <c r="J55" s="5"/>
    </row>
    <row r="56" spans="1:10" ht="12.95" customHeight="1">
      <c r="A56" s="18" t="s">
        <v>3607</v>
      </c>
      <c r="B56" s="19" t="s">
        <v>3608</v>
      </c>
      <c r="C56" s="15" t="s">
        <v>3609</v>
      </c>
      <c r="D56" s="15" t="s">
        <v>259</v>
      </c>
      <c r="E56" s="20">
        <v>1011983</v>
      </c>
      <c r="F56" s="21">
        <v>8727.3413999999993</v>
      </c>
      <c r="G56" s="22">
        <v>5.4000000000000003E-3</v>
      </c>
      <c r="H56" s="40"/>
      <c r="I56" s="24"/>
      <c r="J56" s="5"/>
    </row>
    <row r="57" spans="1:10" ht="12.95" customHeight="1">
      <c r="A57" s="18" t="s">
        <v>2267</v>
      </c>
      <c r="B57" s="19" t="s">
        <v>2268</v>
      </c>
      <c r="C57" s="15" t="s">
        <v>2269</v>
      </c>
      <c r="D57" s="15" t="s">
        <v>263</v>
      </c>
      <c r="E57" s="20">
        <v>120509</v>
      </c>
      <c r="F57" s="21">
        <v>8709.3662000000004</v>
      </c>
      <c r="G57" s="22">
        <v>5.4000000000000003E-3</v>
      </c>
      <c r="H57" s="40"/>
      <c r="I57" s="24"/>
      <c r="J57" s="5"/>
    </row>
    <row r="58" spans="1:10" ht="12.95" customHeight="1">
      <c r="A58" s="18" t="s">
        <v>2261</v>
      </c>
      <c r="B58" s="19" t="s">
        <v>2262</v>
      </c>
      <c r="C58" s="15" t="s">
        <v>2263</v>
      </c>
      <c r="D58" s="15" t="s">
        <v>403</v>
      </c>
      <c r="E58" s="20">
        <v>670158</v>
      </c>
      <c r="F58" s="21">
        <v>8501.9595000000008</v>
      </c>
      <c r="G58" s="22">
        <v>5.3E-3</v>
      </c>
      <c r="H58" s="40"/>
      <c r="I58" s="24"/>
      <c r="J58" s="5"/>
    </row>
    <row r="59" spans="1:10" ht="12.95" customHeight="1">
      <c r="A59" s="18" t="s">
        <v>2554</v>
      </c>
      <c r="B59" s="19" t="s">
        <v>2555</v>
      </c>
      <c r="C59" s="15" t="s">
        <v>2556</v>
      </c>
      <c r="D59" s="15" t="s">
        <v>745</v>
      </c>
      <c r="E59" s="20">
        <v>848832</v>
      </c>
      <c r="F59" s="21">
        <v>7942.0965999999999</v>
      </c>
      <c r="G59" s="22">
        <v>4.8999999999999998E-3</v>
      </c>
      <c r="H59" s="40"/>
      <c r="I59" s="24"/>
      <c r="J59" s="5"/>
    </row>
    <row r="60" spans="1:10" ht="12.95" customHeight="1">
      <c r="A60" s="18" t="s">
        <v>2270</v>
      </c>
      <c r="B60" s="19" t="s">
        <v>2271</v>
      </c>
      <c r="C60" s="15" t="s">
        <v>2272</v>
      </c>
      <c r="D60" s="15" t="s">
        <v>2273</v>
      </c>
      <c r="E60" s="20">
        <v>2106209</v>
      </c>
      <c r="F60" s="21">
        <v>7592.8833999999997</v>
      </c>
      <c r="G60" s="22">
        <v>4.7000000000000002E-3</v>
      </c>
      <c r="H60" s="40"/>
      <c r="I60" s="24"/>
      <c r="J60" s="5"/>
    </row>
    <row r="61" spans="1:10" ht="12.95" customHeight="1">
      <c r="A61" s="18" t="s">
        <v>2264</v>
      </c>
      <c r="B61" s="19" t="s">
        <v>2265</v>
      </c>
      <c r="C61" s="15" t="s">
        <v>2266</v>
      </c>
      <c r="D61" s="15" t="s">
        <v>778</v>
      </c>
      <c r="E61" s="20">
        <v>708089</v>
      </c>
      <c r="F61" s="21">
        <v>7281.6332000000002</v>
      </c>
      <c r="G61" s="22">
        <v>4.4999999999999997E-3</v>
      </c>
      <c r="H61" s="40"/>
      <c r="I61" s="24"/>
      <c r="J61" s="5"/>
    </row>
    <row r="62" spans="1:10" ht="12.95" customHeight="1">
      <c r="A62" s="18" t="s">
        <v>315</v>
      </c>
      <c r="B62" s="19" t="s">
        <v>316</v>
      </c>
      <c r="C62" s="15" t="s">
        <v>317</v>
      </c>
      <c r="D62" s="15" t="s">
        <v>314</v>
      </c>
      <c r="E62" s="20">
        <v>312694</v>
      </c>
      <c r="F62" s="21">
        <v>7033.7388000000001</v>
      </c>
      <c r="G62" s="22">
        <v>4.3E-3</v>
      </c>
      <c r="H62" s="40"/>
      <c r="I62" s="24"/>
      <c r="J62" s="5"/>
    </row>
    <row r="63" spans="1:10" ht="12.95" customHeight="1">
      <c r="A63" s="18" t="s">
        <v>3610</v>
      </c>
      <c r="B63" s="19" t="s">
        <v>3611</v>
      </c>
      <c r="C63" s="15" t="s">
        <v>3612</v>
      </c>
      <c r="D63" s="15" t="s">
        <v>1590</v>
      </c>
      <c r="E63" s="20">
        <v>541247</v>
      </c>
      <c r="F63" s="21">
        <v>7025.1153999999997</v>
      </c>
      <c r="G63" s="22">
        <v>4.3E-3</v>
      </c>
      <c r="H63" s="40"/>
      <c r="I63" s="24"/>
      <c r="J63" s="5"/>
    </row>
    <row r="64" spans="1:10" ht="12.95" customHeight="1">
      <c r="A64" s="18" t="s">
        <v>1595</v>
      </c>
      <c r="B64" s="19" t="s">
        <v>1596</v>
      </c>
      <c r="C64" s="15" t="s">
        <v>1597</v>
      </c>
      <c r="D64" s="15" t="s">
        <v>778</v>
      </c>
      <c r="E64" s="20">
        <v>972418</v>
      </c>
      <c r="F64" s="21">
        <v>6962.9991</v>
      </c>
      <c r="G64" s="22">
        <v>4.3E-3</v>
      </c>
      <c r="H64" s="40"/>
      <c r="I64" s="24"/>
      <c r="J64" s="5"/>
    </row>
    <row r="65" spans="1:10" ht="12.95" customHeight="1">
      <c r="A65" s="18" t="s">
        <v>2186</v>
      </c>
      <c r="B65" s="19" t="s">
        <v>2187</v>
      </c>
      <c r="C65" s="15" t="s">
        <v>2188</v>
      </c>
      <c r="D65" s="15" t="s">
        <v>314</v>
      </c>
      <c r="E65" s="20">
        <v>184567</v>
      </c>
      <c r="F65" s="21">
        <v>6952.0852000000004</v>
      </c>
      <c r="G65" s="22">
        <v>4.3E-3</v>
      </c>
      <c r="H65" s="40"/>
      <c r="I65" s="24"/>
      <c r="J65" s="5"/>
    </row>
    <row r="66" spans="1:10" ht="12.95" customHeight="1">
      <c r="A66" s="18" t="s">
        <v>3613</v>
      </c>
      <c r="B66" s="19" t="s">
        <v>3614</v>
      </c>
      <c r="C66" s="15" t="s">
        <v>3615</v>
      </c>
      <c r="D66" s="15" t="s">
        <v>259</v>
      </c>
      <c r="E66" s="20">
        <v>5893109</v>
      </c>
      <c r="F66" s="21">
        <v>6891.991</v>
      </c>
      <c r="G66" s="22">
        <v>4.3E-3</v>
      </c>
      <c r="H66" s="40"/>
      <c r="I66" s="24"/>
      <c r="J66" s="5"/>
    </row>
    <row r="67" spans="1:10" ht="12.95" customHeight="1">
      <c r="A67" s="18" t="s">
        <v>848</v>
      </c>
      <c r="B67" s="19" t="s">
        <v>849</v>
      </c>
      <c r="C67" s="15" t="s">
        <v>850</v>
      </c>
      <c r="D67" s="15" t="s">
        <v>255</v>
      </c>
      <c r="E67" s="20">
        <v>553587</v>
      </c>
      <c r="F67" s="21">
        <v>6740.1985000000004</v>
      </c>
      <c r="G67" s="22">
        <v>4.1999999999999997E-3</v>
      </c>
      <c r="H67" s="40"/>
      <c r="I67" s="24"/>
      <c r="J67" s="5"/>
    </row>
    <row r="68" spans="1:10" ht="12.95" customHeight="1">
      <c r="A68" s="18" t="s">
        <v>3616</v>
      </c>
      <c r="B68" s="19" t="s">
        <v>3617</v>
      </c>
      <c r="C68" s="15" t="s">
        <v>3618</v>
      </c>
      <c r="D68" s="15" t="s">
        <v>255</v>
      </c>
      <c r="E68" s="20">
        <v>7349962</v>
      </c>
      <c r="F68" s="21">
        <v>6346.6922000000004</v>
      </c>
      <c r="G68" s="22">
        <v>3.8999999999999998E-3</v>
      </c>
      <c r="H68" s="40"/>
      <c r="I68" s="24"/>
      <c r="J68" s="5"/>
    </row>
    <row r="69" spans="1:10" ht="12.95" customHeight="1">
      <c r="A69" s="18" t="s">
        <v>385</v>
      </c>
      <c r="B69" s="19" t="s">
        <v>386</v>
      </c>
      <c r="C69" s="15" t="s">
        <v>387</v>
      </c>
      <c r="D69" s="15" t="s">
        <v>255</v>
      </c>
      <c r="E69" s="20">
        <v>2099505</v>
      </c>
      <c r="F69" s="21">
        <v>6326.8582999999999</v>
      </c>
      <c r="G69" s="22">
        <v>3.8999999999999998E-3</v>
      </c>
      <c r="H69" s="40"/>
      <c r="I69" s="24"/>
      <c r="J69" s="5"/>
    </row>
    <row r="70" spans="1:10" ht="12.95" customHeight="1">
      <c r="A70" s="18" t="s">
        <v>2548</v>
      </c>
      <c r="B70" s="19" t="s">
        <v>2549</v>
      </c>
      <c r="C70" s="15" t="s">
        <v>2550</v>
      </c>
      <c r="D70" s="15" t="s">
        <v>745</v>
      </c>
      <c r="E70" s="20">
        <v>1589977</v>
      </c>
      <c r="F70" s="21">
        <v>6286.7691000000004</v>
      </c>
      <c r="G70" s="22">
        <v>3.8999999999999998E-3</v>
      </c>
      <c r="H70" s="40"/>
      <c r="I70" s="24"/>
      <c r="J70" s="5"/>
    </row>
    <row r="71" spans="1:10" ht="12.95" customHeight="1">
      <c r="A71" s="18" t="s">
        <v>1888</v>
      </c>
      <c r="B71" s="19" t="s">
        <v>1889</v>
      </c>
      <c r="C71" s="15" t="s">
        <v>1890</v>
      </c>
      <c r="D71" s="15" t="s">
        <v>1590</v>
      </c>
      <c r="E71" s="20">
        <v>295141</v>
      </c>
      <c r="F71" s="21">
        <v>6049.5051000000003</v>
      </c>
      <c r="G71" s="22">
        <v>3.7000000000000002E-3</v>
      </c>
      <c r="H71" s="40"/>
      <c r="I71" s="24"/>
      <c r="J71" s="5"/>
    </row>
    <row r="72" spans="1:10" ht="12.95" customHeight="1">
      <c r="A72" s="18" t="s">
        <v>3619</v>
      </c>
      <c r="B72" s="19" t="s">
        <v>3620</v>
      </c>
      <c r="C72" s="15" t="s">
        <v>3621</v>
      </c>
      <c r="D72" s="15" t="s">
        <v>3622</v>
      </c>
      <c r="E72" s="20">
        <v>172492</v>
      </c>
      <c r="F72" s="21">
        <v>5946.2304999999997</v>
      </c>
      <c r="G72" s="22">
        <v>3.7000000000000002E-3</v>
      </c>
      <c r="H72" s="40"/>
      <c r="I72" s="24"/>
      <c r="J72" s="5"/>
    </row>
    <row r="73" spans="1:10" ht="12.95" customHeight="1">
      <c r="A73" s="18" t="s">
        <v>365</v>
      </c>
      <c r="B73" s="19" t="s">
        <v>366</v>
      </c>
      <c r="C73" s="15" t="s">
        <v>367</v>
      </c>
      <c r="D73" s="15" t="s">
        <v>314</v>
      </c>
      <c r="E73" s="20">
        <v>585452</v>
      </c>
      <c r="F73" s="21">
        <v>5669.8099000000002</v>
      </c>
      <c r="G73" s="22">
        <v>3.5000000000000001E-3</v>
      </c>
      <c r="H73" s="40"/>
      <c r="I73" s="24"/>
      <c r="J73" s="5"/>
    </row>
    <row r="74" spans="1:10" ht="12.95" customHeight="1">
      <c r="A74" s="18" t="s">
        <v>400</v>
      </c>
      <c r="B74" s="19" t="s">
        <v>401</v>
      </c>
      <c r="C74" s="15" t="s">
        <v>402</v>
      </c>
      <c r="D74" s="15" t="s">
        <v>403</v>
      </c>
      <c r="E74" s="20">
        <v>410000</v>
      </c>
      <c r="F74" s="21">
        <v>5488.0550000000003</v>
      </c>
      <c r="G74" s="22">
        <v>3.3999999999999998E-3</v>
      </c>
      <c r="H74" s="40"/>
      <c r="I74" s="24"/>
      <c r="J74" s="5"/>
    </row>
    <row r="75" spans="1:10" ht="12.95" customHeight="1">
      <c r="A75" s="18" t="s">
        <v>2466</v>
      </c>
      <c r="B75" s="19" t="s">
        <v>2467</v>
      </c>
      <c r="C75" s="15" t="s">
        <v>2468</v>
      </c>
      <c r="D75" s="15" t="s">
        <v>778</v>
      </c>
      <c r="E75" s="20">
        <v>1082451</v>
      </c>
      <c r="F75" s="21">
        <v>5403.5954000000002</v>
      </c>
      <c r="G75" s="22">
        <v>3.3E-3</v>
      </c>
      <c r="H75" s="40"/>
      <c r="I75" s="24"/>
      <c r="J75" s="5"/>
    </row>
    <row r="76" spans="1:10" ht="12.95" customHeight="1">
      <c r="A76" s="18" t="s">
        <v>845</v>
      </c>
      <c r="B76" s="19" t="s">
        <v>846</v>
      </c>
      <c r="C76" s="15" t="s">
        <v>847</v>
      </c>
      <c r="D76" s="15" t="s">
        <v>778</v>
      </c>
      <c r="E76" s="20">
        <v>1563412</v>
      </c>
      <c r="F76" s="21">
        <v>5314.8190999999997</v>
      </c>
      <c r="G76" s="22">
        <v>3.3E-3</v>
      </c>
      <c r="H76" s="40"/>
      <c r="I76" s="24"/>
      <c r="J76" s="5"/>
    </row>
    <row r="77" spans="1:10" ht="12.95" customHeight="1">
      <c r="A77" s="18" t="s">
        <v>1804</v>
      </c>
      <c r="B77" s="19" t="s">
        <v>1805</v>
      </c>
      <c r="C77" s="15" t="s">
        <v>1806</v>
      </c>
      <c r="D77" s="15" t="s">
        <v>384</v>
      </c>
      <c r="E77" s="20">
        <v>637096</v>
      </c>
      <c r="F77" s="21">
        <v>4562.8815999999997</v>
      </c>
      <c r="G77" s="22">
        <v>2.8E-3</v>
      </c>
      <c r="H77" s="40"/>
      <c r="I77" s="24"/>
      <c r="J77" s="5"/>
    </row>
    <row r="78" spans="1:10" ht="12.95" customHeight="1">
      <c r="A78" s="18" t="s">
        <v>2183</v>
      </c>
      <c r="B78" s="19" t="s">
        <v>2184</v>
      </c>
      <c r="C78" s="15" t="s">
        <v>2185</v>
      </c>
      <c r="D78" s="15" t="s">
        <v>271</v>
      </c>
      <c r="E78" s="20">
        <v>2784736</v>
      </c>
      <c r="F78" s="21">
        <v>4534.9426000000003</v>
      </c>
      <c r="G78" s="22">
        <v>2.8E-3</v>
      </c>
      <c r="H78" s="40"/>
      <c r="I78" s="24"/>
      <c r="J78" s="5"/>
    </row>
    <row r="79" spans="1:10" ht="12.95" customHeight="1">
      <c r="A79" s="18" t="s">
        <v>1598</v>
      </c>
      <c r="B79" s="19" t="s">
        <v>1599</v>
      </c>
      <c r="C79" s="15" t="s">
        <v>1600</v>
      </c>
      <c r="D79" s="15" t="s">
        <v>267</v>
      </c>
      <c r="E79" s="20">
        <v>398973</v>
      </c>
      <c r="F79" s="21">
        <v>3631.4522000000002</v>
      </c>
      <c r="G79" s="22">
        <v>2.2000000000000001E-3</v>
      </c>
      <c r="H79" s="40"/>
      <c r="I79" s="24"/>
      <c r="J79" s="5"/>
    </row>
    <row r="80" spans="1:10" ht="12.95" customHeight="1">
      <c r="A80" s="18" t="s">
        <v>3623</v>
      </c>
      <c r="B80" s="19" t="s">
        <v>3624</v>
      </c>
      <c r="C80" s="15" t="s">
        <v>3625</v>
      </c>
      <c r="D80" s="15" t="s">
        <v>295</v>
      </c>
      <c r="E80" s="20">
        <v>1762629</v>
      </c>
      <c r="F80" s="21">
        <v>3290.8283000000001</v>
      </c>
      <c r="G80" s="22">
        <v>2E-3</v>
      </c>
      <c r="H80" s="40"/>
      <c r="I80" s="24"/>
      <c r="J80" s="5"/>
    </row>
    <row r="81" spans="1:10" ht="12.95" customHeight="1">
      <c r="A81" s="18" t="s">
        <v>1587</v>
      </c>
      <c r="B81" s="19" t="s">
        <v>1588</v>
      </c>
      <c r="C81" s="15" t="s">
        <v>1589</v>
      </c>
      <c r="D81" s="15" t="s">
        <v>1590</v>
      </c>
      <c r="E81" s="20">
        <v>665881</v>
      </c>
      <c r="F81" s="21">
        <v>3125.9784</v>
      </c>
      <c r="G81" s="22">
        <v>1.9E-3</v>
      </c>
      <c r="H81" s="40"/>
      <c r="I81" s="24"/>
      <c r="J81" s="5"/>
    </row>
    <row r="82" spans="1:10" ht="12.95" customHeight="1">
      <c r="A82" s="18" t="s">
        <v>3444</v>
      </c>
      <c r="B82" s="19" t="s">
        <v>3445</v>
      </c>
      <c r="C82" s="15" t="s">
        <v>3446</v>
      </c>
      <c r="D82" s="15" t="s">
        <v>1590</v>
      </c>
      <c r="E82" s="20">
        <v>119845</v>
      </c>
      <c r="F82" s="21">
        <v>3008.7685999999999</v>
      </c>
      <c r="G82" s="22">
        <v>1.9E-3</v>
      </c>
      <c r="H82" s="40"/>
      <c r="I82" s="24"/>
      <c r="J82" s="5"/>
    </row>
    <row r="83" spans="1:10" ht="12.95" customHeight="1">
      <c r="A83" s="18" t="s">
        <v>3626</v>
      </c>
      <c r="B83" s="19" t="s">
        <v>3627</v>
      </c>
      <c r="C83" s="15" t="s">
        <v>3628</v>
      </c>
      <c r="D83" s="15" t="s">
        <v>1590</v>
      </c>
      <c r="E83" s="20">
        <v>460120</v>
      </c>
      <c r="F83" s="21">
        <v>2859.1857</v>
      </c>
      <c r="G83" s="22">
        <v>1.8E-3</v>
      </c>
      <c r="H83" s="40"/>
      <c r="I83" s="24"/>
      <c r="J83" s="5"/>
    </row>
    <row r="84" spans="1:10" ht="12.95" customHeight="1">
      <c r="A84" s="18" t="s">
        <v>318</v>
      </c>
      <c r="B84" s="19" t="s">
        <v>319</v>
      </c>
      <c r="C84" s="15" t="s">
        <v>320</v>
      </c>
      <c r="D84" s="15" t="s">
        <v>263</v>
      </c>
      <c r="E84" s="20">
        <v>53053</v>
      </c>
      <c r="F84" s="21">
        <v>2763.9816999999998</v>
      </c>
      <c r="G84" s="22">
        <v>1.6999999999999999E-3</v>
      </c>
      <c r="H84" s="40"/>
      <c r="I84" s="24"/>
      <c r="J84" s="5"/>
    </row>
    <row r="85" spans="1:10" ht="12.95" customHeight="1">
      <c r="A85" s="18" t="s">
        <v>3629</v>
      </c>
      <c r="B85" s="19" t="s">
        <v>3630</v>
      </c>
      <c r="C85" s="15" t="s">
        <v>3631</v>
      </c>
      <c r="D85" s="15" t="s">
        <v>302</v>
      </c>
      <c r="E85" s="20">
        <v>760746</v>
      </c>
      <c r="F85" s="21">
        <v>2758.0846000000001</v>
      </c>
      <c r="G85" s="22">
        <v>1.6999999999999999E-3</v>
      </c>
      <c r="H85" s="40"/>
      <c r="I85" s="24"/>
      <c r="J85" s="5"/>
    </row>
    <row r="86" spans="1:10" ht="12.95" customHeight="1">
      <c r="A86" s="18" t="s">
        <v>2170</v>
      </c>
      <c r="B86" s="19" t="s">
        <v>2171</v>
      </c>
      <c r="C86" s="15" t="s">
        <v>2172</v>
      </c>
      <c r="D86" s="15" t="s">
        <v>263</v>
      </c>
      <c r="E86" s="20">
        <v>110117</v>
      </c>
      <c r="F86" s="21">
        <v>2617.0405999999998</v>
      </c>
      <c r="G86" s="22">
        <v>1.6000000000000001E-3</v>
      </c>
      <c r="H86" s="40"/>
      <c r="I86" s="24"/>
      <c r="J86" s="5"/>
    </row>
    <row r="87" spans="1:10" ht="12.95" customHeight="1">
      <c r="A87" s="18" t="s">
        <v>1617</v>
      </c>
      <c r="B87" s="19" t="s">
        <v>1618</v>
      </c>
      <c r="C87" s="15" t="s">
        <v>1619</v>
      </c>
      <c r="D87" s="15" t="s">
        <v>745</v>
      </c>
      <c r="E87" s="20">
        <v>127493</v>
      </c>
      <c r="F87" s="21">
        <v>2288.8818000000001</v>
      </c>
      <c r="G87" s="22">
        <v>1.4E-3</v>
      </c>
      <c r="H87" s="40"/>
      <c r="I87" s="24"/>
      <c r="J87" s="5"/>
    </row>
    <row r="88" spans="1:10" ht="12.95" customHeight="1">
      <c r="A88" s="18" t="s">
        <v>3632</v>
      </c>
      <c r="B88" s="19" t="s">
        <v>3633</v>
      </c>
      <c r="C88" s="15" t="s">
        <v>3634</v>
      </c>
      <c r="D88" s="15" t="s">
        <v>778</v>
      </c>
      <c r="E88" s="20">
        <v>203757</v>
      </c>
      <c r="F88" s="21">
        <v>2192.5272</v>
      </c>
      <c r="G88" s="22">
        <v>1.4E-3</v>
      </c>
      <c r="H88" s="40"/>
      <c r="I88" s="24"/>
      <c r="J88" s="5"/>
    </row>
    <row r="89" spans="1:10" ht="12.95" customHeight="1">
      <c r="A89" s="18" t="s">
        <v>2179</v>
      </c>
      <c r="B89" s="19" t="s">
        <v>2180</v>
      </c>
      <c r="C89" s="15" t="s">
        <v>2181</v>
      </c>
      <c r="D89" s="15" t="s">
        <v>2182</v>
      </c>
      <c r="E89" s="20">
        <v>80063</v>
      </c>
      <c r="F89" s="21">
        <v>2080.0767999999998</v>
      </c>
      <c r="G89" s="22">
        <v>1.2999999999999999E-3</v>
      </c>
      <c r="H89" s="40"/>
      <c r="I89" s="24"/>
      <c r="J89" s="5"/>
    </row>
    <row r="90" spans="1:10" ht="12.95" customHeight="1">
      <c r="A90" s="18" t="s">
        <v>3635</v>
      </c>
      <c r="B90" s="19" t="s">
        <v>3636</v>
      </c>
      <c r="C90" s="15" t="s">
        <v>3637</v>
      </c>
      <c r="D90" s="15" t="s">
        <v>745</v>
      </c>
      <c r="E90" s="20">
        <v>235652</v>
      </c>
      <c r="F90" s="21">
        <v>1848.5721000000001</v>
      </c>
      <c r="G90" s="22">
        <v>1.1000000000000001E-3</v>
      </c>
      <c r="H90" s="40"/>
      <c r="I90" s="24"/>
      <c r="J90" s="5"/>
    </row>
    <row r="91" spans="1:10" ht="12.95" customHeight="1">
      <c r="A91" s="18" t="s">
        <v>299</v>
      </c>
      <c r="B91" s="19" t="s">
        <v>300</v>
      </c>
      <c r="C91" s="15" t="s">
        <v>301</v>
      </c>
      <c r="D91" s="15" t="s">
        <v>302</v>
      </c>
      <c r="E91" s="20">
        <v>211695</v>
      </c>
      <c r="F91" s="21">
        <v>1594.2750000000001</v>
      </c>
      <c r="G91" s="22">
        <v>1E-3</v>
      </c>
      <c r="H91" s="40"/>
      <c r="I91" s="24"/>
      <c r="J91" s="5"/>
    </row>
    <row r="92" spans="1:10" ht="12.95" customHeight="1">
      <c r="A92" s="18" t="s">
        <v>860</v>
      </c>
      <c r="B92" s="19" t="s">
        <v>861</v>
      </c>
      <c r="C92" s="15" t="s">
        <v>862</v>
      </c>
      <c r="D92" s="15" t="s">
        <v>259</v>
      </c>
      <c r="E92" s="20">
        <v>1488754</v>
      </c>
      <c r="F92" s="21">
        <v>959.50199999999995</v>
      </c>
      <c r="G92" s="22">
        <v>5.9999999999999995E-4</v>
      </c>
      <c r="H92" s="40"/>
      <c r="I92" s="24"/>
      <c r="J92" s="5"/>
    </row>
    <row r="93" spans="1:10" ht="12.95" customHeight="1">
      <c r="A93" s="18" t="s">
        <v>3638</v>
      </c>
      <c r="B93" s="19" t="s">
        <v>3639</v>
      </c>
      <c r="C93" s="15" t="s">
        <v>3640</v>
      </c>
      <c r="D93" s="15" t="s">
        <v>745</v>
      </c>
      <c r="E93" s="20">
        <v>205492</v>
      </c>
      <c r="F93" s="21">
        <v>949.27030000000002</v>
      </c>
      <c r="G93" s="22">
        <v>5.9999999999999995E-4</v>
      </c>
      <c r="H93" s="40"/>
      <c r="I93" s="24"/>
      <c r="J93" s="5"/>
    </row>
    <row r="94" spans="1:10" ht="12.95" customHeight="1">
      <c r="A94" s="18" t="s">
        <v>2274</v>
      </c>
      <c r="B94" s="19" t="s">
        <v>2275</v>
      </c>
      <c r="C94" s="15" t="s">
        <v>2276</v>
      </c>
      <c r="D94" s="15" t="s">
        <v>324</v>
      </c>
      <c r="E94" s="20">
        <v>62745</v>
      </c>
      <c r="F94" s="21">
        <v>552.12459999999999</v>
      </c>
      <c r="G94" s="22">
        <v>2.9999999999999997E-4</v>
      </c>
      <c r="H94" s="40"/>
      <c r="I94" s="24"/>
      <c r="J94" s="5"/>
    </row>
    <row r="95" spans="1:10" ht="12.95" customHeight="1">
      <c r="A95" s="18" t="s">
        <v>824</v>
      </c>
      <c r="B95" s="19" t="s">
        <v>825</v>
      </c>
      <c r="C95" s="15" t="s">
        <v>826</v>
      </c>
      <c r="D95" s="15" t="s">
        <v>302</v>
      </c>
      <c r="E95" s="20">
        <v>663</v>
      </c>
      <c r="F95" s="21">
        <v>258.42840000000001</v>
      </c>
      <c r="G95" s="22">
        <v>2.0000000000000001E-4</v>
      </c>
      <c r="H95" s="40"/>
      <c r="I95" s="24"/>
      <c r="J95" s="5"/>
    </row>
    <row r="96" spans="1:10" ht="12.95" customHeight="1">
      <c r="A96" s="18" t="s">
        <v>3039</v>
      </c>
      <c r="B96" s="19" t="s">
        <v>3040</v>
      </c>
      <c r="C96" s="15" t="s">
        <v>3041</v>
      </c>
      <c r="D96" s="15" t="s">
        <v>324</v>
      </c>
      <c r="E96" s="20">
        <v>15959</v>
      </c>
      <c r="F96" s="21">
        <v>256.68459999999999</v>
      </c>
      <c r="G96" s="22">
        <v>2.0000000000000001E-4</v>
      </c>
      <c r="H96" s="40"/>
      <c r="I96" s="24"/>
      <c r="J96" s="5"/>
    </row>
    <row r="97" spans="1:10" ht="12.95" customHeight="1">
      <c r="A97" s="18" t="s">
        <v>2173</v>
      </c>
      <c r="B97" s="19" t="s">
        <v>2174</v>
      </c>
      <c r="C97" s="15" t="s">
        <v>2175</v>
      </c>
      <c r="D97" s="15" t="s">
        <v>295</v>
      </c>
      <c r="E97" s="20">
        <v>17625</v>
      </c>
      <c r="F97" s="21">
        <v>246.74119999999999</v>
      </c>
      <c r="G97" s="22">
        <v>2.0000000000000001E-4</v>
      </c>
      <c r="H97" s="40"/>
      <c r="I97" s="24"/>
      <c r="J97" s="5"/>
    </row>
    <row r="98" spans="1:10" ht="12.95" customHeight="1">
      <c r="A98" s="18" t="s">
        <v>2176</v>
      </c>
      <c r="B98" s="19" t="s">
        <v>2177</v>
      </c>
      <c r="C98" s="15" t="s">
        <v>2178</v>
      </c>
      <c r="D98" s="15" t="s">
        <v>255</v>
      </c>
      <c r="E98" s="20">
        <v>283930</v>
      </c>
      <c r="F98" s="21">
        <v>236.3717</v>
      </c>
      <c r="G98" s="22">
        <v>1E-4</v>
      </c>
      <c r="H98" s="40"/>
      <c r="I98" s="24"/>
      <c r="J98" s="5"/>
    </row>
    <row r="99" spans="1:10" ht="12.95" customHeight="1">
      <c r="A99" s="18" t="s">
        <v>3547</v>
      </c>
      <c r="B99" s="19" t="s">
        <v>3548</v>
      </c>
      <c r="C99" s="15" t="s">
        <v>3549</v>
      </c>
      <c r="D99" s="15" t="s">
        <v>324</v>
      </c>
      <c r="E99" s="20">
        <v>61580</v>
      </c>
      <c r="F99" s="21">
        <v>189.2353</v>
      </c>
      <c r="G99" s="22">
        <v>1E-4</v>
      </c>
      <c r="H99" s="40"/>
      <c r="I99" s="24"/>
      <c r="J99" s="5"/>
    </row>
    <row r="100" spans="1:10" ht="12.95" customHeight="1">
      <c r="A100" s="18" t="s">
        <v>2189</v>
      </c>
      <c r="B100" s="19" t="s">
        <v>2190</v>
      </c>
      <c r="C100" s="15" t="s">
        <v>2191</v>
      </c>
      <c r="D100" s="15" t="s">
        <v>2192</v>
      </c>
      <c r="E100" s="20">
        <v>17673</v>
      </c>
      <c r="F100" s="21">
        <v>146.27940000000001</v>
      </c>
      <c r="G100" s="22">
        <v>1E-4</v>
      </c>
      <c r="H100" s="40"/>
      <c r="I100" s="24"/>
      <c r="J100" s="5"/>
    </row>
    <row r="101" spans="1:10" ht="12.95" customHeight="1">
      <c r="A101" s="18" t="s">
        <v>3641</v>
      </c>
      <c r="B101" s="19" t="s">
        <v>3642</v>
      </c>
      <c r="C101" s="15" t="s">
        <v>3643</v>
      </c>
      <c r="D101" s="15" t="s">
        <v>259</v>
      </c>
      <c r="E101" s="20">
        <v>11427</v>
      </c>
      <c r="F101" s="21">
        <v>44.142499999999998</v>
      </c>
      <c r="G101" s="40" t="s">
        <v>675</v>
      </c>
      <c r="H101" s="40"/>
      <c r="I101" s="24"/>
      <c r="J101" s="5"/>
    </row>
    <row r="102" spans="1:10" ht="12.95" customHeight="1">
      <c r="A102" s="18" t="s">
        <v>2472</v>
      </c>
      <c r="B102" s="19" t="s">
        <v>2473</v>
      </c>
      <c r="C102" s="15" t="s">
        <v>2474</v>
      </c>
      <c r="D102" s="15" t="s">
        <v>259</v>
      </c>
      <c r="E102" s="20">
        <v>721</v>
      </c>
      <c r="F102" s="21">
        <v>9.0860000000000003</v>
      </c>
      <c r="G102" s="40" t="s">
        <v>675</v>
      </c>
      <c r="H102" s="40"/>
      <c r="I102" s="24"/>
      <c r="J102" s="5"/>
    </row>
    <row r="103" spans="1:10" ht="12.95" customHeight="1">
      <c r="A103" s="5"/>
      <c r="B103" s="14" t="s">
        <v>160</v>
      </c>
      <c r="C103" s="15"/>
      <c r="D103" s="15"/>
      <c r="E103" s="15"/>
      <c r="F103" s="25">
        <v>1441551.2156</v>
      </c>
      <c r="G103" s="26">
        <v>0.89119999999999999</v>
      </c>
      <c r="H103" s="27"/>
      <c r="I103" s="28"/>
      <c r="J103" s="5"/>
    </row>
    <row r="104" spans="1:10" ht="12.95" customHeight="1">
      <c r="A104" s="5"/>
      <c r="B104" s="29" t="s">
        <v>408</v>
      </c>
      <c r="C104" s="2"/>
      <c r="D104" s="2"/>
      <c r="E104" s="2"/>
      <c r="F104" s="27" t="s">
        <v>162</v>
      </c>
      <c r="G104" s="27" t="s">
        <v>162</v>
      </c>
      <c r="H104" s="27"/>
      <c r="I104" s="28"/>
      <c r="J104" s="5"/>
    </row>
    <row r="105" spans="1:10" ht="12.95" customHeight="1">
      <c r="A105" s="5"/>
      <c r="B105" s="29" t="s">
        <v>160</v>
      </c>
      <c r="C105" s="2"/>
      <c r="D105" s="2"/>
      <c r="E105" s="2"/>
      <c r="F105" s="27" t="s">
        <v>162</v>
      </c>
      <c r="G105" s="27" t="s">
        <v>162</v>
      </c>
      <c r="H105" s="27"/>
      <c r="I105" s="28"/>
      <c r="J105" s="5"/>
    </row>
    <row r="106" spans="1:10" ht="12.95" customHeight="1">
      <c r="A106" s="5"/>
      <c r="B106" s="29" t="s">
        <v>163</v>
      </c>
      <c r="C106" s="30"/>
      <c r="D106" s="2"/>
      <c r="E106" s="30"/>
      <c r="F106" s="25">
        <v>1441551.2156</v>
      </c>
      <c r="G106" s="26">
        <v>0.89119999999999999</v>
      </c>
      <c r="H106" s="27"/>
      <c r="I106" s="28"/>
      <c r="J106" s="5"/>
    </row>
    <row r="107" spans="1:10" ht="12.95" customHeight="1">
      <c r="A107" s="5"/>
      <c r="B107" s="14" t="s">
        <v>417</v>
      </c>
      <c r="C107" s="15"/>
      <c r="D107" s="15"/>
      <c r="E107" s="15"/>
      <c r="F107" s="15"/>
      <c r="G107" s="15"/>
      <c r="H107" s="16"/>
      <c r="I107" s="17"/>
      <c r="J107" s="5"/>
    </row>
    <row r="108" spans="1:10" ht="12.95" customHeight="1">
      <c r="A108" s="5"/>
      <c r="B108" s="14" t="s">
        <v>418</v>
      </c>
      <c r="C108" s="15"/>
      <c r="D108" s="15"/>
      <c r="E108" s="15"/>
      <c r="F108" s="5"/>
      <c r="G108" s="16"/>
      <c r="H108" s="16"/>
      <c r="I108" s="17"/>
      <c r="J108" s="5"/>
    </row>
    <row r="109" spans="1:10" ht="12.95" customHeight="1">
      <c r="A109" s="18" t="s">
        <v>2116</v>
      </c>
      <c r="B109" s="19" t="s">
        <v>2117</v>
      </c>
      <c r="C109" s="15" t="s">
        <v>2118</v>
      </c>
      <c r="D109" s="15" t="s">
        <v>156</v>
      </c>
      <c r="E109" s="20">
        <v>20000000</v>
      </c>
      <c r="F109" s="21">
        <v>19703.98</v>
      </c>
      <c r="G109" s="22">
        <v>1.2200000000000001E-2</v>
      </c>
      <c r="H109" s="23">
        <v>6.7699999999999996E-2</v>
      </c>
      <c r="I109" s="24"/>
      <c r="J109" s="5"/>
    </row>
    <row r="110" spans="1:10" ht="12.95" customHeight="1">
      <c r="A110" s="5"/>
      <c r="B110" s="14" t="s">
        <v>160</v>
      </c>
      <c r="C110" s="15"/>
      <c r="D110" s="15"/>
      <c r="E110" s="15"/>
      <c r="F110" s="25">
        <v>19703.98</v>
      </c>
      <c r="G110" s="26">
        <v>1.2200000000000001E-2</v>
      </c>
      <c r="H110" s="27"/>
      <c r="I110" s="28"/>
      <c r="J110" s="5"/>
    </row>
    <row r="111" spans="1:10" ht="12.95" customHeight="1">
      <c r="A111" s="5"/>
      <c r="B111" s="29" t="s">
        <v>163</v>
      </c>
      <c r="C111" s="30"/>
      <c r="D111" s="2"/>
      <c r="E111" s="30"/>
      <c r="F111" s="25">
        <v>19703.98</v>
      </c>
      <c r="G111" s="26">
        <v>1.2200000000000001E-2</v>
      </c>
      <c r="H111" s="27"/>
      <c r="I111" s="28"/>
      <c r="J111" s="5"/>
    </row>
    <row r="112" spans="1:10" ht="12.95" customHeight="1">
      <c r="A112" s="5"/>
      <c r="B112" s="14" t="s">
        <v>164</v>
      </c>
      <c r="C112" s="15"/>
      <c r="D112" s="15"/>
      <c r="E112" s="15"/>
      <c r="F112" s="15"/>
      <c r="G112" s="15"/>
      <c r="H112" s="16"/>
      <c r="I112" s="17"/>
      <c r="J112" s="5"/>
    </row>
    <row r="113" spans="1:10" ht="12.95" customHeight="1">
      <c r="A113" s="18" t="s">
        <v>165</v>
      </c>
      <c r="B113" s="19" t="s">
        <v>166</v>
      </c>
      <c r="C113" s="15"/>
      <c r="D113" s="15"/>
      <c r="E113" s="20"/>
      <c r="F113" s="21">
        <v>158406.9999</v>
      </c>
      <c r="G113" s="22">
        <v>9.7900000000000001E-2</v>
      </c>
      <c r="H113" s="23">
        <v>6.7996829688028088E-2</v>
      </c>
      <c r="I113" s="24"/>
      <c r="J113" s="5"/>
    </row>
    <row r="114" spans="1:10" ht="12.95" customHeight="1">
      <c r="A114" s="5"/>
      <c r="B114" s="14" t="s">
        <v>160</v>
      </c>
      <c r="C114" s="15"/>
      <c r="D114" s="15"/>
      <c r="E114" s="15"/>
      <c r="F114" s="25">
        <v>158406.9999</v>
      </c>
      <c r="G114" s="26">
        <v>9.7900000000000001E-2</v>
      </c>
      <c r="H114" s="27"/>
      <c r="I114" s="28"/>
      <c r="J114" s="5"/>
    </row>
    <row r="115" spans="1:10" ht="12.95" customHeight="1">
      <c r="A115" s="5"/>
      <c r="B115" s="29" t="s">
        <v>163</v>
      </c>
      <c r="C115" s="30"/>
      <c r="D115" s="2"/>
      <c r="E115" s="30"/>
      <c r="F115" s="25">
        <v>158406.9999</v>
      </c>
      <c r="G115" s="26">
        <v>9.7900000000000001E-2</v>
      </c>
      <c r="H115" s="27"/>
      <c r="I115" s="28"/>
      <c r="J115" s="5"/>
    </row>
    <row r="116" spans="1:10" ht="12.95" customHeight="1">
      <c r="A116" s="5"/>
      <c r="B116" s="29" t="s">
        <v>167</v>
      </c>
      <c r="C116" s="15"/>
      <c r="D116" s="2"/>
      <c r="E116" s="15"/>
      <c r="F116" s="31">
        <v>-2128.7455</v>
      </c>
      <c r="G116" s="26">
        <v>-1.2999999999999999E-3</v>
      </c>
      <c r="H116" s="27"/>
      <c r="I116" s="28"/>
      <c r="J116" s="5"/>
    </row>
    <row r="117" spans="1:10" ht="12.95" customHeight="1">
      <c r="A117" s="5"/>
      <c r="B117" s="32" t="s">
        <v>168</v>
      </c>
      <c r="C117" s="33"/>
      <c r="D117" s="33"/>
      <c r="E117" s="33"/>
      <c r="F117" s="34">
        <v>1617533.45</v>
      </c>
      <c r="G117" s="35">
        <v>1</v>
      </c>
      <c r="H117" s="36"/>
      <c r="I117" s="37"/>
      <c r="J117" s="5"/>
    </row>
    <row r="118" spans="1:10" ht="12.95" customHeight="1">
      <c r="A118" s="5"/>
      <c r="B118" s="7"/>
      <c r="C118" s="5"/>
      <c r="D118" s="5"/>
      <c r="E118" s="5"/>
      <c r="F118" s="5"/>
      <c r="G118" s="5"/>
      <c r="H118" s="5"/>
      <c r="I118" s="5"/>
      <c r="J118" s="5"/>
    </row>
    <row r="119" spans="1:10" ht="12.95" customHeight="1">
      <c r="A119" s="5"/>
      <c r="B119" s="4" t="s">
        <v>169</v>
      </c>
      <c r="C119" s="5"/>
      <c r="D119" s="5"/>
      <c r="E119" s="5"/>
      <c r="F119" s="5"/>
      <c r="G119" s="5"/>
      <c r="H119" s="5"/>
      <c r="I119" s="5"/>
      <c r="J119" s="5"/>
    </row>
    <row r="120" spans="1:10" ht="12.95" customHeight="1">
      <c r="A120" s="5"/>
      <c r="B120" s="4" t="s">
        <v>685</v>
      </c>
      <c r="C120" s="5"/>
      <c r="D120" s="5"/>
      <c r="E120" s="5"/>
      <c r="F120" s="5"/>
      <c r="G120" s="5"/>
      <c r="H120" s="5"/>
      <c r="I120" s="5"/>
      <c r="J120" s="5"/>
    </row>
    <row r="121" spans="1:10" ht="12.95" customHeight="1">
      <c r="A121" s="5"/>
      <c r="B121" s="4" t="s">
        <v>170</v>
      </c>
      <c r="C121" s="5"/>
      <c r="D121" s="5"/>
      <c r="E121" s="5"/>
      <c r="F121" s="5"/>
      <c r="G121" s="5"/>
      <c r="H121" s="5"/>
      <c r="I121" s="5"/>
      <c r="J121" s="5"/>
    </row>
    <row r="122" spans="1:10" ht="26.1" customHeight="1">
      <c r="A122" s="5"/>
      <c r="B122" s="86" t="s">
        <v>171</v>
      </c>
      <c r="C122" s="86"/>
      <c r="D122" s="86"/>
      <c r="E122" s="86"/>
      <c r="F122" s="86"/>
      <c r="G122" s="86"/>
      <c r="H122" s="86"/>
      <c r="I122" s="86"/>
      <c r="J122" s="5"/>
    </row>
    <row r="123" spans="1:10" ht="12.95" customHeight="1">
      <c r="A123" s="5"/>
      <c r="B123" s="86"/>
      <c r="C123" s="86"/>
      <c r="D123" s="86"/>
      <c r="E123" s="86"/>
      <c r="F123" s="86"/>
      <c r="G123" s="86"/>
      <c r="H123" s="86"/>
      <c r="I123" s="86"/>
      <c r="J123" s="5"/>
    </row>
    <row r="124" spans="1:10" ht="12.95" customHeight="1">
      <c r="A124" s="5"/>
      <c r="B124" s="86"/>
      <c r="C124" s="86"/>
      <c r="D124" s="86"/>
      <c r="E124" s="86"/>
      <c r="F124" s="86"/>
      <c r="G124" s="86"/>
      <c r="H124" s="86"/>
      <c r="I124" s="86"/>
      <c r="J124" s="5"/>
    </row>
    <row r="125" spans="1:10" ht="12.95" customHeight="1">
      <c r="A125" s="5"/>
      <c r="B125" s="5"/>
      <c r="C125" s="87" t="s">
        <v>3644</v>
      </c>
      <c r="D125" s="87"/>
      <c r="E125" s="87"/>
      <c r="F125" s="87"/>
      <c r="G125" s="5"/>
      <c r="H125" s="5"/>
      <c r="I125" s="5"/>
      <c r="J125" s="5"/>
    </row>
    <row r="126" spans="1:10" ht="12.95" customHeight="1">
      <c r="A126" s="5"/>
      <c r="B126" s="38" t="s">
        <v>173</v>
      </c>
      <c r="C126" s="87" t="s">
        <v>174</v>
      </c>
      <c r="D126" s="87"/>
      <c r="E126" s="87"/>
      <c r="F126" s="87"/>
      <c r="G126" s="5"/>
      <c r="H126" s="5"/>
      <c r="I126" s="5"/>
      <c r="J126" s="5"/>
    </row>
    <row r="127" spans="1:10" ht="120.95" customHeight="1">
      <c r="A127" s="5"/>
      <c r="B127" s="39"/>
      <c r="C127" s="85"/>
      <c r="D127" s="85"/>
      <c r="E127" s="5"/>
      <c r="F127" s="5"/>
      <c r="G127" s="5"/>
      <c r="H127" s="5"/>
      <c r="I127" s="5"/>
      <c r="J127" s="5"/>
    </row>
  </sheetData>
  <mergeCells count="6">
    <mergeCell ref="C127:D127"/>
    <mergeCell ref="B122:I122"/>
    <mergeCell ref="B123:I123"/>
    <mergeCell ref="B124:I124"/>
    <mergeCell ref="C125:F125"/>
    <mergeCell ref="C126:F126"/>
  </mergeCells>
  <hyperlinks>
    <hyperlink ref="A1" location="AxisSmallCapFund" display="AXISSCF" xr:uid="{00000000-0004-0000-3800-000000000000}"/>
    <hyperlink ref="B1" location="AxisSmallCapFund" display="Axis Small Cap Fund" xr:uid="{00000000-0004-0000-3800-000001000000}"/>
  </hyperlinks>
  <pageMargins left="0" right="0" top="0" bottom="0" header="0" footer="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/>
  </sheetPr>
  <dimension ref="A1:J3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116</v>
      </c>
      <c r="B1" s="4" t="s">
        <v>117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3645</v>
      </c>
      <c r="B7" s="19" t="s">
        <v>3646</v>
      </c>
      <c r="C7" s="15" t="s">
        <v>3647</v>
      </c>
      <c r="D7" s="15" t="s">
        <v>156</v>
      </c>
      <c r="E7" s="20">
        <v>4000000</v>
      </c>
      <c r="F7" s="21">
        <v>3993.0720000000001</v>
      </c>
      <c r="G7" s="22">
        <v>0.52959999999999996</v>
      </c>
      <c r="H7" s="23">
        <v>7.5828000000000007E-2</v>
      </c>
      <c r="I7" s="24"/>
      <c r="J7" s="5"/>
    </row>
    <row r="8" spans="1:10" ht="12.95" customHeight="1">
      <c r="A8" s="18" t="s">
        <v>1696</v>
      </c>
      <c r="B8" s="19" t="s">
        <v>1697</v>
      </c>
      <c r="C8" s="15" t="s">
        <v>1698</v>
      </c>
      <c r="D8" s="15" t="s">
        <v>156</v>
      </c>
      <c r="E8" s="20">
        <v>800000</v>
      </c>
      <c r="F8" s="21">
        <v>775.89279999999997</v>
      </c>
      <c r="G8" s="22">
        <v>0.10290000000000001</v>
      </c>
      <c r="H8" s="23">
        <v>7.5617000000000004E-2</v>
      </c>
      <c r="I8" s="24"/>
      <c r="J8" s="5"/>
    </row>
    <row r="9" spans="1:10" ht="12.95" customHeight="1">
      <c r="A9" s="18" t="s">
        <v>3648</v>
      </c>
      <c r="B9" s="19" t="s">
        <v>3649</v>
      </c>
      <c r="C9" s="15" t="s">
        <v>3650</v>
      </c>
      <c r="D9" s="15" t="s">
        <v>156</v>
      </c>
      <c r="E9" s="20">
        <v>500000</v>
      </c>
      <c r="F9" s="21">
        <v>501.9855</v>
      </c>
      <c r="G9" s="22">
        <v>6.6600000000000006E-2</v>
      </c>
      <c r="H9" s="23">
        <v>7.5758000000000006E-2</v>
      </c>
      <c r="I9" s="24"/>
      <c r="J9" s="5"/>
    </row>
    <row r="10" spans="1:10" ht="12.95" customHeight="1">
      <c r="A10" s="18" t="s">
        <v>3651</v>
      </c>
      <c r="B10" s="19" t="s">
        <v>3652</v>
      </c>
      <c r="C10" s="15" t="s">
        <v>3653</v>
      </c>
      <c r="D10" s="15" t="s">
        <v>156</v>
      </c>
      <c r="E10" s="20">
        <v>500000</v>
      </c>
      <c r="F10" s="21">
        <v>501.75</v>
      </c>
      <c r="G10" s="22">
        <v>6.6500000000000004E-2</v>
      </c>
      <c r="H10" s="23">
        <v>7.6053999999999997E-2</v>
      </c>
      <c r="I10" s="24"/>
      <c r="J10" s="5"/>
    </row>
    <row r="11" spans="1:10" ht="12.95" customHeight="1">
      <c r="A11" s="18" t="s">
        <v>3654</v>
      </c>
      <c r="B11" s="19" t="s">
        <v>3655</v>
      </c>
      <c r="C11" s="15" t="s">
        <v>3656</v>
      </c>
      <c r="D11" s="15" t="s">
        <v>156</v>
      </c>
      <c r="E11" s="20">
        <v>500000</v>
      </c>
      <c r="F11" s="21">
        <v>499.26549999999997</v>
      </c>
      <c r="G11" s="22">
        <v>6.6199999999999995E-2</v>
      </c>
      <c r="H11" s="23">
        <v>7.5620000000000007E-2</v>
      </c>
      <c r="I11" s="24"/>
      <c r="J11" s="5"/>
    </row>
    <row r="12" spans="1:10" ht="12.95" customHeight="1">
      <c r="A12" s="18" t="s">
        <v>3657</v>
      </c>
      <c r="B12" s="19" t="s">
        <v>3658</v>
      </c>
      <c r="C12" s="15" t="s">
        <v>3659</v>
      </c>
      <c r="D12" s="15" t="s">
        <v>156</v>
      </c>
      <c r="E12" s="20">
        <v>500000</v>
      </c>
      <c r="F12" s="21">
        <v>496.37700000000001</v>
      </c>
      <c r="G12" s="22">
        <v>6.5799999999999997E-2</v>
      </c>
      <c r="H12" s="23">
        <v>7.5828000000000007E-2</v>
      </c>
      <c r="I12" s="24"/>
      <c r="J12" s="5"/>
    </row>
    <row r="13" spans="1:10" ht="12.95" customHeight="1">
      <c r="A13" s="18" t="s">
        <v>3660</v>
      </c>
      <c r="B13" s="19" t="s">
        <v>3661</v>
      </c>
      <c r="C13" s="15" t="s">
        <v>3662</v>
      </c>
      <c r="D13" s="15" t="s">
        <v>156</v>
      </c>
      <c r="E13" s="20">
        <v>200000</v>
      </c>
      <c r="F13" s="21">
        <v>200.67519999999999</v>
      </c>
      <c r="G13" s="22">
        <v>2.6599999999999999E-2</v>
      </c>
      <c r="H13" s="23">
        <v>7.5825000000000004E-2</v>
      </c>
      <c r="I13" s="24"/>
      <c r="J13" s="5"/>
    </row>
    <row r="14" spans="1:10" ht="12.95" customHeight="1">
      <c r="A14" s="18" t="s">
        <v>3663</v>
      </c>
      <c r="B14" s="19" t="s">
        <v>3655</v>
      </c>
      <c r="C14" s="15" t="s">
        <v>3664</v>
      </c>
      <c r="D14" s="15" t="s">
        <v>156</v>
      </c>
      <c r="E14" s="20">
        <v>150000</v>
      </c>
      <c r="F14" s="21">
        <v>149.76079999999999</v>
      </c>
      <c r="G14" s="22">
        <v>1.9900000000000001E-2</v>
      </c>
      <c r="H14" s="23">
        <v>7.5669E-2</v>
      </c>
      <c r="I14" s="24"/>
      <c r="J14" s="5"/>
    </row>
    <row r="15" spans="1:10" ht="12.95" customHeight="1">
      <c r="A15" s="18" t="s">
        <v>3665</v>
      </c>
      <c r="B15" s="19" t="s">
        <v>3666</v>
      </c>
      <c r="C15" s="15" t="s">
        <v>3667</v>
      </c>
      <c r="D15" s="15" t="s">
        <v>156</v>
      </c>
      <c r="E15" s="20">
        <v>100000</v>
      </c>
      <c r="F15" s="21">
        <v>100.3065</v>
      </c>
      <c r="G15" s="22">
        <v>1.3299999999999999E-2</v>
      </c>
      <c r="H15" s="23">
        <v>7.6053999999999997E-2</v>
      </c>
      <c r="I15" s="24"/>
      <c r="J15" s="5"/>
    </row>
    <row r="16" spans="1:10" ht="12.95" customHeight="1">
      <c r="A16" s="5"/>
      <c r="B16" s="14" t="s">
        <v>160</v>
      </c>
      <c r="C16" s="15"/>
      <c r="D16" s="15"/>
      <c r="E16" s="15"/>
      <c r="F16" s="25">
        <v>7219.0852999999997</v>
      </c>
      <c r="G16" s="26">
        <v>0.95740000000000003</v>
      </c>
      <c r="H16" s="27"/>
      <c r="I16" s="28"/>
      <c r="J16" s="5"/>
    </row>
    <row r="17" spans="1:10" ht="12.95" customHeight="1">
      <c r="A17" s="5"/>
      <c r="B17" s="29" t="s">
        <v>161</v>
      </c>
      <c r="C17" s="2"/>
      <c r="D17" s="2"/>
      <c r="E17" s="2"/>
      <c r="F17" s="27" t="s">
        <v>162</v>
      </c>
      <c r="G17" s="27" t="s">
        <v>162</v>
      </c>
      <c r="H17" s="27"/>
      <c r="I17" s="28"/>
      <c r="J17" s="5"/>
    </row>
    <row r="18" spans="1:10" ht="12.95" customHeight="1">
      <c r="A18" s="5"/>
      <c r="B18" s="29" t="s">
        <v>160</v>
      </c>
      <c r="C18" s="2"/>
      <c r="D18" s="2"/>
      <c r="E18" s="2"/>
      <c r="F18" s="27" t="s">
        <v>162</v>
      </c>
      <c r="G18" s="27" t="s">
        <v>162</v>
      </c>
      <c r="H18" s="27"/>
      <c r="I18" s="28"/>
      <c r="J18" s="5"/>
    </row>
    <row r="19" spans="1:10" ht="12.95" customHeight="1">
      <c r="A19" s="5"/>
      <c r="B19" s="29" t="s">
        <v>163</v>
      </c>
      <c r="C19" s="30"/>
      <c r="D19" s="2"/>
      <c r="E19" s="30"/>
      <c r="F19" s="25">
        <v>7219.0852999999997</v>
      </c>
      <c r="G19" s="26">
        <v>0.95740000000000003</v>
      </c>
      <c r="H19" s="27"/>
      <c r="I19" s="28"/>
      <c r="J19" s="5"/>
    </row>
    <row r="20" spans="1:10" ht="12.95" customHeight="1">
      <c r="A20" s="5"/>
      <c r="B20" s="14" t="s">
        <v>164</v>
      </c>
      <c r="C20" s="15"/>
      <c r="D20" s="15"/>
      <c r="E20" s="15"/>
      <c r="F20" s="15"/>
      <c r="G20" s="15"/>
      <c r="H20" s="16"/>
      <c r="I20" s="17"/>
      <c r="J20" s="5"/>
    </row>
    <row r="21" spans="1:10" ht="12.95" customHeight="1">
      <c r="A21" s="18" t="s">
        <v>165</v>
      </c>
      <c r="B21" s="19" t="s">
        <v>166</v>
      </c>
      <c r="C21" s="15"/>
      <c r="D21" s="15"/>
      <c r="E21" s="20"/>
      <c r="F21" s="21">
        <v>233.23310000000001</v>
      </c>
      <c r="G21" s="22">
        <v>3.09E-2</v>
      </c>
      <c r="H21" s="23">
        <v>6.7996875347032845E-2</v>
      </c>
      <c r="I21" s="24"/>
      <c r="J21" s="5"/>
    </row>
    <row r="22" spans="1:10" ht="12.95" customHeight="1">
      <c r="A22" s="5"/>
      <c r="B22" s="14" t="s">
        <v>160</v>
      </c>
      <c r="C22" s="15"/>
      <c r="D22" s="15"/>
      <c r="E22" s="15"/>
      <c r="F22" s="25">
        <v>233.23310000000001</v>
      </c>
      <c r="G22" s="26">
        <v>3.09E-2</v>
      </c>
      <c r="H22" s="27"/>
      <c r="I22" s="28"/>
      <c r="J22" s="5"/>
    </row>
    <row r="23" spans="1:10" ht="12.95" customHeight="1">
      <c r="A23" s="5"/>
      <c r="B23" s="29" t="s">
        <v>163</v>
      </c>
      <c r="C23" s="30"/>
      <c r="D23" s="2"/>
      <c r="E23" s="30"/>
      <c r="F23" s="25">
        <v>233.23310000000001</v>
      </c>
      <c r="G23" s="26">
        <v>3.09E-2</v>
      </c>
      <c r="H23" s="27"/>
      <c r="I23" s="28"/>
      <c r="J23" s="5"/>
    </row>
    <row r="24" spans="1:10" ht="12.95" customHeight="1">
      <c r="A24" s="5"/>
      <c r="B24" s="29" t="s">
        <v>167</v>
      </c>
      <c r="C24" s="15"/>
      <c r="D24" s="2"/>
      <c r="E24" s="15"/>
      <c r="F24" s="31">
        <v>87.621600000000001</v>
      </c>
      <c r="G24" s="26">
        <v>1.17E-2</v>
      </c>
      <c r="H24" s="27"/>
      <c r="I24" s="28"/>
      <c r="J24" s="5"/>
    </row>
    <row r="25" spans="1:10" ht="12.95" customHeight="1">
      <c r="A25" s="5"/>
      <c r="B25" s="32" t="s">
        <v>168</v>
      </c>
      <c r="C25" s="33"/>
      <c r="D25" s="33"/>
      <c r="E25" s="33"/>
      <c r="F25" s="34">
        <v>7539.94</v>
      </c>
      <c r="G25" s="35">
        <v>1</v>
      </c>
      <c r="H25" s="36"/>
      <c r="I25" s="37"/>
      <c r="J25" s="5"/>
    </row>
    <row r="26" spans="1:10" ht="12.95" customHeight="1">
      <c r="A26" s="5"/>
      <c r="B26" s="7"/>
      <c r="C26" s="5"/>
      <c r="D26" s="5"/>
      <c r="E26" s="5"/>
      <c r="F26" s="5"/>
      <c r="G26" s="5"/>
      <c r="H26" s="5"/>
      <c r="I26" s="5"/>
      <c r="J26" s="5"/>
    </row>
    <row r="27" spans="1:10" ht="12.95" customHeight="1">
      <c r="A27" s="5"/>
      <c r="B27" s="4" t="s">
        <v>169</v>
      </c>
      <c r="C27" s="5"/>
      <c r="D27" s="5"/>
      <c r="E27" s="5"/>
      <c r="F27" s="5"/>
      <c r="G27" s="5"/>
      <c r="H27" s="5"/>
      <c r="I27" s="5"/>
      <c r="J27" s="5"/>
    </row>
    <row r="28" spans="1:10" ht="12.95" customHeight="1">
      <c r="A28" s="5"/>
      <c r="B28" s="4" t="s">
        <v>170</v>
      </c>
      <c r="C28" s="5"/>
      <c r="D28" s="5"/>
      <c r="E28" s="5"/>
      <c r="F28" s="5"/>
      <c r="G28" s="5"/>
      <c r="H28" s="5"/>
      <c r="I28" s="5"/>
      <c r="J28" s="5"/>
    </row>
    <row r="29" spans="1:10" ht="26.1" customHeight="1">
      <c r="A29" s="5"/>
      <c r="B29" s="86" t="s">
        <v>171</v>
      </c>
      <c r="C29" s="86"/>
      <c r="D29" s="86"/>
      <c r="E29" s="86"/>
      <c r="F29" s="86"/>
      <c r="G29" s="86"/>
      <c r="H29" s="86"/>
      <c r="I29" s="86"/>
      <c r="J29" s="5"/>
    </row>
    <row r="30" spans="1:10" ht="12.95" customHeight="1">
      <c r="A30" s="5"/>
      <c r="B30" s="86"/>
      <c r="C30" s="86"/>
      <c r="D30" s="86"/>
      <c r="E30" s="86"/>
      <c r="F30" s="86"/>
      <c r="G30" s="86"/>
      <c r="H30" s="86"/>
      <c r="I30" s="86"/>
      <c r="J30" s="5"/>
    </row>
    <row r="31" spans="1:10" ht="12.95" customHeight="1">
      <c r="A31" s="5"/>
      <c r="B31" s="86"/>
      <c r="C31" s="86"/>
      <c r="D31" s="86"/>
      <c r="E31" s="86"/>
      <c r="F31" s="86"/>
      <c r="G31" s="86"/>
      <c r="H31" s="86"/>
      <c r="I31" s="86"/>
      <c r="J31" s="5"/>
    </row>
    <row r="32" spans="1:10" ht="12.95" customHeight="1">
      <c r="A32" s="5"/>
      <c r="B32" s="5"/>
      <c r="C32" s="87" t="s">
        <v>3668</v>
      </c>
      <c r="D32" s="87"/>
      <c r="E32" s="87"/>
      <c r="F32" s="87"/>
      <c r="G32" s="5"/>
      <c r="H32" s="5"/>
      <c r="I32" s="5"/>
      <c r="J32" s="5"/>
    </row>
    <row r="33" spans="1:10" ht="12.95" customHeight="1">
      <c r="A33" s="5"/>
      <c r="B33" s="38" t="s">
        <v>173</v>
      </c>
      <c r="C33" s="87" t="s">
        <v>174</v>
      </c>
      <c r="D33" s="87"/>
      <c r="E33" s="87"/>
      <c r="F33" s="87"/>
      <c r="G33" s="5"/>
      <c r="H33" s="5"/>
      <c r="I33" s="5"/>
      <c r="J33" s="5"/>
    </row>
    <row r="34" spans="1:10" ht="120.95" customHeight="1">
      <c r="A34" s="5"/>
      <c r="B34" s="39"/>
      <c r="C34" s="85"/>
      <c r="D34" s="85"/>
      <c r="E34" s="5"/>
      <c r="F34" s="5"/>
      <c r="G34" s="5"/>
      <c r="H34" s="5"/>
      <c r="I34" s="5"/>
      <c r="J34" s="5"/>
    </row>
  </sheetData>
  <mergeCells count="6">
    <mergeCell ref="C34:D34"/>
    <mergeCell ref="B29:I29"/>
    <mergeCell ref="B30:I30"/>
    <mergeCell ref="B31:I31"/>
    <mergeCell ref="C32:F32"/>
    <mergeCell ref="C33:F33"/>
  </mergeCells>
  <hyperlinks>
    <hyperlink ref="A1" location="AxisNIFTYSDLSeptember2026DebtIndexFund" display="AXISSDI" xr:uid="{00000000-0004-0000-3900-000000000000}"/>
    <hyperlink ref="B1" location="AxisNIFTYSDLSeptember2026DebtIndexFund" display="Axis NIFTY SDL September 2026 Debt Index Fund" xr:uid="{00000000-0004-0000-3900-000001000000}"/>
  </hyperlinks>
  <pageMargins left="0" right="0" top="0" bottom="0" header="0" footer="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118</v>
      </c>
      <c r="B1" s="4" t="s">
        <v>119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209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3669</v>
      </c>
      <c r="B7" s="19" t="s">
        <v>3670</v>
      </c>
      <c r="C7" s="15" t="s">
        <v>3671</v>
      </c>
      <c r="D7" s="15"/>
      <c r="E7" s="20">
        <v>255360510</v>
      </c>
      <c r="F7" s="21">
        <v>28600.377100000002</v>
      </c>
      <c r="G7" s="22">
        <v>0.99270000000000003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28600.377100000002</v>
      </c>
      <c r="G8" s="26">
        <v>0.99270000000000003</v>
      </c>
      <c r="H8" s="27"/>
      <c r="I8" s="28"/>
      <c r="J8" s="5"/>
    </row>
    <row r="9" spans="1:10" ht="12.95" customHeight="1">
      <c r="A9" s="5"/>
      <c r="B9" s="29" t="s">
        <v>163</v>
      </c>
      <c r="C9" s="30"/>
      <c r="D9" s="2"/>
      <c r="E9" s="30"/>
      <c r="F9" s="25">
        <v>28600.377100000002</v>
      </c>
      <c r="G9" s="26">
        <v>0.99270000000000003</v>
      </c>
      <c r="H9" s="27"/>
      <c r="I9" s="28"/>
      <c r="J9" s="5"/>
    </row>
    <row r="10" spans="1:10" ht="12.95" customHeight="1">
      <c r="A10" s="5"/>
      <c r="B10" s="14" t="s">
        <v>164</v>
      </c>
      <c r="C10" s="15"/>
      <c r="D10" s="15"/>
      <c r="E10" s="15"/>
      <c r="F10" s="15"/>
      <c r="G10" s="15"/>
      <c r="H10" s="16"/>
      <c r="I10" s="17"/>
      <c r="J10" s="5"/>
    </row>
    <row r="11" spans="1:10" ht="12.95" customHeight="1">
      <c r="A11" s="18" t="s">
        <v>165</v>
      </c>
      <c r="B11" s="19" t="s">
        <v>166</v>
      </c>
      <c r="C11" s="15"/>
      <c r="D11" s="15"/>
      <c r="E11" s="20"/>
      <c r="F11" s="21">
        <v>219.0384</v>
      </c>
      <c r="G11" s="22">
        <v>7.6E-3</v>
      </c>
      <c r="H11" s="23">
        <v>6.7996829688028088E-2</v>
      </c>
      <c r="I11" s="24"/>
      <c r="J11" s="5"/>
    </row>
    <row r="12" spans="1:10" ht="12.95" customHeight="1">
      <c r="A12" s="5"/>
      <c r="B12" s="14" t="s">
        <v>160</v>
      </c>
      <c r="C12" s="15"/>
      <c r="D12" s="15"/>
      <c r="E12" s="15"/>
      <c r="F12" s="25">
        <v>219.0384</v>
      </c>
      <c r="G12" s="26">
        <v>7.6E-3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219.0384</v>
      </c>
      <c r="G13" s="26">
        <v>7.6E-3</v>
      </c>
      <c r="H13" s="27"/>
      <c r="I13" s="28"/>
      <c r="J13" s="5"/>
    </row>
    <row r="14" spans="1:10" ht="12.95" customHeight="1">
      <c r="A14" s="5"/>
      <c r="B14" s="29" t="s">
        <v>167</v>
      </c>
      <c r="C14" s="15"/>
      <c r="D14" s="2"/>
      <c r="E14" s="15"/>
      <c r="F14" s="31">
        <v>-9.6255000000000006</v>
      </c>
      <c r="G14" s="26">
        <v>-2.9999999999999997E-4</v>
      </c>
      <c r="H14" s="27"/>
      <c r="I14" s="28"/>
      <c r="J14" s="5"/>
    </row>
    <row r="15" spans="1:10" ht="12.95" customHeight="1">
      <c r="A15" s="5"/>
      <c r="B15" s="32" t="s">
        <v>168</v>
      </c>
      <c r="C15" s="33"/>
      <c r="D15" s="33"/>
      <c r="E15" s="33"/>
      <c r="F15" s="34">
        <v>28809.79</v>
      </c>
      <c r="G15" s="35">
        <v>1</v>
      </c>
      <c r="H15" s="36"/>
      <c r="I15" s="37"/>
      <c r="J15" s="5"/>
    </row>
    <row r="16" spans="1:10" ht="12.95" customHeight="1">
      <c r="A16" s="5"/>
      <c r="B16" s="7"/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169</v>
      </c>
      <c r="C17" s="5"/>
      <c r="D17" s="5"/>
      <c r="E17" s="5"/>
      <c r="F17" s="5"/>
      <c r="G17" s="5"/>
      <c r="H17" s="5"/>
      <c r="I17" s="5"/>
      <c r="J17" s="5"/>
    </row>
    <row r="18" spans="1:10" ht="12.95" customHeight="1">
      <c r="A18" s="5"/>
      <c r="B18" s="4" t="s">
        <v>170</v>
      </c>
      <c r="C18" s="5"/>
      <c r="D18" s="5"/>
      <c r="E18" s="5"/>
      <c r="F18" s="5"/>
      <c r="G18" s="5"/>
      <c r="H18" s="5"/>
      <c r="I18" s="5"/>
      <c r="J18" s="5"/>
    </row>
    <row r="19" spans="1:10" ht="26.1" customHeight="1">
      <c r="A19" s="5"/>
      <c r="B19" s="86" t="s">
        <v>171</v>
      </c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6"/>
      <c r="C20" s="86"/>
      <c r="D20" s="86"/>
      <c r="E20" s="86"/>
      <c r="F20" s="86"/>
      <c r="G20" s="86"/>
      <c r="H20" s="86"/>
      <c r="I20" s="86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3672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6">
    <mergeCell ref="C24:D24"/>
    <mergeCell ref="B19:I19"/>
    <mergeCell ref="B20:I20"/>
    <mergeCell ref="B21:I21"/>
    <mergeCell ref="C22:F22"/>
    <mergeCell ref="C23:F23"/>
  </mergeCells>
  <hyperlinks>
    <hyperlink ref="A1" location="AxisNiftyAAABondPlusSDLApr20265050ETFFOF" display="AXISSDL" xr:uid="{00000000-0004-0000-3A00-000000000000}"/>
    <hyperlink ref="B1" location="AxisNiftyAAABondPlusSDLApr20265050ETFFOF" display="Axis Nifty AAA Bond Plus SDL Apr 2026 50:50 ETF FOF" xr:uid="{00000000-0004-0000-3A00-000001000000}"/>
  </hyperlinks>
  <pageMargins left="0" right="0" top="0" bottom="0" header="0" footer="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/>
  </sheetPr>
  <dimension ref="A1:J7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120</v>
      </c>
      <c r="B1" s="4" t="s">
        <v>121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</v>
      </c>
    </row>
    <row r="5" spans="1:10" ht="12.95" customHeight="1">
      <c r="A5" s="5"/>
      <c r="B5" s="14" t="s">
        <v>151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152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2689</v>
      </c>
      <c r="B7" s="19" t="s">
        <v>2690</v>
      </c>
      <c r="C7" s="15" t="s">
        <v>2691</v>
      </c>
      <c r="D7" s="15" t="s">
        <v>179</v>
      </c>
      <c r="E7" s="20">
        <v>1175</v>
      </c>
      <c r="F7" s="21">
        <v>11326.165800000001</v>
      </c>
      <c r="G7" s="22">
        <v>7.5300000000000006E-2</v>
      </c>
      <c r="H7" s="23">
        <v>7.6600000000000001E-2</v>
      </c>
      <c r="I7" s="24"/>
      <c r="J7" s="5"/>
    </row>
    <row r="8" spans="1:10" ht="12.95" customHeight="1">
      <c r="A8" s="18" t="s">
        <v>651</v>
      </c>
      <c r="B8" s="19" t="s">
        <v>652</v>
      </c>
      <c r="C8" s="15" t="s">
        <v>653</v>
      </c>
      <c r="D8" s="15" t="s">
        <v>179</v>
      </c>
      <c r="E8" s="20">
        <v>1001</v>
      </c>
      <c r="F8" s="21">
        <v>9810.8711000000003</v>
      </c>
      <c r="G8" s="22">
        <v>6.5199999999999994E-2</v>
      </c>
      <c r="H8" s="23">
        <v>7.6249999999999998E-2</v>
      </c>
      <c r="I8" s="24"/>
      <c r="J8" s="5"/>
    </row>
    <row r="9" spans="1:10" ht="12.95" customHeight="1">
      <c r="A9" s="18" t="s">
        <v>1116</v>
      </c>
      <c r="B9" s="19" t="s">
        <v>1117</v>
      </c>
      <c r="C9" s="15" t="s">
        <v>1118</v>
      </c>
      <c r="D9" s="15" t="s">
        <v>179</v>
      </c>
      <c r="E9" s="20">
        <v>831</v>
      </c>
      <c r="F9" s="21">
        <v>7991.6770999999999</v>
      </c>
      <c r="G9" s="22">
        <v>5.3100000000000001E-2</v>
      </c>
      <c r="H9" s="23">
        <v>7.5800000000000006E-2</v>
      </c>
      <c r="I9" s="24"/>
      <c r="J9" s="5"/>
    </row>
    <row r="10" spans="1:10" ht="12.95" customHeight="1">
      <c r="A10" s="18" t="s">
        <v>588</v>
      </c>
      <c r="B10" s="19" t="s">
        <v>589</v>
      </c>
      <c r="C10" s="15" t="s">
        <v>590</v>
      </c>
      <c r="D10" s="15" t="s">
        <v>156</v>
      </c>
      <c r="E10" s="20">
        <v>8000000</v>
      </c>
      <c r="F10" s="21">
        <v>7779.4960000000001</v>
      </c>
      <c r="G10" s="22">
        <v>5.1700000000000003E-2</v>
      </c>
      <c r="H10" s="23">
        <v>7.5464000000000003E-2</v>
      </c>
      <c r="I10" s="24"/>
      <c r="J10" s="5"/>
    </row>
    <row r="11" spans="1:10" ht="12.95" customHeight="1">
      <c r="A11" s="18" t="s">
        <v>3673</v>
      </c>
      <c r="B11" s="19" t="s">
        <v>3674</v>
      </c>
      <c r="C11" s="15" t="s">
        <v>3675</v>
      </c>
      <c r="D11" s="15" t="s">
        <v>156</v>
      </c>
      <c r="E11" s="20">
        <v>6715000</v>
      </c>
      <c r="F11" s="21">
        <v>6918.8674000000001</v>
      </c>
      <c r="G11" s="22">
        <v>4.5999999999999999E-2</v>
      </c>
      <c r="H11" s="23">
        <v>7.6065999999999995E-2</v>
      </c>
      <c r="I11" s="24"/>
      <c r="J11" s="5"/>
    </row>
    <row r="12" spans="1:10" ht="12.95" customHeight="1">
      <c r="A12" s="18" t="s">
        <v>3676</v>
      </c>
      <c r="B12" s="19" t="s">
        <v>3677</v>
      </c>
      <c r="C12" s="15" t="s">
        <v>3678</v>
      </c>
      <c r="D12" s="15" t="s">
        <v>156</v>
      </c>
      <c r="E12" s="20">
        <v>6500000</v>
      </c>
      <c r="F12" s="21">
        <v>6690.5540000000001</v>
      </c>
      <c r="G12" s="22">
        <v>4.4499999999999998E-2</v>
      </c>
      <c r="H12" s="23">
        <v>7.6050000000000006E-2</v>
      </c>
      <c r="I12" s="24"/>
      <c r="J12" s="5"/>
    </row>
    <row r="13" spans="1:10" ht="12.95" customHeight="1">
      <c r="A13" s="18" t="s">
        <v>466</v>
      </c>
      <c r="B13" s="19" t="s">
        <v>467</v>
      </c>
      <c r="C13" s="15" t="s">
        <v>468</v>
      </c>
      <c r="D13" s="15" t="s">
        <v>179</v>
      </c>
      <c r="E13" s="20">
        <v>650</v>
      </c>
      <c r="F13" s="21">
        <v>6494.8064999999997</v>
      </c>
      <c r="G13" s="22">
        <v>4.3200000000000002E-2</v>
      </c>
      <c r="H13" s="23">
        <v>7.5999999999999998E-2</v>
      </c>
      <c r="I13" s="24"/>
      <c r="J13" s="5"/>
    </row>
    <row r="14" spans="1:10" ht="12.95" customHeight="1">
      <c r="A14" s="18" t="s">
        <v>3679</v>
      </c>
      <c r="B14" s="19" t="s">
        <v>3680</v>
      </c>
      <c r="C14" s="15" t="s">
        <v>3681</v>
      </c>
      <c r="D14" s="15" t="s">
        <v>156</v>
      </c>
      <c r="E14" s="20">
        <v>6120000</v>
      </c>
      <c r="F14" s="21">
        <v>6284.5729000000001</v>
      </c>
      <c r="G14" s="22">
        <v>4.1799999999999997E-2</v>
      </c>
      <c r="H14" s="23">
        <v>7.5769000000000003E-2</v>
      </c>
      <c r="I14" s="24"/>
      <c r="J14" s="5"/>
    </row>
    <row r="15" spans="1:10" ht="12.95" customHeight="1">
      <c r="A15" s="18" t="s">
        <v>3682</v>
      </c>
      <c r="B15" s="19" t="s">
        <v>3683</v>
      </c>
      <c r="C15" s="15" t="s">
        <v>3684</v>
      </c>
      <c r="D15" s="15" t="s">
        <v>156</v>
      </c>
      <c r="E15" s="20">
        <v>5500000</v>
      </c>
      <c r="F15" s="21">
        <v>5632.5280000000002</v>
      </c>
      <c r="G15" s="22">
        <v>3.7400000000000003E-2</v>
      </c>
      <c r="H15" s="23">
        <v>7.6065999999999995E-2</v>
      </c>
      <c r="I15" s="24"/>
      <c r="J15" s="5"/>
    </row>
    <row r="16" spans="1:10" ht="12.95" customHeight="1">
      <c r="A16" s="18" t="s">
        <v>1699</v>
      </c>
      <c r="B16" s="19" t="s">
        <v>1700</v>
      </c>
      <c r="C16" s="15" t="s">
        <v>1701</v>
      </c>
      <c r="D16" s="15" t="s">
        <v>156</v>
      </c>
      <c r="E16" s="20">
        <v>5050000</v>
      </c>
      <c r="F16" s="21">
        <v>5167.2862999999998</v>
      </c>
      <c r="G16" s="22">
        <v>3.4299999999999997E-2</v>
      </c>
      <c r="H16" s="23">
        <v>7.5858999999999996E-2</v>
      </c>
      <c r="I16" s="24"/>
      <c r="J16" s="5"/>
    </row>
    <row r="17" spans="1:10" ht="12.95" customHeight="1">
      <c r="A17" s="18" t="s">
        <v>3685</v>
      </c>
      <c r="B17" s="19" t="s">
        <v>3686</v>
      </c>
      <c r="C17" s="15" t="s">
        <v>3687</v>
      </c>
      <c r="D17" s="15" t="s">
        <v>156</v>
      </c>
      <c r="E17" s="20">
        <v>4500000</v>
      </c>
      <c r="F17" s="21">
        <v>4597.1819999999998</v>
      </c>
      <c r="G17" s="22">
        <v>3.0599999999999999E-2</v>
      </c>
      <c r="H17" s="23">
        <v>7.5858999999999996E-2</v>
      </c>
      <c r="I17" s="24"/>
      <c r="J17" s="5"/>
    </row>
    <row r="18" spans="1:10" ht="12.95" customHeight="1">
      <c r="A18" s="18" t="s">
        <v>642</v>
      </c>
      <c r="B18" s="19" t="s">
        <v>643</v>
      </c>
      <c r="C18" s="15" t="s">
        <v>644</v>
      </c>
      <c r="D18" s="15" t="s">
        <v>179</v>
      </c>
      <c r="E18" s="20">
        <v>450</v>
      </c>
      <c r="F18" s="21">
        <v>4553.3789999999999</v>
      </c>
      <c r="G18" s="22">
        <v>3.0300000000000001E-2</v>
      </c>
      <c r="H18" s="23">
        <v>7.5475E-2</v>
      </c>
      <c r="I18" s="24"/>
      <c r="J18" s="5"/>
    </row>
    <row r="19" spans="1:10" ht="12.95" customHeight="1">
      <c r="A19" s="18" t="s">
        <v>3688</v>
      </c>
      <c r="B19" s="19" t="s">
        <v>3689</v>
      </c>
      <c r="C19" s="15" t="s">
        <v>3690</v>
      </c>
      <c r="D19" s="15" t="s">
        <v>156</v>
      </c>
      <c r="E19" s="20">
        <v>3700000</v>
      </c>
      <c r="F19" s="21">
        <v>3603.9331999999999</v>
      </c>
      <c r="G19" s="22">
        <v>2.4E-2</v>
      </c>
      <c r="H19" s="23">
        <v>7.5516E-2</v>
      </c>
      <c r="I19" s="24"/>
      <c r="J19" s="5"/>
    </row>
    <row r="20" spans="1:10" ht="12.95" customHeight="1">
      <c r="A20" s="18" t="s">
        <v>3691</v>
      </c>
      <c r="B20" s="19" t="s">
        <v>3692</v>
      </c>
      <c r="C20" s="15" t="s">
        <v>3693</v>
      </c>
      <c r="D20" s="15" t="s">
        <v>156</v>
      </c>
      <c r="E20" s="20">
        <v>3500000</v>
      </c>
      <c r="F20" s="21">
        <v>3559.5385000000001</v>
      </c>
      <c r="G20" s="22">
        <v>2.3699999999999999E-2</v>
      </c>
      <c r="H20" s="23">
        <v>7.5755000000000003E-2</v>
      </c>
      <c r="I20" s="24"/>
      <c r="J20" s="5"/>
    </row>
    <row r="21" spans="1:10" ht="12.95" customHeight="1">
      <c r="A21" s="18" t="s">
        <v>3694</v>
      </c>
      <c r="B21" s="19" t="s">
        <v>3695</v>
      </c>
      <c r="C21" s="15" t="s">
        <v>3696</v>
      </c>
      <c r="D21" s="15" t="s">
        <v>179</v>
      </c>
      <c r="E21" s="20">
        <v>350</v>
      </c>
      <c r="F21" s="21">
        <v>3470.5369999999998</v>
      </c>
      <c r="G21" s="22">
        <v>2.3099999999999999E-2</v>
      </c>
      <c r="H21" s="23">
        <v>7.6249999999999998E-2</v>
      </c>
      <c r="I21" s="24"/>
      <c r="J21" s="5"/>
    </row>
    <row r="22" spans="1:10" ht="12.95" customHeight="1">
      <c r="A22" s="18" t="s">
        <v>3697</v>
      </c>
      <c r="B22" s="19" t="s">
        <v>3698</v>
      </c>
      <c r="C22" s="15" t="s">
        <v>3699</v>
      </c>
      <c r="D22" s="15" t="s">
        <v>179</v>
      </c>
      <c r="E22" s="20">
        <v>300</v>
      </c>
      <c r="F22" s="21">
        <v>3032.3939999999998</v>
      </c>
      <c r="G22" s="22">
        <v>2.0199999999999999E-2</v>
      </c>
      <c r="H22" s="23">
        <v>7.5075000000000003E-2</v>
      </c>
      <c r="I22" s="24"/>
      <c r="J22" s="5"/>
    </row>
    <row r="23" spans="1:10" ht="12.95" customHeight="1">
      <c r="A23" s="18" t="s">
        <v>3700</v>
      </c>
      <c r="B23" s="19" t="s">
        <v>3701</v>
      </c>
      <c r="C23" s="15" t="s">
        <v>3702</v>
      </c>
      <c r="D23" s="15" t="s">
        <v>179</v>
      </c>
      <c r="E23" s="20">
        <v>277</v>
      </c>
      <c r="F23" s="21">
        <v>2666.5488</v>
      </c>
      <c r="G23" s="22">
        <v>1.77E-2</v>
      </c>
      <c r="H23" s="23">
        <v>7.6600000000000001E-2</v>
      </c>
      <c r="I23" s="24"/>
      <c r="J23" s="5"/>
    </row>
    <row r="24" spans="1:10" ht="12.95" customHeight="1">
      <c r="A24" s="18" t="s">
        <v>538</v>
      </c>
      <c r="B24" s="19" t="s">
        <v>539</v>
      </c>
      <c r="C24" s="15" t="s">
        <v>540</v>
      </c>
      <c r="D24" s="15" t="s">
        <v>156</v>
      </c>
      <c r="E24" s="20">
        <v>2500000</v>
      </c>
      <c r="F24" s="21">
        <v>2566.2224999999999</v>
      </c>
      <c r="G24" s="22">
        <v>1.7100000000000001E-2</v>
      </c>
      <c r="H24" s="23">
        <v>7.5755000000000003E-2</v>
      </c>
      <c r="I24" s="24"/>
      <c r="J24" s="5"/>
    </row>
    <row r="25" spans="1:10" ht="12.95" customHeight="1">
      <c r="A25" s="18" t="s">
        <v>3703</v>
      </c>
      <c r="B25" s="19" t="s">
        <v>3704</v>
      </c>
      <c r="C25" s="15" t="s">
        <v>3705</v>
      </c>
      <c r="D25" s="15" t="s">
        <v>156</v>
      </c>
      <c r="E25" s="20">
        <v>2500000</v>
      </c>
      <c r="F25" s="21">
        <v>2559.6424999999999</v>
      </c>
      <c r="G25" s="22">
        <v>1.7000000000000001E-2</v>
      </c>
      <c r="H25" s="23">
        <v>7.5769000000000003E-2</v>
      </c>
      <c r="I25" s="24"/>
      <c r="J25" s="5"/>
    </row>
    <row r="26" spans="1:10" ht="12.95" customHeight="1">
      <c r="A26" s="18" t="s">
        <v>3706</v>
      </c>
      <c r="B26" s="19" t="s">
        <v>3707</v>
      </c>
      <c r="C26" s="15" t="s">
        <v>3708</v>
      </c>
      <c r="D26" s="15" t="s">
        <v>179</v>
      </c>
      <c r="E26" s="20">
        <v>250</v>
      </c>
      <c r="F26" s="21">
        <v>2531.4475000000002</v>
      </c>
      <c r="G26" s="22">
        <v>1.6799999999999999E-2</v>
      </c>
      <c r="H26" s="23">
        <v>7.5249999999999997E-2</v>
      </c>
      <c r="I26" s="24"/>
      <c r="J26" s="5"/>
    </row>
    <row r="27" spans="1:10" ht="12.95" customHeight="1">
      <c r="A27" s="18" t="s">
        <v>3709</v>
      </c>
      <c r="B27" s="19" t="s">
        <v>3710</v>
      </c>
      <c r="C27" s="15" t="s">
        <v>3711</v>
      </c>
      <c r="D27" s="15" t="s">
        <v>179</v>
      </c>
      <c r="E27" s="20">
        <v>250</v>
      </c>
      <c r="F27" s="21">
        <v>2520.14</v>
      </c>
      <c r="G27" s="22">
        <v>1.67E-2</v>
      </c>
      <c r="H27" s="23">
        <v>7.6600000000000001E-2</v>
      </c>
      <c r="I27" s="24"/>
      <c r="J27" s="5"/>
    </row>
    <row r="28" spans="1:10" ht="12.95" customHeight="1">
      <c r="A28" s="18" t="s">
        <v>576</v>
      </c>
      <c r="B28" s="19" t="s">
        <v>577</v>
      </c>
      <c r="C28" s="15" t="s">
        <v>578</v>
      </c>
      <c r="D28" s="15" t="s">
        <v>179</v>
      </c>
      <c r="E28" s="20">
        <v>2500</v>
      </c>
      <c r="F28" s="21">
        <v>2487.2624999999998</v>
      </c>
      <c r="G28" s="22">
        <v>1.6500000000000001E-2</v>
      </c>
      <c r="H28" s="23">
        <v>7.6481999999999994E-2</v>
      </c>
      <c r="I28" s="24"/>
      <c r="J28" s="5"/>
    </row>
    <row r="29" spans="1:10" ht="12.95" customHeight="1">
      <c r="A29" s="18" t="s">
        <v>3712</v>
      </c>
      <c r="B29" s="19" t="s">
        <v>3713</v>
      </c>
      <c r="C29" s="15" t="s">
        <v>3714</v>
      </c>
      <c r="D29" s="15" t="s">
        <v>179</v>
      </c>
      <c r="E29" s="20">
        <v>250</v>
      </c>
      <c r="F29" s="21">
        <v>2482.4324999999999</v>
      </c>
      <c r="G29" s="22">
        <v>1.6500000000000001E-2</v>
      </c>
      <c r="H29" s="23">
        <v>7.6200000000000004E-2</v>
      </c>
      <c r="I29" s="24"/>
      <c r="J29" s="5"/>
    </row>
    <row r="30" spans="1:10" ht="12.95" customHeight="1">
      <c r="A30" s="18" t="s">
        <v>3715</v>
      </c>
      <c r="B30" s="19" t="s">
        <v>3716</v>
      </c>
      <c r="C30" s="15" t="s">
        <v>3717</v>
      </c>
      <c r="D30" s="15" t="s">
        <v>156</v>
      </c>
      <c r="E30" s="20">
        <v>2425000</v>
      </c>
      <c r="F30" s="21">
        <v>2468.3105</v>
      </c>
      <c r="G30" s="22">
        <v>1.6400000000000001E-2</v>
      </c>
      <c r="H30" s="23">
        <v>7.6050000000000006E-2</v>
      </c>
      <c r="I30" s="24"/>
      <c r="J30" s="5"/>
    </row>
    <row r="31" spans="1:10" ht="12.95" customHeight="1">
      <c r="A31" s="18" t="s">
        <v>3718</v>
      </c>
      <c r="B31" s="19" t="s">
        <v>3719</v>
      </c>
      <c r="C31" s="15" t="s">
        <v>3720</v>
      </c>
      <c r="D31" s="15" t="s">
        <v>179</v>
      </c>
      <c r="E31" s="20">
        <v>250</v>
      </c>
      <c r="F31" s="21">
        <v>2426.125</v>
      </c>
      <c r="G31" s="22">
        <v>1.61E-2</v>
      </c>
      <c r="H31" s="23">
        <v>7.5325000000000003E-2</v>
      </c>
      <c r="I31" s="24"/>
      <c r="J31" s="5"/>
    </row>
    <row r="32" spans="1:10" ht="12.95" customHeight="1">
      <c r="A32" s="18" t="s">
        <v>3721</v>
      </c>
      <c r="B32" s="19" t="s">
        <v>3722</v>
      </c>
      <c r="C32" s="15" t="s">
        <v>3723</v>
      </c>
      <c r="D32" s="15" t="s">
        <v>179</v>
      </c>
      <c r="E32" s="20">
        <v>203</v>
      </c>
      <c r="F32" s="21">
        <v>2047.3991000000001</v>
      </c>
      <c r="G32" s="22">
        <v>1.3599999999999999E-2</v>
      </c>
      <c r="H32" s="23">
        <v>7.5475E-2</v>
      </c>
      <c r="I32" s="24"/>
      <c r="J32" s="5"/>
    </row>
    <row r="33" spans="1:10" ht="12.95" customHeight="1">
      <c r="A33" s="18" t="s">
        <v>3724</v>
      </c>
      <c r="B33" s="19" t="s">
        <v>3725</v>
      </c>
      <c r="C33" s="15" t="s">
        <v>3726</v>
      </c>
      <c r="D33" s="15" t="s">
        <v>156</v>
      </c>
      <c r="E33" s="20">
        <v>2000000</v>
      </c>
      <c r="F33" s="21">
        <v>2030.954</v>
      </c>
      <c r="G33" s="22">
        <v>1.35E-2</v>
      </c>
      <c r="H33" s="23">
        <v>7.5495000000000007E-2</v>
      </c>
      <c r="I33" s="24"/>
      <c r="J33" s="5"/>
    </row>
    <row r="34" spans="1:10" ht="12.95" customHeight="1">
      <c r="A34" s="18" t="s">
        <v>3727</v>
      </c>
      <c r="B34" s="19" t="s">
        <v>3728</v>
      </c>
      <c r="C34" s="15" t="s">
        <v>3729</v>
      </c>
      <c r="D34" s="15" t="s">
        <v>179</v>
      </c>
      <c r="E34" s="20">
        <v>160</v>
      </c>
      <c r="F34" s="21">
        <v>1539.2303999999999</v>
      </c>
      <c r="G34" s="22">
        <v>1.0200000000000001E-2</v>
      </c>
      <c r="H34" s="23">
        <v>7.5249999999999997E-2</v>
      </c>
      <c r="I34" s="24"/>
      <c r="J34" s="5"/>
    </row>
    <row r="35" spans="1:10" ht="12.95" customHeight="1">
      <c r="A35" s="18" t="s">
        <v>3730</v>
      </c>
      <c r="B35" s="19" t="s">
        <v>3731</v>
      </c>
      <c r="C35" s="15" t="s">
        <v>3732</v>
      </c>
      <c r="D35" s="15" t="s">
        <v>156</v>
      </c>
      <c r="E35" s="20">
        <v>1500000</v>
      </c>
      <c r="F35" s="21">
        <v>1533.7080000000001</v>
      </c>
      <c r="G35" s="22">
        <v>1.0200000000000001E-2</v>
      </c>
      <c r="H35" s="23">
        <v>7.6050000000000006E-2</v>
      </c>
      <c r="I35" s="24"/>
      <c r="J35" s="5"/>
    </row>
    <row r="36" spans="1:10" ht="12.95" customHeight="1">
      <c r="A36" s="18" t="s">
        <v>3733</v>
      </c>
      <c r="B36" s="19" t="s">
        <v>500</v>
      </c>
      <c r="C36" s="15" t="s">
        <v>3734</v>
      </c>
      <c r="D36" s="15" t="s">
        <v>156</v>
      </c>
      <c r="E36" s="20">
        <v>1500000</v>
      </c>
      <c r="F36" s="21">
        <v>1529.3520000000001</v>
      </c>
      <c r="G36" s="22">
        <v>1.0200000000000001E-2</v>
      </c>
      <c r="H36" s="23">
        <v>7.5769000000000003E-2</v>
      </c>
      <c r="I36" s="24"/>
      <c r="J36" s="5"/>
    </row>
    <row r="37" spans="1:10" ht="12.95" customHeight="1">
      <c r="A37" s="18" t="s">
        <v>3735</v>
      </c>
      <c r="B37" s="19" t="s">
        <v>3736</v>
      </c>
      <c r="C37" s="15" t="s">
        <v>3737</v>
      </c>
      <c r="D37" s="15" t="s">
        <v>156</v>
      </c>
      <c r="E37" s="20">
        <v>1500000</v>
      </c>
      <c r="F37" s="21">
        <v>1527.5084999999999</v>
      </c>
      <c r="G37" s="22">
        <v>1.0200000000000001E-2</v>
      </c>
      <c r="H37" s="23">
        <v>7.5755000000000003E-2</v>
      </c>
      <c r="I37" s="24"/>
      <c r="J37" s="5"/>
    </row>
    <row r="38" spans="1:10" ht="12.95" customHeight="1">
      <c r="A38" s="18" t="s">
        <v>3738</v>
      </c>
      <c r="B38" s="19" t="s">
        <v>3692</v>
      </c>
      <c r="C38" s="15" t="s">
        <v>3739</v>
      </c>
      <c r="D38" s="15" t="s">
        <v>156</v>
      </c>
      <c r="E38" s="20">
        <v>1500000</v>
      </c>
      <c r="F38" s="21">
        <v>1525.4745</v>
      </c>
      <c r="G38" s="22">
        <v>1.01E-2</v>
      </c>
      <c r="H38" s="23">
        <v>7.5769000000000003E-2</v>
      </c>
      <c r="I38" s="24"/>
      <c r="J38" s="5"/>
    </row>
    <row r="39" spans="1:10" ht="12.95" customHeight="1">
      <c r="A39" s="18" t="s">
        <v>3740</v>
      </c>
      <c r="B39" s="19" t="s">
        <v>3692</v>
      </c>
      <c r="C39" s="15" t="s">
        <v>3741</v>
      </c>
      <c r="D39" s="15" t="s">
        <v>156</v>
      </c>
      <c r="E39" s="20">
        <v>1500000</v>
      </c>
      <c r="F39" s="21">
        <v>1525.4565</v>
      </c>
      <c r="G39" s="22">
        <v>1.01E-2</v>
      </c>
      <c r="H39" s="23">
        <v>7.5774999999999995E-2</v>
      </c>
      <c r="I39" s="24"/>
      <c r="J39" s="5"/>
    </row>
    <row r="40" spans="1:10" ht="12.95" customHeight="1">
      <c r="A40" s="18" t="s">
        <v>3742</v>
      </c>
      <c r="B40" s="19" t="s">
        <v>661</v>
      </c>
      <c r="C40" s="15" t="s">
        <v>3743</v>
      </c>
      <c r="D40" s="15" t="s">
        <v>156</v>
      </c>
      <c r="E40" s="20">
        <v>1500000</v>
      </c>
      <c r="F40" s="21">
        <v>1523.796</v>
      </c>
      <c r="G40" s="22">
        <v>1.01E-2</v>
      </c>
      <c r="H40" s="23">
        <v>7.5500999999999999E-2</v>
      </c>
      <c r="I40" s="24"/>
      <c r="J40" s="5"/>
    </row>
    <row r="41" spans="1:10" ht="12.95" customHeight="1">
      <c r="A41" s="18" t="s">
        <v>3744</v>
      </c>
      <c r="B41" s="19" t="s">
        <v>3745</v>
      </c>
      <c r="C41" s="15" t="s">
        <v>3746</v>
      </c>
      <c r="D41" s="15" t="s">
        <v>156</v>
      </c>
      <c r="E41" s="20">
        <v>1500000</v>
      </c>
      <c r="F41" s="21">
        <v>1521.6375</v>
      </c>
      <c r="G41" s="22">
        <v>1.01E-2</v>
      </c>
      <c r="H41" s="23">
        <v>7.5505000000000003E-2</v>
      </c>
      <c r="I41" s="24"/>
      <c r="J41" s="5"/>
    </row>
    <row r="42" spans="1:10" ht="12.95" customHeight="1">
      <c r="A42" s="18" t="s">
        <v>3747</v>
      </c>
      <c r="B42" s="19" t="s">
        <v>3748</v>
      </c>
      <c r="C42" s="15" t="s">
        <v>3749</v>
      </c>
      <c r="D42" s="15" t="s">
        <v>156</v>
      </c>
      <c r="E42" s="20">
        <v>1500000</v>
      </c>
      <c r="F42" s="21">
        <v>1519.326</v>
      </c>
      <c r="G42" s="22">
        <v>1.01E-2</v>
      </c>
      <c r="H42" s="23">
        <v>7.5717999999999994E-2</v>
      </c>
      <c r="I42" s="24"/>
      <c r="J42" s="5"/>
    </row>
    <row r="43" spans="1:10" ht="12.95" customHeight="1">
      <c r="A43" s="18" t="s">
        <v>606</v>
      </c>
      <c r="B43" s="19" t="s">
        <v>607</v>
      </c>
      <c r="C43" s="15" t="s">
        <v>608</v>
      </c>
      <c r="D43" s="15" t="s">
        <v>156</v>
      </c>
      <c r="E43" s="20">
        <v>1450000</v>
      </c>
      <c r="F43" s="21">
        <v>1470.9713999999999</v>
      </c>
      <c r="G43" s="22">
        <v>9.7999999999999997E-3</v>
      </c>
      <c r="H43" s="23">
        <v>7.5500999999999999E-2</v>
      </c>
      <c r="I43" s="24"/>
      <c r="J43" s="5"/>
    </row>
    <row r="44" spans="1:10" ht="12.95" customHeight="1">
      <c r="A44" s="18" t="s">
        <v>3750</v>
      </c>
      <c r="B44" s="19" t="s">
        <v>3751</v>
      </c>
      <c r="C44" s="15" t="s">
        <v>3752</v>
      </c>
      <c r="D44" s="15" t="s">
        <v>156</v>
      </c>
      <c r="E44" s="20">
        <v>1000000</v>
      </c>
      <c r="F44" s="21">
        <v>1017.323</v>
      </c>
      <c r="G44" s="22">
        <v>6.7999999999999996E-3</v>
      </c>
      <c r="H44" s="23">
        <v>7.5400999999999996E-2</v>
      </c>
      <c r="I44" s="24"/>
      <c r="J44" s="5"/>
    </row>
    <row r="45" spans="1:10" ht="12.95" customHeight="1">
      <c r="A45" s="18" t="s">
        <v>3753</v>
      </c>
      <c r="B45" s="19" t="s">
        <v>3754</v>
      </c>
      <c r="C45" s="15" t="s">
        <v>3755</v>
      </c>
      <c r="D45" s="15" t="s">
        <v>156</v>
      </c>
      <c r="E45" s="20">
        <v>1000000</v>
      </c>
      <c r="F45" s="21">
        <v>1013.877</v>
      </c>
      <c r="G45" s="22">
        <v>6.7000000000000002E-3</v>
      </c>
      <c r="H45" s="23">
        <v>7.5500999999999999E-2</v>
      </c>
      <c r="I45" s="24"/>
      <c r="J45" s="5"/>
    </row>
    <row r="46" spans="1:10" ht="12.95" customHeight="1">
      <c r="A46" s="18" t="s">
        <v>478</v>
      </c>
      <c r="B46" s="19" t="s">
        <v>479</v>
      </c>
      <c r="C46" s="15" t="s">
        <v>480</v>
      </c>
      <c r="D46" s="15" t="s">
        <v>179</v>
      </c>
      <c r="E46" s="20">
        <v>100</v>
      </c>
      <c r="F46" s="21">
        <v>991.51700000000005</v>
      </c>
      <c r="G46" s="22">
        <v>6.6E-3</v>
      </c>
      <c r="H46" s="23">
        <v>7.6200000000000004E-2</v>
      </c>
      <c r="I46" s="24"/>
      <c r="J46" s="5"/>
    </row>
    <row r="47" spans="1:10" ht="12.95" customHeight="1">
      <c r="A47" s="18" t="s">
        <v>3756</v>
      </c>
      <c r="B47" s="19" t="s">
        <v>3757</v>
      </c>
      <c r="C47" s="15" t="s">
        <v>3758</v>
      </c>
      <c r="D47" s="15" t="s">
        <v>156</v>
      </c>
      <c r="E47" s="20">
        <v>937500</v>
      </c>
      <c r="F47" s="21">
        <v>952.86559999999997</v>
      </c>
      <c r="G47" s="22">
        <v>6.3E-3</v>
      </c>
      <c r="H47" s="23">
        <v>7.5858999999999996E-2</v>
      </c>
      <c r="I47" s="24"/>
      <c r="J47" s="5"/>
    </row>
    <row r="48" spans="1:10" ht="12.95" customHeight="1">
      <c r="A48" s="18" t="s">
        <v>544</v>
      </c>
      <c r="B48" s="19" t="s">
        <v>539</v>
      </c>
      <c r="C48" s="15" t="s">
        <v>545</v>
      </c>
      <c r="D48" s="15" t="s">
        <v>156</v>
      </c>
      <c r="E48" s="20">
        <v>645000</v>
      </c>
      <c r="F48" s="21">
        <v>661.94420000000002</v>
      </c>
      <c r="G48" s="22">
        <v>4.4000000000000003E-3</v>
      </c>
      <c r="H48" s="23">
        <v>7.5858999999999996E-2</v>
      </c>
      <c r="I48" s="24"/>
      <c r="J48" s="5"/>
    </row>
    <row r="49" spans="1:10" ht="12.95" customHeight="1">
      <c r="A49" s="18" t="s">
        <v>633</v>
      </c>
      <c r="B49" s="19" t="s">
        <v>634</v>
      </c>
      <c r="C49" s="15" t="s">
        <v>635</v>
      </c>
      <c r="D49" s="15" t="s">
        <v>156</v>
      </c>
      <c r="E49" s="20">
        <v>500000</v>
      </c>
      <c r="F49" s="21">
        <v>511.1035</v>
      </c>
      <c r="G49" s="22">
        <v>3.3999999999999998E-3</v>
      </c>
      <c r="H49" s="23">
        <v>7.5769000000000003E-2</v>
      </c>
      <c r="I49" s="24"/>
      <c r="J49" s="5"/>
    </row>
    <row r="50" spans="1:10" ht="12.95" customHeight="1">
      <c r="A50" s="18" t="s">
        <v>3759</v>
      </c>
      <c r="B50" s="19" t="s">
        <v>500</v>
      </c>
      <c r="C50" s="15" t="s">
        <v>3760</v>
      </c>
      <c r="D50" s="15" t="s">
        <v>156</v>
      </c>
      <c r="E50" s="20">
        <v>500000</v>
      </c>
      <c r="F50" s="21">
        <v>509.79849999999999</v>
      </c>
      <c r="G50" s="22">
        <v>3.3999999999999998E-3</v>
      </c>
      <c r="H50" s="23">
        <v>7.5755000000000003E-2</v>
      </c>
      <c r="I50" s="24"/>
      <c r="J50" s="5"/>
    </row>
    <row r="51" spans="1:10" ht="12.95" customHeight="1">
      <c r="A51" s="18" t="s">
        <v>3761</v>
      </c>
      <c r="B51" s="19" t="s">
        <v>3762</v>
      </c>
      <c r="C51" s="15" t="s">
        <v>3763</v>
      </c>
      <c r="D51" s="15" t="s">
        <v>156</v>
      </c>
      <c r="E51" s="20">
        <v>500000</v>
      </c>
      <c r="F51" s="21">
        <v>506.57400000000001</v>
      </c>
      <c r="G51" s="22">
        <v>3.3999999999999998E-3</v>
      </c>
      <c r="H51" s="23">
        <v>7.5701000000000004E-2</v>
      </c>
      <c r="I51" s="24"/>
      <c r="J51" s="5"/>
    </row>
    <row r="52" spans="1:10" ht="12.95" customHeight="1">
      <c r="A52" s="18" t="s">
        <v>3764</v>
      </c>
      <c r="B52" s="19" t="s">
        <v>3765</v>
      </c>
      <c r="C52" s="15" t="s">
        <v>3766</v>
      </c>
      <c r="D52" s="15" t="s">
        <v>156</v>
      </c>
      <c r="E52" s="20">
        <v>250000</v>
      </c>
      <c r="F52" s="21">
        <v>244.6773</v>
      </c>
      <c r="G52" s="22">
        <v>1.6000000000000001E-3</v>
      </c>
      <c r="H52" s="23">
        <v>7.5001999999999999E-2</v>
      </c>
      <c r="I52" s="24"/>
      <c r="J52" s="5"/>
    </row>
    <row r="53" spans="1:10" ht="12.95" customHeight="1">
      <c r="A53" s="5"/>
      <c r="B53" s="14" t="s">
        <v>160</v>
      </c>
      <c r="C53" s="15"/>
      <c r="D53" s="15"/>
      <c r="E53" s="15"/>
      <c r="F53" s="25">
        <v>145326.41440000001</v>
      </c>
      <c r="G53" s="26">
        <v>0.96589999999999998</v>
      </c>
      <c r="H53" s="27"/>
      <c r="I53" s="28"/>
      <c r="J53" s="5"/>
    </row>
    <row r="54" spans="1:10" ht="12.95" customHeight="1">
      <c r="A54" s="5"/>
      <c r="B54" s="29" t="s">
        <v>161</v>
      </c>
      <c r="C54" s="2"/>
      <c r="D54" s="2"/>
      <c r="E54" s="2"/>
      <c r="F54" s="27" t="s">
        <v>162</v>
      </c>
      <c r="G54" s="27" t="s">
        <v>162</v>
      </c>
      <c r="H54" s="27"/>
      <c r="I54" s="28"/>
      <c r="J54" s="5"/>
    </row>
    <row r="55" spans="1:10" ht="12.95" customHeight="1">
      <c r="A55" s="5"/>
      <c r="B55" s="29" t="s">
        <v>160</v>
      </c>
      <c r="C55" s="2"/>
      <c r="D55" s="2"/>
      <c r="E55" s="2"/>
      <c r="F55" s="27" t="s">
        <v>162</v>
      </c>
      <c r="G55" s="27" t="s">
        <v>162</v>
      </c>
      <c r="H55" s="27"/>
      <c r="I55" s="28"/>
      <c r="J55" s="5"/>
    </row>
    <row r="56" spans="1:10" ht="12.95" customHeight="1">
      <c r="A56" s="5"/>
      <c r="B56" s="29" t="s">
        <v>163</v>
      </c>
      <c r="C56" s="30"/>
      <c r="D56" s="2"/>
      <c r="E56" s="30"/>
      <c r="F56" s="25">
        <v>145326.41440000001</v>
      </c>
      <c r="G56" s="26">
        <v>0.96589999999999998</v>
      </c>
      <c r="H56" s="27"/>
      <c r="I56" s="28"/>
      <c r="J56" s="5"/>
    </row>
    <row r="57" spans="1:10" ht="12.95" customHeight="1">
      <c r="A57" s="5"/>
      <c r="B57" s="14" t="s">
        <v>164</v>
      </c>
      <c r="C57" s="15"/>
      <c r="D57" s="15"/>
      <c r="E57" s="15"/>
      <c r="F57" s="15"/>
      <c r="G57" s="15"/>
      <c r="H57" s="16"/>
      <c r="I57" s="17"/>
      <c r="J57" s="5"/>
    </row>
    <row r="58" spans="1:10" ht="12.95" customHeight="1">
      <c r="A58" s="18" t="s">
        <v>165</v>
      </c>
      <c r="B58" s="19" t="s">
        <v>166</v>
      </c>
      <c r="C58" s="15"/>
      <c r="D58" s="15"/>
      <c r="E58" s="20"/>
      <c r="F58" s="21">
        <v>874.97400000000005</v>
      </c>
      <c r="G58" s="22">
        <v>5.7999999999999996E-3</v>
      </c>
      <c r="H58" s="23">
        <v>6.7996827861667899E-2</v>
      </c>
      <c r="I58" s="24"/>
      <c r="J58" s="5"/>
    </row>
    <row r="59" spans="1:10" ht="12.95" customHeight="1">
      <c r="A59" s="5"/>
      <c r="B59" s="14" t="s">
        <v>160</v>
      </c>
      <c r="C59" s="15"/>
      <c r="D59" s="15"/>
      <c r="E59" s="15"/>
      <c r="F59" s="25">
        <v>874.97400000000005</v>
      </c>
      <c r="G59" s="26">
        <v>5.7999999999999996E-3</v>
      </c>
      <c r="H59" s="27"/>
      <c r="I59" s="28"/>
      <c r="J59" s="5"/>
    </row>
    <row r="60" spans="1:10" ht="12.95" customHeight="1">
      <c r="A60" s="5"/>
      <c r="B60" s="29" t="s">
        <v>163</v>
      </c>
      <c r="C60" s="30"/>
      <c r="D60" s="2"/>
      <c r="E60" s="30"/>
      <c r="F60" s="25">
        <v>874.97400000000005</v>
      </c>
      <c r="G60" s="26">
        <v>5.7999999999999996E-3</v>
      </c>
      <c r="H60" s="27"/>
      <c r="I60" s="28"/>
      <c r="J60" s="5"/>
    </row>
    <row r="61" spans="1:10" ht="12.95" customHeight="1">
      <c r="A61" s="5"/>
      <c r="B61" s="29" t="s">
        <v>167</v>
      </c>
      <c r="C61" s="15"/>
      <c r="D61" s="2"/>
      <c r="E61" s="15"/>
      <c r="F61" s="31">
        <v>4260.7016000000003</v>
      </c>
      <c r="G61" s="26">
        <v>2.8299999999999999E-2</v>
      </c>
      <c r="H61" s="27"/>
      <c r="I61" s="28"/>
      <c r="J61" s="5"/>
    </row>
    <row r="62" spans="1:10" ht="12.95" customHeight="1">
      <c r="A62" s="5"/>
      <c r="B62" s="32" t="s">
        <v>168</v>
      </c>
      <c r="C62" s="33"/>
      <c r="D62" s="33"/>
      <c r="E62" s="33"/>
      <c r="F62" s="34">
        <v>150462.09</v>
      </c>
      <c r="G62" s="35">
        <v>1</v>
      </c>
      <c r="H62" s="36"/>
      <c r="I62" s="37"/>
      <c r="J62" s="5"/>
    </row>
    <row r="63" spans="1:10" ht="12.95" customHeight="1">
      <c r="A63" s="5"/>
      <c r="B63" s="7"/>
      <c r="C63" s="5"/>
      <c r="D63" s="5"/>
      <c r="E63" s="5"/>
      <c r="F63" s="5"/>
      <c r="G63" s="5"/>
      <c r="H63" s="5"/>
      <c r="I63" s="5"/>
      <c r="J63" s="5"/>
    </row>
    <row r="64" spans="1:10" ht="12.95" customHeight="1">
      <c r="A64" s="5"/>
      <c r="B64" s="4" t="s">
        <v>169</v>
      </c>
      <c r="C64" s="5"/>
      <c r="D64" s="5"/>
      <c r="E64" s="5"/>
      <c r="F64" s="5"/>
      <c r="G64" s="5"/>
      <c r="H64" s="5"/>
      <c r="I64" s="5"/>
      <c r="J64" s="5"/>
    </row>
    <row r="65" spans="1:10" ht="12.95" customHeight="1">
      <c r="A65" s="5"/>
      <c r="B65" s="4" t="s">
        <v>207</v>
      </c>
      <c r="C65" s="5"/>
      <c r="D65" s="5"/>
      <c r="E65" s="5"/>
      <c r="F65" s="5"/>
      <c r="G65" s="5"/>
      <c r="H65" s="5"/>
      <c r="I65" s="5"/>
      <c r="J65" s="5"/>
    </row>
    <row r="66" spans="1:10" ht="12.95" customHeight="1">
      <c r="A66" s="5"/>
      <c r="B66" s="4" t="s">
        <v>170</v>
      </c>
      <c r="C66" s="5"/>
      <c r="D66" s="5"/>
      <c r="E66" s="5"/>
      <c r="F66" s="5"/>
      <c r="G66" s="5"/>
      <c r="H66" s="5"/>
      <c r="I66" s="5"/>
      <c r="J66" s="5"/>
    </row>
    <row r="67" spans="1:10" ht="26.1" customHeight="1">
      <c r="A67" s="5"/>
      <c r="B67" s="86" t="s">
        <v>171</v>
      </c>
      <c r="C67" s="86"/>
      <c r="D67" s="86"/>
      <c r="E67" s="86"/>
      <c r="F67" s="86"/>
      <c r="G67" s="86"/>
      <c r="H67" s="86"/>
      <c r="I67" s="86"/>
      <c r="J67" s="5"/>
    </row>
    <row r="68" spans="1:10" ht="12.95" customHeight="1">
      <c r="A68" s="5"/>
      <c r="B68" s="86"/>
      <c r="C68" s="86"/>
      <c r="D68" s="86"/>
      <c r="E68" s="86"/>
      <c r="F68" s="86"/>
      <c r="G68" s="86"/>
      <c r="H68" s="86"/>
      <c r="I68" s="86"/>
      <c r="J68" s="5"/>
    </row>
    <row r="69" spans="1:10" ht="12.95" customHeight="1">
      <c r="A69" s="5"/>
      <c r="B69" s="89" t="s">
        <v>3767</v>
      </c>
      <c r="C69" s="89"/>
      <c r="D69" s="89"/>
      <c r="E69" s="89"/>
      <c r="F69" s="5"/>
      <c r="G69" s="5"/>
      <c r="H69" s="5"/>
      <c r="I69" s="5"/>
      <c r="J69" s="5"/>
    </row>
    <row r="70" spans="1:10" ht="12.95" customHeight="1">
      <c r="A70" s="5"/>
      <c r="B70" s="86"/>
      <c r="C70" s="86"/>
      <c r="D70" s="86"/>
      <c r="E70" s="86"/>
      <c r="F70" s="86"/>
      <c r="G70" s="86"/>
      <c r="H70" s="86"/>
      <c r="I70" s="86"/>
      <c r="J70" s="5"/>
    </row>
    <row r="71" spans="1:10" ht="12.95" customHeight="1">
      <c r="A71" s="5"/>
      <c r="B71" s="5"/>
      <c r="C71" s="87" t="s">
        <v>3672</v>
      </c>
      <c r="D71" s="87"/>
      <c r="E71" s="87"/>
      <c r="F71" s="87"/>
      <c r="G71" s="5"/>
      <c r="H71" s="5"/>
      <c r="I71" s="5"/>
      <c r="J71" s="5"/>
    </row>
    <row r="72" spans="1:10" ht="12.95" customHeight="1">
      <c r="A72" s="5"/>
      <c r="B72" s="38" t="s">
        <v>173</v>
      </c>
      <c r="C72" s="87" t="s">
        <v>174</v>
      </c>
      <c r="D72" s="87"/>
      <c r="E72" s="87"/>
      <c r="F72" s="87"/>
      <c r="G72" s="5"/>
      <c r="H72" s="5"/>
      <c r="I72" s="5"/>
      <c r="J72" s="5"/>
    </row>
    <row r="73" spans="1:10" ht="120.95" customHeight="1">
      <c r="A73" s="5"/>
      <c r="B73" s="39"/>
      <c r="C73" s="85"/>
      <c r="D73" s="85"/>
      <c r="E73" s="5"/>
      <c r="F73" s="5"/>
      <c r="G73" s="5"/>
      <c r="H73" s="5"/>
      <c r="I73" s="5"/>
      <c r="J73" s="5"/>
    </row>
  </sheetData>
  <mergeCells count="7">
    <mergeCell ref="C72:F72"/>
    <mergeCell ref="C73:D73"/>
    <mergeCell ref="B67:I67"/>
    <mergeCell ref="B68:I68"/>
    <mergeCell ref="B69:E69"/>
    <mergeCell ref="B70:I70"/>
    <mergeCell ref="C71:F71"/>
  </mergeCells>
  <hyperlinks>
    <hyperlink ref="A1" location="AxisNiftyAAABondPlusSDLApr20265050ETF" display="AXISSETF" xr:uid="{00000000-0004-0000-3B00-000000000000}"/>
    <hyperlink ref="B1" location="AxisNiftyAAABondPlusSDLApr20265050ETF" display="Axis Nifty AAA Bond Plus SDL Apr 2026 50:50 ETF" xr:uid="{00000000-0004-0000-3B00-000001000000}"/>
  </hyperlinks>
  <pageMargins left="0" right="0" top="0" bottom="0" header="0" footer="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/>
  </sheetPr>
  <dimension ref="A1:J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122</v>
      </c>
      <c r="B1" s="4" t="s">
        <v>123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208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209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3768</v>
      </c>
      <c r="B7" s="19" t="s">
        <v>49</v>
      </c>
      <c r="C7" s="15" t="s">
        <v>3769</v>
      </c>
      <c r="D7" s="15"/>
      <c r="E7" s="20">
        <v>4194858</v>
      </c>
      <c r="F7" s="21">
        <v>3047.1448999999998</v>
      </c>
      <c r="G7" s="22">
        <v>0.9748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3047.1448999999998</v>
      </c>
      <c r="G8" s="26">
        <v>0.9748</v>
      </c>
      <c r="H8" s="27"/>
      <c r="I8" s="28"/>
      <c r="J8" s="5"/>
    </row>
    <row r="9" spans="1:10" ht="12.95" customHeight="1">
      <c r="A9" s="5"/>
      <c r="B9" s="29" t="s">
        <v>163</v>
      </c>
      <c r="C9" s="30"/>
      <c r="D9" s="2"/>
      <c r="E9" s="30"/>
      <c r="F9" s="25">
        <v>3047.1448999999998</v>
      </c>
      <c r="G9" s="26">
        <v>0.9748</v>
      </c>
      <c r="H9" s="27"/>
      <c r="I9" s="28"/>
      <c r="J9" s="5"/>
    </row>
    <row r="10" spans="1:10" ht="12.95" customHeight="1">
      <c r="A10" s="5"/>
      <c r="B10" s="14" t="s">
        <v>164</v>
      </c>
      <c r="C10" s="15"/>
      <c r="D10" s="15"/>
      <c r="E10" s="15"/>
      <c r="F10" s="15"/>
      <c r="G10" s="15"/>
      <c r="H10" s="16"/>
      <c r="I10" s="17"/>
      <c r="J10" s="5"/>
    </row>
    <row r="11" spans="1:10" ht="12.95" customHeight="1">
      <c r="A11" s="18" t="s">
        <v>165</v>
      </c>
      <c r="B11" s="19" t="s">
        <v>166</v>
      </c>
      <c r="C11" s="15"/>
      <c r="D11" s="15"/>
      <c r="E11" s="20"/>
      <c r="F11" s="21">
        <v>82.179400000000001</v>
      </c>
      <c r="G11" s="22">
        <v>2.63E-2</v>
      </c>
      <c r="H11" s="23">
        <v>6.799697397048321E-2</v>
      </c>
      <c r="I11" s="24"/>
      <c r="J11" s="5"/>
    </row>
    <row r="12" spans="1:10" ht="12.95" customHeight="1">
      <c r="A12" s="5"/>
      <c r="B12" s="14" t="s">
        <v>160</v>
      </c>
      <c r="C12" s="15"/>
      <c r="D12" s="15"/>
      <c r="E12" s="15"/>
      <c r="F12" s="25">
        <v>82.179400000000001</v>
      </c>
      <c r="G12" s="26">
        <v>2.63E-2</v>
      </c>
      <c r="H12" s="27"/>
      <c r="I12" s="28"/>
      <c r="J12" s="5"/>
    </row>
    <row r="13" spans="1:10" ht="12.95" customHeight="1">
      <c r="A13" s="5"/>
      <c r="B13" s="29" t="s">
        <v>163</v>
      </c>
      <c r="C13" s="30"/>
      <c r="D13" s="2"/>
      <c r="E13" s="30"/>
      <c r="F13" s="25">
        <v>82.179400000000001</v>
      </c>
      <c r="G13" s="26">
        <v>2.63E-2</v>
      </c>
      <c r="H13" s="27"/>
      <c r="I13" s="28"/>
      <c r="J13" s="5"/>
    </row>
    <row r="14" spans="1:10" ht="12.95" customHeight="1">
      <c r="A14" s="5"/>
      <c r="B14" s="29" t="s">
        <v>167</v>
      </c>
      <c r="C14" s="15"/>
      <c r="D14" s="2"/>
      <c r="E14" s="15"/>
      <c r="F14" s="31">
        <v>-3.3443000000000001</v>
      </c>
      <c r="G14" s="26">
        <v>-1.1000000000000001E-3</v>
      </c>
      <c r="H14" s="27"/>
      <c r="I14" s="28"/>
      <c r="J14" s="5"/>
    </row>
    <row r="15" spans="1:10" ht="12.95" customHeight="1">
      <c r="A15" s="5"/>
      <c r="B15" s="32" t="s">
        <v>168</v>
      </c>
      <c r="C15" s="33"/>
      <c r="D15" s="33"/>
      <c r="E15" s="33"/>
      <c r="F15" s="34">
        <v>3125.98</v>
      </c>
      <c r="G15" s="35">
        <v>1</v>
      </c>
      <c r="H15" s="36"/>
      <c r="I15" s="37"/>
      <c r="J15" s="5"/>
    </row>
    <row r="16" spans="1:10" ht="12.95" customHeight="1">
      <c r="A16" s="5"/>
      <c r="B16" s="7"/>
      <c r="C16" s="5"/>
      <c r="D16" s="5"/>
      <c r="E16" s="5"/>
      <c r="F16" s="5"/>
      <c r="G16" s="5"/>
      <c r="H16" s="5"/>
      <c r="I16" s="5"/>
      <c r="J16" s="5"/>
    </row>
    <row r="17" spans="1:10" ht="12.95" customHeight="1">
      <c r="A17" s="5"/>
      <c r="B17" s="4" t="s">
        <v>169</v>
      </c>
      <c r="C17" s="5"/>
      <c r="D17" s="5"/>
      <c r="E17" s="5"/>
      <c r="F17" s="5"/>
      <c r="G17" s="5"/>
      <c r="H17" s="5"/>
      <c r="I17" s="5"/>
      <c r="J17" s="5"/>
    </row>
    <row r="18" spans="1:10" ht="12.95" customHeight="1">
      <c r="A18" s="5"/>
      <c r="B18" s="4" t="s">
        <v>170</v>
      </c>
      <c r="C18" s="5"/>
      <c r="D18" s="5"/>
      <c r="E18" s="5"/>
      <c r="F18" s="5"/>
      <c r="G18" s="5"/>
      <c r="H18" s="5"/>
      <c r="I18" s="5"/>
      <c r="J18" s="5"/>
    </row>
    <row r="19" spans="1:10" ht="26.1" customHeight="1">
      <c r="A19" s="5"/>
      <c r="B19" s="86" t="s">
        <v>171</v>
      </c>
      <c r="C19" s="86"/>
      <c r="D19" s="86"/>
      <c r="E19" s="86"/>
      <c r="F19" s="86"/>
      <c r="G19" s="86"/>
      <c r="H19" s="86"/>
      <c r="I19" s="86"/>
      <c r="J19" s="5"/>
    </row>
    <row r="20" spans="1:10" ht="12.95" customHeight="1">
      <c r="A20" s="5"/>
      <c r="B20" s="86"/>
      <c r="C20" s="86"/>
      <c r="D20" s="86"/>
      <c r="E20" s="86"/>
      <c r="F20" s="86"/>
      <c r="G20" s="86"/>
      <c r="H20" s="86"/>
      <c r="I20" s="86"/>
      <c r="J20" s="5"/>
    </row>
    <row r="21" spans="1:10" ht="12.95" customHeight="1">
      <c r="A21" s="5"/>
      <c r="B21" s="86"/>
      <c r="C21" s="86"/>
      <c r="D21" s="86"/>
      <c r="E21" s="86"/>
      <c r="F21" s="86"/>
      <c r="G21" s="86"/>
      <c r="H21" s="86"/>
      <c r="I21" s="86"/>
      <c r="J21" s="5"/>
    </row>
    <row r="22" spans="1:10" ht="12.95" customHeight="1">
      <c r="A22" s="5"/>
      <c r="B22" s="5"/>
      <c r="C22" s="87" t="s">
        <v>2403</v>
      </c>
      <c r="D22" s="87"/>
      <c r="E22" s="87"/>
      <c r="F22" s="87"/>
      <c r="G22" s="5"/>
      <c r="H22" s="5"/>
      <c r="I22" s="5"/>
      <c r="J22" s="5"/>
    </row>
    <row r="23" spans="1:10" ht="12.95" customHeight="1">
      <c r="A23" s="5"/>
      <c r="B23" s="38" t="s">
        <v>173</v>
      </c>
      <c r="C23" s="87" t="s">
        <v>174</v>
      </c>
      <c r="D23" s="87"/>
      <c r="E23" s="87"/>
      <c r="F23" s="87"/>
      <c r="G23" s="5"/>
      <c r="H23" s="5"/>
      <c r="I23" s="5"/>
      <c r="J23" s="5"/>
    </row>
    <row r="24" spans="1:10" ht="120.95" customHeight="1">
      <c r="A24" s="5"/>
      <c r="B24" s="39"/>
      <c r="C24" s="85"/>
      <c r="D24" s="85"/>
      <c r="E24" s="5"/>
      <c r="F24" s="5"/>
      <c r="G24" s="5"/>
      <c r="H24" s="5"/>
      <c r="I24" s="5"/>
      <c r="J24" s="5"/>
    </row>
  </sheetData>
  <mergeCells count="6">
    <mergeCell ref="C24:D24"/>
    <mergeCell ref="B19:I19"/>
    <mergeCell ref="B20:I20"/>
    <mergeCell ref="B21:I21"/>
    <mergeCell ref="C22:F22"/>
    <mergeCell ref="C23:F23"/>
  </mergeCells>
  <hyperlinks>
    <hyperlink ref="A1" location="AxisSilverFundofFund" display="AXISSIL" xr:uid="{00000000-0004-0000-3C00-000000000000}"/>
    <hyperlink ref="B1" location="AxisSilverFundofFund" display="Axis Silver Fund of Fund" xr:uid="{00000000-0004-0000-3C00-000001000000}"/>
  </hyperlinks>
  <pageMargins left="0" right="0" top="0" bottom="0" header="0" footer="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/>
  </sheetPr>
  <dimension ref="A1:J11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124</v>
      </c>
      <c r="B1" s="4" t="s">
        <v>125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110036</v>
      </c>
      <c r="F7" s="21">
        <v>8594.6368999999995</v>
      </c>
      <c r="G7" s="22">
        <v>6.8599999999999994E-2</v>
      </c>
      <c r="H7" s="40"/>
      <c r="I7" s="24"/>
      <c r="J7" s="5"/>
    </row>
    <row r="8" spans="1:10" ht="12.95" customHeight="1">
      <c r="A8" s="18" t="s">
        <v>766</v>
      </c>
      <c r="B8" s="19" t="s">
        <v>767</v>
      </c>
      <c r="C8" s="15" t="s">
        <v>768</v>
      </c>
      <c r="D8" s="15" t="s">
        <v>403</v>
      </c>
      <c r="E8" s="20">
        <v>181318</v>
      </c>
      <c r="F8" s="21">
        <v>6664.5244000000002</v>
      </c>
      <c r="G8" s="22">
        <v>5.3199999999999997E-2</v>
      </c>
      <c r="H8" s="40"/>
      <c r="I8" s="24"/>
      <c r="J8" s="5"/>
    </row>
    <row r="9" spans="1:10" ht="12.95" customHeight="1">
      <c r="A9" s="18" t="s">
        <v>2404</v>
      </c>
      <c r="B9" s="19" t="s">
        <v>2405</v>
      </c>
      <c r="C9" s="15" t="s">
        <v>2406</v>
      </c>
      <c r="D9" s="15" t="s">
        <v>314</v>
      </c>
      <c r="E9" s="20">
        <v>91942</v>
      </c>
      <c r="F9" s="21">
        <v>5474.0428000000002</v>
      </c>
      <c r="G9" s="22">
        <v>4.3700000000000003E-2</v>
      </c>
      <c r="H9" s="40"/>
      <c r="I9" s="24"/>
      <c r="J9" s="5"/>
    </row>
    <row r="10" spans="1:10" ht="12.95" customHeight="1">
      <c r="A10" s="18" t="s">
        <v>809</v>
      </c>
      <c r="B10" s="19" t="s">
        <v>810</v>
      </c>
      <c r="C10" s="15" t="s">
        <v>811</v>
      </c>
      <c r="D10" s="15" t="s">
        <v>403</v>
      </c>
      <c r="E10" s="20">
        <v>120589</v>
      </c>
      <c r="F10" s="21">
        <v>5022.8936000000003</v>
      </c>
      <c r="G10" s="22">
        <v>4.0099999999999997E-2</v>
      </c>
      <c r="H10" s="40"/>
      <c r="I10" s="24"/>
      <c r="J10" s="5"/>
    </row>
    <row r="11" spans="1:10" ht="12.95" customHeight="1">
      <c r="A11" s="18" t="s">
        <v>268</v>
      </c>
      <c r="B11" s="19" t="s">
        <v>269</v>
      </c>
      <c r="C11" s="15" t="s">
        <v>270</v>
      </c>
      <c r="D11" s="15" t="s">
        <v>271</v>
      </c>
      <c r="E11" s="20">
        <v>522038</v>
      </c>
      <c r="F11" s="21">
        <v>4969.2797</v>
      </c>
      <c r="G11" s="22">
        <v>3.9600000000000003E-2</v>
      </c>
      <c r="H11" s="40"/>
      <c r="I11" s="24"/>
      <c r="J11" s="5"/>
    </row>
    <row r="12" spans="1:10" ht="12.95" customHeight="1">
      <c r="A12" s="18" t="s">
        <v>866</v>
      </c>
      <c r="B12" s="19" t="s">
        <v>867</v>
      </c>
      <c r="C12" s="15" t="s">
        <v>868</v>
      </c>
      <c r="D12" s="15" t="s">
        <v>403</v>
      </c>
      <c r="E12" s="20">
        <v>4677200</v>
      </c>
      <c r="F12" s="21">
        <v>4747.3580000000002</v>
      </c>
      <c r="G12" s="22">
        <v>3.7900000000000003E-2</v>
      </c>
      <c r="H12" s="40"/>
      <c r="I12" s="24"/>
      <c r="J12" s="5"/>
    </row>
    <row r="13" spans="1:10" ht="12.95" customHeight="1">
      <c r="A13" s="18" t="s">
        <v>256</v>
      </c>
      <c r="B13" s="19" t="s">
        <v>257</v>
      </c>
      <c r="C13" s="15" t="s">
        <v>258</v>
      </c>
      <c r="D13" s="15" t="s">
        <v>259</v>
      </c>
      <c r="E13" s="20">
        <v>561336</v>
      </c>
      <c r="F13" s="21">
        <v>3274.8341999999998</v>
      </c>
      <c r="G13" s="22">
        <v>2.6100000000000002E-2</v>
      </c>
      <c r="H13" s="40"/>
      <c r="I13" s="24"/>
      <c r="J13" s="5"/>
    </row>
    <row r="14" spans="1:10" ht="12.95" customHeight="1">
      <c r="A14" s="18" t="s">
        <v>1776</v>
      </c>
      <c r="B14" s="19" t="s">
        <v>1777</v>
      </c>
      <c r="C14" s="15" t="s">
        <v>1778</v>
      </c>
      <c r="D14" s="15" t="s">
        <v>314</v>
      </c>
      <c r="E14" s="20">
        <v>133122</v>
      </c>
      <c r="F14" s="21">
        <v>3247.5111999999999</v>
      </c>
      <c r="G14" s="22">
        <v>2.5899999999999999E-2</v>
      </c>
      <c r="H14" s="40"/>
      <c r="I14" s="24"/>
      <c r="J14" s="5"/>
    </row>
    <row r="15" spans="1:10" ht="12.95" customHeight="1">
      <c r="A15" s="18" t="s">
        <v>2258</v>
      </c>
      <c r="B15" s="19" t="s">
        <v>2259</v>
      </c>
      <c r="C15" s="15" t="s">
        <v>2260</v>
      </c>
      <c r="D15" s="15" t="s">
        <v>291</v>
      </c>
      <c r="E15" s="20">
        <v>415863</v>
      </c>
      <c r="F15" s="21">
        <v>3071.1482999999998</v>
      </c>
      <c r="G15" s="22">
        <v>2.4500000000000001E-2</v>
      </c>
      <c r="H15" s="40"/>
      <c r="I15" s="24"/>
      <c r="J15" s="5"/>
    </row>
    <row r="16" spans="1:10" ht="12.95" customHeight="1">
      <c r="A16" s="18" t="s">
        <v>836</v>
      </c>
      <c r="B16" s="19" t="s">
        <v>837</v>
      </c>
      <c r="C16" s="15" t="s">
        <v>838</v>
      </c>
      <c r="D16" s="15" t="s">
        <v>314</v>
      </c>
      <c r="E16" s="20">
        <v>167574</v>
      </c>
      <c r="F16" s="21">
        <v>2946.4535999999998</v>
      </c>
      <c r="G16" s="22">
        <v>2.35E-2</v>
      </c>
      <c r="H16" s="40"/>
      <c r="I16" s="24"/>
      <c r="J16" s="5"/>
    </row>
    <row r="17" spans="1:10" ht="12.95" customHeight="1">
      <c r="A17" s="18" t="s">
        <v>2267</v>
      </c>
      <c r="B17" s="19" t="s">
        <v>2268</v>
      </c>
      <c r="C17" s="15" t="s">
        <v>2269</v>
      </c>
      <c r="D17" s="15" t="s">
        <v>263</v>
      </c>
      <c r="E17" s="20">
        <v>39151</v>
      </c>
      <c r="F17" s="21">
        <v>2829.5014999999999</v>
      </c>
      <c r="G17" s="22">
        <v>2.2599999999999999E-2</v>
      </c>
      <c r="H17" s="40"/>
      <c r="I17" s="24"/>
      <c r="J17" s="5"/>
    </row>
    <row r="18" spans="1:10" ht="12.95" customHeight="1">
      <c r="A18" s="18" t="s">
        <v>872</v>
      </c>
      <c r="B18" s="19" t="s">
        <v>873</v>
      </c>
      <c r="C18" s="15" t="s">
        <v>874</v>
      </c>
      <c r="D18" s="15" t="s">
        <v>352</v>
      </c>
      <c r="E18" s="20">
        <v>7079</v>
      </c>
      <c r="F18" s="21">
        <v>2821.2469999999998</v>
      </c>
      <c r="G18" s="22">
        <v>2.2499999999999999E-2</v>
      </c>
      <c r="H18" s="40"/>
      <c r="I18" s="24"/>
      <c r="J18" s="5"/>
    </row>
    <row r="19" spans="1:10" ht="12.95" customHeight="1">
      <c r="A19" s="18" t="s">
        <v>1584</v>
      </c>
      <c r="B19" s="19" t="s">
        <v>1585</v>
      </c>
      <c r="C19" s="15" t="s">
        <v>1586</v>
      </c>
      <c r="D19" s="15" t="s">
        <v>263</v>
      </c>
      <c r="E19" s="20">
        <v>53784</v>
      </c>
      <c r="F19" s="21">
        <v>2745.3773999999999</v>
      </c>
      <c r="G19" s="22">
        <v>2.1899999999999999E-2</v>
      </c>
      <c r="H19" s="40"/>
      <c r="I19" s="24"/>
      <c r="J19" s="5"/>
    </row>
    <row r="20" spans="1:10" ht="12.95" customHeight="1">
      <c r="A20" s="18" t="s">
        <v>3770</v>
      </c>
      <c r="B20" s="19" t="s">
        <v>3771</v>
      </c>
      <c r="C20" s="15" t="s">
        <v>3772</v>
      </c>
      <c r="D20" s="15" t="s">
        <v>384</v>
      </c>
      <c r="E20" s="20">
        <v>659806</v>
      </c>
      <c r="F20" s="21">
        <v>2723.0194000000001</v>
      </c>
      <c r="G20" s="22">
        <v>2.1700000000000001E-2</v>
      </c>
      <c r="H20" s="40"/>
      <c r="I20" s="24"/>
      <c r="J20" s="5"/>
    </row>
    <row r="21" spans="1:10" ht="12.95" customHeight="1">
      <c r="A21" s="18" t="s">
        <v>365</v>
      </c>
      <c r="B21" s="19" t="s">
        <v>366</v>
      </c>
      <c r="C21" s="15" t="s">
        <v>367</v>
      </c>
      <c r="D21" s="15" t="s">
        <v>314</v>
      </c>
      <c r="E21" s="20">
        <v>272148</v>
      </c>
      <c r="F21" s="21">
        <v>2635.6172999999999</v>
      </c>
      <c r="G21" s="22">
        <v>2.1000000000000001E-2</v>
      </c>
      <c r="H21" s="40"/>
      <c r="I21" s="24"/>
      <c r="J21" s="5"/>
    </row>
    <row r="22" spans="1:10" ht="12.95" customHeight="1">
      <c r="A22" s="18" t="s">
        <v>1813</v>
      </c>
      <c r="B22" s="19" t="s">
        <v>1814</v>
      </c>
      <c r="C22" s="15" t="s">
        <v>1815</v>
      </c>
      <c r="D22" s="15" t="s">
        <v>1816</v>
      </c>
      <c r="E22" s="20">
        <v>63988</v>
      </c>
      <c r="F22" s="21">
        <v>2349.9593</v>
      </c>
      <c r="G22" s="22">
        <v>1.8700000000000001E-2</v>
      </c>
      <c r="H22" s="40"/>
      <c r="I22" s="24"/>
      <c r="J22" s="5"/>
    </row>
    <row r="23" spans="1:10" ht="12.95" customHeight="1">
      <c r="A23" s="18" t="s">
        <v>749</v>
      </c>
      <c r="B23" s="19" t="s">
        <v>750</v>
      </c>
      <c r="C23" s="15" t="s">
        <v>751</v>
      </c>
      <c r="D23" s="15" t="s">
        <v>255</v>
      </c>
      <c r="E23" s="20">
        <v>147580</v>
      </c>
      <c r="F23" s="21">
        <v>2273.1010000000001</v>
      </c>
      <c r="G23" s="22">
        <v>1.8100000000000002E-2</v>
      </c>
      <c r="H23" s="40"/>
      <c r="I23" s="24"/>
      <c r="J23" s="5"/>
    </row>
    <row r="24" spans="1:10" ht="12.95" customHeight="1">
      <c r="A24" s="18" t="s">
        <v>282</v>
      </c>
      <c r="B24" s="19" t="s">
        <v>283</v>
      </c>
      <c r="C24" s="15" t="s">
        <v>284</v>
      </c>
      <c r="D24" s="15" t="s">
        <v>271</v>
      </c>
      <c r="E24" s="20">
        <v>145305</v>
      </c>
      <c r="F24" s="21">
        <v>2217.7901999999999</v>
      </c>
      <c r="G24" s="22">
        <v>1.77E-2</v>
      </c>
      <c r="H24" s="40"/>
      <c r="I24" s="24"/>
      <c r="J24" s="5"/>
    </row>
    <row r="25" spans="1:10" ht="12.95" customHeight="1">
      <c r="A25" s="18" t="s">
        <v>1850</v>
      </c>
      <c r="B25" s="19" t="s">
        <v>1851</v>
      </c>
      <c r="C25" s="15" t="s">
        <v>1852</v>
      </c>
      <c r="D25" s="15" t="s">
        <v>1816</v>
      </c>
      <c r="E25" s="20">
        <v>49582</v>
      </c>
      <c r="F25" s="21">
        <v>2031.9943000000001</v>
      </c>
      <c r="G25" s="22">
        <v>1.6199999999999999E-2</v>
      </c>
      <c r="H25" s="40"/>
      <c r="I25" s="24"/>
      <c r="J25" s="5"/>
    </row>
    <row r="26" spans="1:10" ht="12.95" customHeight="1">
      <c r="A26" s="18" t="s">
        <v>248</v>
      </c>
      <c r="B26" s="19" t="s">
        <v>249</v>
      </c>
      <c r="C26" s="15" t="s">
        <v>250</v>
      </c>
      <c r="D26" s="15" t="s">
        <v>251</v>
      </c>
      <c r="E26" s="20">
        <v>81997</v>
      </c>
      <c r="F26" s="21">
        <v>1922.8297</v>
      </c>
      <c r="G26" s="22">
        <v>1.5299999999999999E-2</v>
      </c>
      <c r="H26" s="40"/>
      <c r="I26" s="24"/>
      <c r="J26" s="5"/>
    </row>
    <row r="27" spans="1:10" ht="12.95" customHeight="1">
      <c r="A27" s="18" t="s">
        <v>875</v>
      </c>
      <c r="B27" s="19" t="s">
        <v>876</v>
      </c>
      <c r="C27" s="15" t="s">
        <v>877</v>
      </c>
      <c r="D27" s="15" t="s">
        <v>403</v>
      </c>
      <c r="E27" s="20">
        <v>1143996</v>
      </c>
      <c r="F27" s="21">
        <v>1752.6018999999999</v>
      </c>
      <c r="G27" s="22">
        <v>1.4E-2</v>
      </c>
      <c r="H27" s="40"/>
      <c r="I27" s="24"/>
      <c r="J27" s="5"/>
    </row>
    <row r="28" spans="1:10" ht="12.95" customHeight="1">
      <c r="A28" s="18" t="s">
        <v>887</v>
      </c>
      <c r="B28" s="19" t="s">
        <v>888</v>
      </c>
      <c r="C28" s="15" t="s">
        <v>889</v>
      </c>
      <c r="D28" s="15" t="s">
        <v>890</v>
      </c>
      <c r="E28" s="20">
        <v>306000</v>
      </c>
      <c r="F28" s="21">
        <v>1732.5719999999999</v>
      </c>
      <c r="G28" s="22">
        <v>1.38E-2</v>
      </c>
      <c r="H28" s="40"/>
      <c r="I28" s="24"/>
      <c r="J28" s="5"/>
    </row>
    <row r="29" spans="1:10" ht="12.95" customHeight="1">
      <c r="A29" s="18" t="s">
        <v>860</v>
      </c>
      <c r="B29" s="19" t="s">
        <v>861</v>
      </c>
      <c r="C29" s="15" t="s">
        <v>862</v>
      </c>
      <c r="D29" s="15" t="s">
        <v>259</v>
      </c>
      <c r="E29" s="20">
        <v>2654325</v>
      </c>
      <c r="F29" s="21">
        <v>1710.7125000000001</v>
      </c>
      <c r="G29" s="22">
        <v>1.3599999999999999E-2</v>
      </c>
      <c r="H29" s="40"/>
      <c r="I29" s="24"/>
      <c r="J29" s="5"/>
    </row>
    <row r="30" spans="1:10" ht="12.95" customHeight="1">
      <c r="A30" s="18" t="s">
        <v>857</v>
      </c>
      <c r="B30" s="19" t="s">
        <v>858</v>
      </c>
      <c r="C30" s="15" t="s">
        <v>859</v>
      </c>
      <c r="D30" s="15" t="s">
        <v>259</v>
      </c>
      <c r="E30" s="20">
        <v>1767470</v>
      </c>
      <c r="F30" s="21">
        <v>1696.7711999999999</v>
      </c>
      <c r="G30" s="22">
        <v>1.35E-2</v>
      </c>
      <c r="H30" s="40"/>
      <c r="I30" s="24"/>
      <c r="J30" s="5"/>
    </row>
    <row r="31" spans="1:10" ht="12.95" customHeight="1">
      <c r="A31" s="18" t="s">
        <v>839</v>
      </c>
      <c r="B31" s="19" t="s">
        <v>840</v>
      </c>
      <c r="C31" s="15" t="s">
        <v>841</v>
      </c>
      <c r="D31" s="15" t="s">
        <v>745</v>
      </c>
      <c r="E31" s="20">
        <v>44358</v>
      </c>
      <c r="F31" s="21">
        <v>1670.1451999999999</v>
      </c>
      <c r="G31" s="22">
        <v>1.3299999999999999E-2</v>
      </c>
      <c r="H31" s="40"/>
      <c r="I31" s="24"/>
      <c r="J31" s="5"/>
    </row>
    <row r="32" spans="1:10" ht="12.95" customHeight="1">
      <c r="A32" s="18" t="s">
        <v>795</v>
      </c>
      <c r="B32" s="19" t="s">
        <v>796</v>
      </c>
      <c r="C32" s="15" t="s">
        <v>797</v>
      </c>
      <c r="D32" s="15" t="s">
        <v>798</v>
      </c>
      <c r="E32" s="20">
        <v>143581</v>
      </c>
      <c r="F32" s="21">
        <v>1423.7492</v>
      </c>
      <c r="G32" s="22">
        <v>1.14E-2</v>
      </c>
      <c r="H32" s="40"/>
      <c r="I32" s="24"/>
      <c r="J32" s="5"/>
    </row>
    <row r="33" spans="1:10" ht="12.95" customHeight="1">
      <c r="A33" s="18" t="s">
        <v>854</v>
      </c>
      <c r="B33" s="19" t="s">
        <v>855</v>
      </c>
      <c r="C33" s="15" t="s">
        <v>856</v>
      </c>
      <c r="D33" s="15" t="s">
        <v>314</v>
      </c>
      <c r="E33" s="20">
        <v>93565</v>
      </c>
      <c r="F33" s="21">
        <v>1318.5648000000001</v>
      </c>
      <c r="G33" s="22">
        <v>1.0500000000000001E-2</v>
      </c>
      <c r="H33" s="40"/>
      <c r="I33" s="24"/>
      <c r="J33" s="5"/>
    </row>
    <row r="34" spans="1:10" ht="12.95" customHeight="1">
      <c r="A34" s="18" t="s">
        <v>719</v>
      </c>
      <c r="B34" s="19" t="s">
        <v>720</v>
      </c>
      <c r="C34" s="15" t="s">
        <v>721</v>
      </c>
      <c r="D34" s="15" t="s">
        <v>722</v>
      </c>
      <c r="E34" s="20">
        <v>39135</v>
      </c>
      <c r="F34" s="21">
        <v>1183.2663</v>
      </c>
      <c r="G34" s="22">
        <v>9.4000000000000004E-3</v>
      </c>
      <c r="H34" s="40"/>
      <c r="I34" s="24"/>
      <c r="J34" s="5"/>
    </row>
    <row r="35" spans="1:10" ht="12.95" customHeight="1">
      <c r="A35" s="18" t="s">
        <v>3395</v>
      </c>
      <c r="B35" s="19" t="s">
        <v>3396</v>
      </c>
      <c r="C35" s="15" t="s">
        <v>3397</v>
      </c>
      <c r="D35" s="15" t="s">
        <v>3398</v>
      </c>
      <c r="E35" s="20">
        <v>24844</v>
      </c>
      <c r="F35" s="21">
        <v>1136.8489999999999</v>
      </c>
      <c r="G35" s="22">
        <v>9.1000000000000004E-3</v>
      </c>
      <c r="H35" s="40"/>
      <c r="I35" s="24"/>
      <c r="J35" s="5"/>
    </row>
    <row r="36" spans="1:10" ht="12.95" customHeight="1">
      <c r="A36" s="18" t="s">
        <v>3773</v>
      </c>
      <c r="B36" s="19" t="s">
        <v>3774</v>
      </c>
      <c r="C36" s="15" t="s">
        <v>3775</v>
      </c>
      <c r="D36" s="15" t="s">
        <v>324</v>
      </c>
      <c r="E36" s="20">
        <v>227234</v>
      </c>
      <c r="F36" s="21">
        <v>1108.2202</v>
      </c>
      <c r="G36" s="22">
        <v>8.8000000000000005E-3</v>
      </c>
      <c r="H36" s="40"/>
      <c r="I36" s="24"/>
      <c r="J36" s="5"/>
    </row>
    <row r="37" spans="1:10" ht="12.95" customHeight="1">
      <c r="A37" s="18" t="s">
        <v>2222</v>
      </c>
      <c r="B37" s="19" t="s">
        <v>2223</v>
      </c>
      <c r="C37" s="15" t="s">
        <v>2224</v>
      </c>
      <c r="D37" s="15" t="s">
        <v>306</v>
      </c>
      <c r="E37" s="20">
        <v>122077</v>
      </c>
      <c r="F37" s="21">
        <v>1096.8617999999999</v>
      </c>
      <c r="G37" s="22">
        <v>8.6999999999999994E-3</v>
      </c>
      <c r="H37" s="40"/>
      <c r="I37" s="24"/>
      <c r="J37" s="5"/>
    </row>
    <row r="38" spans="1:10" ht="12.95" customHeight="1">
      <c r="A38" s="18" t="s">
        <v>1578</v>
      </c>
      <c r="B38" s="19" t="s">
        <v>1579</v>
      </c>
      <c r="C38" s="15" t="s">
        <v>1580</v>
      </c>
      <c r="D38" s="15" t="s">
        <v>890</v>
      </c>
      <c r="E38" s="20">
        <v>71924</v>
      </c>
      <c r="F38" s="21">
        <v>938.89589999999998</v>
      </c>
      <c r="G38" s="22">
        <v>7.4999999999999997E-3</v>
      </c>
      <c r="H38" s="40"/>
      <c r="I38" s="24"/>
      <c r="J38" s="5"/>
    </row>
    <row r="39" spans="1:10" ht="12.95" customHeight="1">
      <c r="A39" s="18" t="s">
        <v>3441</v>
      </c>
      <c r="B39" s="19" t="s">
        <v>3442</v>
      </c>
      <c r="C39" s="15" t="s">
        <v>3443</v>
      </c>
      <c r="D39" s="15" t="s">
        <v>403</v>
      </c>
      <c r="E39" s="20">
        <v>32308</v>
      </c>
      <c r="F39" s="21">
        <v>929.27499999999998</v>
      </c>
      <c r="G39" s="22">
        <v>7.4000000000000003E-3</v>
      </c>
      <c r="H39" s="40"/>
      <c r="I39" s="24"/>
      <c r="J39" s="5"/>
    </row>
    <row r="40" spans="1:10" ht="12.95" customHeight="1">
      <c r="A40" s="18" t="s">
        <v>2469</v>
      </c>
      <c r="B40" s="19" t="s">
        <v>2470</v>
      </c>
      <c r="C40" s="15" t="s">
        <v>2471</v>
      </c>
      <c r="D40" s="15" t="s">
        <v>295</v>
      </c>
      <c r="E40" s="20">
        <v>41542</v>
      </c>
      <c r="F40" s="21">
        <v>863.51279999999997</v>
      </c>
      <c r="G40" s="22">
        <v>6.8999999999999999E-3</v>
      </c>
      <c r="H40" s="40"/>
      <c r="I40" s="24"/>
      <c r="J40" s="5"/>
    </row>
    <row r="41" spans="1:10" ht="12.95" customHeight="1">
      <c r="A41" s="18" t="s">
        <v>371</v>
      </c>
      <c r="B41" s="19" t="s">
        <v>372</v>
      </c>
      <c r="C41" s="15" t="s">
        <v>373</v>
      </c>
      <c r="D41" s="15" t="s">
        <v>324</v>
      </c>
      <c r="E41" s="20">
        <v>98527</v>
      </c>
      <c r="F41" s="21">
        <v>850.58360000000005</v>
      </c>
      <c r="G41" s="22">
        <v>6.7999999999999996E-3</v>
      </c>
      <c r="H41" s="40"/>
      <c r="I41" s="24"/>
      <c r="J41" s="5"/>
    </row>
    <row r="42" spans="1:10" ht="12.95" customHeight="1">
      <c r="A42" s="18" t="s">
        <v>394</v>
      </c>
      <c r="B42" s="19" t="s">
        <v>395</v>
      </c>
      <c r="C42" s="15" t="s">
        <v>396</v>
      </c>
      <c r="D42" s="15" t="s">
        <v>255</v>
      </c>
      <c r="E42" s="20">
        <v>573000</v>
      </c>
      <c r="F42" s="21">
        <v>762.66300000000001</v>
      </c>
      <c r="G42" s="22">
        <v>6.1000000000000004E-3</v>
      </c>
      <c r="H42" s="40"/>
      <c r="I42" s="24"/>
      <c r="J42" s="5"/>
    </row>
    <row r="43" spans="1:10" ht="12.95" customHeight="1">
      <c r="A43" s="18" t="s">
        <v>3585</v>
      </c>
      <c r="B43" s="19" t="s">
        <v>3586</v>
      </c>
      <c r="C43" s="15" t="s">
        <v>3587</v>
      </c>
      <c r="D43" s="15" t="s">
        <v>3588</v>
      </c>
      <c r="E43" s="20">
        <v>75000</v>
      </c>
      <c r="F43" s="21">
        <v>573.9375</v>
      </c>
      <c r="G43" s="22">
        <v>4.5999999999999999E-3</v>
      </c>
      <c r="H43" s="40"/>
      <c r="I43" s="24"/>
      <c r="J43" s="5"/>
    </row>
    <row r="44" spans="1:10" ht="12.95" customHeight="1">
      <c r="A44" s="18" t="s">
        <v>1591</v>
      </c>
      <c r="B44" s="19" t="s">
        <v>1592</v>
      </c>
      <c r="C44" s="15" t="s">
        <v>1593</v>
      </c>
      <c r="D44" s="15" t="s">
        <v>1594</v>
      </c>
      <c r="E44" s="20">
        <v>175000</v>
      </c>
      <c r="F44" s="21">
        <v>462.96249999999998</v>
      </c>
      <c r="G44" s="22">
        <v>3.7000000000000002E-3</v>
      </c>
      <c r="H44" s="40"/>
      <c r="I44" s="24"/>
      <c r="J44" s="5"/>
    </row>
    <row r="45" spans="1:10" ht="12.95" customHeight="1">
      <c r="A45" s="18" t="s">
        <v>359</v>
      </c>
      <c r="B45" s="19" t="s">
        <v>360</v>
      </c>
      <c r="C45" s="15" t="s">
        <v>361</v>
      </c>
      <c r="D45" s="15" t="s">
        <v>255</v>
      </c>
      <c r="E45" s="20">
        <v>101997</v>
      </c>
      <c r="F45" s="21">
        <v>235.81710000000001</v>
      </c>
      <c r="G45" s="22">
        <v>1.9E-3</v>
      </c>
      <c r="H45" s="40"/>
      <c r="I45" s="24"/>
      <c r="J45" s="5"/>
    </row>
    <row r="46" spans="1:10" ht="12.95" customHeight="1">
      <c r="A46" s="5"/>
      <c r="B46" s="14" t="s">
        <v>160</v>
      </c>
      <c r="C46" s="15"/>
      <c r="D46" s="15"/>
      <c r="E46" s="15"/>
      <c r="F46" s="25">
        <v>94011.081099999996</v>
      </c>
      <c r="G46" s="26">
        <v>0.74980000000000002</v>
      </c>
      <c r="H46" s="27"/>
      <c r="I46" s="28"/>
      <c r="J46" s="5"/>
    </row>
    <row r="47" spans="1:10" ht="12.95" customHeight="1">
      <c r="A47" s="5"/>
      <c r="B47" s="29" t="s">
        <v>408</v>
      </c>
      <c r="C47" s="2"/>
      <c r="D47" s="2"/>
      <c r="E47" s="2"/>
      <c r="F47" s="27" t="s">
        <v>162</v>
      </c>
      <c r="G47" s="27" t="s">
        <v>162</v>
      </c>
      <c r="H47" s="27"/>
      <c r="I47" s="28"/>
      <c r="J47" s="5"/>
    </row>
    <row r="48" spans="1:10" ht="12.95" customHeight="1">
      <c r="A48" s="5"/>
      <c r="B48" s="29" t="s">
        <v>160</v>
      </c>
      <c r="C48" s="2"/>
      <c r="D48" s="2"/>
      <c r="E48" s="2"/>
      <c r="F48" s="27" t="s">
        <v>162</v>
      </c>
      <c r="G48" s="27" t="s">
        <v>162</v>
      </c>
      <c r="H48" s="27"/>
      <c r="I48" s="28"/>
      <c r="J48" s="5"/>
    </row>
    <row r="49" spans="1:10" ht="12.95" customHeight="1">
      <c r="A49" s="5"/>
      <c r="B49" s="29" t="s">
        <v>163</v>
      </c>
      <c r="C49" s="30"/>
      <c r="D49" s="2"/>
      <c r="E49" s="30"/>
      <c r="F49" s="25">
        <v>94011.081099999996</v>
      </c>
      <c r="G49" s="26">
        <v>0.74980000000000002</v>
      </c>
      <c r="H49" s="27"/>
      <c r="I49" s="28"/>
      <c r="J49" s="5"/>
    </row>
    <row r="50" spans="1:10" ht="12.95" customHeight="1">
      <c r="A50" s="5"/>
      <c r="B50" s="14" t="s">
        <v>2277</v>
      </c>
      <c r="C50" s="15"/>
      <c r="D50" s="15"/>
      <c r="E50" s="15"/>
      <c r="F50" s="15"/>
      <c r="G50" s="15"/>
      <c r="H50" s="16"/>
      <c r="I50" s="17"/>
      <c r="J50" s="5"/>
    </row>
    <row r="51" spans="1:10" ht="12.95" customHeight="1">
      <c r="A51" s="5"/>
      <c r="B51" s="14" t="s">
        <v>247</v>
      </c>
      <c r="C51" s="15"/>
      <c r="D51" s="15"/>
      <c r="E51" s="15"/>
      <c r="F51" s="5"/>
      <c r="G51" s="16"/>
      <c r="H51" s="16"/>
      <c r="I51" s="17"/>
      <c r="J51" s="5"/>
    </row>
    <row r="52" spans="1:10" ht="12.95" customHeight="1">
      <c r="A52" s="18" t="s">
        <v>2278</v>
      </c>
      <c r="B52" s="19" t="s">
        <v>2279</v>
      </c>
      <c r="C52" s="15" t="s">
        <v>2280</v>
      </c>
      <c r="D52" s="15" t="s">
        <v>2281</v>
      </c>
      <c r="E52" s="20">
        <v>6915</v>
      </c>
      <c r="F52" s="21">
        <v>1813.4976999999999</v>
      </c>
      <c r="G52" s="22">
        <v>1.4500000000000001E-2</v>
      </c>
      <c r="H52" s="40"/>
      <c r="I52" s="24"/>
      <c r="J52" s="5"/>
    </row>
    <row r="53" spans="1:10" ht="12.95" customHeight="1">
      <c r="A53" s="18" t="s">
        <v>2282</v>
      </c>
      <c r="B53" s="19" t="s">
        <v>2283</v>
      </c>
      <c r="C53" s="15" t="s">
        <v>2284</v>
      </c>
      <c r="D53" s="15" t="s">
        <v>2285</v>
      </c>
      <c r="E53" s="20">
        <v>15123</v>
      </c>
      <c r="F53" s="21">
        <v>1643.7143000000001</v>
      </c>
      <c r="G53" s="22">
        <v>1.3100000000000001E-2</v>
      </c>
      <c r="H53" s="40"/>
      <c r="I53" s="24"/>
      <c r="J53" s="5"/>
    </row>
    <row r="54" spans="1:10" ht="12.95" customHeight="1">
      <c r="A54" s="18" t="s">
        <v>2487</v>
      </c>
      <c r="B54" s="19" t="s">
        <v>2488</v>
      </c>
      <c r="C54" s="15" t="s">
        <v>2489</v>
      </c>
      <c r="D54" s="15" t="s">
        <v>2317</v>
      </c>
      <c r="E54" s="20">
        <v>3174</v>
      </c>
      <c r="F54" s="21">
        <v>1416.0147999999999</v>
      </c>
      <c r="G54" s="22">
        <v>1.1299999999999999E-2</v>
      </c>
      <c r="H54" s="40"/>
      <c r="I54" s="24"/>
      <c r="J54" s="5"/>
    </row>
    <row r="55" spans="1:10" ht="12.95" customHeight="1">
      <c r="A55" s="18" t="s">
        <v>2322</v>
      </c>
      <c r="B55" s="19" t="s">
        <v>2323</v>
      </c>
      <c r="C55" s="15" t="s">
        <v>2324</v>
      </c>
      <c r="D55" s="15" t="s">
        <v>2313</v>
      </c>
      <c r="E55" s="20">
        <v>6164</v>
      </c>
      <c r="F55" s="21">
        <v>1177.5811000000001</v>
      </c>
      <c r="G55" s="22">
        <v>9.4000000000000004E-3</v>
      </c>
      <c r="H55" s="40"/>
      <c r="I55" s="24"/>
      <c r="J55" s="5"/>
    </row>
    <row r="56" spans="1:10" ht="12.95" customHeight="1">
      <c r="A56" s="18" t="s">
        <v>3776</v>
      </c>
      <c r="B56" s="19" t="s">
        <v>3777</v>
      </c>
      <c r="C56" s="15" t="s">
        <v>3778</v>
      </c>
      <c r="D56" s="15" t="s">
        <v>3779</v>
      </c>
      <c r="E56" s="20">
        <v>43329</v>
      </c>
      <c r="F56" s="21">
        <v>1148.0253</v>
      </c>
      <c r="G56" s="22">
        <v>9.1999999999999998E-3</v>
      </c>
      <c r="H56" s="40"/>
      <c r="I56" s="24"/>
      <c r="J56" s="5"/>
    </row>
    <row r="57" spans="1:10" ht="12.95" customHeight="1">
      <c r="A57" s="18" t="s">
        <v>3780</v>
      </c>
      <c r="B57" s="19" t="s">
        <v>3781</v>
      </c>
      <c r="C57" s="15" t="s">
        <v>3782</v>
      </c>
      <c r="D57" s="15" t="s">
        <v>3783</v>
      </c>
      <c r="E57" s="20">
        <v>7832</v>
      </c>
      <c r="F57" s="21">
        <v>1113.7385999999999</v>
      </c>
      <c r="G57" s="22">
        <v>8.8999999999999999E-3</v>
      </c>
      <c r="H57" s="40"/>
      <c r="I57" s="24"/>
      <c r="J57" s="5"/>
    </row>
    <row r="58" spans="1:10" ht="12.95" customHeight="1">
      <c r="A58" s="18" t="s">
        <v>3784</v>
      </c>
      <c r="B58" s="19" t="s">
        <v>3785</v>
      </c>
      <c r="C58" s="15" t="s">
        <v>3786</v>
      </c>
      <c r="D58" s="15" t="s">
        <v>2382</v>
      </c>
      <c r="E58" s="20">
        <v>22392</v>
      </c>
      <c r="F58" s="21">
        <v>981.99270000000001</v>
      </c>
      <c r="G58" s="22">
        <v>7.7999999999999996E-3</v>
      </c>
      <c r="H58" s="40"/>
      <c r="I58" s="24"/>
      <c r="J58" s="5"/>
    </row>
    <row r="59" spans="1:10" ht="12.95" customHeight="1">
      <c r="A59" s="18" t="s">
        <v>2517</v>
      </c>
      <c r="B59" s="19" t="s">
        <v>2518</v>
      </c>
      <c r="C59" s="15" t="s">
        <v>2519</v>
      </c>
      <c r="D59" s="15" t="s">
        <v>2520</v>
      </c>
      <c r="E59" s="20">
        <v>3011</v>
      </c>
      <c r="F59" s="21">
        <v>944.33090000000004</v>
      </c>
      <c r="G59" s="22">
        <v>7.4999999999999997E-3</v>
      </c>
      <c r="H59" s="40"/>
      <c r="I59" s="24"/>
      <c r="J59" s="5"/>
    </row>
    <row r="60" spans="1:10" ht="12.95" customHeight="1">
      <c r="A60" s="18" t="s">
        <v>3787</v>
      </c>
      <c r="B60" s="19" t="s">
        <v>3788</v>
      </c>
      <c r="C60" s="15" t="s">
        <v>3789</v>
      </c>
      <c r="D60" s="15" t="s">
        <v>2317</v>
      </c>
      <c r="E60" s="20">
        <v>12286</v>
      </c>
      <c r="F60" s="21">
        <v>927.99779999999998</v>
      </c>
      <c r="G60" s="22">
        <v>7.4000000000000003E-3</v>
      </c>
      <c r="H60" s="40"/>
      <c r="I60" s="24"/>
      <c r="J60" s="5"/>
    </row>
    <row r="61" spans="1:10" ht="12.95" customHeight="1">
      <c r="A61" s="18" t="s">
        <v>3790</v>
      </c>
      <c r="B61" s="19" t="s">
        <v>3791</v>
      </c>
      <c r="C61" s="15" t="s">
        <v>3792</v>
      </c>
      <c r="D61" s="15" t="s">
        <v>2539</v>
      </c>
      <c r="E61" s="20">
        <v>8686</v>
      </c>
      <c r="F61" s="21">
        <v>917.09680000000003</v>
      </c>
      <c r="G61" s="22">
        <v>7.3000000000000001E-3</v>
      </c>
      <c r="H61" s="40"/>
      <c r="I61" s="24"/>
      <c r="J61" s="5"/>
    </row>
    <row r="62" spans="1:10" ht="12.95" customHeight="1">
      <c r="A62" s="18" t="s">
        <v>2325</v>
      </c>
      <c r="B62" s="19" t="s">
        <v>2326</v>
      </c>
      <c r="C62" s="15" t="s">
        <v>2327</v>
      </c>
      <c r="D62" s="15" t="s">
        <v>2328</v>
      </c>
      <c r="E62" s="20">
        <v>12669</v>
      </c>
      <c r="F62" s="21">
        <v>914.41549999999995</v>
      </c>
      <c r="G62" s="22">
        <v>7.3000000000000001E-3</v>
      </c>
      <c r="H62" s="40"/>
      <c r="I62" s="24"/>
      <c r="J62" s="5"/>
    </row>
    <row r="63" spans="1:10" ht="12.95" customHeight="1">
      <c r="A63" s="18" t="s">
        <v>2503</v>
      </c>
      <c r="B63" s="19" t="s">
        <v>2504</v>
      </c>
      <c r="C63" s="15" t="s">
        <v>2505</v>
      </c>
      <c r="D63" s="15" t="s">
        <v>2506</v>
      </c>
      <c r="E63" s="20">
        <v>13053</v>
      </c>
      <c r="F63" s="21">
        <v>893.45299999999997</v>
      </c>
      <c r="G63" s="22">
        <v>7.1000000000000004E-3</v>
      </c>
      <c r="H63" s="40"/>
      <c r="I63" s="24"/>
      <c r="J63" s="5"/>
    </row>
    <row r="64" spans="1:10" ht="12.95" customHeight="1">
      <c r="A64" s="18" t="s">
        <v>2494</v>
      </c>
      <c r="B64" s="19" t="s">
        <v>2495</v>
      </c>
      <c r="C64" s="15" t="s">
        <v>2496</v>
      </c>
      <c r="D64" s="15" t="s">
        <v>2317</v>
      </c>
      <c r="E64" s="20">
        <v>10345</v>
      </c>
      <c r="F64" s="21">
        <v>884.58240000000001</v>
      </c>
      <c r="G64" s="22">
        <v>7.1000000000000004E-3</v>
      </c>
      <c r="H64" s="40"/>
      <c r="I64" s="24"/>
      <c r="J64" s="5"/>
    </row>
    <row r="65" spans="1:10" ht="12.95" customHeight="1">
      <c r="A65" s="18" t="s">
        <v>2481</v>
      </c>
      <c r="B65" s="19" t="s">
        <v>2482</v>
      </c>
      <c r="C65" s="15" t="s">
        <v>2483</v>
      </c>
      <c r="D65" s="15" t="s">
        <v>2328</v>
      </c>
      <c r="E65" s="20">
        <v>2433</v>
      </c>
      <c r="F65" s="21">
        <v>879.02829999999994</v>
      </c>
      <c r="G65" s="22">
        <v>7.0000000000000001E-3</v>
      </c>
      <c r="H65" s="40"/>
      <c r="I65" s="24"/>
      <c r="J65" s="5"/>
    </row>
    <row r="66" spans="1:10" ht="12.95" customHeight="1">
      <c r="A66" s="18" t="s">
        <v>2294</v>
      </c>
      <c r="B66" s="19" t="s">
        <v>2295</v>
      </c>
      <c r="C66" s="15" t="s">
        <v>2296</v>
      </c>
      <c r="D66" s="15" t="s">
        <v>2297</v>
      </c>
      <c r="E66" s="20">
        <v>2005</v>
      </c>
      <c r="F66" s="21">
        <v>849.14300000000003</v>
      </c>
      <c r="G66" s="22">
        <v>6.7999999999999996E-3</v>
      </c>
      <c r="H66" s="40"/>
      <c r="I66" s="24"/>
      <c r="J66" s="5"/>
    </row>
    <row r="67" spans="1:10" ht="12.95" customHeight="1">
      <c r="A67" s="18" t="s">
        <v>3793</v>
      </c>
      <c r="B67" s="19" t="s">
        <v>3794</v>
      </c>
      <c r="C67" s="15" t="s">
        <v>3795</v>
      </c>
      <c r="D67" s="15" t="s">
        <v>3796</v>
      </c>
      <c r="E67" s="20">
        <v>1663</v>
      </c>
      <c r="F67" s="21">
        <v>780.35360000000003</v>
      </c>
      <c r="G67" s="22">
        <v>6.1999999999999998E-3</v>
      </c>
      <c r="H67" s="40"/>
      <c r="I67" s="24"/>
      <c r="J67" s="5"/>
    </row>
    <row r="68" spans="1:10" ht="12.95" customHeight="1">
      <c r="A68" s="18" t="s">
        <v>3797</v>
      </c>
      <c r="B68" s="19" t="s">
        <v>3798</v>
      </c>
      <c r="C68" s="15" t="s">
        <v>3799</v>
      </c>
      <c r="D68" s="15" t="s">
        <v>2281</v>
      </c>
      <c r="E68" s="20">
        <v>5398</v>
      </c>
      <c r="F68" s="21">
        <v>750.44330000000002</v>
      </c>
      <c r="G68" s="22">
        <v>6.0000000000000001E-3</v>
      </c>
      <c r="H68" s="40"/>
      <c r="I68" s="24"/>
      <c r="J68" s="5"/>
    </row>
    <row r="69" spans="1:10" ht="12.95" customHeight="1">
      <c r="A69" s="18" t="s">
        <v>2286</v>
      </c>
      <c r="B69" s="19" t="s">
        <v>2287</v>
      </c>
      <c r="C69" s="15" t="s">
        <v>2288</v>
      </c>
      <c r="D69" s="15" t="s">
        <v>2289</v>
      </c>
      <c r="E69" s="20">
        <v>24927</v>
      </c>
      <c r="F69" s="21">
        <v>703.28499999999997</v>
      </c>
      <c r="G69" s="22">
        <v>5.5999999999999999E-3</v>
      </c>
      <c r="H69" s="40"/>
      <c r="I69" s="24"/>
      <c r="J69" s="5"/>
    </row>
    <row r="70" spans="1:10" ht="12.95" customHeight="1">
      <c r="A70" s="18" t="s">
        <v>2298</v>
      </c>
      <c r="B70" s="19" t="s">
        <v>2299</v>
      </c>
      <c r="C70" s="15" t="s">
        <v>2300</v>
      </c>
      <c r="D70" s="15" t="s">
        <v>2301</v>
      </c>
      <c r="E70" s="20">
        <v>260</v>
      </c>
      <c r="F70" s="21">
        <v>665.98149999999998</v>
      </c>
      <c r="G70" s="22">
        <v>5.3E-3</v>
      </c>
      <c r="H70" s="40"/>
      <c r="I70" s="24"/>
      <c r="J70" s="5"/>
    </row>
    <row r="71" spans="1:10" ht="12.95" customHeight="1">
      <c r="A71" s="18" t="s">
        <v>2383</v>
      </c>
      <c r="B71" s="19" t="s">
        <v>2384</v>
      </c>
      <c r="C71" s="15" t="s">
        <v>2385</v>
      </c>
      <c r="D71" s="15" t="s">
        <v>2386</v>
      </c>
      <c r="E71" s="20">
        <v>2076</v>
      </c>
      <c r="F71" s="21">
        <v>664.90120000000002</v>
      </c>
      <c r="G71" s="22">
        <v>5.3E-3</v>
      </c>
      <c r="H71" s="40"/>
      <c r="I71" s="24"/>
      <c r="J71" s="5"/>
    </row>
    <row r="72" spans="1:10" ht="12.95" customHeight="1">
      <c r="A72" s="18" t="s">
        <v>2336</v>
      </c>
      <c r="B72" s="19" t="s">
        <v>2337</v>
      </c>
      <c r="C72" s="15" t="s">
        <v>2338</v>
      </c>
      <c r="D72" s="15" t="s">
        <v>2339</v>
      </c>
      <c r="E72" s="20">
        <v>1548</v>
      </c>
      <c r="F72" s="21">
        <v>650.80190000000005</v>
      </c>
      <c r="G72" s="22">
        <v>5.1999999999999998E-3</v>
      </c>
      <c r="H72" s="40"/>
      <c r="I72" s="24"/>
      <c r="J72" s="5"/>
    </row>
    <row r="73" spans="1:10" ht="12.95" customHeight="1">
      <c r="A73" s="18" t="s">
        <v>3800</v>
      </c>
      <c r="B73" s="19" t="s">
        <v>3801</v>
      </c>
      <c r="C73" s="15" t="s">
        <v>3802</v>
      </c>
      <c r="D73" s="15" t="s">
        <v>3803</v>
      </c>
      <c r="E73" s="20">
        <v>10190</v>
      </c>
      <c r="F73" s="21">
        <v>629.77719999999999</v>
      </c>
      <c r="G73" s="22">
        <v>5.0000000000000001E-3</v>
      </c>
      <c r="H73" s="40"/>
      <c r="I73" s="24"/>
      <c r="J73" s="5"/>
    </row>
    <row r="74" spans="1:10" ht="12.95" customHeight="1">
      <c r="A74" s="18" t="s">
        <v>3804</v>
      </c>
      <c r="B74" s="19" t="s">
        <v>3805</v>
      </c>
      <c r="C74" s="15" t="s">
        <v>3806</v>
      </c>
      <c r="D74" s="15" t="s">
        <v>2524</v>
      </c>
      <c r="E74" s="20">
        <v>2756</v>
      </c>
      <c r="F74" s="21">
        <v>623.17870000000005</v>
      </c>
      <c r="G74" s="22">
        <v>5.0000000000000001E-3</v>
      </c>
      <c r="H74" s="40"/>
      <c r="I74" s="24"/>
      <c r="J74" s="5"/>
    </row>
    <row r="75" spans="1:10" ht="12.95" customHeight="1">
      <c r="A75" s="18" t="s">
        <v>3807</v>
      </c>
      <c r="B75" s="19" t="s">
        <v>3808</v>
      </c>
      <c r="C75" s="15" t="s">
        <v>3809</v>
      </c>
      <c r="D75" s="15" t="s">
        <v>3810</v>
      </c>
      <c r="E75" s="20">
        <v>2281</v>
      </c>
      <c r="F75" s="21">
        <v>599.00080000000003</v>
      </c>
      <c r="G75" s="22">
        <v>4.7999999999999996E-3</v>
      </c>
      <c r="H75" s="40"/>
      <c r="I75" s="24"/>
      <c r="J75" s="5"/>
    </row>
    <row r="76" spans="1:10" ht="12.95" customHeight="1">
      <c r="A76" s="18" t="s">
        <v>3811</v>
      </c>
      <c r="B76" s="19" t="s">
        <v>3812</v>
      </c>
      <c r="C76" s="15" t="s">
        <v>3813</v>
      </c>
      <c r="D76" s="15" t="s">
        <v>3814</v>
      </c>
      <c r="E76" s="20">
        <v>2816</v>
      </c>
      <c r="F76" s="21">
        <v>585.24289999999996</v>
      </c>
      <c r="G76" s="22">
        <v>4.7000000000000002E-3</v>
      </c>
      <c r="H76" s="40"/>
      <c r="I76" s="24"/>
      <c r="J76" s="5"/>
    </row>
    <row r="77" spans="1:10" ht="12.95" customHeight="1">
      <c r="A77" s="18" t="s">
        <v>2318</v>
      </c>
      <c r="B77" s="19" t="s">
        <v>2319</v>
      </c>
      <c r="C77" s="15" t="s">
        <v>2320</v>
      </c>
      <c r="D77" s="15" t="s">
        <v>2321</v>
      </c>
      <c r="E77" s="20">
        <v>1177</v>
      </c>
      <c r="F77" s="21">
        <v>575.46969999999999</v>
      </c>
      <c r="G77" s="22">
        <v>4.5999999999999999E-3</v>
      </c>
      <c r="H77" s="40"/>
      <c r="I77" s="24"/>
      <c r="J77" s="5"/>
    </row>
    <row r="78" spans="1:10" ht="12.95" customHeight="1">
      <c r="A78" s="18" t="s">
        <v>3815</v>
      </c>
      <c r="B78" s="19" t="s">
        <v>3816</v>
      </c>
      <c r="C78" s="15" t="s">
        <v>3817</v>
      </c>
      <c r="D78" s="15" t="s">
        <v>2328</v>
      </c>
      <c r="E78" s="20">
        <v>4180</v>
      </c>
      <c r="F78" s="21">
        <v>561.01210000000003</v>
      </c>
      <c r="G78" s="22">
        <v>4.4999999999999997E-3</v>
      </c>
      <c r="H78" s="40"/>
      <c r="I78" s="24"/>
      <c r="J78" s="5"/>
    </row>
    <row r="79" spans="1:10" ht="12.95" customHeight="1">
      <c r="A79" s="18" t="s">
        <v>3818</v>
      </c>
      <c r="B79" s="19" t="s">
        <v>3819</v>
      </c>
      <c r="C79" s="15" t="s">
        <v>3820</v>
      </c>
      <c r="D79" s="15" t="s">
        <v>2520</v>
      </c>
      <c r="E79" s="20">
        <v>4345</v>
      </c>
      <c r="F79" s="21">
        <v>558.07569999999998</v>
      </c>
      <c r="G79" s="22">
        <v>4.4999999999999997E-3</v>
      </c>
      <c r="H79" s="40"/>
      <c r="I79" s="24"/>
      <c r="J79" s="5"/>
    </row>
    <row r="80" spans="1:10" ht="12.95" customHeight="1">
      <c r="A80" s="18" t="s">
        <v>3821</v>
      </c>
      <c r="B80" s="19" t="s">
        <v>3822</v>
      </c>
      <c r="C80" s="15" t="s">
        <v>3823</v>
      </c>
      <c r="D80" s="15" t="s">
        <v>3824</v>
      </c>
      <c r="E80" s="20">
        <v>6207</v>
      </c>
      <c r="F80" s="21">
        <v>497.85789999999997</v>
      </c>
      <c r="G80" s="22">
        <v>4.0000000000000001E-3</v>
      </c>
      <c r="H80" s="40"/>
      <c r="I80" s="24"/>
      <c r="J80" s="5"/>
    </row>
    <row r="81" spans="1:10" ht="12.95" customHeight="1">
      <c r="A81" s="18" t="s">
        <v>3825</v>
      </c>
      <c r="B81" s="19" t="s">
        <v>3826</v>
      </c>
      <c r="C81" s="15" t="s">
        <v>3827</v>
      </c>
      <c r="D81" s="15" t="s">
        <v>3828</v>
      </c>
      <c r="E81" s="20">
        <v>12531</v>
      </c>
      <c r="F81" s="21">
        <v>477.1026</v>
      </c>
      <c r="G81" s="22">
        <v>3.8E-3</v>
      </c>
      <c r="H81" s="40"/>
      <c r="I81" s="24"/>
      <c r="J81" s="5"/>
    </row>
    <row r="82" spans="1:10" ht="12.95" customHeight="1">
      <c r="A82" s="18" t="s">
        <v>3829</v>
      </c>
      <c r="B82" s="19" t="s">
        <v>3830</v>
      </c>
      <c r="C82" s="15" t="s">
        <v>3831</v>
      </c>
      <c r="D82" s="15" t="s">
        <v>3824</v>
      </c>
      <c r="E82" s="20">
        <v>3821</v>
      </c>
      <c r="F82" s="21">
        <v>468.93799999999999</v>
      </c>
      <c r="G82" s="22">
        <v>3.7000000000000002E-3</v>
      </c>
      <c r="H82" s="40"/>
      <c r="I82" s="24"/>
      <c r="J82" s="5"/>
    </row>
    <row r="83" spans="1:10" ht="12.95" customHeight="1">
      <c r="A83" s="18" t="s">
        <v>3832</v>
      </c>
      <c r="B83" s="19" t="s">
        <v>3833</v>
      </c>
      <c r="C83" s="15" t="s">
        <v>3834</v>
      </c>
      <c r="D83" s="15" t="s">
        <v>2328</v>
      </c>
      <c r="E83" s="20">
        <v>5331</v>
      </c>
      <c r="F83" s="21">
        <v>455.26870000000002</v>
      </c>
      <c r="G83" s="22">
        <v>3.5999999999999999E-3</v>
      </c>
      <c r="H83" s="40"/>
      <c r="I83" s="24"/>
      <c r="J83" s="5"/>
    </row>
    <row r="84" spans="1:10" ht="12.95" customHeight="1">
      <c r="A84" s="18" t="s">
        <v>3835</v>
      </c>
      <c r="B84" s="19" t="s">
        <v>3836</v>
      </c>
      <c r="C84" s="15" t="s">
        <v>3837</v>
      </c>
      <c r="D84" s="15" t="s">
        <v>2297</v>
      </c>
      <c r="E84" s="20">
        <v>1193</v>
      </c>
      <c r="F84" s="21">
        <v>454.7851</v>
      </c>
      <c r="G84" s="22">
        <v>3.5999999999999999E-3</v>
      </c>
      <c r="H84" s="40"/>
      <c r="I84" s="24"/>
      <c r="J84" s="5"/>
    </row>
    <row r="85" spans="1:10" ht="12.95" customHeight="1">
      <c r="A85" s="18" t="s">
        <v>2333</v>
      </c>
      <c r="B85" s="19" t="s">
        <v>2334</v>
      </c>
      <c r="C85" s="15" t="s">
        <v>2335</v>
      </c>
      <c r="D85" s="15" t="s">
        <v>2297</v>
      </c>
      <c r="E85" s="20">
        <v>1012</v>
      </c>
      <c r="F85" s="21">
        <v>429.46910000000003</v>
      </c>
      <c r="G85" s="22">
        <v>3.3999999999999998E-3</v>
      </c>
      <c r="H85" s="40"/>
      <c r="I85" s="24"/>
      <c r="J85" s="5"/>
    </row>
    <row r="86" spans="1:10" ht="12.95" customHeight="1">
      <c r="A86" s="18" t="s">
        <v>3838</v>
      </c>
      <c r="B86" s="19" t="s">
        <v>3839</v>
      </c>
      <c r="C86" s="15" t="s">
        <v>3840</v>
      </c>
      <c r="D86" s="15" t="s">
        <v>2535</v>
      </c>
      <c r="E86" s="20">
        <v>1180</v>
      </c>
      <c r="F86" s="21">
        <v>336.76679999999999</v>
      </c>
      <c r="G86" s="22">
        <v>2.7000000000000001E-3</v>
      </c>
      <c r="H86" s="40"/>
      <c r="I86" s="24"/>
      <c r="J86" s="5"/>
    </row>
    <row r="87" spans="1:10" ht="12.95" customHeight="1">
      <c r="A87" s="18" t="s">
        <v>2521</v>
      </c>
      <c r="B87" s="19" t="s">
        <v>2522</v>
      </c>
      <c r="C87" s="15" t="s">
        <v>2523</v>
      </c>
      <c r="D87" s="15" t="s">
        <v>2524</v>
      </c>
      <c r="E87" s="20">
        <v>1884</v>
      </c>
      <c r="F87" s="21">
        <v>287.81599999999997</v>
      </c>
      <c r="G87" s="22">
        <v>2.3E-3</v>
      </c>
      <c r="H87" s="40"/>
      <c r="I87" s="24"/>
      <c r="J87" s="5"/>
    </row>
    <row r="88" spans="1:10" ht="12.95" customHeight="1">
      <c r="A88" s="18" t="s">
        <v>2514</v>
      </c>
      <c r="B88" s="19" t="s">
        <v>2515</v>
      </c>
      <c r="C88" s="15" t="s">
        <v>2516</v>
      </c>
      <c r="D88" s="15" t="s">
        <v>2281</v>
      </c>
      <c r="E88" s="20">
        <v>2930</v>
      </c>
      <c r="F88" s="21">
        <v>257.76679999999999</v>
      </c>
      <c r="G88" s="22">
        <v>2.0999999999999999E-3</v>
      </c>
      <c r="H88" s="40"/>
      <c r="I88" s="24"/>
      <c r="J88" s="5"/>
    </row>
    <row r="89" spans="1:10" ht="12.95" customHeight="1">
      <c r="A89" s="18" t="s">
        <v>3841</v>
      </c>
      <c r="B89" s="19" t="s">
        <v>3842</v>
      </c>
      <c r="C89" s="15" t="s">
        <v>3843</v>
      </c>
      <c r="D89" s="15" t="s">
        <v>2539</v>
      </c>
      <c r="E89" s="20">
        <v>19300</v>
      </c>
      <c r="F89" s="21">
        <v>235.61600000000001</v>
      </c>
      <c r="G89" s="22">
        <v>1.9E-3</v>
      </c>
      <c r="H89" s="40"/>
      <c r="I89" s="24"/>
      <c r="J89" s="5"/>
    </row>
    <row r="90" spans="1:10" ht="12.95" customHeight="1">
      <c r="A90" s="18" t="s">
        <v>2379</v>
      </c>
      <c r="B90" s="19" t="s">
        <v>2380</v>
      </c>
      <c r="C90" s="15" t="s">
        <v>2381</v>
      </c>
      <c r="D90" s="15" t="s">
        <v>2382</v>
      </c>
      <c r="E90" s="20">
        <v>2958</v>
      </c>
      <c r="F90" s="21">
        <v>229.22460000000001</v>
      </c>
      <c r="G90" s="22">
        <v>1.8E-3</v>
      </c>
      <c r="H90" s="40"/>
      <c r="I90" s="24"/>
      <c r="J90" s="5"/>
    </row>
    <row r="91" spans="1:10" ht="12.95" customHeight="1">
      <c r="A91" s="5"/>
      <c r="B91" s="14" t="s">
        <v>160</v>
      </c>
      <c r="C91" s="15"/>
      <c r="D91" s="15"/>
      <c r="E91" s="15"/>
      <c r="F91" s="25">
        <v>28982.747599999999</v>
      </c>
      <c r="G91" s="26">
        <v>0.23119999999999999</v>
      </c>
      <c r="H91" s="27"/>
      <c r="I91" s="28"/>
      <c r="J91" s="5"/>
    </row>
    <row r="92" spans="1:10" ht="12.95" customHeight="1">
      <c r="A92" s="5"/>
      <c r="B92" s="29" t="s">
        <v>408</v>
      </c>
      <c r="C92" s="2"/>
      <c r="D92" s="2"/>
      <c r="E92" s="2"/>
      <c r="F92" s="27" t="s">
        <v>162</v>
      </c>
      <c r="G92" s="27" t="s">
        <v>162</v>
      </c>
      <c r="H92" s="27"/>
      <c r="I92" s="28"/>
      <c r="J92" s="5"/>
    </row>
    <row r="93" spans="1:10" ht="12.95" customHeight="1">
      <c r="A93" s="5"/>
      <c r="B93" s="29" t="s">
        <v>160</v>
      </c>
      <c r="C93" s="2"/>
      <c r="D93" s="2"/>
      <c r="E93" s="2"/>
      <c r="F93" s="27" t="s">
        <v>162</v>
      </c>
      <c r="G93" s="27" t="s">
        <v>162</v>
      </c>
      <c r="H93" s="27"/>
      <c r="I93" s="28"/>
      <c r="J93" s="5"/>
    </row>
    <row r="94" spans="1:10" ht="12.95" customHeight="1">
      <c r="A94" s="5"/>
      <c r="B94" s="29" t="s">
        <v>163</v>
      </c>
      <c r="C94" s="30"/>
      <c r="D94" s="2"/>
      <c r="E94" s="30"/>
      <c r="F94" s="25">
        <v>28982.747599999999</v>
      </c>
      <c r="G94" s="26">
        <v>0.23119999999999999</v>
      </c>
      <c r="H94" s="27"/>
      <c r="I94" s="28"/>
      <c r="J94" s="5"/>
    </row>
    <row r="95" spans="1:10" ht="12.95" customHeight="1">
      <c r="A95" s="5"/>
      <c r="B95" s="14" t="s">
        <v>409</v>
      </c>
      <c r="C95" s="15"/>
      <c r="D95" s="15"/>
      <c r="E95" s="15"/>
      <c r="F95" s="15"/>
      <c r="G95" s="15"/>
      <c r="H95" s="16"/>
      <c r="I95" s="17"/>
      <c r="J95" s="5"/>
    </row>
    <row r="96" spans="1:10" ht="12.95" customHeight="1">
      <c r="A96" s="5"/>
      <c r="B96" s="14" t="s">
        <v>410</v>
      </c>
      <c r="C96" s="15"/>
      <c r="D96" s="15"/>
      <c r="E96" s="15"/>
      <c r="F96" s="5"/>
      <c r="G96" s="16"/>
      <c r="H96" s="16"/>
      <c r="I96" s="17"/>
      <c r="J96" s="5"/>
    </row>
    <row r="97" spans="1:10" ht="12.95" customHeight="1">
      <c r="A97" s="18" t="s">
        <v>415</v>
      </c>
      <c r="B97" s="19" t="s">
        <v>416</v>
      </c>
      <c r="C97" s="15"/>
      <c r="D97" s="15"/>
      <c r="E97" s="20">
        <v>300000</v>
      </c>
      <c r="F97" s="21">
        <v>796.65</v>
      </c>
      <c r="G97" s="22">
        <v>6.4000000000000003E-3</v>
      </c>
      <c r="H97" s="40"/>
      <c r="I97" s="24"/>
      <c r="J97" s="5"/>
    </row>
    <row r="98" spans="1:10" ht="12.95" customHeight="1">
      <c r="A98" s="5"/>
      <c r="B98" s="14" t="s">
        <v>160</v>
      </c>
      <c r="C98" s="15"/>
      <c r="D98" s="15"/>
      <c r="E98" s="15"/>
      <c r="F98" s="25">
        <v>796.65</v>
      </c>
      <c r="G98" s="26">
        <v>6.4000000000000003E-3</v>
      </c>
      <c r="H98" s="27"/>
      <c r="I98" s="28"/>
      <c r="J98" s="5"/>
    </row>
    <row r="99" spans="1:10" ht="12.95" customHeight="1">
      <c r="A99" s="5"/>
      <c r="B99" s="29" t="s">
        <v>163</v>
      </c>
      <c r="C99" s="30"/>
      <c r="D99" s="2"/>
      <c r="E99" s="30"/>
      <c r="F99" s="25">
        <v>796.65</v>
      </c>
      <c r="G99" s="26">
        <v>6.4000000000000003E-3</v>
      </c>
      <c r="H99" s="27"/>
      <c r="I99" s="28"/>
      <c r="J99" s="5"/>
    </row>
    <row r="100" spans="1:10" ht="12.95" customHeight="1">
      <c r="A100" s="5"/>
      <c r="B100" s="14" t="s">
        <v>417</v>
      </c>
      <c r="C100" s="15"/>
      <c r="D100" s="15"/>
      <c r="E100" s="15"/>
      <c r="F100" s="15"/>
      <c r="G100" s="15"/>
      <c r="H100" s="16"/>
      <c r="I100" s="17"/>
      <c r="J100" s="5"/>
    </row>
    <row r="101" spans="1:10" ht="12.95" customHeight="1">
      <c r="A101" s="5"/>
      <c r="B101" s="14" t="s">
        <v>418</v>
      </c>
      <c r="C101" s="15"/>
      <c r="D101" s="15"/>
      <c r="E101" s="15"/>
      <c r="F101" s="5"/>
      <c r="G101" s="16"/>
      <c r="H101" s="16"/>
      <c r="I101" s="17"/>
      <c r="J101" s="5"/>
    </row>
    <row r="102" spans="1:10" ht="12.95" customHeight="1">
      <c r="A102" s="18" t="s">
        <v>1708</v>
      </c>
      <c r="B102" s="19" t="s">
        <v>1709</v>
      </c>
      <c r="C102" s="15" t="s">
        <v>1710</v>
      </c>
      <c r="D102" s="15" t="s">
        <v>156</v>
      </c>
      <c r="E102" s="20">
        <v>1000000</v>
      </c>
      <c r="F102" s="21">
        <v>995.43200000000002</v>
      </c>
      <c r="G102" s="22">
        <v>7.9000000000000008E-3</v>
      </c>
      <c r="H102" s="23">
        <v>6.7000000000000004E-2</v>
      </c>
      <c r="I102" s="24"/>
      <c r="J102" s="5"/>
    </row>
    <row r="103" spans="1:10" ht="12.95" customHeight="1">
      <c r="A103" s="5"/>
      <c r="B103" s="14" t="s">
        <v>160</v>
      </c>
      <c r="C103" s="15"/>
      <c r="D103" s="15"/>
      <c r="E103" s="15"/>
      <c r="F103" s="25">
        <v>995.43200000000002</v>
      </c>
      <c r="G103" s="26">
        <v>7.9000000000000008E-3</v>
      </c>
      <c r="H103" s="27"/>
      <c r="I103" s="28"/>
      <c r="J103" s="5"/>
    </row>
    <row r="104" spans="1:10" ht="12.95" customHeight="1">
      <c r="A104" s="5"/>
      <c r="B104" s="29" t="s">
        <v>163</v>
      </c>
      <c r="C104" s="30"/>
      <c r="D104" s="2"/>
      <c r="E104" s="30"/>
      <c r="F104" s="25">
        <v>995.43200000000002</v>
      </c>
      <c r="G104" s="26">
        <v>7.9000000000000008E-3</v>
      </c>
      <c r="H104" s="27"/>
      <c r="I104" s="28"/>
      <c r="J104" s="5"/>
    </row>
    <row r="105" spans="1:10" ht="12.95" customHeight="1">
      <c r="A105" s="5"/>
      <c r="B105" s="14" t="s">
        <v>164</v>
      </c>
      <c r="C105" s="15"/>
      <c r="D105" s="15"/>
      <c r="E105" s="15"/>
      <c r="F105" s="15"/>
      <c r="G105" s="15"/>
      <c r="H105" s="16"/>
      <c r="I105" s="17"/>
      <c r="J105" s="5"/>
    </row>
    <row r="106" spans="1:10" ht="12.95" customHeight="1">
      <c r="A106" s="18" t="s">
        <v>165</v>
      </c>
      <c r="B106" s="19" t="s">
        <v>166</v>
      </c>
      <c r="C106" s="15"/>
      <c r="D106" s="15"/>
      <c r="E106" s="20"/>
      <c r="F106" s="21">
        <v>156.14179999999999</v>
      </c>
      <c r="G106" s="22">
        <v>1.1999999999999999E-3</v>
      </c>
      <c r="H106" s="23">
        <v>6.7996760286340899E-2</v>
      </c>
      <c r="I106" s="24"/>
      <c r="J106" s="5"/>
    </row>
    <row r="107" spans="1:10" ht="12.95" customHeight="1">
      <c r="A107" s="5"/>
      <c r="B107" s="14" t="s">
        <v>160</v>
      </c>
      <c r="C107" s="15"/>
      <c r="D107" s="15"/>
      <c r="E107" s="15"/>
      <c r="F107" s="25">
        <v>156.14179999999999</v>
      </c>
      <c r="G107" s="26">
        <v>1.1999999999999999E-3</v>
      </c>
      <c r="H107" s="27"/>
      <c r="I107" s="28"/>
      <c r="J107" s="5"/>
    </row>
    <row r="108" spans="1:10" ht="12.95" customHeight="1">
      <c r="A108" s="5"/>
      <c r="B108" s="29" t="s">
        <v>163</v>
      </c>
      <c r="C108" s="30"/>
      <c r="D108" s="2"/>
      <c r="E108" s="30"/>
      <c r="F108" s="25">
        <v>156.14179999999999</v>
      </c>
      <c r="G108" s="26">
        <v>1.1999999999999999E-3</v>
      </c>
      <c r="H108" s="27"/>
      <c r="I108" s="28"/>
      <c r="J108" s="5"/>
    </row>
    <row r="109" spans="1:10" ht="12.95" customHeight="1">
      <c r="A109" s="5"/>
      <c r="B109" s="29" t="s">
        <v>167</v>
      </c>
      <c r="C109" s="15"/>
      <c r="D109" s="2"/>
      <c r="E109" s="15"/>
      <c r="F109" s="31">
        <v>434.95749999999998</v>
      </c>
      <c r="G109" s="26">
        <v>3.5000000000000001E-3</v>
      </c>
      <c r="H109" s="27"/>
      <c r="I109" s="28"/>
      <c r="J109" s="5"/>
    </row>
    <row r="110" spans="1:10" ht="12.95" customHeight="1">
      <c r="A110" s="5"/>
      <c r="B110" s="32" t="s">
        <v>168</v>
      </c>
      <c r="C110" s="33"/>
      <c r="D110" s="33"/>
      <c r="E110" s="33"/>
      <c r="F110" s="34">
        <v>125377.01</v>
      </c>
      <c r="G110" s="35">
        <v>1</v>
      </c>
      <c r="H110" s="36"/>
      <c r="I110" s="37"/>
      <c r="J110" s="5"/>
    </row>
    <row r="111" spans="1:10" ht="12.95" customHeight="1">
      <c r="A111" s="5"/>
      <c r="B111" s="7"/>
      <c r="C111" s="5"/>
      <c r="D111" s="5"/>
      <c r="E111" s="5"/>
      <c r="F111" s="5"/>
      <c r="G111" s="5"/>
      <c r="H111" s="5"/>
      <c r="I111" s="5"/>
      <c r="J111" s="5"/>
    </row>
    <row r="112" spans="1:10" ht="12.95" customHeight="1">
      <c r="A112" s="5"/>
      <c r="B112" s="4" t="s">
        <v>169</v>
      </c>
      <c r="C112" s="5"/>
      <c r="D112" s="5"/>
      <c r="E112" s="5"/>
      <c r="F112" s="5"/>
      <c r="G112" s="5"/>
      <c r="H112" s="5"/>
      <c r="I112" s="5"/>
      <c r="J112" s="5"/>
    </row>
    <row r="113" spans="1:10" ht="12.95" customHeight="1">
      <c r="A113" s="5"/>
      <c r="B113" s="4" t="s">
        <v>170</v>
      </c>
      <c r="C113" s="5"/>
      <c r="D113" s="5"/>
      <c r="E113" s="5"/>
      <c r="F113" s="5"/>
      <c r="G113" s="5"/>
      <c r="H113" s="5"/>
      <c r="I113" s="5"/>
      <c r="J113" s="5"/>
    </row>
    <row r="114" spans="1:10" ht="26.1" customHeight="1">
      <c r="A114" s="5"/>
      <c r="B114" s="86" t="s">
        <v>171</v>
      </c>
      <c r="C114" s="86"/>
      <c r="D114" s="86"/>
      <c r="E114" s="86"/>
      <c r="F114" s="86"/>
      <c r="G114" s="86"/>
      <c r="H114" s="86"/>
      <c r="I114" s="86"/>
      <c r="J114" s="5"/>
    </row>
    <row r="115" spans="1:10" ht="12.95" customHeight="1">
      <c r="A115" s="5"/>
      <c r="B115" s="86"/>
      <c r="C115" s="86"/>
      <c r="D115" s="86"/>
      <c r="E115" s="86"/>
      <c r="F115" s="86"/>
      <c r="G115" s="86"/>
      <c r="H115" s="86"/>
      <c r="I115" s="86"/>
      <c r="J115" s="5"/>
    </row>
    <row r="116" spans="1:10" ht="12.95" customHeight="1">
      <c r="A116" s="5"/>
      <c r="B116" s="86"/>
      <c r="C116" s="86"/>
      <c r="D116" s="86"/>
      <c r="E116" s="86"/>
      <c r="F116" s="86"/>
      <c r="G116" s="86"/>
      <c r="H116" s="86"/>
      <c r="I116" s="86"/>
      <c r="J116" s="5"/>
    </row>
    <row r="117" spans="1:10" ht="12.95" customHeight="1">
      <c r="A117" s="5"/>
      <c r="B117" s="5"/>
      <c r="C117" s="87" t="s">
        <v>422</v>
      </c>
      <c r="D117" s="87"/>
      <c r="E117" s="87"/>
      <c r="F117" s="87"/>
      <c r="G117" s="5"/>
      <c r="H117" s="5"/>
      <c r="I117" s="5"/>
      <c r="J117" s="5"/>
    </row>
    <row r="118" spans="1:10" ht="12.95" customHeight="1">
      <c r="A118" s="5"/>
      <c r="B118" s="38" t="s">
        <v>173</v>
      </c>
      <c r="C118" s="87" t="s">
        <v>174</v>
      </c>
      <c r="D118" s="87"/>
      <c r="E118" s="87"/>
      <c r="F118" s="87"/>
      <c r="G118" s="5"/>
      <c r="H118" s="5"/>
      <c r="I118" s="5"/>
      <c r="J118" s="5"/>
    </row>
    <row r="119" spans="1:10" ht="120.95" customHeight="1">
      <c r="A119" s="5"/>
      <c r="B119" s="39"/>
      <c r="C119" s="85"/>
      <c r="D119" s="85"/>
      <c r="E119" s="5"/>
      <c r="F119" s="5"/>
      <c r="G119" s="5"/>
      <c r="H119" s="5"/>
      <c r="I119" s="5"/>
      <c r="J119" s="5"/>
    </row>
  </sheetData>
  <mergeCells count="6">
    <mergeCell ref="C119:D119"/>
    <mergeCell ref="B114:I114"/>
    <mergeCell ref="B115:I115"/>
    <mergeCell ref="B116:I116"/>
    <mergeCell ref="C117:F117"/>
    <mergeCell ref="C118:F118"/>
  </mergeCells>
  <hyperlinks>
    <hyperlink ref="A1" location="AxisSpecialSituationsFund" display="AXISSSF" xr:uid="{00000000-0004-0000-3D00-000000000000}"/>
    <hyperlink ref="B1" location="AxisSpecialSituationsFund" display="Axis Special Situations Fund" xr:uid="{00000000-0004-0000-3D00-000001000000}"/>
  </hyperlinks>
  <pageMargins left="0" right="0" top="0" bottom="0" header="0" footer="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/>
  </sheetPr>
  <dimension ref="A1:J20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126</v>
      </c>
      <c r="B1" s="4" t="s">
        <v>127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409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953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3844</v>
      </c>
      <c r="B7" s="19" t="s">
        <v>3845</v>
      </c>
      <c r="C7" s="15"/>
      <c r="D7" s="15"/>
      <c r="E7" s="42"/>
      <c r="F7" s="21">
        <v>0</v>
      </c>
      <c r="G7" s="40" t="s">
        <v>675</v>
      </c>
      <c r="H7" s="40"/>
      <c r="I7" s="24"/>
      <c r="J7" s="5"/>
    </row>
    <row r="8" spans="1:10" ht="12.95" customHeight="1">
      <c r="A8" s="18" t="s">
        <v>3846</v>
      </c>
      <c r="B8" s="19" t="s">
        <v>955</v>
      </c>
      <c r="C8" s="15"/>
      <c r="D8" s="15"/>
      <c r="E8" s="42"/>
      <c r="F8" s="21">
        <v>0</v>
      </c>
      <c r="G8" s="40" t="s">
        <v>675</v>
      </c>
      <c r="H8" s="40"/>
      <c r="I8" s="24"/>
      <c r="J8" s="5"/>
    </row>
    <row r="9" spans="1:10" ht="12.95" customHeight="1">
      <c r="A9" s="18" t="s">
        <v>3847</v>
      </c>
      <c r="B9" s="19" t="s">
        <v>3848</v>
      </c>
      <c r="C9" s="15"/>
      <c r="D9" s="15"/>
      <c r="E9" s="42"/>
      <c r="F9" s="21">
        <v>-0.84</v>
      </c>
      <c r="G9" s="40" t="s">
        <v>675</v>
      </c>
      <c r="H9" s="40"/>
      <c r="I9" s="24"/>
      <c r="J9" s="5"/>
    </row>
    <row r="10" spans="1:10" ht="12.95" customHeight="1">
      <c r="A10" s="18" t="s">
        <v>3849</v>
      </c>
      <c r="B10" s="19" t="s">
        <v>3850</v>
      </c>
      <c r="C10" s="15"/>
      <c r="D10" s="15"/>
      <c r="E10" s="42"/>
      <c r="F10" s="21">
        <v>-1.49</v>
      </c>
      <c r="G10" s="40" t="s">
        <v>675</v>
      </c>
      <c r="H10" s="40"/>
      <c r="I10" s="24"/>
      <c r="J10" s="5"/>
    </row>
    <row r="11" spans="1:10" ht="12.95" customHeight="1">
      <c r="A11" s="18" t="s">
        <v>3851</v>
      </c>
      <c r="B11" s="19" t="s">
        <v>3852</v>
      </c>
      <c r="C11" s="15"/>
      <c r="D11" s="15"/>
      <c r="E11" s="42"/>
      <c r="F11" s="21">
        <v>-2.7349999999999999</v>
      </c>
      <c r="G11" s="40" t="s">
        <v>675</v>
      </c>
      <c r="H11" s="40"/>
      <c r="I11" s="24"/>
      <c r="J11" s="5"/>
    </row>
    <row r="12" spans="1:10" ht="12.95" customHeight="1">
      <c r="A12" s="18" t="s">
        <v>3853</v>
      </c>
      <c r="B12" s="19" t="s">
        <v>3854</v>
      </c>
      <c r="C12" s="15"/>
      <c r="D12" s="15"/>
      <c r="E12" s="42"/>
      <c r="F12" s="21">
        <v>-3.5150000000000001</v>
      </c>
      <c r="G12" s="40" t="s">
        <v>675</v>
      </c>
      <c r="H12" s="40"/>
      <c r="I12" s="24"/>
      <c r="J12" s="5"/>
    </row>
    <row r="13" spans="1:10" ht="12.95" customHeight="1">
      <c r="A13" s="18" t="s">
        <v>3855</v>
      </c>
      <c r="B13" s="19" t="s">
        <v>3856</v>
      </c>
      <c r="C13" s="15"/>
      <c r="D13" s="15"/>
      <c r="E13" s="42"/>
      <c r="F13" s="21">
        <v>-3.5150000000000001</v>
      </c>
      <c r="G13" s="40" t="s">
        <v>675</v>
      </c>
      <c r="H13" s="40"/>
      <c r="I13" s="24"/>
      <c r="J13" s="5"/>
    </row>
    <row r="14" spans="1:10" ht="12.95" customHeight="1">
      <c r="A14" s="18" t="s">
        <v>3857</v>
      </c>
      <c r="B14" s="19" t="s">
        <v>3858</v>
      </c>
      <c r="C14" s="15"/>
      <c r="D14" s="15"/>
      <c r="E14" s="42"/>
      <c r="F14" s="21">
        <v>-5.1449999999999996</v>
      </c>
      <c r="G14" s="40" t="s">
        <v>675</v>
      </c>
      <c r="H14" s="40"/>
      <c r="I14" s="24"/>
      <c r="J14" s="5"/>
    </row>
    <row r="15" spans="1:10" ht="12.95" customHeight="1">
      <c r="A15" s="18" t="s">
        <v>3859</v>
      </c>
      <c r="B15" s="19" t="s">
        <v>3860</v>
      </c>
      <c r="C15" s="15"/>
      <c r="D15" s="15"/>
      <c r="E15" s="42"/>
      <c r="F15" s="21">
        <v>-8.6814999999999998</v>
      </c>
      <c r="G15" s="40" t="s">
        <v>675</v>
      </c>
      <c r="H15" s="40"/>
      <c r="I15" s="24"/>
      <c r="J15" s="5"/>
    </row>
    <row r="16" spans="1:10" ht="12.95" customHeight="1">
      <c r="A16" s="18" t="s">
        <v>3861</v>
      </c>
      <c r="B16" s="19" t="s">
        <v>3862</v>
      </c>
      <c r="C16" s="15"/>
      <c r="D16" s="15"/>
      <c r="E16" s="42"/>
      <c r="F16" s="21">
        <v>-10.657500000000001</v>
      </c>
      <c r="G16" s="40" t="s">
        <v>675</v>
      </c>
      <c r="H16" s="40"/>
      <c r="I16" s="24"/>
      <c r="J16" s="5"/>
    </row>
    <row r="17" spans="1:10" ht="12.95" customHeight="1">
      <c r="A17" s="18" t="s">
        <v>3863</v>
      </c>
      <c r="B17" s="19" t="s">
        <v>3864</v>
      </c>
      <c r="C17" s="15"/>
      <c r="D17" s="15"/>
      <c r="E17" s="42"/>
      <c r="F17" s="21">
        <v>-12.205</v>
      </c>
      <c r="G17" s="40" t="s">
        <v>675</v>
      </c>
      <c r="H17" s="40"/>
      <c r="I17" s="24"/>
      <c r="J17" s="5"/>
    </row>
    <row r="18" spans="1:10" ht="12.95" customHeight="1">
      <c r="A18" s="18" t="s">
        <v>3865</v>
      </c>
      <c r="B18" s="19" t="s">
        <v>3866</v>
      </c>
      <c r="C18" s="15"/>
      <c r="D18" s="15"/>
      <c r="E18" s="42"/>
      <c r="F18" s="21">
        <v>-13.145</v>
      </c>
      <c r="G18" s="40" t="s">
        <v>675</v>
      </c>
      <c r="H18" s="40"/>
      <c r="I18" s="24"/>
      <c r="J18" s="5"/>
    </row>
    <row r="19" spans="1:10" ht="12.95" customHeight="1">
      <c r="A19" s="18" t="s">
        <v>3867</v>
      </c>
      <c r="B19" s="19" t="s">
        <v>3868</v>
      </c>
      <c r="C19" s="15"/>
      <c r="D19" s="15"/>
      <c r="E19" s="42"/>
      <c r="F19" s="21">
        <v>-15.54</v>
      </c>
      <c r="G19" s="40" t="s">
        <v>675</v>
      </c>
      <c r="H19" s="40"/>
      <c r="I19" s="24"/>
      <c r="J19" s="5"/>
    </row>
    <row r="20" spans="1:10" ht="12.95" customHeight="1">
      <c r="A20" s="18" t="s">
        <v>3869</v>
      </c>
      <c r="B20" s="19" t="s">
        <v>2571</v>
      </c>
      <c r="C20" s="15"/>
      <c r="D20" s="15"/>
      <c r="E20" s="42"/>
      <c r="F20" s="21">
        <v>-23.1325</v>
      </c>
      <c r="G20" s="40" t="s">
        <v>675</v>
      </c>
      <c r="H20" s="40"/>
      <c r="I20" s="24"/>
      <c r="J20" s="5"/>
    </row>
    <row r="21" spans="1:10" ht="12.95" customHeight="1">
      <c r="A21" s="18" t="s">
        <v>3870</v>
      </c>
      <c r="B21" s="19" t="s">
        <v>3871</v>
      </c>
      <c r="C21" s="15"/>
      <c r="D21" s="15"/>
      <c r="E21" s="42"/>
      <c r="F21" s="21">
        <v>-38.274999999999999</v>
      </c>
      <c r="G21" s="22">
        <v>-1E-4</v>
      </c>
      <c r="H21" s="40"/>
      <c r="I21" s="24"/>
      <c r="J21" s="5"/>
    </row>
    <row r="22" spans="1:10" ht="12.95" customHeight="1">
      <c r="A22" s="18" t="s">
        <v>3872</v>
      </c>
      <c r="B22" s="19" t="s">
        <v>3873</v>
      </c>
      <c r="C22" s="15"/>
      <c r="D22" s="15"/>
      <c r="E22" s="42"/>
      <c r="F22" s="21">
        <v>-38.33</v>
      </c>
      <c r="G22" s="22">
        <v>-1E-4</v>
      </c>
      <c r="H22" s="40"/>
      <c r="I22" s="24"/>
      <c r="J22" s="5"/>
    </row>
    <row r="23" spans="1:10" ht="12.95" customHeight="1">
      <c r="A23" s="18" t="s">
        <v>3874</v>
      </c>
      <c r="B23" s="19" t="s">
        <v>3875</v>
      </c>
      <c r="C23" s="15"/>
      <c r="D23" s="15"/>
      <c r="E23" s="42"/>
      <c r="F23" s="21">
        <v>-38.869999999999997</v>
      </c>
      <c r="G23" s="22">
        <v>-1E-4</v>
      </c>
      <c r="H23" s="40"/>
      <c r="I23" s="24"/>
      <c r="J23" s="5"/>
    </row>
    <row r="24" spans="1:10" ht="12.95" customHeight="1">
      <c r="A24" s="18" t="s">
        <v>3876</v>
      </c>
      <c r="B24" s="19" t="s">
        <v>3877</v>
      </c>
      <c r="C24" s="15"/>
      <c r="D24" s="15"/>
      <c r="E24" s="42"/>
      <c r="F24" s="21">
        <v>-65.748000000000005</v>
      </c>
      <c r="G24" s="22">
        <v>-1E-4</v>
      </c>
      <c r="H24" s="40"/>
      <c r="I24" s="24"/>
      <c r="J24" s="5"/>
    </row>
    <row r="25" spans="1:10" ht="12.95" customHeight="1">
      <c r="A25" s="5"/>
      <c r="B25" s="14" t="s">
        <v>160</v>
      </c>
      <c r="C25" s="15"/>
      <c r="D25" s="15"/>
      <c r="E25" s="15"/>
      <c r="F25" s="25">
        <f>SUM(F7:F24)</f>
        <v>-281.8245</v>
      </c>
      <c r="G25" s="26">
        <v>-4.0000000000000002E-4</v>
      </c>
      <c r="H25" s="27"/>
      <c r="I25" s="28"/>
      <c r="J25" s="5"/>
    </row>
    <row r="26" spans="1:10" ht="12.95" customHeight="1">
      <c r="A26" s="5"/>
      <c r="B26" s="29" t="s">
        <v>163</v>
      </c>
      <c r="C26" s="30"/>
      <c r="D26" s="2"/>
      <c r="E26" s="30"/>
      <c r="F26" s="25">
        <f>F25</f>
        <v>-281.8245</v>
      </c>
      <c r="G26" s="26">
        <v>-4.0000000000000002E-4</v>
      </c>
      <c r="H26" s="27"/>
      <c r="I26" s="28"/>
      <c r="J26" s="5"/>
    </row>
    <row r="27" spans="1:10" ht="12.95" customHeight="1">
      <c r="A27" s="5"/>
      <c r="B27" s="14" t="s">
        <v>151</v>
      </c>
      <c r="C27" s="15"/>
      <c r="D27" s="15"/>
      <c r="E27" s="15"/>
      <c r="F27" s="15"/>
      <c r="G27" s="15"/>
      <c r="H27" s="16"/>
      <c r="I27" s="17"/>
      <c r="J27" s="5"/>
    </row>
    <row r="28" spans="1:10" ht="12.95" customHeight="1">
      <c r="A28" s="5"/>
      <c r="B28" s="14" t="s">
        <v>152</v>
      </c>
      <c r="C28" s="15"/>
      <c r="D28" s="15"/>
      <c r="E28" s="15"/>
      <c r="F28" s="5"/>
      <c r="G28" s="16"/>
      <c r="H28" s="16"/>
      <c r="I28" s="17"/>
      <c r="J28" s="5"/>
    </row>
    <row r="29" spans="1:10" ht="12.95" customHeight="1">
      <c r="A29" s="18" t="s">
        <v>911</v>
      </c>
      <c r="B29" s="19" t="s">
        <v>912</v>
      </c>
      <c r="C29" s="15" t="s">
        <v>913</v>
      </c>
      <c r="D29" s="15" t="s">
        <v>156</v>
      </c>
      <c r="E29" s="20">
        <v>65500000</v>
      </c>
      <c r="F29" s="21">
        <v>65066.521000000001</v>
      </c>
      <c r="G29" s="22">
        <v>8.8300000000000003E-2</v>
      </c>
      <c r="H29" s="23">
        <v>7.3640999999999998E-2</v>
      </c>
      <c r="I29" s="24"/>
      <c r="J29" s="5"/>
    </row>
    <row r="30" spans="1:10" ht="12.95" customHeight="1">
      <c r="A30" s="18" t="s">
        <v>896</v>
      </c>
      <c r="B30" s="19" t="s">
        <v>897</v>
      </c>
      <c r="C30" s="15" t="s">
        <v>898</v>
      </c>
      <c r="D30" s="15" t="s">
        <v>156</v>
      </c>
      <c r="E30" s="20">
        <v>44134600</v>
      </c>
      <c r="F30" s="21">
        <v>44323.142999999996</v>
      </c>
      <c r="G30" s="22">
        <v>6.0199999999999997E-2</v>
      </c>
      <c r="H30" s="23">
        <v>7.3730000000000004E-2</v>
      </c>
      <c r="I30" s="24"/>
      <c r="J30" s="5"/>
    </row>
    <row r="31" spans="1:10" ht="12.95" customHeight="1">
      <c r="A31" s="18" t="s">
        <v>974</v>
      </c>
      <c r="B31" s="19" t="s">
        <v>975</v>
      </c>
      <c r="C31" s="15" t="s">
        <v>976</v>
      </c>
      <c r="D31" s="15" t="s">
        <v>156</v>
      </c>
      <c r="E31" s="20">
        <v>37162000</v>
      </c>
      <c r="F31" s="21">
        <v>37891.341399999998</v>
      </c>
      <c r="G31" s="22">
        <v>5.1400000000000001E-2</v>
      </c>
      <c r="H31" s="23"/>
      <c r="I31" s="24"/>
      <c r="J31" s="5"/>
    </row>
    <row r="32" spans="1:10" ht="12.95" customHeight="1">
      <c r="A32" s="18" t="s">
        <v>977</v>
      </c>
      <c r="B32" s="19" t="s">
        <v>978</v>
      </c>
      <c r="C32" s="15" t="s">
        <v>979</v>
      </c>
      <c r="D32" s="15" t="s">
        <v>156</v>
      </c>
      <c r="E32" s="20">
        <v>34000000</v>
      </c>
      <c r="F32" s="21">
        <v>33864.408000000003</v>
      </c>
      <c r="G32" s="22">
        <v>4.5999999999999999E-2</v>
      </c>
      <c r="H32" s="23">
        <v>7.3778999999999997E-2</v>
      </c>
      <c r="I32" s="24"/>
      <c r="J32" s="5"/>
    </row>
    <row r="33" spans="1:10" ht="12.95" customHeight="1">
      <c r="A33" s="18" t="s">
        <v>1001</v>
      </c>
      <c r="B33" s="19" t="s">
        <v>1002</v>
      </c>
      <c r="C33" s="15" t="s">
        <v>1003</v>
      </c>
      <c r="D33" s="15" t="s">
        <v>179</v>
      </c>
      <c r="E33" s="20">
        <v>2150</v>
      </c>
      <c r="F33" s="21">
        <v>21483.401999999998</v>
      </c>
      <c r="G33" s="22">
        <v>2.92E-2</v>
      </c>
      <c r="H33" s="23">
        <v>7.8639000000000001E-2</v>
      </c>
      <c r="I33" s="24"/>
      <c r="J33" s="5"/>
    </row>
    <row r="34" spans="1:10" ht="12.95" customHeight="1">
      <c r="A34" s="18" t="s">
        <v>457</v>
      </c>
      <c r="B34" s="19" t="s">
        <v>458</v>
      </c>
      <c r="C34" s="15" t="s">
        <v>459</v>
      </c>
      <c r="D34" s="15" t="s">
        <v>179</v>
      </c>
      <c r="E34" s="20">
        <v>1600</v>
      </c>
      <c r="F34" s="21">
        <v>15310.031999999999</v>
      </c>
      <c r="G34" s="22">
        <v>2.0799999999999999E-2</v>
      </c>
      <c r="H34" s="23">
        <v>6.6114500000000007E-2</v>
      </c>
      <c r="I34" s="41">
        <v>8.1783165000000005E-2</v>
      </c>
      <c r="J34" s="5"/>
    </row>
    <row r="35" spans="1:10" ht="12.95" customHeight="1">
      <c r="A35" s="18" t="s">
        <v>3878</v>
      </c>
      <c r="B35" s="19" t="s">
        <v>3879</v>
      </c>
      <c r="C35" s="15" t="s">
        <v>3880</v>
      </c>
      <c r="D35" s="15" t="s">
        <v>1654</v>
      </c>
      <c r="E35" s="20">
        <v>1500</v>
      </c>
      <c r="F35" s="21">
        <v>15007.605</v>
      </c>
      <c r="G35" s="22">
        <v>2.0400000000000001E-2</v>
      </c>
      <c r="H35" s="23">
        <v>8.64235E-2</v>
      </c>
      <c r="I35" s="41"/>
      <c r="J35" s="5"/>
    </row>
    <row r="36" spans="1:10" ht="12.95" customHeight="1">
      <c r="A36" s="18" t="s">
        <v>1655</v>
      </c>
      <c r="B36" s="19" t="s">
        <v>1656</v>
      </c>
      <c r="C36" s="15" t="s">
        <v>1657</v>
      </c>
      <c r="D36" s="15" t="s">
        <v>156</v>
      </c>
      <c r="E36" s="20">
        <v>14650000</v>
      </c>
      <c r="F36" s="21">
        <v>14661.353800000001</v>
      </c>
      <c r="G36" s="22">
        <v>1.9900000000000001E-2</v>
      </c>
      <c r="H36" s="23">
        <v>7.3776999999999995E-2</v>
      </c>
      <c r="I36" s="41"/>
      <c r="J36" s="5"/>
    </row>
    <row r="37" spans="1:10" ht="12.95" customHeight="1">
      <c r="A37" s="18" t="s">
        <v>1059</v>
      </c>
      <c r="B37" s="19" t="s">
        <v>1060</v>
      </c>
      <c r="C37" s="15" t="s">
        <v>1061</v>
      </c>
      <c r="D37" s="15" t="s">
        <v>432</v>
      </c>
      <c r="E37" s="20">
        <v>1450</v>
      </c>
      <c r="F37" s="21">
        <v>14511.4985</v>
      </c>
      <c r="G37" s="22">
        <v>1.9699999999999999E-2</v>
      </c>
      <c r="H37" s="23">
        <v>7.7062000000000005E-2</v>
      </c>
      <c r="I37" s="41"/>
      <c r="J37" s="5"/>
    </row>
    <row r="38" spans="1:10" ht="12.95" customHeight="1">
      <c r="A38" s="18" t="s">
        <v>3881</v>
      </c>
      <c r="B38" s="19" t="s">
        <v>3882</v>
      </c>
      <c r="C38" s="15" t="s">
        <v>3883</v>
      </c>
      <c r="D38" s="15" t="s">
        <v>3884</v>
      </c>
      <c r="E38" s="20">
        <v>1400</v>
      </c>
      <c r="F38" s="21">
        <v>13876.701999999999</v>
      </c>
      <c r="G38" s="22">
        <v>1.8800000000000001E-2</v>
      </c>
      <c r="H38" s="23">
        <v>7.9299999999999995E-2</v>
      </c>
      <c r="I38" s="41"/>
      <c r="J38" s="5"/>
    </row>
    <row r="39" spans="1:10" ht="12.95" customHeight="1">
      <c r="A39" s="18" t="s">
        <v>2597</v>
      </c>
      <c r="B39" s="19" t="s">
        <v>2598</v>
      </c>
      <c r="C39" s="15" t="s">
        <v>2599</v>
      </c>
      <c r="D39" s="15" t="s">
        <v>1654</v>
      </c>
      <c r="E39" s="20">
        <v>1250</v>
      </c>
      <c r="F39" s="21">
        <v>12522.05</v>
      </c>
      <c r="G39" s="22">
        <v>1.7000000000000001E-2</v>
      </c>
      <c r="H39" s="23">
        <v>8.4900000000000003E-2</v>
      </c>
      <c r="I39" s="41"/>
      <c r="J39" s="5"/>
    </row>
    <row r="40" spans="1:10" ht="12.95" customHeight="1">
      <c r="A40" s="18" t="s">
        <v>558</v>
      </c>
      <c r="B40" s="19" t="s">
        <v>559</v>
      </c>
      <c r="C40" s="15" t="s">
        <v>560</v>
      </c>
      <c r="D40" s="15" t="s">
        <v>432</v>
      </c>
      <c r="E40" s="20">
        <v>12500</v>
      </c>
      <c r="F40" s="21">
        <v>12460.7</v>
      </c>
      <c r="G40" s="22">
        <v>1.6899999999999998E-2</v>
      </c>
      <c r="H40" s="23">
        <v>7.9049999999999995E-2</v>
      </c>
      <c r="I40" s="41"/>
      <c r="J40" s="5"/>
    </row>
    <row r="41" spans="1:10" ht="12.95" customHeight="1">
      <c r="A41" s="18" t="s">
        <v>3885</v>
      </c>
      <c r="B41" s="19" t="s">
        <v>3886</v>
      </c>
      <c r="C41" s="15" t="s">
        <v>3887</v>
      </c>
      <c r="D41" s="15" t="s">
        <v>179</v>
      </c>
      <c r="E41" s="20">
        <v>1250</v>
      </c>
      <c r="F41" s="21">
        <v>12450.45</v>
      </c>
      <c r="G41" s="22">
        <v>1.6899999999999998E-2</v>
      </c>
      <c r="H41" s="23">
        <v>7.8850000000000003E-2</v>
      </c>
      <c r="I41" s="41"/>
      <c r="J41" s="5"/>
    </row>
    <row r="42" spans="1:10" ht="12.95" customHeight="1">
      <c r="A42" s="18" t="s">
        <v>3888</v>
      </c>
      <c r="B42" s="19" t="s">
        <v>3889</v>
      </c>
      <c r="C42" s="15" t="s">
        <v>3890</v>
      </c>
      <c r="D42" s="15" t="s">
        <v>179</v>
      </c>
      <c r="E42" s="20">
        <v>1250</v>
      </c>
      <c r="F42" s="21">
        <v>12446.637500000001</v>
      </c>
      <c r="G42" s="22">
        <v>1.6899999999999998E-2</v>
      </c>
      <c r="H42" s="23">
        <v>7.6926999999999995E-2</v>
      </c>
      <c r="I42" s="41"/>
      <c r="J42" s="5"/>
    </row>
    <row r="43" spans="1:10" ht="12.95" customHeight="1">
      <c r="A43" s="18" t="s">
        <v>2618</v>
      </c>
      <c r="B43" s="19" t="s">
        <v>2619</v>
      </c>
      <c r="C43" s="15" t="s">
        <v>2620</v>
      </c>
      <c r="D43" s="15" t="s">
        <v>2621</v>
      </c>
      <c r="E43" s="20">
        <v>12500</v>
      </c>
      <c r="F43" s="21">
        <v>12434.174999999999</v>
      </c>
      <c r="G43" s="22">
        <v>1.6899999999999998E-2</v>
      </c>
      <c r="H43" s="23">
        <v>8.3464999999999998E-2</v>
      </c>
      <c r="I43" s="41"/>
      <c r="J43" s="5"/>
    </row>
    <row r="44" spans="1:10" ht="12.95" customHeight="1">
      <c r="A44" s="18" t="s">
        <v>478</v>
      </c>
      <c r="B44" s="19" t="s">
        <v>479</v>
      </c>
      <c r="C44" s="15" t="s">
        <v>480</v>
      </c>
      <c r="D44" s="15" t="s">
        <v>179</v>
      </c>
      <c r="E44" s="20">
        <v>1250</v>
      </c>
      <c r="F44" s="21">
        <v>12393.9625</v>
      </c>
      <c r="G44" s="22">
        <v>1.6799999999999999E-2</v>
      </c>
      <c r="H44" s="23">
        <v>7.6200000000000004E-2</v>
      </c>
      <c r="I44" s="41"/>
      <c r="J44" s="5"/>
    </row>
    <row r="45" spans="1:10" ht="12.95" customHeight="1">
      <c r="A45" s="18" t="s">
        <v>992</v>
      </c>
      <c r="B45" s="19" t="s">
        <v>993</v>
      </c>
      <c r="C45" s="15" t="s">
        <v>994</v>
      </c>
      <c r="D45" s="15" t="s">
        <v>179</v>
      </c>
      <c r="E45" s="20">
        <v>10000</v>
      </c>
      <c r="F45" s="21">
        <v>10103.129999999999</v>
      </c>
      <c r="G45" s="22">
        <v>1.37E-2</v>
      </c>
      <c r="H45" s="23">
        <v>7.8E-2</v>
      </c>
      <c r="I45" s="41"/>
      <c r="J45" s="5"/>
    </row>
    <row r="46" spans="1:10" ht="12.95" customHeight="1">
      <c r="A46" s="18" t="s">
        <v>466</v>
      </c>
      <c r="B46" s="19" t="s">
        <v>467</v>
      </c>
      <c r="C46" s="15" t="s">
        <v>468</v>
      </c>
      <c r="D46" s="15" t="s">
        <v>179</v>
      </c>
      <c r="E46" s="20">
        <v>1000</v>
      </c>
      <c r="F46" s="21">
        <v>9992.01</v>
      </c>
      <c r="G46" s="22">
        <v>1.3599999999999999E-2</v>
      </c>
      <c r="H46" s="23">
        <v>7.5999999999999998E-2</v>
      </c>
      <c r="I46" s="41"/>
      <c r="J46" s="5"/>
    </row>
    <row r="47" spans="1:10" ht="12.95" customHeight="1">
      <c r="A47" s="18" t="s">
        <v>496</v>
      </c>
      <c r="B47" s="19" t="s">
        <v>497</v>
      </c>
      <c r="C47" s="15" t="s">
        <v>498</v>
      </c>
      <c r="D47" s="15" t="s">
        <v>179</v>
      </c>
      <c r="E47" s="20">
        <v>950</v>
      </c>
      <c r="F47" s="21">
        <v>9439.3330000000005</v>
      </c>
      <c r="G47" s="22">
        <v>1.2800000000000001E-2</v>
      </c>
      <c r="H47" s="23">
        <v>7.6799999999999993E-2</v>
      </c>
      <c r="I47" s="41"/>
      <c r="J47" s="5"/>
    </row>
    <row r="48" spans="1:10" ht="12.95" customHeight="1">
      <c r="A48" s="18" t="s">
        <v>153</v>
      </c>
      <c r="B48" s="19" t="s">
        <v>154</v>
      </c>
      <c r="C48" s="15" t="s">
        <v>155</v>
      </c>
      <c r="D48" s="15" t="s">
        <v>156</v>
      </c>
      <c r="E48" s="20">
        <v>11263000</v>
      </c>
      <c r="F48" s="21">
        <v>9438.7543999999998</v>
      </c>
      <c r="G48" s="22">
        <v>1.2800000000000001E-2</v>
      </c>
      <c r="H48" s="23">
        <v>7.4263999999999997E-2</v>
      </c>
      <c r="I48" s="41"/>
      <c r="J48" s="5"/>
    </row>
    <row r="49" spans="1:10" ht="12.95" customHeight="1">
      <c r="A49" s="18" t="s">
        <v>645</v>
      </c>
      <c r="B49" s="19" t="s">
        <v>646</v>
      </c>
      <c r="C49" s="15" t="s">
        <v>647</v>
      </c>
      <c r="D49" s="15" t="s">
        <v>179</v>
      </c>
      <c r="E49" s="20">
        <v>7500</v>
      </c>
      <c r="F49" s="21">
        <v>7554.7950000000001</v>
      </c>
      <c r="G49" s="22">
        <v>1.03E-2</v>
      </c>
      <c r="H49" s="23">
        <v>7.9200000000000007E-2</v>
      </c>
      <c r="I49" s="41"/>
      <c r="J49" s="5"/>
    </row>
    <row r="50" spans="1:10" ht="12.95" customHeight="1">
      <c r="A50" s="18" t="s">
        <v>1028</v>
      </c>
      <c r="B50" s="19" t="s">
        <v>1029</v>
      </c>
      <c r="C50" s="15" t="s">
        <v>1030</v>
      </c>
      <c r="D50" s="15" t="s">
        <v>179</v>
      </c>
      <c r="E50" s="20">
        <v>7500</v>
      </c>
      <c r="F50" s="21">
        <v>7160.0174999999999</v>
      </c>
      <c r="G50" s="22">
        <v>9.7000000000000003E-3</v>
      </c>
      <c r="H50" s="23">
        <v>7.4700000000000003E-2</v>
      </c>
      <c r="I50" s="41"/>
      <c r="J50" s="5"/>
    </row>
    <row r="51" spans="1:10" ht="12.95" customHeight="1">
      <c r="A51" s="18" t="s">
        <v>3891</v>
      </c>
      <c r="B51" s="19" t="s">
        <v>3892</v>
      </c>
      <c r="C51" s="15" t="s">
        <v>3893</v>
      </c>
      <c r="D51" s="15" t="s">
        <v>156</v>
      </c>
      <c r="E51" s="20">
        <v>8243200</v>
      </c>
      <c r="F51" s="21">
        <v>7036.8653999999997</v>
      </c>
      <c r="G51" s="22">
        <v>9.5999999999999992E-3</v>
      </c>
      <c r="H51" s="23">
        <v>7.4279999999999999E-2</v>
      </c>
      <c r="I51" s="41"/>
      <c r="J51" s="5"/>
    </row>
    <row r="52" spans="1:10" ht="12.95" customHeight="1">
      <c r="A52" s="18" t="s">
        <v>986</v>
      </c>
      <c r="B52" s="19" t="s">
        <v>987</v>
      </c>
      <c r="C52" s="15" t="s">
        <v>988</v>
      </c>
      <c r="D52" s="15" t="s">
        <v>156</v>
      </c>
      <c r="E52" s="20">
        <v>7000000</v>
      </c>
      <c r="F52" s="21">
        <v>6991.0190000000002</v>
      </c>
      <c r="G52" s="22">
        <v>9.4999999999999998E-3</v>
      </c>
      <c r="H52" s="23"/>
      <c r="I52" s="41"/>
      <c r="J52" s="5"/>
    </row>
    <row r="53" spans="1:10" ht="12.95" customHeight="1">
      <c r="A53" s="18" t="s">
        <v>2635</v>
      </c>
      <c r="B53" s="19" t="s">
        <v>2636</v>
      </c>
      <c r="C53" s="15" t="s">
        <v>2637</v>
      </c>
      <c r="D53" s="15" t="s">
        <v>179</v>
      </c>
      <c r="E53" s="20">
        <v>7000</v>
      </c>
      <c r="F53" s="21">
        <v>6963.53</v>
      </c>
      <c r="G53" s="22">
        <v>9.4999999999999998E-3</v>
      </c>
      <c r="H53" s="23">
        <v>8.3250000000000005E-2</v>
      </c>
      <c r="I53" s="41"/>
      <c r="J53" s="5"/>
    </row>
    <row r="54" spans="1:10" ht="12.95" customHeight="1">
      <c r="A54" s="18" t="s">
        <v>3894</v>
      </c>
      <c r="B54" s="19" t="s">
        <v>3895</v>
      </c>
      <c r="C54" s="15" t="s">
        <v>3896</v>
      </c>
      <c r="D54" s="15" t="s">
        <v>432</v>
      </c>
      <c r="E54" s="20">
        <v>650</v>
      </c>
      <c r="F54" s="21">
        <v>6495.8464999999997</v>
      </c>
      <c r="G54" s="22">
        <v>8.8000000000000005E-3</v>
      </c>
      <c r="H54" s="23">
        <v>7.9100000000000004E-2</v>
      </c>
      <c r="I54" s="41"/>
      <c r="J54" s="5"/>
    </row>
    <row r="55" spans="1:10" ht="12.95" customHeight="1">
      <c r="A55" s="18" t="s">
        <v>3897</v>
      </c>
      <c r="B55" s="19" t="s">
        <v>3898</v>
      </c>
      <c r="C55" s="15" t="s">
        <v>3899</v>
      </c>
      <c r="D55" s="15" t="s">
        <v>1670</v>
      </c>
      <c r="E55" s="20">
        <v>650</v>
      </c>
      <c r="F55" s="21">
        <v>6416.5725000000002</v>
      </c>
      <c r="G55" s="22">
        <v>8.6999999999999994E-3</v>
      </c>
      <c r="H55" s="23">
        <v>8.6499999999999994E-2</v>
      </c>
      <c r="I55" s="41"/>
      <c r="J55" s="5"/>
    </row>
    <row r="56" spans="1:10" ht="12.95" customHeight="1">
      <c r="A56" s="18" t="s">
        <v>1041</v>
      </c>
      <c r="B56" s="19" t="s">
        <v>1042</v>
      </c>
      <c r="C56" s="15" t="s">
        <v>1043</v>
      </c>
      <c r="D56" s="15" t="s">
        <v>432</v>
      </c>
      <c r="E56" s="20">
        <v>6000</v>
      </c>
      <c r="F56" s="21">
        <v>6002.8019999999997</v>
      </c>
      <c r="G56" s="22">
        <v>8.0999999999999996E-3</v>
      </c>
      <c r="H56" s="23">
        <v>7.9100000000000004E-2</v>
      </c>
      <c r="I56" s="41"/>
      <c r="J56" s="5"/>
    </row>
    <row r="57" spans="1:10" ht="12.95" customHeight="1">
      <c r="A57" s="18" t="s">
        <v>3900</v>
      </c>
      <c r="B57" s="19" t="s">
        <v>3901</v>
      </c>
      <c r="C57" s="15" t="s">
        <v>3902</v>
      </c>
      <c r="D57" s="15" t="s">
        <v>432</v>
      </c>
      <c r="E57" s="20">
        <v>5500</v>
      </c>
      <c r="F57" s="21">
        <v>5523.9634999999998</v>
      </c>
      <c r="G57" s="22">
        <v>7.4999999999999997E-3</v>
      </c>
      <c r="H57" s="23">
        <v>8.0600000000000005E-2</v>
      </c>
      <c r="I57" s="41"/>
      <c r="J57" s="5"/>
    </row>
    <row r="58" spans="1:10" ht="12.95" customHeight="1">
      <c r="A58" s="18" t="s">
        <v>2594</v>
      </c>
      <c r="B58" s="19" t="s">
        <v>2595</v>
      </c>
      <c r="C58" s="15" t="s">
        <v>2596</v>
      </c>
      <c r="D58" s="15" t="s">
        <v>179</v>
      </c>
      <c r="E58" s="20">
        <v>5500</v>
      </c>
      <c r="F58" s="21">
        <v>5455.4775</v>
      </c>
      <c r="G58" s="22">
        <v>7.4000000000000003E-3</v>
      </c>
      <c r="H58" s="23">
        <v>8.3299999999999999E-2</v>
      </c>
      <c r="I58" s="41"/>
      <c r="J58" s="5"/>
    </row>
    <row r="59" spans="1:10" ht="12.95" customHeight="1">
      <c r="A59" s="18" t="s">
        <v>1035</v>
      </c>
      <c r="B59" s="19" t="s">
        <v>1036</v>
      </c>
      <c r="C59" s="15" t="s">
        <v>1037</v>
      </c>
      <c r="D59" s="15" t="s">
        <v>179</v>
      </c>
      <c r="E59" s="20">
        <v>500</v>
      </c>
      <c r="F59" s="21">
        <v>5346.7749999999996</v>
      </c>
      <c r="G59" s="22">
        <v>7.3000000000000001E-3</v>
      </c>
      <c r="H59" s="23">
        <v>7.9350000000000004E-2</v>
      </c>
      <c r="I59" s="41"/>
      <c r="J59" s="5"/>
    </row>
    <row r="60" spans="1:10" ht="12.95" customHeight="1">
      <c r="A60" s="18" t="s">
        <v>3903</v>
      </c>
      <c r="B60" s="19" t="s">
        <v>3904</v>
      </c>
      <c r="C60" s="15" t="s">
        <v>3905</v>
      </c>
      <c r="D60" s="15" t="s">
        <v>1654</v>
      </c>
      <c r="E60" s="20">
        <v>500</v>
      </c>
      <c r="F60" s="21">
        <v>5003.3450000000003</v>
      </c>
      <c r="G60" s="22">
        <v>6.7999999999999996E-3</v>
      </c>
      <c r="H60" s="23">
        <v>8.4900000000000003E-2</v>
      </c>
      <c r="I60" s="41"/>
      <c r="J60" s="5"/>
    </row>
    <row r="61" spans="1:10" ht="12.95" customHeight="1">
      <c r="A61" s="18" t="s">
        <v>3906</v>
      </c>
      <c r="B61" s="19" t="s">
        <v>3907</v>
      </c>
      <c r="C61" s="15" t="s">
        <v>3908</v>
      </c>
      <c r="D61" s="15" t="s">
        <v>179</v>
      </c>
      <c r="E61" s="20">
        <v>50</v>
      </c>
      <c r="F61" s="21">
        <v>5001.1350000000002</v>
      </c>
      <c r="G61" s="22">
        <v>6.7999999999999996E-3</v>
      </c>
      <c r="H61" s="23">
        <v>7.8287999999999996E-2</v>
      </c>
      <c r="I61" s="41"/>
      <c r="J61" s="5"/>
    </row>
    <row r="62" spans="1:10" ht="12.95" customHeight="1">
      <c r="A62" s="18" t="s">
        <v>3909</v>
      </c>
      <c r="B62" s="19" t="s">
        <v>3910</v>
      </c>
      <c r="C62" s="15" t="s">
        <v>3911</v>
      </c>
      <c r="D62" s="15" t="s">
        <v>2621</v>
      </c>
      <c r="E62" s="20">
        <v>5000</v>
      </c>
      <c r="F62" s="21">
        <v>4996.33</v>
      </c>
      <c r="G62" s="22">
        <v>6.7999999999999996E-3</v>
      </c>
      <c r="H62" s="23">
        <v>8.1850000000000006E-2</v>
      </c>
      <c r="I62" s="41"/>
      <c r="J62" s="5"/>
    </row>
    <row r="63" spans="1:10" ht="12.95" customHeight="1">
      <c r="A63" s="18" t="s">
        <v>3912</v>
      </c>
      <c r="B63" s="19" t="s">
        <v>3913</v>
      </c>
      <c r="C63" s="15" t="s">
        <v>3914</v>
      </c>
      <c r="D63" s="15" t="s">
        <v>179</v>
      </c>
      <c r="E63" s="20">
        <v>500</v>
      </c>
      <c r="F63" s="21">
        <v>4989.8850000000002</v>
      </c>
      <c r="G63" s="22">
        <v>6.7999999999999996E-3</v>
      </c>
      <c r="H63" s="23">
        <v>8.0222000000000002E-2</v>
      </c>
      <c r="I63" s="41">
        <v>8.1116226E-2</v>
      </c>
      <c r="J63" s="5"/>
    </row>
    <row r="64" spans="1:10" ht="12.95" customHeight="1">
      <c r="A64" s="18" t="s">
        <v>995</v>
      </c>
      <c r="B64" s="19" t="s">
        <v>996</v>
      </c>
      <c r="C64" s="15" t="s">
        <v>997</v>
      </c>
      <c r="D64" s="15" t="s">
        <v>179</v>
      </c>
      <c r="E64" s="20">
        <v>5000</v>
      </c>
      <c r="F64" s="21">
        <v>4984.8500000000004</v>
      </c>
      <c r="G64" s="22">
        <v>6.7999999999999996E-3</v>
      </c>
      <c r="H64" s="23">
        <v>7.6858999999999997E-2</v>
      </c>
      <c r="I64" s="41"/>
      <c r="J64" s="5"/>
    </row>
    <row r="65" spans="1:10" ht="12.95" customHeight="1">
      <c r="A65" s="18" t="s">
        <v>3915</v>
      </c>
      <c r="B65" s="19" t="s">
        <v>3916</v>
      </c>
      <c r="C65" s="15" t="s">
        <v>3917</v>
      </c>
      <c r="D65" s="15" t="s">
        <v>179</v>
      </c>
      <c r="E65" s="20">
        <v>5000</v>
      </c>
      <c r="F65" s="21">
        <v>4980.7349999999997</v>
      </c>
      <c r="G65" s="22">
        <v>6.7999999999999996E-3</v>
      </c>
      <c r="H65" s="23">
        <v>7.6600000000000001E-2</v>
      </c>
      <c r="I65" s="41"/>
      <c r="J65" s="5"/>
    </row>
    <row r="66" spans="1:10" ht="12.95" customHeight="1">
      <c r="A66" s="18" t="s">
        <v>3918</v>
      </c>
      <c r="B66" s="19" t="s">
        <v>3919</v>
      </c>
      <c r="C66" s="15" t="s">
        <v>3920</v>
      </c>
      <c r="D66" s="15" t="s">
        <v>179</v>
      </c>
      <c r="E66" s="20">
        <v>500</v>
      </c>
      <c r="F66" s="21">
        <v>4979.63</v>
      </c>
      <c r="G66" s="22">
        <v>6.7999999999999996E-3</v>
      </c>
      <c r="H66" s="23">
        <v>7.7350000000000002E-2</v>
      </c>
      <c r="I66" s="41"/>
      <c r="J66" s="5"/>
    </row>
    <row r="67" spans="1:10" ht="12.95" customHeight="1">
      <c r="A67" s="18" t="s">
        <v>532</v>
      </c>
      <c r="B67" s="19" t="s">
        <v>533</v>
      </c>
      <c r="C67" s="15" t="s">
        <v>534</v>
      </c>
      <c r="D67" s="15" t="s">
        <v>179</v>
      </c>
      <c r="E67" s="20">
        <v>5000</v>
      </c>
      <c r="F67" s="21">
        <v>4972.6750000000002</v>
      </c>
      <c r="G67" s="22">
        <v>6.7999999999999996E-3</v>
      </c>
      <c r="H67" s="23">
        <v>7.6999999999999999E-2</v>
      </c>
      <c r="I67" s="41"/>
      <c r="J67" s="5"/>
    </row>
    <row r="68" spans="1:10" ht="12.95" customHeight="1">
      <c r="A68" s="18" t="s">
        <v>490</v>
      </c>
      <c r="B68" s="19" t="s">
        <v>491</v>
      </c>
      <c r="C68" s="15" t="s">
        <v>492</v>
      </c>
      <c r="D68" s="15" t="s">
        <v>432</v>
      </c>
      <c r="E68" s="20">
        <v>500</v>
      </c>
      <c r="F68" s="21">
        <v>4953.75</v>
      </c>
      <c r="G68" s="22">
        <v>6.7000000000000002E-3</v>
      </c>
      <c r="H68" s="23">
        <v>7.6912999999999995E-2</v>
      </c>
      <c r="I68" s="41"/>
      <c r="J68" s="5"/>
    </row>
    <row r="69" spans="1:10" ht="12.95" customHeight="1">
      <c r="A69" s="18" t="s">
        <v>2676</v>
      </c>
      <c r="B69" s="19" t="s">
        <v>2677</v>
      </c>
      <c r="C69" s="15" t="s">
        <v>2678</v>
      </c>
      <c r="D69" s="15" t="s">
        <v>179</v>
      </c>
      <c r="E69" s="20">
        <v>500</v>
      </c>
      <c r="F69" s="21">
        <v>4933.2049999999999</v>
      </c>
      <c r="G69" s="22">
        <v>6.7000000000000002E-3</v>
      </c>
      <c r="H69" s="23">
        <v>8.2160999999999998E-2</v>
      </c>
      <c r="I69" s="41"/>
      <c r="J69" s="5"/>
    </row>
    <row r="70" spans="1:10" ht="12.95" customHeight="1">
      <c r="A70" s="18" t="s">
        <v>1025</v>
      </c>
      <c r="B70" s="19" t="s">
        <v>1026</v>
      </c>
      <c r="C70" s="15" t="s">
        <v>1027</v>
      </c>
      <c r="D70" s="15" t="s">
        <v>179</v>
      </c>
      <c r="E70" s="20">
        <v>5000</v>
      </c>
      <c r="F70" s="21">
        <v>4922.1149999999998</v>
      </c>
      <c r="G70" s="22">
        <v>6.7000000000000002E-3</v>
      </c>
      <c r="H70" s="23">
        <v>7.4700000000000003E-2</v>
      </c>
      <c r="I70" s="41"/>
      <c r="J70" s="5"/>
    </row>
    <row r="71" spans="1:10" ht="12.95" customHeight="1">
      <c r="A71" s="18" t="s">
        <v>1110</v>
      </c>
      <c r="B71" s="19" t="s">
        <v>1111</v>
      </c>
      <c r="C71" s="15" t="s">
        <v>1112</v>
      </c>
      <c r="D71" s="15" t="s">
        <v>179</v>
      </c>
      <c r="E71" s="20">
        <v>500</v>
      </c>
      <c r="F71" s="21">
        <v>4888.99</v>
      </c>
      <c r="G71" s="22">
        <v>6.6E-3</v>
      </c>
      <c r="H71" s="23">
        <v>8.1847000000000003E-2</v>
      </c>
      <c r="I71" s="41"/>
      <c r="J71" s="5"/>
    </row>
    <row r="72" spans="1:10" ht="12.95" customHeight="1">
      <c r="A72" s="18" t="s">
        <v>523</v>
      </c>
      <c r="B72" s="19" t="s">
        <v>524</v>
      </c>
      <c r="C72" s="15" t="s">
        <v>525</v>
      </c>
      <c r="D72" s="15" t="s">
        <v>179</v>
      </c>
      <c r="E72" s="20">
        <v>500</v>
      </c>
      <c r="F72" s="21">
        <v>4837.34</v>
      </c>
      <c r="G72" s="22">
        <v>6.6E-3</v>
      </c>
      <c r="H72" s="23">
        <v>7.8600000000000003E-2</v>
      </c>
      <c r="I72" s="41"/>
      <c r="J72" s="5"/>
    </row>
    <row r="73" spans="1:10" ht="12.95" customHeight="1">
      <c r="A73" s="18" t="s">
        <v>2588</v>
      </c>
      <c r="B73" s="19" t="s">
        <v>2589</v>
      </c>
      <c r="C73" s="15" t="s">
        <v>2590</v>
      </c>
      <c r="D73" s="15" t="s">
        <v>1034</v>
      </c>
      <c r="E73" s="20">
        <v>4500</v>
      </c>
      <c r="F73" s="21">
        <v>4489.1009999999997</v>
      </c>
      <c r="G73" s="22">
        <v>6.1000000000000004E-3</v>
      </c>
      <c r="H73" s="23">
        <v>8.2350000000000007E-2</v>
      </c>
      <c r="I73" s="41"/>
      <c r="J73" s="5"/>
    </row>
    <row r="74" spans="1:10" ht="12.95" customHeight="1">
      <c r="A74" s="18" t="s">
        <v>2612</v>
      </c>
      <c r="B74" s="19" t="s">
        <v>2613</v>
      </c>
      <c r="C74" s="15" t="s">
        <v>2614</v>
      </c>
      <c r="D74" s="15" t="s">
        <v>179</v>
      </c>
      <c r="E74" s="20">
        <v>450</v>
      </c>
      <c r="F74" s="21">
        <v>4483.1880000000001</v>
      </c>
      <c r="G74" s="22">
        <v>6.1000000000000004E-3</v>
      </c>
      <c r="H74" s="23">
        <v>7.85E-2</v>
      </c>
      <c r="I74" s="41"/>
      <c r="J74" s="5"/>
    </row>
    <row r="75" spans="1:10" ht="12.95" customHeight="1">
      <c r="A75" s="18" t="s">
        <v>3921</v>
      </c>
      <c r="B75" s="19" t="s">
        <v>3922</v>
      </c>
      <c r="C75" s="15" t="s">
        <v>3923</v>
      </c>
      <c r="D75" s="15" t="s">
        <v>156</v>
      </c>
      <c r="E75" s="20">
        <v>6598000</v>
      </c>
      <c r="F75" s="21">
        <v>4475.5685999999996</v>
      </c>
      <c r="G75" s="22">
        <v>6.1000000000000004E-3</v>
      </c>
      <c r="H75" s="23">
        <v>7.4644000000000002E-2</v>
      </c>
      <c r="I75" s="41"/>
      <c r="J75" s="5"/>
    </row>
    <row r="76" spans="1:10" ht="12.95" customHeight="1">
      <c r="A76" s="18" t="s">
        <v>561</v>
      </c>
      <c r="B76" s="19" t="s">
        <v>562</v>
      </c>
      <c r="C76" s="15" t="s">
        <v>563</v>
      </c>
      <c r="D76" s="15" t="s">
        <v>156</v>
      </c>
      <c r="E76" s="20">
        <v>4613000</v>
      </c>
      <c r="F76" s="21">
        <v>4085.0790999999999</v>
      </c>
      <c r="G76" s="22">
        <v>5.4999999999999997E-3</v>
      </c>
      <c r="H76" s="23">
        <v>7.3861999999999997E-2</v>
      </c>
      <c r="I76" s="41"/>
      <c r="J76" s="5"/>
    </row>
    <row r="77" spans="1:10" ht="12.95" customHeight="1">
      <c r="A77" s="18" t="s">
        <v>3924</v>
      </c>
      <c r="B77" s="19" t="s">
        <v>3925</v>
      </c>
      <c r="C77" s="15" t="s">
        <v>3926</v>
      </c>
      <c r="D77" s="15" t="s">
        <v>2621</v>
      </c>
      <c r="E77" s="20">
        <v>4000</v>
      </c>
      <c r="F77" s="21">
        <v>4001.3679999999999</v>
      </c>
      <c r="G77" s="22">
        <v>5.4000000000000003E-3</v>
      </c>
      <c r="H77" s="23">
        <v>8.3065E-2</v>
      </c>
      <c r="I77" s="41"/>
      <c r="J77" s="5"/>
    </row>
    <row r="78" spans="1:10" ht="12.95" customHeight="1">
      <c r="A78" s="18" t="s">
        <v>529</v>
      </c>
      <c r="B78" s="19" t="s">
        <v>530</v>
      </c>
      <c r="C78" s="15" t="s">
        <v>531</v>
      </c>
      <c r="D78" s="15" t="s">
        <v>432</v>
      </c>
      <c r="E78" s="20">
        <v>400</v>
      </c>
      <c r="F78" s="21">
        <v>3980.944</v>
      </c>
      <c r="G78" s="22">
        <v>5.4000000000000003E-3</v>
      </c>
      <c r="H78" s="23">
        <v>7.7063000000000006E-2</v>
      </c>
      <c r="I78" s="41"/>
      <c r="J78" s="5"/>
    </row>
    <row r="79" spans="1:10" ht="12.95" customHeight="1">
      <c r="A79" s="18" t="s">
        <v>579</v>
      </c>
      <c r="B79" s="19" t="s">
        <v>580</v>
      </c>
      <c r="C79" s="15" t="s">
        <v>581</v>
      </c>
      <c r="D79" s="15" t="s">
        <v>179</v>
      </c>
      <c r="E79" s="20">
        <v>400</v>
      </c>
      <c r="F79" s="21">
        <v>3976.94</v>
      </c>
      <c r="G79" s="22">
        <v>5.4000000000000003E-3</v>
      </c>
      <c r="H79" s="23">
        <v>7.6749999999999999E-2</v>
      </c>
      <c r="I79" s="41"/>
      <c r="J79" s="5"/>
    </row>
    <row r="80" spans="1:10" ht="12.95" customHeight="1">
      <c r="A80" s="18" t="s">
        <v>3927</v>
      </c>
      <c r="B80" s="19" t="s">
        <v>3928</v>
      </c>
      <c r="C80" s="15" t="s">
        <v>3929</v>
      </c>
      <c r="D80" s="15" t="s">
        <v>179</v>
      </c>
      <c r="E80" s="20">
        <v>400</v>
      </c>
      <c r="F80" s="21">
        <v>3961.48</v>
      </c>
      <c r="G80" s="22">
        <v>5.4000000000000003E-3</v>
      </c>
      <c r="H80" s="23">
        <v>7.3249999999999996E-2</v>
      </c>
      <c r="I80" s="41"/>
      <c r="J80" s="5"/>
    </row>
    <row r="81" spans="1:10" ht="12.95" customHeight="1">
      <c r="A81" s="18" t="s">
        <v>1196</v>
      </c>
      <c r="B81" s="19" t="s">
        <v>1197</v>
      </c>
      <c r="C81" s="15" t="s">
        <v>1198</v>
      </c>
      <c r="D81" s="15" t="s">
        <v>179</v>
      </c>
      <c r="E81" s="20">
        <v>390</v>
      </c>
      <c r="F81" s="21">
        <v>3936.3128999999999</v>
      </c>
      <c r="G81" s="22">
        <v>5.3E-3</v>
      </c>
      <c r="H81" s="23">
        <v>7.6350000000000001E-2</v>
      </c>
      <c r="I81" s="41"/>
      <c r="J81" s="5"/>
    </row>
    <row r="82" spans="1:10" ht="12.95" customHeight="1">
      <c r="A82" s="18" t="s">
        <v>3930</v>
      </c>
      <c r="B82" s="19" t="s">
        <v>3931</v>
      </c>
      <c r="C82" s="15" t="s">
        <v>3932</v>
      </c>
      <c r="D82" s="15" t="s">
        <v>156</v>
      </c>
      <c r="E82" s="20">
        <v>4289200</v>
      </c>
      <c r="F82" s="21">
        <v>3747.8600999999999</v>
      </c>
      <c r="G82" s="22">
        <v>5.1000000000000004E-3</v>
      </c>
      <c r="H82" s="23">
        <v>7.3927000000000007E-2</v>
      </c>
      <c r="I82" s="41"/>
      <c r="J82" s="5"/>
    </row>
    <row r="83" spans="1:10" ht="12.95" customHeight="1">
      <c r="A83" s="18" t="s">
        <v>2421</v>
      </c>
      <c r="B83" s="19" t="s">
        <v>2422</v>
      </c>
      <c r="C83" s="15" t="s">
        <v>2423</v>
      </c>
      <c r="D83" s="15" t="s">
        <v>179</v>
      </c>
      <c r="E83" s="20">
        <v>3500</v>
      </c>
      <c r="F83" s="21">
        <v>3501.89</v>
      </c>
      <c r="G83" s="22">
        <v>4.7999999999999996E-3</v>
      </c>
      <c r="H83" s="23">
        <v>8.0557000000000004E-2</v>
      </c>
      <c r="I83" s="41"/>
      <c r="J83" s="5"/>
    </row>
    <row r="84" spans="1:10" ht="12.95" customHeight="1">
      <c r="A84" s="18" t="s">
        <v>1089</v>
      </c>
      <c r="B84" s="19" t="s">
        <v>1090</v>
      </c>
      <c r="C84" s="15" t="s">
        <v>1091</v>
      </c>
      <c r="D84" s="15" t="s">
        <v>432</v>
      </c>
      <c r="E84" s="20">
        <v>350</v>
      </c>
      <c r="F84" s="21">
        <v>3487.89</v>
      </c>
      <c r="G84" s="22">
        <v>4.7000000000000002E-3</v>
      </c>
      <c r="H84" s="23">
        <v>7.9750000000000001E-2</v>
      </c>
      <c r="I84" s="41"/>
      <c r="J84" s="5"/>
    </row>
    <row r="85" spans="1:10" ht="12.95" customHeight="1">
      <c r="A85" s="18" t="s">
        <v>1140</v>
      </c>
      <c r="B85" s="19" t="s">
        <v>1141</v>
      </c>
      <c r="C85" s="15" t="s">
        <v>1142</v>
      </c>
      <c r="D85" s="15" t="s">
        <v>156</v>
      </c>
      <c r="E85" s="20">
        <v>4000000</v>
      </c>
      <c r="F85" s="21">
        <v>3476.0720000000001</v>
      </c>
      <c r="G85" s="22">
        <v>4.7000000000000002E-3</v>
      </c>
      <c r="H85" s="23">
        <v>7.3996000000000006E-2</v>
      </c>
      <c r="I85" s="41"/>
      <c r="J85" s="5"/>
    </row>
    <row r="86" spans="1:10" ht="12.95" customHeight="1">
      <c r="A86" s="18" t="s">
        <v>2763</v>
      </c>
      <c r="B86" s="19" t="s">
        <v>2764</v>
      </c>
      <c r="C86" s="15" t="s">
        <v>2765</v>
      </c>
      <c r="D86" s="15" t="s">
        <v>179</v>
      </c>
      <c r="E86" s="20">
        <v>350</v>
      </c>
      <c r="F86" s="21">
        <v>3442.8589999999999</v>
      </c>
      <c r="G86" s="22">
        <v>4.7000000000000002E-3</v>
      </c>
      <c r="H86" s="23">
        <v>8.1284999999999996E-2</v>
      </c>
      <c r="I86" s="41"/>
      <c r="J86" s="5"/>
    </row>
    <row r="87" spans="1:10" ht="12.95" customHeight="1">
      <c r="A87" s="18" t="s">
        <v>3709</v>
      </c>
      <c r="B87" s="19" t="s">
        <v>3710</v>
      </c>
      <c r="C87" s="15" t="s">
        <v>3711</v>
      </c>
      <c r="D87" s="15" t="s">
        <v>179</v>
      </c>
      <c r="E87" s="20">
        <v>300</v>
      </c>
      <c r="F87" s="21">
        <v>3024.1680000000001</v>
      </c>
      <c r="G87" s="22">
        <v>4.1000000000000003E-3</v>
      </c>
      <c r="H87" s="23">
        <v>7.6600000000000001E-2</v>
      </c>
      <c r="I87" s="41"/>
      <c r="J87" s="5"/>
    </row>
    <row r="88" spans="1:10" ht="12.95" customHeight="1">
      <c r="A88" s="18" t="s">
        <v>3933</v>
      </c>
      <c r="B88" s="19" t="s">
        <v>3934</v>
      </c>
      <c r="C88" s="15" t="s">
        <v>3935</v>
      </c>
      <c r="D88" s="15" t="s">
        <v>179</v>
      </c>
      <c r="E88" s="20">
        <v>330</v>
      </c>
      <c r="F88" s="21">
        <v>2908.0689000000002</v>
      </c>
      <c r="G88" s="22">
        <v>3.8999999999999998E-3</v>
      </c>
      <c r="H88" s="23">
        <v>8.0978999999999995E-2</v>
      </c>
      <c r="I88" s="41"/>
      <c r="J88" s="5"/>
    </row>
    <row r="89" spans="1:10" ht="12.95" customHeight="1">
      <c r="A89" s="18" t="s">
        <v>544</v>
      </c>
      <c r="B89" s="19" t="s">
        <v>539</v>
      </c>
      <c r="C89" s="15" t="s">
        <v>545</v>
      </c>
      <c r="D89" s="15" t="s">
        <v>156</v>
      </c>
      <c r="E89" s="20">
        <v>2500000</v>
      </c>
      <c r="F89" s="21">
        <v>2565.6750000000002</v>
      </c>
      <c r="G89" s="22">
        <v>3.5000000000000001E-3</v>
      </c>
      <c r="H89" s="23">
        <v>7.5858999999999996E-2</v>
      </c>
      <c r="I89" s="41"/>
      <c r="J89" s="5"/>
    </row>
    <row r="90" spans="1:10" ht="12.95" customHeight="1">
      <c r="A90" s="18" t="s">
        <v>3936</v>
      </c>
      <c r="B90" s="19" t="s">
        <v>3937</v>
      </c>
      <c r="C90" s="15" t="s">
        <v>3938</v>
      </c>
      <c r="D90" s="15" t="s">
        <v>432</v>
      </c>
      <c r="E90" s="20">
        <v>2500</v>
      </c>
      <c r="F90" s="21">
        <v>2509.2575000000002</v>
      </c>
      <c r="G90" s="22">
        <v>3.3999999999999998E-3</v>
      </c>
      <c r="H90" s="23">
        <v>8.2012000000000002E-2</v>
      </c>
      <c r="I90" s="41"/>
      <c r="J90" s="5"/>
    </row>
    <row r="91" spans="1:10" ht="12.95" customHeight="1">
      <c r="A91" s="18" t="s">
        <v>2748</v>
      </c>
      <c r="B91" s="19" t="s">
        <v>2749</v>
      </c>
      <c r="C91" s="15" t="s">
        <v>2750</v>
      </c>
      <c r="D91" s="15" t="s">
        <v>1654</v>
      </c>
      <c r="E91" s="20">
        <v>2500</v>
      </c>
      <c r="F91" s="21">
        <v>2504.9924999999998</v>
      </c>
      <c r="G91" s="22">
        <v>3.3999999999999998E-3</v>
      </c>
      <c r="H91" s="23">
        <v>8.3650000000000002E-2</v>
      </c>
      <c r="I91" s="41"/>
      <c r="J91" s="5"/>
    </row>
    <row r="92" spans="1:10" ht="12.95" customHeight="1">
      <c r="A92" s="18" t="s">
        <v>3939</v>
      </c>
      <c r="B92" s="19" t="s">
        <v>3940</v>
      </c>
      <c r="C92" s="15" t="s">
        <v>3941</v>
      </c>
      <c r="D92" s="15" t="s">
        <v>2621</v>
      </c>
      <c r="E92" s="20">
        <v>250000</v>
      </c>
      <c r="F92" s="21">
        <v>2501.52</v>
      </c>
      <c r="G92" s="22">
        <v>3.3999999999999998E-3</v>
      </c>
      <c r="H92" s="23">
        <v>8.2100000000000006E-2</v>
      </c>
      <c r="I92" s="41"/>
      <c r="J92" s="5"/>
    </row>
    <row r="93" spans="1:10" ht="12.95" customHeight="1">
      <c r="A93" s="18" t="s">
        <v>1004</v>
      </c>
      <c r="B93" s="19" t="s">
        <v>1005</v>
      </c>
      <c r="C93" s="15" t="s">
        <v>1006</v>
      </c>
      <c r="D93" s="15" t="s">
        <v>179</v>
      </c>
      <c r="E93" s="20">
        <v>250</v>
      </c>
      <c r="F93" s="21">
        <v>2497.0875000000001</v>
      </c>
      <c r="G93" s="22">
        <v>3.3999999999999998E-3</v>
      </c>
      <c r="H93" s="23">
        <v>7.6399999999999996E-2</v>
      </c>
      <c r="I93" s="41"/>
      <c r="J93" s="5"/>
    </row>
    <row r="94" spans="1:10" ht="12.95" customHeight="1">
      <c r="A94" s="18" t="s">
        <v>3942</v>
      </c>
      <c r="B94" s="19" t="s">
        <v>3943</v>
      </c>
      <c r="C94" s="15" t="s">
        <v>3944</v>
      </c>
      <c r="D94" s="15" t="s">
        <v>432</v>
      </c>
      <c r="E94" s="20">
        <v>250</v>
      </c>
      <c r="F94" s="21">
        <v>2474.7950000000001</v>
      </c>
      <c r="G94" s="22">
        <v>3.3999999999999998E-3</v>
      </c>
      <c r="H94" s="23">
        <v>7.4300000000000005E-2</v>
      </c>
      <c r="I94" s="41"/>
      <c r="J94" s="5"/>
    </row>
    <row r="95" spans="1:10" ht="12.95" customHeight="1">
      <c r="A95" s="18" t="s">
        <v>493</v>
      </c>
      <c r="B95" s="19" t="s">
        <v>494</v>
      </c>
      <c r="C95" s="15" t="s">
        <v>495</v>
      </c>
      <c r="D95" s="15" t="s">
        <v>432</v>
      </c>
      <c r="E95" s="20">
        <v>250</v>
      </c>
      <c r="F95" s="21">
        <v>2450.6149999999998</v>
      </c>
      <c r="G95" s="22">
        <v>3.3E-3</v>
      </c>
      <c r="H95" s="23">
        <v>7.4884000000000006E-2</v>
      </c>
      <c r="I95" s="41">
        <v>8.622763E-2</v>
      </c>
      <c r="J95" s="5"/>
    </row>
    <row r="96" spans="1:10" ht="12.95" customHeight="1">
      <c r="A96" s="18" t="s">
        <v>1007</v>
      </c>
      <c r="B96" s="19" t="s">
        <v>1008</v>
      </c>
      <c r="C96" s="15" t="s">
        <v>1009</v>
      </c>
      <c r="D96" s="15" t="s">
        <v>179</v>
      </c>
      <c r="E96" s="20">
        <v>250</v>
      </c>
      <c r="F96" s="21">
        <v>2418.61</v>
      </c>
      <c r="G96" s="22">
        <v>3.3E-3</v>
      </c>
      <c r="H96" s="23">
        <v>8.1788E-2</v>
      </c>
      <c r="I96" s="41"/>
      <c r="J96" s="5"/>
    </row>
    <row r="97" spans="1:10" ht="12.95" customHeight="1">
      <c r="A97" s="18" t="s">
        <v>3945</v>
      </c>
      <c r="B97" s="19" t="s">
        <v>3946</v>
      </c>
      <c r="C97" s="15" t="s">
        <v>3947</v>
      </c>
      <c r="D97" s="15" t="s">
        <v>179</v>
      </c>
      <c r="E97" s="20">
        <v>750</v>
      </c>
      <c r="F97" s="21">
        <v>2203.3598000000002</v>
      </c>
      <c r="G97" s="22">
        <v>3.0000000000000001E-3</v>
      </c>
      <c r="H97" s="23">
        <v>7.6350000000000001E-2</v>
      </c>
      <c r="I97" s="41"/>
      <c r="J97" s="5"/>
    </row>
    <row r="98" spans="1:10" ht="12.95" customHeight="1">
      <c r="A98" s="18" t="s">
        <v>594</v>
      </c>
      <c r="B98" s="19" t="s">
        <v>595</v>
      </c>
      <c r="C98" s="15" t="s">
        <v>596</v>
      </c>
      <c r="D98" s="15" t="s">
        <v>156</v>
      </c>
      <c r="E98" s="20">
        <v>2700000</v>
      </c>
      <c r="F98" s="21">
        <v>2181.0951</v>
      </c>
      <c r="G98" s="22">
        <v>3.0000000000000001E-3</v>
      </c>
      <c r="H98" s="23">
        <v>7.4593000000000007E-2</v>
      </c>
      <c r="I98" s="41"/>
      <c r="J98" s="5"/>
    </row>
    <row r="99" spans="1:10" ht="12.95" customHeight="1">
      <c r="A99" s="18" t="s">
        <v>2626</v>
      </c>
      <c r="B99" s="19" t="s">
        <v>2627</v>
      </c>
      <c r="C99" s="15" t="s">
        <v>2628</v>
      </c>
      <c r="D99" s="15" t="s">
        <v>179</v>
      </c>
      <c r="E99" s="20">
        <v>200</v>
      </c>
      <c r="F99" s="21">
        <v>1946.03</v>
      </c>
      <c r="G99" s="22">
        <v>2.5999999999999999E-3</v>
      </c>
      <c r="H99" s="23">
        <v>7.9792000000000002E-2</v>
      </c>
      <c r="I99" s="41"/>
      <c r="J99" s="5"/>
    </row>
    <row r="100" spans="1:10" ht="12.95" customHeight="1">
      <c r="A100" s="18" t="s">
        <v>2424</v>
      </c>
      <c r="B100" s="19" t="s">
        <v>2425</v>
      </c>
      <c r="C100" s="15" t="s">
        <v>2426</v>
      </c>
      <c r="D100" s="15" t="s">
        <v>179</v>
      </c>
      <c r="E100" s="20">
        <v>1550</v>
      </c>
      <c r="F100" s="21">
        <v>1559.9712</v>
      </c>
      <c r="G100" s="22">
        <v>2.0999999999999999E-3</v>
      </c>
      <c r="H100" s="23">
        <v>8.054E-2</v>
      </c>
      <c r="I100" s="41"/>
      <c r="J100" s="5"/>
    </row>
    <row r="101" spans="1:10" ht="12.95" customHeight="1">
      <c r="A101" s="18" t="s">
        <v>1053</v>
      </c>
      <c r="B101" s="19" t="s">
        <v>1054</v>
      </c>
      <c r="C101" s="15" t="s">
        <v>1055</v>
      </c>
      <c r="D101" s="15" t="s">
        <v>179</v>
      </c>
      <c r="E101" s="20">
        <v>1500</v>
      </c>
      <c r="F101" s="21">
        <v>1498.9380000000001</v>
      </c>
      <c r="G101" s="22">
        <v>2E-3</v>
      </c>
      <c r="H101" s="23">
        <v>7.8E-2</v>
      </c>
      <c r="I101" s="41"/>
      <c r="J101" s="5"/>
    </row>
    <row r="102" spans="1:10" ht="12.95" customHeight="1">
      <c r="A102" s="18" t="s">
        <v>433</v>
      </c>
      <c r="B102" s="19" t="s">
        <v>434</v>
      </c>
      <c r="C102" s="15" t="s">
        <v>435</v>
      </c>
      <c r="D102" s="15" t="s">
        <v>179</v>
      </c>
      <c r="E102" s="20">
        <v>150</v>
      </c>
      <c r="F102" s="21">
        <v>1493.2439999999999</v>
      </c>
      <c r="G102" s="22">
        <v>2E-3</v>
      </c>
      <c r="H102" s="23">
        <v>7.9200000000000007E-2</v>
      </c>
      <c r="I102" s="41"/>
      <c r="J102" s="5"/>
    </row>
    <row r="103" spans="1:10" ht="12.95" customHeight="1">
      <c r="A103" s="18" t="s">
        <v>651</v>
      </c>
      <c r="B103" s="19" t="s">
        <v>652</v>
      </c>
      <c r="C103" s="15" t="s">
        <v>653</v>
      </c>
      <c r="D103" s="15" t="s">
        <v>179</v>
      </c>
      <c r="E103" s="20">
        <v>149</v>
      </c>
      <c r="F103" s="21">
        <v>1460.3594000000001</v>
      </c>
      <c r="G103" s="22">
        <v>2E-3</v>
      </c>
      <c r="H103" s="23">
        <v>7.6249999999999998E-2</v>
      </c>
      <c r="I103" s="41"/>
      <c r="J103" s="5"/>
    </row>
    <row r="104" spans="1:10" ht="12.95" customHeight="1">
      <c r="A104" s="18" t="s">
        <v>3948</v>
      </c>
      <c r="B104" s="19" t="s">
        <v>3949</v>
      </c>
      <c r="C104" s="15" t="s">
        <v>3950</v>
      </c>
      <c r="D104" s="15" t="s">
        <v>156</v>
      </c>
      <c r="E104" s="20">
        <v>2040000</v>
      </c>
      <c r="F104" s="21">
        <v>1352.6485</v>
      </c>
      <c r="G104" s="22">
        <v>1.8E-3</v>
      </c>
      <c r="H104" s="23">
        <v>7.4674000000000004E-2</v>
      </c>
      <c r="I104" s="41"/>
      <c r="J104" s="5"/>
    </row>
    <row r="105" spans="1:10" ht="12.95" customHeight="1">
      <c r="A105" s="18" t="s">
        <v>3951</v>
      </c>
      <c r="B105" s="19" t="s">
        <v>3952</v>
      </c>
      <c r="C105" s="15" t="s">
        <v>3953</v>
      </c>
      <c r="D105" s="15" t="s">
        <v>156</v>
      </c>
      <c r="E105" s="20">
        <v>1690000</v>
      </c>
      <c r="F105" s="21">
        <v>1277.6366</v>
      </c>
      <c r="G105" s="22">
        <v>1.6999999999999999E-3</v>
      </c>
      <c r="H105" s="23">
        <v>7.4523000000000006E-2</v>
      </c>
      <c r="I105" s="41"/>
      <c r="J105" s="5"/>
    </row>
    <row r="106" spans="1:10" ht="12.95" customHeight="1">
      <c r="A106" s="18" t="s">
        <v>1131</v>
      </c>
      <c r="B106" s="19" t="s">
        <v>1132</v>
      </c>
      <c r="C106" s="15" t="s">
        <v>1133</v>
      </c>
      <c r="D106" s="15" t="s">
        <v>179</v>
      </c>
      <c r="E106" s="20">
        <v>100</v>
      </c>
      <c r="F106" s="21">
        <v>1001.708</v>
      </c>
      <c r="G106" s="22">
        <v>1.4E-3</v>
      </c>
      <c r="H106" s="23">
        <v>8.2434999999999994E-2</v>
      </c>
      <c r="I106" s="41"/>
      <c r="J106" s="5"/>
    </row>
    <row r="107" spans="1:10" ht="12.95" customHeight="1">
      <c r="A107" s="18" t="s">
        <v>180</v>
      </c>
      <c r="B107" s="19" t="s">
        <v>181</v>
      </c>
      <c r="C107" s="15" t="s">
        <v>182</v>
      </c>
      <c r="D107" s="15" t="s">
        <v>179</v>
      </c>
      <c r="E107" s="20">
        <v>1000</v>
      </c>
      <c r="F107" s="21">
        <v>998.74400000000003</v>
      </c>
      <c r="G107" s="22">
        <v>1.4E-3</v>
      </c>
      <c r="H107" s="23">
        <v>7.6200000000000004E-2</v>
      </c>
      <c r="I107" s="41"/>
      <c r="J107" s="5"/>
    </row>
    <row r="108" spans="1:10" ht="12.95" customHeight="1">
      <c r="A108" s="18" t="s">
        <v>3954</v>
      </c>
      <c r="B108" s="19" t="s">
        <v>3955</v>
      </c>
      <c r="C108" s="15" t="s">
        <v>3956</v>
      </c>
      <c r="D108" s="15" t="s">
        <v>179</v>
      </c>
      <c r="E108" s="20">
        <v>100</v>
      </c>
      <c r="F108" s="21">
        <v>997.529</v>
      </c>
      <c r="G108" s="22">
        <v>1.4E-3</v>
      </c>
      <c r="H108" s="23">
        <v>7.4646000000000004E-2</v>
      </c>
      <c r="I108" s="41"/>
      <c r="J108" s="5"/>
    </row>
    <row r="109" spans="1:10" ht="12.95" customHeight="1">
      <c r="A109" s="18" t="s">
        <v>445</v>
      </c>
      <c r="B109" s="19" t="s">
        <v>446</v>
      </c>
      <c r="C109" s="15" t="s">
        <v>447</v>
      </c>
      <c r="D109" s="15" t="s">
        <v>179</v>
      </c>
      <c r="E109" s="20">
        <v>1000</v>
      </c>
      <c r="F109" s="21">
        <v>994.73500000000001</v>
      </c>
      <c r="G109" s="22">
        <v>1.4E-3</v>
      </c>
      <c r="H109" s="23">
        <v>7.6999999999999999E-2</v>
      </c>
      <c r="I109" s="41"/>
      <c r="J109" s="5"/>
    </row>
    <row r="110" spans="1:10" ht="12.95" customHeight="1">
      <c r="A110" s="18" t="s">
        <v>469</v>
      </c>
      <c r="B110" s="19" t="s">
        <v>470</v>
      </c>
      <c r="C110" s="15" t="s">
        <v>471</v>
      </c>
      <c r="D110" s="15" t="s">
        <v>179</v>
      </c>
      <c r="E110" s="20">
        <v>100</v>
      </c>
      <c r="F110" s="21">
        <v>966.60900000000004</v>
      </c>
      <c r="G110" s="22">
        <v>1.2999999999999999E-3</v>
      </c>
      <c r="H110" s="23">
        <v>6.8576999999999999E-2</v>
      </c>
      <c r="I110" s="41">
        <v>8.1420937999999998E-2</v>
      </c>
      <c r="J110" s="5"/>
    </row>
    <row r="111" spans="1:10" ht="12.95" customHeight="1">
      <c r="A111" s="18" t="s">
        <v>3957</v>
      </c>
      <c r="B111" s="19" t="s">
        <v>3958</v>
      </c>
      <c r="C111" s="15" t="s">
        <v>3959</v>
      </c>
      <c r="D111" s="15" t="s">
        <v>179</v>
      </c>
      <c r="E111" s="20">
        <v>100</v>
      </c>
      <c r="F111" s="21">
        <v>960.30799999999999</v>
      </c>
      <c r="G111" s="22">
        <v>1.2999999999999999E-3</v>
      </c>
      <c r="H111" s="23">
        <v>7.6580999999999996E-2</v>
      </c>
      <c r="I111" s="41"/>
      <c r="J111" s="5"/>
    </row>
    <row r="112" spans="1:10" ht="12.95" customHeight="1">
      <c r="A112" s="18" t="s">
        <v>3960</v>
      </c>
      <c r="B112" s="19" t="s">
        <v>3961</v>
      </c>
      <c r="C112" s="15" t="s">
        <v>3962</v>
      </c>
      <c r="D112" s="15" t="s">
        <v>156</v>
      </c>
      <c r="E112" s="20">
        <v>1000000</v>
      </c>
      <c r="F112" s="21">
        <v>952.51900000000001</v>
      </c>
      <c r="G112" s="22">
        <v>1.2999999999999999E-3</v>
      </c>
      <c r="H112" s="23">
        <v>7.5833999999999999E-2</v>
      </c>
      <c r="I112" s="41"/>
      <c r="J112" s="5"/>
    </row>
    <row r="113" spans="1:10" ht="12.95" customHeight="1">
      <c r="A113" s="18" t="s">
        <v>2660</v>
      </c>
      <c r="B113" s="19" t="s">
        <v>2661</v>
      </c>
      <c r="C113" s="15" t="s">
        <v>2662</v>
      </c>
      <c r="D113" s="15" t="s">
        <v>179</v>
      </c>
      <c r="E113" s="20">
        <v>100</v>
      </c>
      <c r="F113" s="21">
        <v>880.62900000000002</v>
      </c>
      <c r="G113" s="22">
        <v>1.1999999999999999E-3</v>
      </c>
      <c r="H113" s="23">
        <v>8.0978999999999995E-2</v>
      </c>
      <c r="I113" s="41"/>
      <c r="J113" s="5"/>
    </row>
    <row r="114" spans="1:10" ht="12.95" customHeight="1">
      <c r="A114" s="18" t="s">
        <v>642</v>
      </c>
      <c r="B114" s="19" t="s">
        <v>643</v>
      </c>
      <c r="C114" s="15" t="s">
        <v>644</v>
      </c>
      <c r="D114" s="15" t="s">
        <v>179</v>
      </c>
      <c r="E114" s="20">
        <v>70</v>
      </c>
      <c r="F114" s="21">
        <v>708.30340000000001</v>
      </c>
      <c r="G114" s="22">
        <v>1E-3</v>
      </c>
      <c r="H114" s="23">
        <v>7.5475E-2</v>
      </c>
      <c r="I114" s="41"/>
      <c r="J114" s="5"/>
    </row>
    <row r="115" spans="1:10" ht="12.95" customHeight="1">
      <c r="A115" s="18" t="s">
        <v>2689</v>
      </c>
      <c r="B115" s="19" t="s">
        <v>2690</v>
      </c>
      <c r="C115" s="15" t="s">
        <v>2691</v>
      </c>
      <c r="D115" s="15" t="s">
        <v>179</v>
      </c>
      <c r="E115" s="20">
        <v>69</v>
      </c>
      <c r="F115" s="21">
        <v>665.11099999999999</v>
      </c>
      <c r="G115" s="22">
        <v>8.9999999999999998E-4</v>
      </c>
      <c r="H115" s="23">
        <v>7.6600000000000001E-2</v>
      </c>
      <c r="I115" s="41"/>
      <c r="J115" s="5"/>
    </row>
    <row r="116" spans="1:10" ht="12.95" customHeight="1">
      <c r="A116" s="18" t="s">
        <v>1116</v>
      </c>
      <c r="B116" s="19" t="s">
        <v>1117</v>
      </c>
      <c r="C116" s="15" t="s">
        <v>1118</v>
      </c>
      <c r="D116" s="15" t="s">
        <v>179</v>
      </c>
      <c r="E116" s="20">
        <v>69</v>
      </c>
      <c r="F116" s="21">
        <v>663.56889999999999</v>
      </c>
      <c r="G116" s="22">
        <v>8.9999999999999998E-4</v>
      </c>
      <c r="H116" s="23">
        <v>7.5800000000000006E-2</v>
      </c>
      <c r="I116" s="41"/>
      <c r="J116" s="5"/>
    </row>
    <row r="117" spans="1:10" ht="12.95" customHeight="1">
      <c r="A117" s="18" t="s">
        <v>3963</v>
      </c>
      <c r="B117" s="19" t="s">
        <v>3964</v>
      </c>
      <c r="C117" s="15" t="s">
        <v>3965</v>
      </c>
      <c r="D117" s="15" t="s">
        <v>156</v>
      </c>
      <c r="E117" s="20">
        <v>500000</v>
      </c>
      <c r="F117" s="21">
        <v>551.94000000000005</v>
      </c>
      <c r="G117" s="22">
        <v>6.9999999999999999E-4</v>
      </c>
      <c r="H117" s="23">
        <v>7.4115E-2</v>
      </c>
      <c r="I117" s="41"/>
      <c r="J117" s="5"/>
    </row>
    <row r="118" spans="1:10" ht="12.95" customHeight="1">
      <c r="A118" s="18" t="s">
        <v>672</v>
      </c>
      <c r="B118" s="19" t="s">
        <v>673</v>
      </c>
      <c r="C118" s="15" t="s">
        <v>674</v>
      </c>
      <c r="D118" s="15" t="s">
        <v>156</v>
      </c>
      <c r="E118" s="20">
        <v>525000</v>
      </c>
      <c r="F118" s="21">
        <v>526.32090000000005</v>
      </c>
      <c r="G118" s="22">
        <v>6.9999999999999999E-4</v>
      </c>
      <c r="H118" s="23">
        <v>6.8902000000000005E-2</v>
      </c>
      <c r="I118" s="41"/>
      <c r="J118" s="5"/>
    </row>
    <row r="119" spans="1:10" ht="12.95" customHeight="1">
      <c r="A119" s="18" t="s">
        <v>3966</v>
      </c>
      <c r="B119" s="19" t="s">
        <v>3967</v>
      </c>
      <c r="C119" s="15" t="s">
        <v>3968</v>
      </c>
      <c r="D119" s="15" t="s">
        <v>179</v>
      </c>
      <c r="E119" s="20">
        <v>50</v>
      </c>
      <c r="F119" s="21">
        <v>514.25350000000003</v>
      </c>
      <c r="G119" s="22">
        <v>6.9999999999999999E-4</v>
      </c>
      <c r="H119" s="23">
        <v>7.6826000000000005E-2</v>
      </c>
      <c r="I119" s="41"/>
      <c r="J119" s="5"/>
    </row>
    <row r="120" spans="1:10" ht="12.95" customHeight="1">
      <c r="A120" s="18" t="s">
        <v>1161</v>
      </c>
      <c r="B120" s="19" t="s">
        <v>1162</v>
      </c>
      <c r="C120" s="15" t="s">
        <v>1163</v>
      </c>
      <c r="D120" s="15" t="s">
        <v>179</v>
      </c>
      <c r="E120" s="20">
        <v>50</v>
      </c>
      <c r="F120" s="21">
        <v>513.16499999999996</v>
      </c>
      <c r="G120" s="22">
        <v>6.9999999999999999E-4</v>
      </c>
      <c r="H120" s="23">
        <v>7.7950000000000005E-2</v>
      </c>
      <c r="I120" s="41"/>
      <c r="J120" s="5"/>
    </row>
    <row r="121" spans="1:10" ht="12.95" customHeight="1">
      <c r="A121" s="18" t="s">
        <v>3969</v>
      </c>
      <c r="B121" s="19" t="s">
        <v>3970</v>
      </c>
      <c r="C121" s="15" t="s">
        <v>3971</v>
      </c>
      <c r="D121" s="15" t="s">
        <v>156</v>
      </c>
      <c r="E121" s="20">
        <v>500000</v>
      </c>
      <c r="F121" s="21">
        <v>512.78700000000003</v>
      </c>
      <c r="G121" s="22">
        <v>6.9999999999999999E-4</v>
      </c>
      <c r="H121" s="23">
        <v>7.5983999999999996E-2</v>
      </c>
      <c r="I121" s="41"/>
      <c r="J121" s="5"/>
    </row>
    <row r="122" spans="1:10" ht="12.95" customHeight="1">
      <c r="A122" s="18" t="s">
        <v>3972</v>
      </c>
      <c r="B122" s="19" t="s">
        <v>3973</v>
      </c>
      <c r="C122" s="15" t="s">
        <v>3974</v>
      </c>
      <c r="D122" s="15" t="s">
        <v>156</v>
      </c>
      <c r="E122" s="20">
        <v>500000</v>
      </c>
      <c r="F122" s="21">
        <v>509.53149999999999</v>
      </c>
      <c r="G122" s="22">
        <v>6.9999999999999999E-4</v>
      </c>
      <c r="H122" s="23">
        <v>7.6118000000000005E-2</v>
      </c>
      <c r="I122" s="41"/>
      <c r="J122" s="5"/>
    </row>
    <row r="123" spans="1:10" ht="12.95" customHeight="1">
      <c r="A123" s="18" t="s">
        <v>3975</v>
      </c>
      <c r="B123" s="19" t="s">
        <v>3976</v>
      </c>
      <c r="C123" s="15" t="s">
        <v>3977</v>
      </c>
      <c r="D123" s="15" t="s">
        <v>179</v>
      </c>
      <c r="E123" s="20">
        <v>50</v>
      </c>
      <c r="F123" s="21">
        <v>505.76</v>
      </c>
      <c r="G123" s="22">
        <v>6.9999999999999999E-4</v>
      </c>
      <c r="H123" s="23">
        <v>7.5861999999999999E-2</v>
      </c>
      <c r="I123" s="41"/>
      <c r="J123" s="5"/>
    </row>
    <row r="124" spans="1:10" ht="12.95" customHeight="1">
      <c r="A124" s="18" t="s">
        <v>3978</v>
      </c>
      <c r="B124" s="19" t="s">
        <v>3979</v>
      </c>
      <c r="C124" s="15" t="s">
        <v>3980</v>
      </c>
      <c r="D124" s="15" t="s">
        <v>156</v>
      </c>
      <c r="E124" s="20">
        <v>500000</v>
      </c>
      <c r="F124" s="21">
        <v>505.34</v>
      </c>
      <c r="G124" s="22">
        <v>6.9999999999999999E-4</v>
      </c>
      <c r="H124" s="23">
        <v>7.5397000000000006E-2</v>
      </c>
      <c r="I124" s="41"/>
      <c r="J124" s="5"/>
    </row>
    <row r="125" spans="1:10" ht="12.95" customHeight="1">
      <c r="A125" s="18" t="s">
        <v>3981</v>
      </c>
      <c r="B125" s="19" t="s">
        <v>3982</v>
      </c>
      <c r="C125" s="15" t="s">
        <v>3983</v>
      </c>
      <c r="D125" s="15" t="s">
        <v>179</v>
      </c>
      <c r="E125" s="20">
        <v>50</v>
      </c>
      <c r="F125" s="21">
        <v>504.35449999999997</v>
      </c>
      <c r="G125" s="22">
        <v>6.9999999999999999E-4</v>
      </c>
      <c r="H125" s="23">
        <v>7.7600000000000002E-2</v>
      </c>
      <c r="I125" s="41"/>
      <c r="J125" s="5"/>
    </row>
    <row r="126" spans="1:10" ht="12.95" customHeight="1">
      <c r="A126" s="18" t="s">
        <v>3984</v>
      </c>
      <c r="B126" s="19" t="s">
        <v>3985</v>
      </c>
      <c r="C126" s="15" t="s">
        <v>3986</v>
      </c>
      <c r="D126" s="15" t="s">
        <v>179</v>
      </c>
      <c r="E126" s="20">
        <v>50</v>
      </c>
      <c r="F126" s="21">
        <v>503.91800000000001</v>
      </c>
      <c r="G126" s="22">
        <v>6.9999999999999999E-4</v>
      </c>
      <c r="H126" s="23">
        <v>7.8049999999999994E-2</v>
      </c>
      <c r="I126" s="41"/>
      <c r="J126" s="5"/>
    </row>
    <row r="127" spans="1:10" ht="12.95" customHeight="1">
      <c r="A127" s="18" t="s">
        <v>3987</v>
      </c>
      <c r="B127" s="19" t="s">
        <v>3988</v>
      </c>
      <c r="C127" s="15" t="s">
        <v>3989</v>
      </c>
      <c r="D127" s="15" t="s">
        <v>179</v>
      </c>
      <c r="E127" s="20">
        <v>500</v>
      </c>
      <c r="F127" s="21">
        <v>501.3775</v>
      </c>
      <c r="G127" s="22">
        <v>6.9999999999999999E-4</v>
      </c>
      <c r="H127" s="23">
        <v>7.9799999999999996E-2</v>
      </c>
      <c r="I127" s="41"/>
      <c r="J127" s="5"/>
    </row>
    <row r="128" spans="1:10" ht="12.95" customHeight="1">
      <c r="A128" s="18" t="s">
        <v>3990</v>
      </c>
      <c r="B128" s="19" t="s">
        <v>3991</v>
      </c>
      <c r="C128" s="15" t="s">
        <v>3992</v>
      </c>
      <c r="D128" s="15" t="s">
        <v>156</v>
      </c>
      <c r="E128" s="20">
        <v>500000</v>
      </c>
      <c r="F128" s="21">
        <v>500.30149999999998</v>
      </c>
      <c r="G128" s="22">
        <v>6.9999999999999999E-4</v>
      </c>
      <c r="H128" s="23">
        <v>7.0180000000000006E-2</v>
      </c>
      <c r="I128" s="41"/>
      <c r="J128" s="5"/>
    </row>
    <row r="129" spans="1:10" ht="12.95" customHeight="1">
      <c r="A129" s="18" t="s">
        <v>989</v>
      </c>
      <c r="B129" s="19" t="s">
        <v>990</v>
      </c>
      <c r="C129" s="15" t="s">
        <v>991</v>
      </c>
      <c r="D129" s="15" t="s">
        <v>179</v>
      </c>
      <c r="E129" s="20">
        <v>500</v>
      </c>
      <c r="F129" s="21">
        <v>498.03750000000002</v>
      </c>
      <c r="G129" s="22">
        <v>6.9999999999999999E-4</v>
      </c>
      <c r="H129" s="23">
        <v>7.8E-2</v>
      </c>
      <c r="I129" s="41"/>
      <c r="J129" s="5"/>
    </row>
    <row r="130" spans="1:10" ht="12.95" customHeight="1">
      <c r="A130" s="18" t="s">
        <v>3993</v>
      </c>
      <c r="B130" s="19" t="s">
        <v>3994</v>
      </c>
      <c r="C130" s="15" t="s">
        <v>3995</v>
      </c>
      <c r="D130" s="15" t="s">
        <v>179</v>
      </c>
      <c r="E130" s="20">
        <v>50</v>
      </c>
      <c r="F130" s="21">
        <v>496.1995</v>
      </c>
      <c r="G130" s="22">
        <v>6.9999999999999999E-4</v>
      </c>
      <c r="H130" s="23">
        <v>7.6399999999999996E-2</v>
      </c>
      <c r="I130" s="41"/>
      <c r="J130" s="5"/>
    </row>
    <row r="131" spans="1:10" ht="12.95" customHeight="1">
      <c r="A131" s="18" t="s">
        <v>3996</v>
      </c>
      <c r="B131" s="19" t="s">
        <v>3997</v>
      </c>
      <c r="C131" s="15" t="s">
        <v>3998</v>
      </c>
      <c r="D131" s="15" t="s">
        <v>156</v>
      </c>
      <c r="E131" s="20">
        <v>500000</v>
      </c>
      <c r="F131" s="21">
        <v>495.9735</v>
      </c>
      <c r="G131" s="22">
        <v>6.9999999999999999E-4</v>
      </c>
      <c r="H131" s="23">
        <v>7.5784000000000004E-2</v>
      </c>
      <c r="I131" s="41"/>
      <c r="J131" s="5"/>
    </row>
    <row r="132" spans="1:10" ht="12.95" customHeight="1">
      <c r="A132" s="18" t="s">
        <v>582</v>
      </c>
      <c r="B132" s="19" t="s">
        <v>583</v>
      </c>
      <c r="C132" s="15" t="s">
        <v>584</v>
      </c>
      <c r="D132" s="15" t="s">
        <v>432</v>
      </c>
      <c r="E132" s="20">
        <v>50</v>
      </c>
      <c r="F132" s="21">
        <v>495.36950000000002</v>
      </c>
      <c r="G132" s="22">
        <v>6.9999999999999999E-4</v>
      </c>
      <c r="H132" s="23">
        <v>7.6799999999999993E-2</v>
      </c>
      <c r="I132" s="41"/>
      <c r="J132" s="5"/>
    </row>
    <row r="133" spans="1:10" ht="12.95" customHeight="1">
      <c r="A133" s="18" t="s">
        <v>472</v>
      </c>
      <c r="B133" s="19" t="s">
        <v>473</v>
      </c>
      <c r="C133" s="15" t="s">
        <v>474</v>
      </c>
      <c r="D133" s="15" t="s">
        <v>179</v>
      </c>
      <c r="E133" s="20">
        <v>50</v>
      </c>
      <c r="F133" s="21">
        <v>483.03699999999998</v>
      </c>
      <c r="G133" s="22">
        <v>6.9999999999999999E-4</v>
      </c>
      <c r="H133" s="23">
        <v>6.7780999999999994E-2</v>
      </c>
      <c r="I133" s="41">
        <v>7.8356117000000003E-2</v>
      </c>
      <c r="J133" s="5"/>
    </row>
    <row r="134" spans="1:10" ht="12.95" customHeight="1">
      <c r="A134" s="18" t="s">
        <v>3999</v>
      </c>
      <c r="B134" s="19" t="s">
        <v>4000</v>
      </c>
      <c r="C134" s="15" t="s">
        <v>4001</v>
      </c>
      <c r="D134" s="15" t="s">
        <v>156</v>
      </c>
      <c r="E134" s="20">
        <v>500000</v>
      </c>
      <c r="F134" s="21">
        <v>479.5795</v>
      </c>
      <c r="G134" s="22">
        <v>6.9999999999999999E-4</v>
      </c>
      <c r="H134" s="23">
        <v>7.5895000000000004E-2</v>
      </c>
      <c r="I134" s="41"/>
      <c r="J134" s="5"/>
    </row>
    <row r="135" spans="1:10" ht="12.95" customHeight="1">
      <c r="A135" s="18" t="s">
        <v>3721</v>
      </c>
      <c r="B135" s="19" t="s">
        <v>3722</v>
      </c>
      <c r="C135" s="15" t="s">
        <v>3723</v>
      </c>
      <c r="D135" s="15" t="s">
        <v>179</v>
      </c>
      <c r="E135" s="20">
        <v>47</v>
      </c>
      <c r="F135" s="21">
        <v>474.02839999999998</v>
      </c>
      <c r="G135" s="22">
        <v>5.9999999999999995E-4</v>
      </c>
      <c r="H135" s="23">
        <v>7.5475E-2</v>
      </c>
      <c r="I135" s="41"/>
      <c r="J135" s="5"/>
    </row>
    <row r="136" spans="1:10" ht="12.95" customHeight="1">
      <c r="A136" s="18" t="s">
        <v>514</v>
      </c>
      <c r="B136" s="19" t="s">
        <v>515</v>
      </c>
      <c r="C136" s="15" t="s">
        <v>516</v>
      </c>
      <c r="D136" s="15" t="s">
        <v>156</v>
      </c>
      <c r="E136" s="20">
        <v>455600</v>
      </c>
      <c r="F136" s="21">
        <v>458.77370000000002</v>
      </c>
      <c r="G136" s="22">
        <v>5.9999999999999995E-4</v>
      </c>
      <c r="H136" s="23">
        <v>7.3759000000000005E-2</v>
      </c>
      <c r="I136" s="41"/>
      <c r="J136" s="5"/>
    </row>
    <row r="137" spans="1:10" ht="12.95" customHeight="1">
      <c r="A137" s="18" t="s">
        <v>4002</v>
      </c>
      <c r="B137" s="19" t="s">
        <v>4003</v>
      </c>
      <c r="C137" s="15" t="s">
        <v>4004</v>
      </c>
      <c r="D137" s="15" t="s">
        <v>156</v>
      </c>
      <c r="E137" s="20">
        <v>452300</v>
      </c>
      <c r="F137" s="21">
        <v>429.6764</v>
      </c>
      <c r="G137" s="22">
        <v>5.9999999999999995E-4</v>
      </c>
      <c r="H137" s="23">
        <v>7.4271000000000004E-2</v>
      </c>
      <c r="I137" s="41"/>
      <c r="J137" s="5"/>
    </row>
    <row r="138" spans="1:10" ht="12.95" customHeight="1">
      <c r="A138" s="18" t="s">
        <v>4005</v>
      </c>
      <c r="B138" s="19" t="s">
        <v>4006</v>
      </c>
      <c r="C138" s="15" t="s">
        <v>4007</v>
      </c>
      <c r="D138" s="15" t="s">
        <v>156</v>
      </c>
      <c r="E138" s="20">
        <v>410900</v>
      </c>
      <c r="F138" s="21">
        <v>390.42070000000001</v>
      </c>
      <c r="G138" s="22">
        <v>5.0000000000000001E-4</v>
      </c>
      <c r="H138" s="23">
        <v>7.4103000000000002E-2</v>
      </c>
      <c r="I138" s="41"/>
      <c r="J138" s="5"/>
    </row>
    <row r="139" spans="1:10" ht="12.95" customHeight="1">
      <c r="A139" s="18" t="s">
        <v>3727</v>
      </c>
      <c r="B139" s="19" t="s">
        <v>3728</v>
      </c>
      <c r="C139" s="15" t="s">
        <v>3729</v>
      </c>
      <c r="D139" s="15" t="s">
        <v>179</v>
      </c>
      <c r="E139" s="20">
        <v>40</v>
      </c>
      <c r="F139" s="21">
        <v>384.80759999999998</v>
      </c>
      <c r="G139" s="22">
        <v>5.0000000000000001E-4</v>
      </c>
      <c r="H139" s="23">
        <v>7.5249999999999997E-2</v>
      </c>
      <c r="I139" s="41"/>
      <c r="J139" s="5"/>
    </row>
    <row r="140" spans="1:10" ht="12.95" customHeight="1">
      <c r="A140" s="18" t="s">
        <v>3660</v>
      </c>
      <c r="B140" s="19" t="s">
        <v>3661</v>
      </c>
      <c r="C140" s="15" t="s">
        <v>3662</v>
      </c>
      <c r="D140" s="15" t="s">
        <v>156</v>
      </c>
      <c r="E140" s="20">
        <v>300000</v>
      </c>
      <c r="F140" s="21">
        <v>301.01280000000003</v>
      </c>
      <c r="G140" s="22">
        <v>4.0000000000000002E-4</v>
      </c>
      <c r="H140" s="23">
        <v>7.5825000000000004E-2</v>
      </c>
      <c r="I140" s="41"/>
      <c r="J140" s="5"/>
    </row>
    <row r="141" spans="1:10" ht="12.95" customHeight="1">
      <c r="A141" s="18" t="s">
        <v>1193</v>
      </c>
      <c r="B141" s="19" t="s">
        <v>1194</v>
      </c>
      <c r="C141" s="15" t="s">
        <v>1195</v>
      </c>
      <c r="D141" s="15" t="s">
        <v>179</v>
      </c>
      <c r="E141" s="20">
        <v>30</v>
      </c>
      <c r="F141" s="21">
        <v>295.47059999999999</v>
      </c>
      <c r="G141" s="22">
        <v>4.0000000000000002E-4</v>
      </c>
      <c r="H141" s="23">
        <v>7.4999999999999997E-2</v>
      </c>
      <c r="I141" s="41"/>
      <c r="J141" s="5"/>
    </row>
    <row r="142" spans="1:10" ht="12.95" customHeight="1">
      <c r="A142" s="18" t="s">
        <v>3688</v>
      </c>
      <c r="B142" s="19" t="s">
        <v>3689</v>
      </c>
      <c r="C142" s="15" t="s">
        <v>3690</v>
      </c>
      <c r="D142" s="15" t="s">
        <v>156</v>
      </c>
      <c r="E142" s="20">
        <v>300000</v>
      </c>
      <c r="F142" s="21">
        <v>292.21080000000001</v>
      </c>
      <c r="G142" s="22">
        <v>4.0000000000000002E-4</v>
      </c>
      <c r="H142" s="23">
        <v>7.5516E-2</v>
      </c>
      <c r="I142" s="41"/>
      <c r="J142" s="5"/>
    </row>
    <row r="143" spans="1:10" ht="12.95" customHeight="1">
      <c r="A143" s="18" t="s">
        <v>3764</v>
      </c>
      <c r="B143" s="19" t="s">
        <v>3765</v>
      </c>
      <c r="C143" s="15" t="s">
        <v>3766</v>
      </c>
      <c r="D143" s="15" t="s">
        <v>156</v>
      </c>
      <c r="E143" s="20">
        <v>247200</v>
      </c>
      <c r="F143" s="21">
        <v>241.93690000000001</v>
      </c>
      <c r="G143" s="22">
        <v>2.9999999999999997E-4</v>
      </c>
      <c r="H143" s="23">
        <v>7.5001999999999999E-2</v>
      </c>
      <c r="I143" s="41"/>
      <c r="J143" s="5"/>
    </row>
    <row r="144" spans="1:10" ht="12.95" customHeight="1">
      <c r="A144" s="18" t="s">
        <v>4008</v>
      </c>
      <c r="B144" s="19" t="s">
        <v>4009</v>
      </c>
      <c r="C144" s="15" t="s">
        <v>4010</v>
      </c>
      <c r="D144" s="15" t="s">
        <v>156</v>
      </c>
      <c r="E144" s="20">
        <v>244400</v>
      </c>
      <c r="F144" s="21">
        <v>239.88249999999999</v>
      </c>
      <c r="G144" s="22">
        <v>2.9999999999999997E-4</v>
      </c>
      <c r="H144" s="23">
        <v>7.6077000000000006E-2</v>
      </c>
      <c r="I144" s="41"/>
      <c r="J144" s="5"/>
    </row>
    <row r="145" spans="1:10" ht="12.95" customHeight="1">
      <c r="A145" s="18" t="s">
        <v>1022</v>
      </c>
      <c r="B145" s="19" t="s">
        <v>1023</v>
      </c>
      <c r="C145" s="15" t="s">
        <v>1024</v>
      </c>
      <c r="D145" s="15" t="s">
        <v>156</v>
      </c>
      <c r="E145" s="20">
        <v>231100</v>
      </c>
      <c r="F145" s="21">
        <v>228.113</v>
      </c>
      <c r="G145" s="22">
        <v>2.9999999999999997E-4</v>
      </c>
      <c r="H145" s="23">
        <v>7.4629000000000001E-2</v>
      </c>
      <c r="I145" s="41"/>
      <c r="J145" s="5"/>
    </row>
    <row r="146" spans="1:10" ht="12.95" customHeight="1">
      <c r="A146" s="18" t="s">
        <v>3700</v>
      </c>
      <c r="B146" s="19" t="s">
        <v>3701</v>
      </c>
      <c r="C146" s="15" t="s">
        <v>3702</v>
      </c>
      <c r="D146" s="15" t="s">
        <v>179</v>
      </c>
      <c r="E146" s="20">
        <v>23</v>
      </c>
      <c r="F146" s="21">
        <v>221.4102</v>
      </c>
      <c r="G146" s="22">
        <v>2.9999999999999997E-4</v>
      </c>
      <c r="H146" s="23">
        <v>7.6600000000000001E-2</v>
      </c>
      <c r="I146" s="41"/>
      <c r="J146" s="5"/>
    </row>
    <row r="147" spans="1:10" ht="12.95" customHeight="1">
      <c r="A147" s="18" t="s">
        <v>3103</v>
      </c>
      <c r="B147" s="19" t="s">
        <v>3104</v>
      </c>
      <c r="C147" s="15" t="s">
        <v>3105</v>
      </c>
      <c r="D147" s="15" t="s">
        <v>156</v>
      </c>
      <c r="E147" s="20">
        <v>219200</v>
      </c>
      <c r="F147" s="21">
        <v>219.49529999999999</v>
      </c>
      <c r="G147" s="22">
        <v>2.9999999999999997E-4</v>
      </c>
      <c r="H147" s="23">
        <v>6.8629999999999997E-2</v>
      </c>
      <c r="I147" s="41"/>
      <c r="J147" s="5"/>
    </row>
    <row r="148" spans="1:10" ht="12.95" customHeight="1">
      <c r="A148" s="18" t="s">
        <v>2695</v>
      </c>
      <c r="B148" s="19" t="s">
        <v>2696</v>
      </c>
      <c r="C148" s="15" t="s">
        <v>2697</v>
      </c>
      <c r="D148" s="15" t="s">
        <v>156</v>
      </c>
      <c r="E148" s="20">
        <v>210000</v>
      </c>
      <c r="F148" s="21">
        <v>215.08750000000001</v>
      </c>
      <c r="G148" s="22">
        <v>2.9999999999999997E-4</v>
      </c>
      <c r="H148" s="23">
        <v>7.4015999999999998E-2</v>
      </c>
      <c r="I148" s="41"/>
      <c r="J148" s="5"/>
    </row>
    <row r="149" spans="1:10" ht="12.95" customHeight="1">
      <c r="A149" s="18" t="s">
        <v>1352</v>
      </c>
      <c r="B149" s="19" t="s">
        <v>1353</v>
      </c>
      <c r="C149" s="15" t="s">
        <v>1354</v>
      </c>
      <c r="D149" s="15" t="s">
        <v>179</v>
      </c>
      <c r="E149" s="20">
        <v>20</v>
      </c>
      <c r="F149" s="21">
        <v>206.02440000000001</v>
      </c>
      <c r="G149" s="22">
        <v>2.9999999999999997E-4</v>
      </c>
      <c r="H149" s="23">
        <v>7.8350000000000003E-2</v>
      </c>
      <c r="I149" s="41"/>
      <c r="J149" s="5"/>
    </row>
    <row r="150" spans="1:10" ht="12.95" customHeight="1">
      <c r="A150" s="18" t="s">
        <v>1271</v>
      </c>
      <c r="B150" s="19" t="s">
        <v>1272</v>
      </c>
      <c r="C150" s="15" t="s">
        <v>1273</v>
      </c>
      <c r="D150" s="15" t="s">
        <v>156</v>
      </c>
      <c r="E150" s="20">
        <v>200000</v>
      </c>
      <c r="F150" s="21">
        <v>200.40199999999999</v>
      </c>
      <c r="G150" s="22">
        <v>2.9999999999999997E-4</v>
      </c>
      <c r="H150" s="23">
        <v>7.6007000000000005E-2</v>
      </c>
      <c r="I150" s="41"/>
      <c r="J150" s="5"/>
    </row>
    <row r="151" spans="1:10" ht="12.95" customHeight="1">
      <c r="A151" s="18" t="s">
        <v>1280</v>
      </c>
      <c r="B151" s="19" t="s">
        <v>1261</v>
      </c>
      <c r="C151" s="15" t="s">
        <v>1281</v>
      </c>
      <c r="D151" s="15" t="s">
        <v>156</v>
      </c>
      <c r="E151" s="20">
        <v>200000</v>
      </c>
      <c r="F151" s="21">
        <v>200.35480000000001</v>
      </c>
      <c r="G151" s="22">
        <v>2.9999999999999997E-4</v>
      </c>
      <c r="H151" s="23">
        <v>7.5981000000000007E-2</v>
      </c>
      <c r="I151" s="41"/>
      <c r="J151" s="5"/>
    </row>
    <row r="152" spans="1:10" ht="12.95" customHeight="1">
      <c r="A152" s="18" t="s">
        <v>917</v>
      </c>
      <c r="B152" s="19" t="s">
        <v>918</v>
      </c>
      <c r="C152" s="15" t="s">
        <v>919</v>
      </c>
      <c r="D152" s="15" t="s">
        <v>156</v>
      </c>
      <c r="E152" s="20">
        <v>200000</v>
      </c>
      <c r="F152" s="21">
        <v>186.79259999999999</v>
      </c>
      <c r="G152" s="22">
        <v>2.9999999999999997E-4</v>
      </c>
      <c r="H152" s="23">
        <v>7.3524000000000006E-2</v>
      </c>
      <c r="I152" s="41"/>
      <c r="J152" s="5"/>
    </row>
    <row r="153" spans="1:10" ht="12.95" customHeight="1">
      <c r="A153" s="18" t="s">
        <v>1253</v>
      </c>
      <c r="B153" s="19" t="s">
        <v>1254</v>
      </c>
      <c r="C153" s="15" t="s">
        <v>1255</v>
      </c>
      <c r="D153" s="15" t="s">
        <v>156</v>
      </c>
      <c r="E153" s="20">
        <v>150000</v>
      </c>
      <c r="F153" s="21">
        <v>151.40100000000001</v>
      </c>
      <c r="G153" s="22">
        <v>2.0000000000000001E-4</v>
      </c>
      <c r="H153" s="23">
        <v>7.5173000000000004E-2</v>
      </c>
      <c r="I153" s="41"/>
      <c r="J153" s="5"/>
    </row>
    <row r="154" spans="1:10" ht="12.95" customHeight="1">
      <c r="A154" s="18" t="s">
        <v>1208</v>
      </c>
      <c r="B154" s="19" t="s">
        <v>1209</v>
      </c>
      <c r="C154" s="15" t="s">
        <v>1210</v>
      </c>
      <c r="D154" s="15" t="s">
        <v>179</v>
      </c>
      <c r="E154" s="20">
        <v>10</v>
      </c>
      <c r="F154" s="21">
        <v>101.0106</v>
      </c>
      <c r="G154" s="22">
        <v>1E-4</v>
      </c>
      <c r="H154" s="23">
        <v>7.6350000000000001E-2</v>
      </c>
      <c r="I154" s="41"/>
      <c r="J154" s="5"/>
    </row>
    <row r="155" spans="1:10" ht="12.95" customHeight="1">
      <c r="A155" s="18" t="s">
        <v>1361</v>
      </c>
      <c r="B155" s="19" t="s">
        <v>1362</v>
      </c>
      <c r="C155" s="15" t="s">
        <v>1363</v>
      </c>
      <c r="D155" s="15" t="s">
        <v>1364</v>
      </c>
      <c r="E155" s="20">
        <v>10</v>
      </c>
      <c r="F155" s="21">
        <v>100.0273</v>
      </c>
      <c r="G155" s="22">
        <v>1E-4</v>
      </c>
      <c r="H155" s="23">
        <v>7.6249999999999998E-2</v>
      </c>
      <c r="I155" s="41"/>
      <c r="J155" s="5"/>
    </row>
    <row r="156" spans="1:10" ht="12.95" customHeight="1">
      <c r="A156" s="18" t="s">
        <v>1149</v>
      </c>
      <c r="B156" s="19" t="s">
        <v>1150</v>
      </c>
      <c r="C156" s="15" t="s">
        <v>1151</v>
      </c>
      <c r="D156" s="15" t="s">
        <v>179</v>
      </c>
      <c r="E156" s="20">
        <v>9</v>
      </c>
      <c r="F156" s="21">
        <v>89.569400000000002</v>
      </c>
      <c r="G156" s="22">
        <v>1E-4</v>
      </c>
      <c r="H156" s="23">
        <v>7.7700000000000005E-2</v>
      </c>
      <c r="I156" s="41"/>
      <c r="J156" s="5"/>
    </row>
    <row r="157" spans="1:10" ht="12.95" customHeight="1">
      <c r="A157" s="18" t="s">
        <v>2728</v>
      </c>
      <c r="B157" s="19" t="s">
        <v>2729</v>
      </c>
      <c r="C157" s="15" t="s">
        <v>2730</v>
      </c>
      <c r="D157" s="15" t="s">
        <v>156</v>
      </c>
      <c r="E157" s="20">
        <v>90400</v>
      </c>
      <c r="F157" s="21">
        <v>89.202500000000001</v>
      </c>
      <c r="G157" s="22">
        <v>1E-4</v>
      </c>
      <c r="H157" s="23">
        <v>7.3384000000000005E-2</v>
      </c>
      <c r="I157" s="41"/>
      <c r="J157" s="5"/>
    </row>
    <row r="158" spans="1:10" ht="12.95" customHeight="1">
      <c r="A158" s="18" t="s">
        <v>4011</v>
      </c>
      <c r="B158" s="19" t="s">
        <v>4012</v>
      </c>
      <c r="C158" s="15" t="s">
        <v>4013</v>
      </c>
      <c r="D158" s="15" t="s">
        <v>156</v>
      </c>
      <c r="E158" s="20">
        <v>68700</v>
      </c>
      <c r="F158" s="21">
        <v>67.046499999999995</v>
      </c>
      <c r="G158" s="22">
        <v>1E-4</v>
      </c>
      <c r="H158" s="23">
        <v>7.4062000000000003E-2</v>
      </c>
      <c r="I158" s="41"/>
      <c r="J158" s="5"/>
    </row>
    <row r="159" spans="1:10" ht="12.95" customHeight="1">
      <c r="A159" s="18" t="s">
        <v>4014</v>
      </c>
      <c r="B159" s="19" t="s">
        <v>4015</v>
      </c>
      <c r="C159" s="15" t="s">
        <v>4016</v>
      </c>
      <c r="D159" s="15" t="s">
        <v>156</v>
      </c>
      <c r="E159" s="20">
        <v>60000</v>
      </c>
      <c r="F159" s="21">
        <v>61.0702</v>
      </c>
      <c r="G159" s="22">
        <v>1E-4</v>
      </c>
      <c r="H159" s="23">
        <v>7.3460999999999999E-2</v>
      </c>
      <c r="I159" s="41"/>
      <c r="J159" s="5"/>
    </row>
    <row r="160" spans="1:10" ht="12.95" customHeight="1">
      <c r="A160" s="18" t="s">
        <v>1013</v>
      </c>
      <c r="B160" s="19" t="s">
        <v>1014</v>
      </c>
      <c r="C160" s="15" t="s">
        <v>1015</v>
      </c>
      <c r="D160" s="15" t="s">
        <v>179</v>
      </c>
      <c r="E160" s="20">
        <v>5</v>
      </c>
      <c r="F160" s="21">
        <v>49.984000000000002</v>
      </c>
      <c r="G160" s="22">
        <v>1E-4</v>
      </c>
      <c r="H160" s="23">
        <v>7.8889000000000001E-2</v>
      </c>
      <c r="I160" s="41"/>
      <c r="J160" s="5"/>
    </row>
    <row r="161" spans="1:10" ht="12.95" customHeight="1">
      <c r="A161" s="18" t="s">
        <v>949</v>
      </c>
      <c r="B161" s="19" t="s">
        <v>950</v>
      </c>
      <c r="C161" s="15" t="s">
        <v>951</v>
      </c>
      <c r="D161" s="15" t="s">
        <v>156</v>
      </c>
      <c r="E161" s="20">
        <v>50000</v>
      </c>
      <c r="F161" s="21">
        <v>49.639699999999998</v>
      </c>
      <c r="G161" s="22">
        <v>1E-4</v>
      </c>
      <c r="H161" s="23">
        <v>7.5900999999999996E-2</v>
      </c>
      <c r="I161" s="41"/>
      <c r="J161" s="5"/>
    </row>
    <row r="162" spans="1:10" ht="12.95" customHeight="1">
      <c r="A162" s="18" t="s">
        <v>1565</v>
      </c>
      <c r="B162" s="19" t="s">
        <v>1566</v>
      </c>
      <c r="C162" s="15" t="s">
        <v>1567</v>
      </c>
      <c r="D162" s="15" t="s">
        <v>156</v>
      </c>
      <c r="E162" s="20">
        <v>35000</v>
      </c>
      <c r="F162" s="21">
        <v>36.788400000000003</v>
      </c>
      <c r="G162" s="40" t="s">
        <v>675</v>
      </c>
      <c r="H162" s="23">
        <v>7.4177000000000007E-2</v>
      </c>
      <c r="I162" s="41"/>
      <c r="J162" s="5"/>
    </row>
    <row r="163" spans="1:10" ht="12.95" customHeight="1">
      <c r="A163" s="18" t="s">
        <v>2698</v>
      </c>
      <c r="B163" s="19" t="s">
        <v>2699</v>
      </c>
      <c r="C163" s="15" t="s">
        <v>2700</v>
      </c>
      <c r="D163" s="15" t="s">
        <v>156</v>
      </c>
      <c r="E163" s="20">
        <v>20800</v>
      </c>
      <c r="F163" s="21">
        <v>21.120799999999999</v>
      </c>
      <c r="G163" s="40" t="s">
        <v>675</v>
      </c>
      <c r="H163" s="23">
        <v>7.3736999999999997E-2</v>
      </c>
      <c r="I163" s="41"/>
      <c r="J163" s="5"/>
    </row>
    <row r="164" spans="1:10" ht="12.95" customHeight="1">
      <c r="A164" s="18" t="s">
        <v>4017</v>
      </c>
      <c r="B164" s="19" t="s">
        <v>4018</v>
      </c>
      <c r="C164" s="15" t="s">
        <v>4019</v>
      </c>
      <c r="D164" s="15" t="s">
        <v>156</v>
      </c>
      <c r="E164" s="20">
        <v>14000</v>
      </c>
      <c r="F164" s="21">
        <v>14.188800000000001</v>
      </c>
      <c r="G164" s="40" t="s">
        <v>675</v>
      </c>
      <c r="H164" s="23">
        <v>7.5505000000000003E-2</v>
      </c>
      <c r="I164" s="41"/>
      <c r="J164" s="5"/>
    </row>
    <row r="165" spans="1:10" ht="12.95" customHeight="1">
      <c r="A165" s="18" t="s">
        <v>4020</v>
      </c>
      <c r="B165" s="19" t="s">
        <v>4021</v>
      </c>
      <c r="C165" s="15" t="s">
        <v>4022</v>
      </c>
      <c r="D165" s="15" t="s">
        <v>156</v>
      </c>
      <c r="E165" s="20">
        <v>9000</v>
      </c>
      <c r="F165" s="21">
        <v>9.8316999999999997</v>
      </c>
      <c r="G165" s="40" t="s">
        <v>675</v>
      </c>
      <c r="H165" s="23">
        <v>7.4231000000000005E-2</v>
      </c>
      <c r="I165" s="41"/>
      <c r="J165" s="5"/>
    </row>
    <row r="166" spans="1:10" ht="12.95" customHeight="1">
      <c r="A166" s="18" t="s">
        <v>666</v>
      </c>
      <c r="B166" s="19" t="s">
        <v>667</v>
      </c>
      <c r="C166" s="15" t="s">
        <v>668</v>
      </c>
      <c r="D166" s="15" t="s">
        <v>156</v>
      </c>
      <c r="E166" s="20">
        <v>6600</v>
      </c>
      <c r="F166" s="21">
        <v>6.1086</v>
      </c>
      <c r="G166" s="40" t="s">
        <v>675</v>
      </c>
      <c r="H166" s="23">
        <v>7.3551000000000005E-2</v>
      </c>
      <c r="I166" s="41"/>
      <c r="J166" s="5"/>
    </row>
    <row r="167" spans="1:10" ht="12.95" customHeight="1">
      <c r="A167" s="18" t="s">
        <v>2686</v>
      </c>
      <c r="B167" s="19" t="s">
        <v>2687</v>
      </c>
      <c r="C167" s="15" t="s">
        <v>2688</v>
      </c>
      <c r="D167" s="15" t="s">
        <v>156</v>
      </c>
      <c r="E167" s="20">
        <v>200</v>
      </c>
      <c r="F167" s="21">
        <v>0.20630000000000001</v>
      </c>
      <c r="G167" s="40" t="s">
        <v>675</v>
      </c>
      <c r="H167" s="23">
        <v>7.3913999999999994E-2</v>
      </c>
      <c r="I167" s="41"/>
      <c r="J167" s="5"/>
    </row>
    <row r="168" spans="1:10" ht="12.95" customHeight="1">
      <c r="A168" s="5"/>
      <c r="B168" s="14" t="s">
        <v>160</v>
      </c>
      <c r="C168" s="15"/>
      <c r="D168" s="15"/>
      <c r="E168" s="15"/>
      <c r="F168" s="25">
        <v>645863.58869999996</v>
      </c>
      <c r="G168" s="26">
        <v>0.87670000000000003</v>
      </c>
      <c r="H168" s="27"/>
      <c r="I168" s="28"/>
      <c r="J168" s="5"/>
    </row>
    <row r="169" spans="1:10" ht="12.95" customHeight="1">
      <c r="A169" s="5"/>
      <c r="B169" s="29" t="s">
        <v>161</v>
      </c>
      <c r="C169" s="2"/>
      <c r="D169" s="2"/>
      <c r="E169" s="2"/>
      <c r="F169" s="27" t="s">
        <v>162</v>
      </c>
      <c r="G169" s="27" t="s">
        <v>162</v>
      </c>
      <c r="H169" s="27"/>
      <c r="I169" s="28"/>
      <c r="J169" s="5"/>
    </row>
    <row r="170" spans="1:10" ht="12.95" customHeight="1">
      <c r="A170" s="5"/>
      <c r="B170" s="29" t="s">
        <v>160</v>
      </c>
      <c r="C170" s="2"/>
      <c r="D170" s="2"/>
      <c r="E170" s="2"/>
      <c r="F170" s="27" t="s">
        <v>162</v>
      </c>
      <c r="G170" s="27" t="s">
        <v>162</v>
      </c>
      <c r="H170" s="27"/>
      <c r="I170" s="28"/>
      <c r="J170" s="5"/>
    </row>
    <row r="171" spans="1:10" ht="12.95" customHeight="1">
      <c r="A171" s="5"/>
      <c r="B171" s="14" t="s">
        <v>1176</v>
      </c>
      <c r="C171" s="15"/>
      <c r="D171" s="15"/>
      <c r="E171" s="15"/>
      <c r="F171" s="5"/>
      <c r="G171" s="16"/>
      <c r="H171" s="16"/>
      <c r="I171" s="17"/>
      <c r="J171" s="5"/>
    </row>
    <row r="172" spans="1:10" ht="12.95" customHeight="1">
      <c r="A172" s="18" t="s">
        <v>4023</v>
      </c>
      <c r="B172" s="19" t="s">
        <v>4024</v>
      </c>
      <c r="C172" s="15" t="s">
        <v>4025</v>
      </c>
      <c r="D172" s="15" t="s">
        <v>1180</v>
      </c>
      <c r="E172" s="20">
        <v>30</v>
      </c>
      <c r="F172" s="21">
        <v>2888.4312</v>
      </c>
      <c r="G172" s="22">
        <v>3.8999999999999998E-3</v>
      </c>
      <c r="H172" s="23">
        <v>7.7040999999999998E-2</v>
      </c>
      <c r="I172" s="41"/>
      <c r="J172" s="5"/>
    </row>
    <row r="173" spans="1:10" ht="12.95" customHeight="1">
      <c r="A173" s="18" t="s">
        <v>4026</v>
      </c>
      <c r="B173" s="19" t="s">
        <v>4027</v>
      </c>
      <c r="C173" s="15" t="s">
        <v>4028</v>
      </c>
      <c r="D173" s="15" t="s">
        <v>1180</v>
      </c>
      <c r="E173" s="20">
        <v>30</v>
      </c>
      <c r="F173" s="21">
        <v>2834.4142000000002</v>
      </c>
      <c r="G173" s="22">
        <v>3.8E-3</v>
      </c>
      <c r="H173" s="23">
        <v>7.7822000000000002E-2</v>
      </c>
      <c r="I173" s="41"/>
      <c r="J173" s="5"/>
    </row>
    <row r="174" spans="1:10" ht="12.95" customHeight="1">
      <c r="A174" s="18" t="s">
        <v>1181</v>
      </c>
      <c r="B174" s="19" t="s">
        <v>1182</v>
      </c>
      <c r="C174" s="15" t="s">
        <v>1183</v>
      </c>
      <c r="D174" s="15" t="s">
        <v>1180</v>
      </c>
      <c r="E174" s="20">
        <v>25</v>
      </c>
      <c r="F174" s="21">
        <v>2272.9063000000001</v>
      </c>
      <c r="G174" s="22">
        <v>3.0999999999999999E-3</v>
      </c>
      <c r="H174" s="23">
        <v>7.9027E-2</v>
      </c>
      <c r="I174" s="41"/>
      <c r="J174" s="5"/>
    </row>
    <row r="175" spans="1:10" ht="12.95" customHeight="1">
      <c r="A175" s="18" t="s">
        <v>1177</v>
      </c>
      <c r="B175" s="19" t="s">
        <v>1178</v>
      </c>
      <c r="C175" s="15" t="s">
        <v>1179</v>
      </c>
      <c r="D175" s="15" t="s">
        <v>1180</v>
      </c>
      <c r="E175" s="20">
        <v>13</v>
      </c>
      <c r="F175" s="21">
        <v>1275.3601000000001</v>
      </c>
      <c r="G175" s="22">
        <v>1.6999999999999999E-3</v>
      </c>
      <c r="H175" s="23">
        <v>7.6649999999999996E-2</v>
      </c>
      <c r="I175" s="41"/>
      <c r="J175" s="5"/>
    </row>
    <row r="176" spans="1:10" ht="12.95" customHeight="1">
      <c r="A176" s="18" t="s">
        <v>2701</v>
      </c>
      <c r="B176" s="19" t="s">
        <v>2702</v>
      </c>
      <c r="C176" s="15" t="s">
        <v>2703</v>
      </c>
      <c r="D176" s="15" t="s">
        <v>1180</v>
      </c>
      <c r="E176" s="20">
        <v>7</v>
      </c>
      <c r="F176" s="21">
        <v>648.7328</v>
      </c>
      <c r="G176" s="22">
        <v>8.9999999999999998E-4</v>
      </c>
      <c r="H176" s="23">
        <v>7.8801999999999997E-2</v>
      </c>
      <c r="I176" s="41"/>
      <c r="J176" s="5"/>
    </row>
    <row r="177" spans="1:10" ht="12.95" customHeight="1">
      <c r="A177" s="5"/>
      <c r="B177" s="14" t="s">
        <v>160</v>
      </c>
      <c r="C177" s="15"/>
      <c r="D177" s="15"/>
      <c r="E177" s="15"/>
      <c r="F177" s="25">
        <v>9919.8446000000004</v>
      </c>
      <c r="G177" s="26">
        <v>1.35E-2</v>
      </c>
      <c r="H177" s="27"/>
      <c r="I177" s="28"/>
      <c r="J177" s="5"/>
    </row>
    <row r="178" spans="1:10" ht="12.95" customHeight="1">
      <c r="A178" s="5"/>
      <c r="B178" s="29" t="s">
        <v>163</v>
      </c>
      <c r="C178" s="30"/>
      <c r="D178" s="2"/>
      <c r="E178" s="30"/>
      <c r="F178" s="25">
        <v>655783.43330000003</v>
      </c>
      <c r="G178" s="26">
        <v>0.89019999999999999</v>
      </c>
      <c r="H178" s="27"/>
      <c r="I178" s="28"/>
      <c r="J178" s="5"/>
    </row>
    <row r="179" spans="1:10" ht="12.95" customHeight="1">
      <c r="A179" s="5"/>
      <c r="B179" s="14" t="s">
        <v>417</v>
      </c>
      <c r="C179" s="15"/>
      <c r="D179" s="15"/>
      <c r="E179" s="15"/>
      <c r="F179" s="15"/>
      <c r="G179" s="15"/>
      <c r="H179" s="16"/>
      <c r="I179" s="17"/>
      <c r="J179" s="5"/>
    </row>
    <row r="180" spans="1:10" ht="12.95" customHeight="1">
      <c r="A180" s="5"/>
      <c r="B180" s="14" t="s">
        <v>679</v>
      </c>
      <c r="C180" s="15"/>
      <c r="D180" s="15"/>
      <c r="E180" s="15"/>
      <c r="F180" s="5"/>
      <c r="G180" s="16"/>
      <c r="H180" s="16"/>
      <c r="I180" s="17"/>
      <c r="J180" s="5"/>
    </row>
    <row r="181" spans="1:10" ht="12.95" customHeight="1">
      <c r="A181" s="18" t="s">
        <v>3178</v>
      </c>
      <c r="B181" s="19" t="s">
        <v>3179</v>
      </c>
      <c r="C181" s="15" t="s">
        <v>3180</v>
      </c>
      <c r="D181" s="15" t="s">
        <v>2099</v>
      </c>
      <c r="E181" s="20">
        <v>1500</v>
      </c>
      <c r="F181" s="21">
        <v>6998.5574999999999</v>
      </c>
      <c r="G181" s="22">
        <v>9.4999999999999998E-3</v>
      </c>
      <c r="H181" s="23">
        <v>7.5149999999999995E-2</v>
      </c>
      <c r="I181" s="41"/>
      <c r="J181" s="5"/>
    </row>
    <row r="182" spans="1:10" ht="12.95" customHeight="1">
      <c r="A182" s="5"/>
      <c r="B182" s="14" t="s">
        <v>160</v>
      </c>
      <c r="C182" s="15"/>
      <c r="D182" s="15"/>
      <c r="E182" s="15"/>
      <c r="F182" s="25">
        <v>6998.5574999999999</v>
      </c>
      <c r="G182" s="26">
        <v>9.4999999999999998E-3</v>
      </c>
      <c r="H182" s="27"/>
      <c r="I182" s="28"/>
      <c r="J182" s="5"/>
    </row>
    <row r="183" spans="1:10" ht="12.95" customHeight="1">
      <c r="A183" s="5"/>
      <c r="B183" s="29" t="s">
        <v>163</v>
      </c>
      <c r="C183" s="30"/>
      <c r="D183" s="2"/>
      <c r="E183" s="30"/>
      <c r="F183" s="25">
        <v>6998.5574999999999</v>
      </c>
      <c r="G183" s="26">
        <v>9.4999999999999998E-3</v>
      </c>
      <c r="H183" s="27"/>
      <c r="I183" s="28"/>
      <c r="J183" s="5"/>
    </row>
    <row r="184" spans="1:10" ht="12.95" customHeight="1">
      <c r="A184" s="5"/>
      <c r="B184" s="14" t="s">
        <v>164</v>
      </c>
      <c r="C184" s="15"/>
      <c r="D184" s="15"/>
      <c r="E184" s="15"/>
      <c r="F184" s="15"/>
      <c r="G184" s="15"/>
      <c r="H184" s="16"/>
      <c r="I184" s="17"/>
      <c r="J184" s="5"/>
    </row>
    <row r="185" spans="1:10" ht="12.95" customHeight="1">
      <c r="A185" s="18" t="s">
        <v>165</v>
      </c>
      <c r="B185" s="19" t="s">
        <v>166</v>
      </c>
      <c r="C185" s="15"/>
      <c r="D185" s="15"/>
      <c r="E185" s="20"/>
      <c r="F185" s="21">
        <v>65966.471900000004</v>
      </c>
      <c r="G185" s="22">
        <v>8.9499999999999996E-2</v>
      </c>
      <c r="H185" s="23">
        <v>6.7996829688028088E-2</v>
      </c>
      <c r="I185" s="41"/>
      <c r="J185" s="5"/>
    </row>
    <row r="186" spans="1:10" ht="12.95" customHeight="1">
      <c r="A186" s="5"/>
      <c r="B186" s="14" t="s">
        <v>160</v>
      </c>
      <c r="C186" s="15"/>
      <c r="D186" s="15"/>
      <c r="E186" s="15"/>
      <c r="F186" s="25">
        <v>65966.471900000004</v>
      </c>
      <c r="G186" s="26">
        <v>8.9499999999999996E-2</v>
      </c>
      <c r="H186" s="27"/>
      <c r="I186" s="28"/>
      <c r="J186" s="5"/>
    </row>
    <row r="187" spans="1:10" ht="12.95" customHeight="1">
      <c r="A187" s="5"/>
      <c r="B187" s="29" t="s">
        <v>163</v>
      </c>
      <c r="C187" s="30"/>
      <c r="D187" s="2"/>
      <c r="E187" s="30"/>
      <c r="F187" s="25">
        <v>65966.471900000004</v>
      </c>
      <c r="G187" s="26">
        <v>8.9499999999999996E-2</v>
      </c>
      <c r="H187" s="27"/>
      <c r="I187" s="28"/>
      <c r="J187" s="5"/>
    </row>
    <row r="188" spans="1:10" ht="12.95" customHeight="1">
      <c r="A188" s="5"/>
      <c r="B188" s="29" t="s">
        <v>167</v>
      </c>
      <c r="C188" s="15"/>
      <c r="D188" s="2"/>
      <c r="E188" s="15"/>
      <c r="F188" s="31">
        <v>8191.0717999999997</v>
      </c>
      <c r="G188" s="26">
        <v>1.12E-2</v>
      </c>
      <c r="H188" s="27"/>
      <c r="I188" s="28"/>
      <c r="J188" s="5"/>
    </row>
    <row r="189" spans="1:10" ht="12.95" customHeight="1">
      <c r="A189" s="5"/>
      <c r="B189" s="32" t="s">
        <v>168</v>
      </c>
      <c r="C189" s="33"/>
      <c r="D189" s="33"/>
      <c r="E189" s="33"/>
      <c r="F189" s="34">
        <v>736657.71</v>
      </c>
      <c r="G189" s="35">
        <v>1</v>
      </c>
      <c r="H189" s="36"/>
      <c r="I189" s="37"/>
      <c r="J189" s="5"/>
    </row>
    <row r="190" spans="1:10" ht="12.95" customHeight="1">
      <c r="A190" s="5"/>
      <c r="B190" s="7"/>
      <c r="C190" s="5"/>
      <c r="D190" s="5"/>
      <c r="E190" s="5"/>
      <c r="F190" s="5"/>
      <c r="G190" s="5"/>
      <c r="H190" s="5"/>
      <c r="I190" s="5"/>
      <c r="J190" s="5"/>
    </row>
    <row r="191" spans="1:10" ht="12.95" customHeight="1">
      <c r="A191" s="5"/>
      <c r="B191" s="4" t="s">
        <v>1188</v>
      </c>
      <c r="C191" s="5"/>
      <c r="D191" s="5"/>
      <c r="E191" s="5"/>
      <c r="F191" s="5"/>
      <c r="G191" s="5"/>
      <c r="H191" s="5"/>
      <c r="I191" s="5"/>
      <c r="J191" s="5"/>
    </row>
    <row r="192" spans="1:10" ht="12.95" customHeight="1">
      <c r="A192" s="5"/>
      <c r="B192" s="4" t="s">
        <v>207</v>
      </c>
      <c r="C192" s="5"/>
      <c r="D192" s="5"/>
      <c r="E192" s="5"/>
      <c r="F192" s="5"/>
      <c r="G192" s="5"/>
      <c r="H192" s="5"/>
      <c r="I192" s="5"/>
      <c r="J192" s="5"/>
    </row>
    <row r="193" spans="1:10" ht="12.95" customHeight="1">
      <c r="A193" s="5"/>
      <c r="B193" s="4" t="s">
        <v>685</v>
      </c>
      <c r="C193" s="5"/>
      <c r="D193" s="5"/>
      <c r="E193" s="5"/>
      <c r="F193" s="5"/>
      <c r="G193" s="5"/>
      <c r="H193" s="5"/>
      <c r="I193" s="5"/>
      <c r="J193" s="5"/>
    </row>
    <row r="194" spans="1:10" ht="12.95" customHeight="1">
      <c r="A194" s="5"/>
      <c r="B194" s="4" t="s">
        <v>170</v>
      </c>
      <c r="C194" s="5"/>
      <c r="D194" s="5"/>
      <c r="E194" s="5"/>
      <c r="F194" s="5"/>
      <c r="G194" s="5"/>
      <c r="H194" s="5"/>
      <c r="I194" s="5"/>
      <c r="J194" s="5"/>
    </row>
    <row r="195" spans="1:10" ht="26.1" customHeight="1">
      <c r="A195" s="5"/>
      <c r="B195" s="86" t="s">
        <v>171</v>
      </c>
      <c r="C195" s="86"/>
      <c r="D195" s="86"/>
      <c r="E195" s="86"/>
      <c r="F195" s="86"/>
      <c r="G195" s="86"/>
      <c r="H195" s="86"/>
      <c r="I195" s="86"/>
      <c r="J195" s="5"/>
    </row>
    <row r="196" spans="1:10" ht="12.95" customHeight="1">
      <c r="A196" s="5"/>
      <c r="B196" s="86"/>
      <c r="C196" s="86"/>
      <c r="D196" s="86"/>
      <c r="E196" s="86"/>
      <c r="F196" s="86"/>
      <c r="G196" s="86"/>
      <c r="H196" s="86"/>
      <c r="I196" s="86"/>
      <c r="J196" s="5"/>
    </row>
    <row r="197" spans="1:10" ht="12.95" customHeight="1">
      <c r="A197" s="5"/>
      <c r="B197" s="89" t="s">
        <v>4029</v>
      </c>
      <c r="C197" s="89"/>
      <c r="D197" s="89"/>
      <c r="E197" s="89"/>
      <c r="F197" s="5"/>
      <c r="G197" s="5"/>
      <c r="H197" s="5"/>
      <c r="I197" s="5"/>
      <c r="J197" s="5"/>
    </row>
    <row r="198" spans="1:10" ht="12.95" customHeight="1">
      <c r="A198" s="5"/>
      <c r="B198" s="86"/>
      <c r="C198" s="86"/>
      <c r="D198" s="86"/>
      <c r="E198" s="86"/>
      <c r="F198" s="86"/>
      <c r="G198" s="86"/>
      <c r="H198" s="86"/>
      <c r="I198" s="86"/>
      <c r="J198" s="5"/>
    </row>
    <row r="199" spans="1:10" ht="12.95" customHeight="1">
      <c r="A199" s="5"/>
      <c r="B199" s="5"/>
      <c r="C199" s="87" t="s">
        <v>4030</v>
      </c>
      <c r="D199" s="87"/>
      <c r="E199" s="87"/>
      <c r="F199" s="87"/>
      <c r="G199" s="5"/>
      <c r="H199" s="5"/>
      <c r="I199" s="5"/>
      <c r="J199" s="5"/>
    </row>
    <row r="200" spans="1:10" ht="12.95" customHeight="1">
      <c r="A200" s="5"/>
      <c r="B200" s="38" t="s">
        <v>173</v>
      </c>
      <c r="C200" s="87" t="s">
        <v>174</v>
      </c>
      <c r="D200" s="87"/>
      <c r="E200" s="87"/>
      <c r="F200" s="87"/>
      <c r="G200" s="5"/>
      <c r="H200" s="5"/>
      <c r="I200" s="5"/>
      <c r="J200" s="5"/>
    </row>
    <row r="201" spans="1:10" ht="120.95" customHeight="1">
      <c r="A201" s="5"/>
      <c r="B201" s="39"/>
      <c r="C201" s="85"/>
      <c r="D201" s="85"/>
      <c r="E201" s="5"/>
      <c r="F201" s="5"/>
      <c r="G201" s="5"/>
      <c r="H201" s="5"/>
      <c r="I201" s="5"/>
      <c r="J201" s="5"/>
    </row>
  </sheetData>
  <mergeCells count="7">
    <mergeCell ref="C200:F200"/>
    <mergeCell ref="C201:D201"/>
    <mergeCell ref="B195:I195"/>
    <mergeCell ref="B196:I196"/>
    <mergeCell ref="B197:E197"/>
    <mergeCell ref="B198:I198"/>
    <mergeCell ref="C199:F199"/>
  </mergeCells>
  <conditionalFormatting sqref="A7:A24">
    <cfRule type="duplicateValues" dxfId="0" priority="6"/>
  </conditionalFormatting>
  <hyperlinks>
    <hyperlink ref="A1" location="AxisShortTermFund" display="AXISSTF" xr:uid="{00000000-0004-0000-3E00-000000000000}"/>
    <hyperlink ref="B1" location="AxisShortTermFund" display="Axis Short Term Fund" xr:uid="{00000000-0004-0000-3E00-000001000000}"/>
  </hyperlinks>
  <pageMargins left="0" right="0" top="0" bottom="0" header="0" footer="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/>
  </sheetPr>
  <dimension ref="A1:J16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128</v>
      </c>
      <c r="B1" s="4" t="s">
        <v>129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409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953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4031</v>
      </c>
      <c r="B7" s="19" t="s">
        <v>4032</v>
      </c>
      <c r="C7" s="15"/>
      <c r="D7" s="15"/>
      <c r="E7" s="42"/>
      <c r="F7" s="21">
        <v>-7.82</v>
      </c>
      <c r="G7" s="40" t="s">
        <v>675</v>
      </c>
      <c r="H7" s="40"/>
      <c r="I7" s="24"/>
      <c r="J7" s="5"/>
    </row>
    <row r="8" spans="1:10" ht="12.95" customHeight="1">
      <c r="A8" s="18" t="s">
        <v>4033</v>
      </c>
      <c r="B8" s="19" t="s">
        <v>4034</v>
      </c>
      <c r="C8" s="15"/>
      <c r="D8" s="15"/>
      <c r="E8" s="42"/>
      <c r="F8" s="21">
        <v>-11.47</v>
      </c>
      <c r="G8" s="40" t="s">
        <v>675</v>
      </c>
      <c r="H8" s="40"/>
      <c r="I8" s="24"/>
      <c r="J8" s="5"/>
    </row>
    <row r="9" spans="1:10" ht="12.95" customHeight="1">
      <c r="A9" s="18" t="s">
        <v>4035</v>
      </c>
      <c r="B9" s="19" t="s">
        <v>4036</v>
      </c>
      <c r="C9" s="15"/>
      <c r="D9" s="15"/>
      <c r="E9" s="42"/>
      <c r="F9" s="21">
        <v>-37.424999999999997</v>
      </c>
      <c r="G9" s="22">
        <v>-1E-4</v>
      </c>
      <c r="H9" s="40"/>
      <c r="I9" s="24"/>
      <c r="J9" s="5"/>
    </row>
    <row r="10" spans="1:10" ht="12.95" customHeight="1">
      <c r="A10" s="5"/>
      <c r="B10" s="14" t="s">
        <v>160</v>
      </c>
      <c r="C10" s="15"/>
      <c r="D10" s="15"/>
      <c r="E10" s="15"/>
      <c r="F10" s="25">
        <v>-56.715000000000003</v>
      </c>
      <c r="G10" s="26">
        <v>-1E-4</v>
      </c>
      <c r="H10" s="27"/>
      <c r="I10" s="28"/>
      <c r="J10" s="5"/>
    </row>
    <row r="11" spans="1:10" ht="12.95" customHeight="1">
      <c r="A11" s="5"/>
      <c r="B11" s="29" t="s">
        <v>163</v>
      </c>
      <c r="C11" s="30"/>
      <c r="D11" s="2"/>
      <c r="E11" s="30"/>
      <c r="F11" s="25">
        <v>-56.715000000000003</v>
      </c>
      <c r="G11" s="26">
        <v>-1E-4</v>
      </c>
      <c r="H11" s="27"/>
      <c r="I11" s="28"/>
      <c r="J11" s="5"/>
    </row>
    <row r="12" spans="1:10" ht="12.95" customHeight="1">
      <c r="A12" s="5"/>
      <c r="B12" s="14" t="s">
        <v>151</v>
      </c>
      <c r="C12" s="15"/>
      <c r="D12" s="15"/>
      <c r="E12" s="15"/>
      <c r="F12" s="15"/>
      <c r="G12" s="15"/>
      <c r="H12" s="16"/>
      <c r="I12" s="17"/>
      <c r="J12" s="5"/>
    </row>
    <row r="13" spans="1:10" ht="12.95" customHeight="1">
      <c r="A13" s="5"/>
      <c r="B13" s="14" t="s">
        <v>152</v>
      </c>
      <c r="C13" s="15"/>
      <c r="D13" s="15"/>
      <c r="E13" s="15"/>
      <c r="F13" s="5"/>
      <c r="G13" s="16"/>
      <c r="H13" s="16"/>
      <c r="I13" s="17"/>
      <c r="J13" s="5"/>
    </row>
    <row r="14" spans="1:10" ht="12.95" customHeight="1">
      <c r="A14" s="18" t="s">
        <v>4037</v>
      </c>
      <c r="B14" s="19" t="s">
        <v>4038</v>
      </c>
      <c r="C14" s="15" t="s">
        <v>4039</v>
      </c>
      <c r="D14" s="15" t="s">
        <v>179</v>
      </c>
      <c r="E14" s="20">
        <v>30000</v>
      </c>
      <c r="F14" s="21">
        <v>30029.040000000001</v>
      </c>
      <c r="G14" s="22">
        <v>4.9599999999999998E-2</v>
      </c>
      <c r="H14" s="23">
        <v>7.4125999999999997E-2</v>
      </c>
      <c r="I14" s="24"/>
      <c r="J14" s="5"/>
    </row>
    <row r="15" spans="1:10" ht="12.95" customHeight="1">
      <c r="A15" s="18" t="s">
        <v>974</v>
      </c>
      <c r="B15" s="19" t="s">
        <v>975</v>
      </c>
      <c r="C15" s="15" t="s">
        <v>976</v>
      </c>
      <c r="D15" s="15" t="s">
        <v>156</v>
      </c>
      <c r="E15" s="20">
        <v>19000000</v>
      </c>
      <c r="F15" s="21">
        <v>19372.894</v>
      </c>
      <c r="G15" s="22">
        <v>3.2000000000000001E-2</v>
      </c>
      <c r="H15" s="23"/>
      <c r="I15" s="24"/>
      <c r="J15" s="5"/>
    </row>
    <row r="16" spans="1:10" ht="12.95" customHeight="1">
      <c r="A16" s="18" t="s">
        <v>3097</v>
      </c>
      <c r="B16" s="19" t="s">
        <v>3098</v>
      </c>
      <c r="C16" s="15" t="s">
        <v>3099</v>
      </c>
      <c r="D16" s="15" t="s">
        <v>156</v>
      </c>
      <c r="E16" s="20">
        <v>15000000</v>
      </c>
      <c r="F16" s="21">
        <v>15093.81</v>
      </c>
      <c r="G16" s="22">
        <v>2.4899999999999999E-2</v>
      </c>
      <c r="H16" s="23">
        <v>7.0380999999999999E-2</v>
      </c>
      <c r="I16" s="24"/>
      <c r="J16" s="5"/>
    </row>
    <row r="17" spans="1:10" ht="12.95" customHeight="1">
      <c r="A17" s="18" t="s">
        <v>3894</v>
      </c>
      <c r="B17" s="19" t="s">
        <v>3895</v>
      </c>
      <c r="C17" s="15" t="s">
        <v>3896</v>
      </c>
      <c r="D17" s="15" t="s">
        <v>432</v>
      </c>
      <c r="E17" s="20">
        <v>1000</v>
      </c>
      <c r="F17" s="21">
        <v>9993.61</v>
      </c>
      <c r="G17" s="22">
        <v>1.6500000000000001E-2</v>
      </c>
      <c r="H17" s="23">
        <v>7.9100000000000004E-2</v>
      </c>
      <c r="I17" s="24"/>
      <c r="J17" s="5"/>
    </row>
    <row r="18" spans="1:10" ht="12.95" customHeight="1">
      <c r="A18" s="18" t="s">
        <v>3927</v>
      </c>
      <c r="B18" s="19" t="s">
        <v>3928</v>
      </c>
      <c r="C18" s="15" t="s">
        <v>3929</v>
      </c>
      <c r="D18" s="15" t="s">
        <v>179</v>
      </c>
      <c r="E18" s="20">
        <v>1000</v>
      </c>
      <c r="F18" s="21">
        <v>9903.7000000000007</v>
      </c>
      <c r="G18" s="22">
        <v>1.6400000000000001E-2</v>
      </c>
      <c r="H18" s="23">
        <v>7.3249999999999996E-2</v>
      </c>
      <c r="I18" s="24"/>
      <c r="J18" s="5"/>
    </row>
    <row r="19" spans="1:10" ht="12.95" customHeight="1">
      <c r="A19" s="18" t="s">
        <v>977</v>
      </c>
      <c r="B19" s="19" t="s">
        <v>978</v>
      </c>
      <c r="C19" s="15" t="s">
        <v>979</v>
      </c>
      <c r="D19" s="15" t="s">
        <v>156</v>
      </c>
      <c r="E19" s="20">
        <v>9500000</v>
      </c>
      <c r="F19" s="21">
        <v>9462.1139999999996</v>
      </c>
      <c r="G19" s="22">
        <v>1.5599999999999999E-2</v>
      </c>
      <c r="H19" s="23">
        <v>7.3778999999999997E-2</v>
      </c>
      <c r="I19" s="24"/>
      <c r="J19" s="5"/>
    </row>
    <row r="20" spans="1:10" ht="12.95" customHeight="1">
      <c r="A20" s="18" t="s">
        <v>896</v>
      </c>
      <c r="B20" s="19" t="s">
        <v>897</v>
      </c>
      <c r="C20" s="15" t="s">
        <v>898</v>
      </c>
      <c r="D20" s="15" t="s">
        <v>156</v>
      </c>
      <c r="E20" s="20">
        <v>7500000</v>
      </c>
      <c r="F20" s="21">
        <v>7532.04</v>
      </c>
      <c r="G20" s="22">
        <v>1.24E-2</v>
      </c>
      <c r="H20" s="23">
        <v>7.3730000000000004E-2</v>
      </c>
      <c r="I20" s="24"/>
      <c r="J20" s="5"/>
    </row>
    <row r="21" spans="1:10" ht="12.95" customHeight="1">
      <c r="A21" s="18" t="s">
        <v>4040</v>
      </c>
      <c r="B21" s="19" t="s">
        <v>4041</v>
      </c>
      <c r="C21" s="15" t="s">
        <v>4042</v>
      </c>
      <c r="D21" s="15" t="s">
        <v>179</v>
      </c>
      <c r="E21" s="20">
        <v>750</v>
      </c>
      <c r="F21" s="21">
        <v>7443.5924999999997</v>
      </c>
      <c r="G21" s="22">
        <v>1.23E-2</v>
      </c>
      <c r="H21" s="23">
        <v>7.7251E-2</v>
      </c>
      <c r="I21" s="24"/>
      <c r="J21" s="5"/>
    </row>
    <row r="22" spans="1:10" ht="12.95" customHeight="1">
      <c r="A22" s="18" t="s">
        <v>3942</v>
      </c>
      <c r="B22" s="19" t="s">
        <v>3943</v>
      </c>
      <c r="C22" s="15" t="s">
        <v>3944</v>
      </c>
      <c r="D22" s="15" t="s">
        <v>432</v>
      </c>
      <c r="E22" s="20">
        <v>750</v>
      </c>
      <c r="F22" s="21">
        <v>7424.3850000000002</v>
      </c>
      <c r="G22" s="22">
        <v>1.23E-2</v>
      </c>
      <c r="H22" s="23">
        <v>7.4300000000000005E-2</v>
      </c>
      <c r="I22" s="24"/>
      <c r="J22" s="5"/>
    </row>
    <row r="23" spans="1:10" ht="12.95" customHeight="1">
      <c r="A23" s="18" t="s">
        <v>4043</v>
      </c>
      <c r="B23" s="19" t="s">
        <v>4044</v>
      </c>
      <c r="C23" s="15" t="s">
        <v>4045</v>
      </c>
      <c r="D23" s="15" t="s">
        <v>179</v>
      </c>
      <c r="E23" s="20">
        <v>750</v>
      </c>
      <c r="F23" s="21">
        <v>7400.5725000000002</v>
      </c>
      <c r="G23" s="22">
        <v>1.2200000000000001E-2</v>
      </c>
      <c r="H23" s="23">
        <v>7.5850000000000001E-2</v>
      </c>
      <c r="I23" s="24"/>
      <c r="J23" s="5"/>
    </row>
    <row r="24" spans="1:10" ht="12.95" customHeight="1">
      <c r="A24" s="18" t="s">
        <v>2597</v>
      </c>
      <c r="B24" s="19" t="s">
        <v>2598</v>
      </c>
      <c r="C24" s="15" t="s">
        <v>2599</v>
      </c>
      <c r="D24" s="15" t="s">
        <v>1654</v>
      </c>
      <c r="E24" s="20">
        <v>650</v>
      </c>
      <c r="F24" s="21">
        <v>6511.4660000000003</v>
      </c>
      <c r="G24" s="22">
        <v>1.0800000000000001E-2</v>
      </c>
      <c r="H24" s="23">
        <v>8.4900000000000003E-2</v>
      </c>
      <c r="I24" s="24"/>
      <c r="J24" s="5"/>
    </row>
    <row r="25" spans="1:10" ht="12.95" customHeight="1">
      <c r="A25" s="18" t="s">
        <v>1113</v>
      </c>
      <c r="B25" s="19" t="s">
        <v>1114</v>
      </c>
      <c r="C25" s="15" t="s">
        <v>1115</v>
      </c>
      <c r="D25" s="15" t="s">
        <v>179</v>
      </c>
      <c r="E25" s="20">
        <v>650</v>
      </c>
      <c r="F25" s="21">
        <v>6307.9314999999997</v>
      </c>
      <c r="G25" s="22">
        <v>1.04E-2</v>
      </c>
      <c r="H25" s="23">
        <v>7.6071E-2</v>
      </c>
      <c r="I25" s="24"/>
      <c r="J25" s="5"/>
    </row>
    <row r="26" spans="1:10" ht="12.95" customHeight="1">
      <c r="A26" s="18" t="s">
        <v>4046</v>
      </c>
      <c r="B26" s="19" t="s">
        <v>4047</v>
      </c>
      <c r="C26" s="15" t="s">
        <v>4048</v>
      </c>
      <c r="D26" s="15" t="s">
        <v>179</v>
      </c>
      <c r="E26" s="20">
        <v>600</v>
      </c>
      <c r="F26" s="21">
        <v>6024.4260000000004</v>
      </c>
      <c r="G26" s="22">
        <v>0.01</v>
      </c>
      <c r="H26" s="23">
        <v>7.4300000000000005E-2</v>
      </c>
      <c r="I26" s="24"/>
      <c r="J26" s="5"/>
    </row>
    <row r="27" spans="1:10" ht="12.95" customHeight="1">
      <c r="A27" s="18" t="s">
        <v>1208</v>
      </c>
      <c r="B27" s="19" t="s">
        <v>1209</v>
      </c>
      <c r="C27" s="15" t="s">
        <v>1210</v>
      </c>
      <c r="D27" s="15" t="s">
        <v>179</v>
      </c>
      <c r="E27" s="20">
        <v>500</v>
      </c>
      <c r="F27" s="21">
        <v>5050.53</v>
      </c>
      <c r="G27" s="22">
        <v>8.3000000000000001E-3</v>
      </c>
      <c r="H27" s="23">
        <v>7.6350000000000001E-2</v>
      </c>
      <c r="I27" s="24"/>
      <c r="J27" s="5"/>
    </row>
    <row r="28" spans="1:10" ht="12.95" customHeight="1">
      <c r="A28" s="18" t="s">
        <v>645</v>
      </c>
      <c r="B28" s="19" t="s">
        <v>646</v>
      </c>
      <c r="C28" s="15" t="s">
        <v>647</v>
      </c>
      <c r="D28" s="15" t="s">
        <v>179</v>
      </c>
      <c r="E28" s="20">
        <v>5000</v>
      </c>
      <c r="F28" s="21">
        <v>5036.53</v>
      </c>
      <c r="G28" s="22">
        <v>8.3000000000000001E-3</v>
      </c>
      <c r="H28" s="23">
        <v>7.9200000000000007E-2</v>
      </c>
      <c r="I28" s="24"/>
      <c r="J28" s="5"/>
    </row>
    <row r="29" spans="1:10" ht="12.95" customHeight="1">
      <c r="A29" s="18" t="s">
        <v>4049</v>
      </c>
      <c r="B29" s="19" t="s">
        <v>4050</v>
      </c>
      <c r="C29" s="15" t="s">
        <v>4051</v>
      </c>
      <c r="D29" s="15" t="s">
        <v>1670</v>
      </c>
      <c r="E29" s="20">
        <v>500</v>
      </c>
      <c r="F29" s="21">
        <v>5034.4250000000002</v>
      </c>
      <c r="G29" s="22">
        <v>8.3000000000000001E-3</v>
      </c>
      <c r="H29" s="23">
        <v>8.6566500000000005E-2</v>
      </c>
      <c r="I29" s="24"/>
      <c r="J29" s="5"/>
    </row>
    <row r="30" spans="1:10" ht="12.95" customHeight="1">
      <c r="A30" s="18" t="s">
        <v>4052</v>
      </c>
      <c r="B30" s="19" t="s">
        <v>4053</v>
      </c>
      <c r="C30" s="15" t="s">
        <v>4054</v>
      </c>
      <c r="D30" s="15" t="s">
        <v>1654</v>
      </c>
      <c r="E30" s="20">
        <v>5000</v>
      </c>
      <c r="F30" s="21">
        <v>5012.6750000000002</v>
      </c>
      <c r="G30" s="22">
        <v>8.3000000000000001E-3</v>
      </c>
      <c r="H30" s="23">
        <v>8.9800000000000005E-2</v>
      </c>
      <c r="I30" s="24"/>
      <c r="J30" s="5"/>
    </row>
    <row r="31" spans="1:10" ht="12.95" customHeight="1">
      <c r="A31" s="18" t="s">
        <v>3878</v>
      </c>
      <c r="B31" s="19" t="s">
        <v>3879</v>
      </c>
      <c r="C31" s="15" t="s">
        <v>3880</v>
      </c>
      <c r="D31" s="15" t="s">
        <v>1654</v>
      </c>
      <c r="E31" s="20">
        <v>500</v>
      </c>
      <c r="F31" s="21">
        <v>5002.5349999999999</v>
      </c>
      <c r="G31" s="22">
        <v>8.3000000000000001E-3</v>
      </c>
      <c r="H31" s="23">
        <v>8.64235E-2</v>
      </c>
      <c r="I31" s="24"/>
      <c r="J31" s="5"/>
    </row>
    <row r="32" spans="1:10" ht="12.95" customHeight="1">
      <c r="A32" s="18" t="s">
        <v>3909</v>
      </c>
      <c r="B32" s="19" t="s">
        <v>3910</v>
      </c>
      <c r="C32" s="15" t="s">
        <v>3911</v>
      </c>
      <c r="D32" s="15" t="s">
        <v>2621</v>
      </c>
      <c r="E32" s="20">
        <v>5000</v>
      </c>
      <c r="F32" s="21">
        <v>4996.33</v>
      </c>
      <c r="G32" s="22">
        <v>8.3000000000000001E-3</v>
      </c>
      <c r="H32" s="23">
        <v>8.1850000000000006E-2</v>
      </c>
      <c r="I32" s="24"/>
      <c r="J32" s="5"/>
    </row>
    <row r="33" spans="1:10" ht="12.95" customHeight="1">
      <c r="A33" s="18" t="s">
        <v>986</v>
      </c>
      <c r="B33" s="19" t="s">
        <v>987</v>
      </c>
      <c r="C33" s="15" t="s">
        <v>988</v>
      </c>
      <c r="D33" s="15" t="s">
        <v>156</v>
      </c>
      <c r="E33" s="20">
        <v>5000000</v>
      </c>
      <c r="F33" s="21">
        <v>4993.585</v>
      </c>
      <c r="G33" s="22">
        <v>8.2000000000000007E-3</v>
      </c>
      <c r="H33" s="23"/>
      <c r="I33" s="24"/>
      <c r="J33" s="5"/>
    </row>
    <row r="34" spans="1:10" ht="12.95" customHeight="1">
      <c r="A34" s="18" t="s">
        <v>496</v>
      </c>
      <c r="B34" s="19" t="s">
        <v>497</v>
      </c>
      <c r="C34" s="15" t="s">
        <v>498</v>
      </c>
      <c r="D34" s="15" t="s">
        <v>179</v>
      </c>
      <c r="E34" s="20">
        <v>500</v>
      </c>
      <c r="F34" s="21">
        <v>4968.07</v>
      </c>
      <c r="G34" s="22">
        <v>8.2000000000000007E-3</v>
      </c>
      <c r="H34" s="23">
        <v>7.6799999999999993E-2</v>
      </c>
      <c r="I34" s="24"/>
      <c r="J34" s="5"/>
    </row>
    <row r="35" spans="1:10" ht="12.95" customHeight="1">
      <c r="A35" s="18" t="s">
        <v>3993</v>
      </c>
      <c r="B35" s="19" t="s">
        <v>3994</v>
      </c>
      <c r="C35" s="15" t="s">
        <v>3995</v>
      </c>
      <c r="D35" s="15" t="s">
        <v>179</v>
      </c>
      <c r="E35" s="20">
        <v>500</v>
      </c>
      <c r="F35" s="21">
        <v>4961.9949999999999</v>
      </c>
      <c r="G35" s="22">
        <v>8.2000000000000007E-3</v>
      </c>
      <c r="H35" s="23">
        <v>7.6399999999999996E-2</v>
      </c>
      <c r="I35" s="24"/>
      <c r="J35" s="5"/>
    </row>
    <row r="36" spans="1:10" ht="12.95" customHeight="1">
      <c r="A36" s="18" t="s">
        <v>603</v>
      </c>
      <c r="B36" s="19" t="s">
        <v>604</v>
      </c>
      <c r="C36" s="15" t="s">
        <v>605</v>
      </c>
      <c r="D36" s="15" t="s">
        <v>432</v>
      </c>
      <c r="E36" s="20">
        <v>500</v>
      </c>
      <c r="F36" s="21">
        <v>4961.57</v>
      </c>
      <c r="G36" s="22">
        <v>8.2000000000000007E-3</v>
      </c>
      <c r="H36" s="23">
        <v>7.6911999999999994E-2</v>
      </c>
      <c r="I36" s="24"/>
      <c r="J36" s="5"/>
    </row>
    <row r="37" spans="1:10" ht="12.95" customHeight="1">
      <c r="A37" s="18" t="s">
        <v>4055</v>
      </c>
      <c r="B37" s="19" t="s">
        <v>4056</v>
      </c>
      <c r="C37" s="15" t="s">
        <v>4057</v>
      </c>
      <c r="D37" s="15" t="s">
        <v>432</v>
      </c>
      <c r="E37" s="20">
        <v>500</v>
      </c>
      <c r="F37" s="21">
        <v>4960.2700000000004</v>
      </c>
      <c r="G37" s="22">
        <v>8.2000000000000007E-3</v>
      </c>
      <c r="H37" s="23">
        <v>7.3249999999999996E-2</v>
      </c>
      <c r="I37" s="24"/>
      <c r="J37" s="5"/>
    </row>
    <row r="38" spans="1:10" ht="12.95" customHeight="1">
      <c r="A38" s="18" t="s">
        <v>448</v>
      </c>
      <c r="B38" s="19" t="s">
        <v>449</v>
      </c>
      <c r="C38" s="15" t="s">
        <v>450</v>
      </c>
      <c r="D38" s="15" t="s">
        <v>432</v>
      </c>
      <c r="E38" s="20">
        <v>500</v>
      </c>
      <c r="F38" s="21">
        <v>4957.08</v>
      </c>
      <c r="G38" s="22">
        <v>8.2000000000000007E-3</v>
      </c>
      <c r="H38" s="23">
        <v>7.6749999999999999E-2</v>
      </c>
      <c r="I38" s="24"/>
      <c r="J38" s="5"/>
    </row>
    <row r="39" spans="1:10" ht="12.95" customHeight="1">
      <c r="A39" s="18" t="s">
        <v>1089</v>
      </c>
      <c r="B39" s="19" t="s">
        <v>1090</v>
      </c>
      <c r="C39" s="15" t="s">
        <v>1091</v>
      </c>
      <c r="D39" s="15" t="s">
        <v>432</v>
      </c>
      <c r="E39" s="20">
        <v>400</v>
      </c>
      <c r="F39" s="21">
        <v>3986.16</v>
      </c>
      <c r="G39" s="22">
        <v>6.6E-3</v>
      </c>
      <c r="H39" s="23">
        <v>7.9750000000000001E-2</v>
      </c>
      <c r="I39" s="24"/>
      <c r="J39" s="5"/>
    </row>
    <row r="40" spans="1:10" ht="12.95" customHeight="1">
      <c r="A40" s="18" t="s">
        <v>1041</v>
      </c>
      <c r="B40" s="19" t="s">
        <v>1042</v>
      </c>
      <c r="C40" s="15" t="s">
        <v>1043</v>
      </c>
      <c r="D40" s="15" t="s">
        <v>432</v>
      </c>
      <c r="E40" s="20">
        <v>3500</v>
      </c>
      <c r="F40" s="21">
        <v>3501.6345000000001</v>
      </c>
      <c r="G40" s="22">
        <v>5.7999999999999996E-3</v>
      </c>
      <c r="H40" s="23">
        <v>7.9100000000000004E-2</v>
      </c>
      <c r="I40" s="24"/>
      <c r="J40" s="5"/>
    </row>
    <row r="41" spans="1:10" ht="12.95" customHeight="1">
      <c r="A41" s="18" t="s">
        <v>558</v>
      </c>
      <c r="B41" s="19" t="s">
        <v>559</v>
      </c>
      <c r="C41" s="15" t="s">
        <v>560</v>
      </c>
      <c r="D41" s="15" t="s">
        <v>432</v>
      </c>
      <c r="E41" s="20">
        <v>3500</v>
      </c>
      <c r="F41" s="21">
        <v>3488.9960000000001</v>
      </c>
      <c r="G41" s="22">
        <v>5.7999999999999996E-3</v>
      </c>
      <c r="H41" s="23">
        <v>7.9049999999999995E-2</v>
      </c>
      <c r="I41" s="24"/>
      <c r="J41" s="5"/>
    </row>
    <row r="42" spans="1:10" ht="12.95" customHeight="1">
      <c r="A42" s="18" t="s">
        <v>3897</v>
      </c>
      <c r="B42" s="19" t="s">
        <v>3898</v>
      </c>
      <c r="C42" s="15" t="s">
        <v>3899</v>
      </c>
      <c r="D42" s="15" t="s">
        <v>1670</v>
      </c>
      <c r="E42" s="20">
        <v>350</v>
      </c>
      <c r="F42" s="21">
        <v>3455.0774999999999</v>
      </c>
      <c r="G42" s="22">
        <v>5.7000000000000002E-3</v>
      </c>
      <c r="H42" s="23">
        <v>8.6499999999999994E-2</v>
      </c>
      <c r="I42" s="24"/>
      <c r="J42" s="5"/>
    </row>
    <row r="43" spans="1:10" ht="12.95" customHeight="1">
      <c r="A43" s="18" t="s">
        <v>2421</v>
      </c>
      <c r="B43" s="19" t="s">
        <v>2422</v>
      </c>
      <c r="C43" s="15" t="s">
        <v>2423</v>
      </c>
      <c r="D43" s="15" t="s">
        <v>179</v>
      </c>
      <c r="E43" s="20">
        <v>3000</v>
      </c>
      <c r="F43" s="21">
        <v>3001.62</v>
      </c>
      <c r="G43" s="22">
        <v>5.0000000000000001E-3</v>
      </c>
      <c r="H43" s="23">
        <v>8.0557000000000004E-2</v>
      </c>
      <c r="I43" s="24"/>
      <c r="J43" s="5"/>
    </row>
    <row r="44" spans="1:10" ht="12.95" customHeight="1">
      <c r="A44" s="18" t="s">
        <v>4058</v>
      </c>
      <c r="B44" s="19" t="s">
        <v>4059</v>
      </c>
      <c r="C44" s="15" t="s">
        <v>4060</v>
      </c>
      <c r="D44" s="15" t="s">
        <v>179</v>
      </c>
      <c r="E44" s="20">
        <v>250</v>
      </c>
      <c r="F44" s="21">
        <v>2933.2175000000002</v>
      </c>
      <c r="G44" s="22">
        <v>4.7999999999999996E-3</v>
      </c>
      <c r="H44" s="23">
        <v>7.5098999999999999E-2</v>
      </c>
      <c r="I44" s="24"/>
      <c r="J44" s="5"/>
    </row>
    <row r="45" spans="1:10" ht="12.95" customHeight="1">
      <c r="A45" s="18" t="s">
        <v>1196</v>
      </c>
      <c r="B45" s="19" t="s">
        <v>1197</v>
      </c>
      <c r="C45" s="15" t="s">
        <v>1198</v>
      </c>
      <c r="D45" s="15" t="s">
        <v>179</v>
      </c>
      <c r="E45" s="20">
        <v>250</v>
      </c>
      <c r="F45" s="21">
        <v>2523.2775000000001</v>
      </c>
      <c r="G45" s="22">
        <v>4.1999999999999997E-3</v>
      </c>
      <c r="H45" s="23">
        <v>7.6350000000000001E-2</v>
      </c>
      <c r="I45" s="24"/>
      <c r="J45" s="5"/>
    </row>
    <row r="46" spans="1:10" ht="12.95" customHeight="1">
      <c r="A46" s="18" t="s">
        <v>2603</v>
      </c>
      <c r="B46" s="19" t="s">
        <v>2604</v>
      </c>
      <c r="C46" s="15" t="s">
        <v>2605</v>
      </c>
      <c r="D46" s="15" t="s">
        <v>1654</v>
      </c>
      <c r="E46" s="20">
        <v>250</v>
      </c>
      <c r="F46" s="21">
        <v>2513.7800000000002</v>
      </c>
      <c r="G46" s="22">
        <v>4.1999999999999997E-3</v>
      </c>
      <c r="H46" s="23">
        <v>8.3748500000000003E-2</v>
      </c>
      <c r="I46" s="24"/>
      <c r="J46" s="5"/>
    </row>
    <row r="47" spans="1:10" ht="12.95" customHeight="1">
      <c r="A47" s="18" t="s">
        <v>1071</v>
      </c>
      <c r="B47" s="19" t="s">
        <v>1072</v>
      </c>
      <c r="C47" s="15" t="s">
        <v>1073</v>
      </c>
      <c r="D47" s="15" t="s">
        <v>179</v>
      </c>
      <c r="E47" s="20">
        <v>2500</v>
      </c>
      <c r="F47" s="21">
        <v>2512.9699999999998</v>
      </c>
      <c r="G47" s="22">
        <v>4.1999999999999997E-3</v>
      </c>
      <c r="H47" s="23">
        <v>7.8750000000000001E-2</v>
      </c>
      <c r="I47" s="24"/>
      <c r="J47" s="5"/>
    </row>
    <row r="48" spans="1:10" ht="12.95" customHeight="1">
      <c r="A48" s="18" t="s">
        <v>3936</v>
      </c>
      <c r="B48" s="19" t="s">
        <v>3937</v>
      </c>
      <c r="C48" s="15" t="s">
        <v>3938</v>
      </c>
      <c r="D48" s="15" t="s">
        <v>432</v>
      </c>
      <c r="E48" s="20">
        <v>2500</v>
      </c>
      <c r="F48" s="21">
        <v>2509.2575000000002</v>
      </c>
      <c r="G48" s="22">
        <v>4.1000000000000003E-3</v>
      </c>
      <c r="H48" s="23">
        <v>8.2012000000000002E-2</v>
      </c>
      <c r="I48" s="24"/>
      <c r="J48" s="5"/>
    </row>
    <row r="49" spans="1:10" ht="12.95" customHeight="1">
      <c r="A49" s="18" t="s">
        <v>618</v>
      </c>
      <c r="B49" s="19" t="s">
        <v>619</v>
      </c>
      <c r="C49" s="15" t="s">
        <v>620</v>
      </c>
      <c r="D49" s="15" t="s">
        <v>179</v>
      </c>
      <c r="E49" s="20">
        <v>2500</v>
      </c>
      <c r="F49" s="21">
        <v>2506.3225000000002</v>
      </c>
      <c r="G49" s="22">
        <v>4.1000000000000003E-3</v>
      </c>
      <c r="H49" s="23">
        <v>7.6580999999999996E-2</v>
      </c>
      <c r="I49" s="24"/>
      <c r="J49" s="5"/>
    </row>
    <row r="50" spans="1:10" ht="12.95" customHeight="1">
      <c r="A50" s="18" t="s">
        <v>564</v>
      </c>
      <c r="B50" s="19" t="s">
        <v>565</v>
      </c>
      <c r="C50" s="15" t="s">
        <v>566</v>
      </c>
      <c r="D50" s="15" t="s">
        <v>179</v>
      </c>
      <c r="E50" s="20">
        <v>250</v>
      </c>
      <c r="F50" s="21">
        <v>2503.0925000000002</v>
      </c>
      <c r="G50" s="22">
        <v>4.1000000000000003E-3</v>
      </c>
      <c r="H50" s="23">
        <v>7.8899999999999998E-2</v>
      </c>
      <c r="I50" s="24"/>
      <c r="J50" s="5"/>
    </row>
    <row r="51" spans="1:10" ht="12.95" customHeight="1">
      <c r="A51" s="18" t="s">
        <v>621</v>
      </c>
      <c r="B51" s="19" t="s">
        <v>622</v>
      </c>
      <c r="C51" s="15" t="s">
        <v>623</v>
      </c>
      <c r="D51" s="15" t="s">
        <v>179</v>
      </c>
      <c r="E51" s="20">
        <v>2500</v>
      </c>
      <c r="F51" s="21">
        <v>2502.3249999999998</v>
      </c>
      <c r="G51" s="22">
        <v>4.1000000000000003E-3</v>
      </c>
      <c r="H51" s="23">
        <v>7.6580999999999996E-2</v>
      </c>
      <c r="I51" s="24"/>
      <c r="J51" s="5"/>
    </row>
    <row r="52" spans="1:10" ht="12.95" customHeight="1">
      <c r="A52" s="18" t="s">
        <v>3903</v>
      </c>
      <c r="B52" s="19" t="s">
        <v>3904</v>
      </c>
      <c r="C52" s="15" t="s">
        <v>3905</v>
      </c>
      <c r="D52" s="15" t="s">
        <v>1654</v>
      </c>
      <c r="E52" s="20">
        <v>250</v>
      </c>
      <c r="F52" s="21">
        <v>2501.6725000000001</v>
      </c>
      <c r="G52" s="22">
        <v>4.1000000000000003E-3</v>
      </c>
      <c r="H52" s="23">
        <v>8.4900000000000003E-2</v>
      </c>
      <c r="I52" s="24"/>
      <c r="J52" s="5"/>
    </row>
    <row r="53" spans="1:10" ht="12.95" customHeight="1">
      <c r="A53" s="18" t="s">
        <v>624</v>
      </c>
      <c r="B53" s="19" t="s">
        <v>625</v>
      </c>
      <c r="C53" s="15" t="s">
        <v>626</v>
      </c>
      <c r="D53" s="15" t="s">
        <v>179</v>
      </c>
      <c r="E53" s="20">
        <v>2500</v>
      </c>
      <c r="F53" s="21">
        <v>2498.3449999999998</v>
      </c>
      <c r="G53" s="22">
        <v>4.1000000000000003E-3</v>
      </c>
      <c r="H53" s="23">
        <v>7.6563000000000006E-2</v>
      </c>
      <c r="I53" s="24"/>
      <c r="J53" s="5"/>
    </row>
    <row r="54" spans="1:10" ht="12.95" customHeight="1">
      <c r="A54" s="18" t="s">
        <v>1001</v>
      </c>
      <c r="B54" s="19" t="s">
        <v>1002</v>
      </c>
      <c r="C54" s="15" t="s">
        <v>1003</v>
      </c>
      <c r="D54" s="15" t="s">
        <v>179</v>
      </c>
      <c r="E54" s="20">
        <v>250</v>
      </c>
      <c r="F54" s="21">
        <v>2498.0700000000002</v>
      </c>
      <c r="G54" s="22">
        <v>4.1000000000000003E-3</v>
      </c>
      <c r="H54" s="23">
        <v>7.8639000000000001E-2</v>
      </c>
      <c r="I54" s="24"/>
      <c r="J54" s="5"/>
    </row>
    <row r="55" spans="1:10" ht="12.95" customHeight="1">
      <c r="A55" s="18" t="s">
        <v>466</v>
      </c>
      <c r="B55" s="19" t="s">
        <v>467</v>
      </c>
      <c r="C55" s="15" t="s">
        <v>468</v>
      </c>
      <c r="D55" s="15" t="s">
        <v>179</v>
      </c>
      <c r="E55" s="20">
        <v>250</v>
      </c>
      <c r="F55" s="21">
        <v>2498.0025000000001</v>
      </c>
      <c r="G55" s="22">
        <v>4.1000000000000003E-3</v>
      </c>
      <c r="H55" s="23">
        <v>7.5999999999999998E-2</v>
      </c>
      <c r="I55" s="24"/>
      <c r="J55" s="5"/>
    </row>
    <row r="56" spans="1:10" ht="12.95" customHeight="1">
      <c r="A56" s="18" t="s">
        <v>2588</v>
      </c>
      <c r="B56" s="19" t="s">
        <v>2589</v>
      </c>
      <c r="C56" s="15" t="s">
        <v>2590</v>
      </c>
      <c r="D56" s="15" t="s">
        <v>1034</v>
      </c>
      <c r="E56" s="20">
        <v>2500</v>
      </c>
      <c r="F56" s="21">
        <v>2493.9450000000002</v>
      </c>
      <c r="G56" s="22">
        <v>4.1000000000000003E-3</v>
      </c>
      <c r="H56" s="23">
        <v>8.2350000000000007E-2</v>
      </c>
      <c r="I56" s="24"/>
      <c r="J56" s="5"/>
    </row>
    <row r="57" spans="1:10" ht="12.95" customHeight="1">
      <c r="A57" s="18" t="s">
        <v>995</v>
      </c>
      <c r="B57" s="19" t="s">
        <v>996</v>
      </c>
      <c r="C57" s="15" t="s">
        <v>997</v>
      </c>
      <c r="D57" s="15" t="s">
        <v>179</v>
      </c>
      <c r="E57" s="20">
        <v>2500</v>
      </c>
      <c r="F57" s="21">
        <v>2492.4250000000002</v>
      </c>
      <c r="G57" s="22">
        <v>4.1000000000000003E-3</v>
      </c>
      <c r="H57" s="23">
        <v>7.6858999999999997E-2</v>
      </c>
      <c r="I57" s="24"/>
      <c r="J57" s="5"/>
    </row>
    <row r="58" spans="1:10" ht="12.95" customHeight="1">
      <c r="A58" s="18" t="s">
        <v>529</v>
      </c>
      <c r="B58" s="19" t="s">
        <v>530</v>
      </c>
      <c r="C58" s="15" t="s">
        <v>531</v>
      </c>
      <c r="D58" s="15" t="s">
        <v>432</v>
      </c>
      <c r="E58" s="20">
        <v>250</v>
      </c>
      <c r="F58" s="21">
        <v>2488.09</v>
      </c>
      <c r="G58" s="22">
        <v>4.1000000000000003E-3</v>
      </c>
      <c r="H58" s="23">
        <v>7.7063000000000006E-2</v>
      </c>
      <c r="I58" s="24"/>
      <c r="J58" s="5"/>
    </row>
    <row r="59" spans="1:10" ht="12.95" customHeight="1">
      <c r="A59" s="18" t="s">
        <v>460</v>
      </c>
      <c r="B59" s="19" t="s">
        <v>461</v>
      </c>
      <c r="C59" s="15" t="s">
        <v>462</v>
      </c>
      <c r="D59" s="15" t="s">
        <v>179</v>
      </c>
      <c r="E59" s="20">
        <v>2500</v>
      </c>
      <c r="F59" s="21">
        <v>2482.9499999999998</v>
      </c>
      <c r="G59" s="22">
        <v>4.1000000000000003E-3</v>
      </c>
      <c r="H59" s="23">
        <v>7.6381000000000004E-2</v>
      </c>
      <c r="I59" s="24"/>
      <c r="J59" s="5"/>
    </row>
    <row r="60" spans="1:10" ht="12.95" customHeight="1">
      <c r="A60" s="18" t="s">
        <v>4061</v>
      </c>
      <c r="B60" s="19" t="s">
        <v>4062</v>
      </c>
      <c r="C60" s="15" t="s">
        <v>4063</v>
      </c>
      <c r="D60" s="15" t="s">
        <v>179</v>
      </c>
      <c r="E60" s="20">
        <v>250</v>
      </c>
      <c r="F60" s="21">
        <v>2481.6725000000001</v>
      </c>
      <c r="G60" s="22">
        <v>4.1000000000000003E-3</v>
      </c>
      <c r="H60" s="23">
        <v>7.4998999999999996E-2</v>
      </c>
      <c r="I60" s="24"/>
      <c r="J60" s="5"/>
    </row>
    <row r="61" spans="1:10" ht="12.95" customHeight="1">
      <c r="A61" s="18" t="s">
        <v>502</v>
      </c>
      <c r="B61" s="19" t="s">
        <v>503</v>
      </c>
      <c r="C61" s="15" t="s">
        <v>504</v>
      </c>
      <c r="D61" s="15" t="s">
        <v>179</v>
      </c>
      <c r="E61" s="20">
        <v>250</v>
      </c>
      <c r="F61" s="21">
        <v>2481.3274999999999</v>
      </c>
      <c r="G61" s="22">
        <v>4.1000000000000003E-3</v>
      </c>
      <c r="H61" s="23">
        <v>7.6749999999999999E-2</v>
      </c>
      <c r="I61" s="24"/>
      <c r="J61" s="5"/>
    </row>
    <row r="62" spans="1:10" ht="12.95" customHeight="1">
      <c r="A62" s="18" t="s">
        <v>980</v>
      </c>
      <c r="B62" s="19" t="s">
        <v>981</v>
      </c>
      <c r="C62" s="15" t="s">
        <v>982</v>
      </c>
      <c r="D62" s="15" t="s">
        <v>432</v>
      </c>
      <c r="E62" s="20">
        <v>250</v>
      </c>
      <c r="F62" s="21">
        <v>2478.4025000000001</v>
      </c>
      <c r="G62" s="22">
        <v>4.1000000000000003E-3</v>
      </c>
      <c r="H62" s="23">
        <v>7.6813000000000006E-2</v>
      </c>
      <c r="I62" s="24"/>
      <c r="J62" s="5"/>
    </row>
    <row r="63" spans="1:10" ht="12.95" customHeight="1">
      <c r="A63" s="18" t="s">
        <v>490</v>
      </c>
      <c r="B63" s="19" t="s">
        <v>491</v>
      </c>
      <c r="C63" s="15" t="s">
        <v>492</v>
      </c>
      <c r="D63" s="15" t="s">
        <v>432</v>
      </c>
      <c r="E63" s="20">
        <v>250</v>
      </c>
      <c r="F63" s="21">
        <v>2476.875</v>
      </c>
      <c r="G63" s="22">
        <v>4.1000000000000003E-3</v>
      </c>
      <c r="H63" s="23">
        <v>7.6912999999999995E-2</v>
      </c>
      <c r="I63" s="24"/>
      <c r="J63" s="5"/>
    </row>
    <row r="64" spans="1:10" ht="12.95" customHeight="1">
      <c r="A64" s="18" t="s">
        <v>4064</v>
      </c>
      <c r="B64" s="19" t="s">
        <v>4065</v>
      </c>
      <c r="C64" s="15" t="s">
        <v>4066</v>
      </c>
      <c r="D64" s="15" t="s">
        <v>179</v>
      </c>
      <c r="E64" s="20">
        <v>250</v>
      </c>
      <c r="F64" s="21">
        <v>2474.6550000000002</v>
      </c>
      <c r="G64" s="22">
        <v>4.1000000000000003E-3</v>
      </c>
      <c r="H64" s="23">
        <v>7.7249999999999999E-2</v>
      </c>
      <c r="I64" s="24"/>
      <c r="J64" s="5"/>
    </row>
    <row r="65" spans="1:10" ht="12.95" customHeight="1">
      <c r="A65" s="18" t="s">
        <v>4067</v>
      </c>
      <c r="B65" s="19" t="s">
        <v>4068</v>
      </c>
      <c r="C65" s="15" t="s">
        <v>4069</v>
      </c>
      <c r="D65" s="15" t="s">
        <v>4070</v>
      </c>
      <c r="E65" s="20">
        <v>250</v>
      </c>
      <c r="F65" s="21">
        <v>2433.8724999999999</v>
      </c>
      <c r="G65" s="22">
        <v>4.0000000000000001E-3</v>
      </c>
      <c r="H65" s="23">
        <v>7.6261999999999996E-2</v>
      </c>
      <c r="I65" s="24"/>
      <c r="J65" s="5"/>
    </row>
    <row r="66" spans="1:10" ht="12.95" customHeight="1">
      <c r="A66" s="18" t="s">
        <v>585</v>
      </c>
      <c r="B66" s="19" t="s">
        <v>586</v>
      </c>
      <c r="C66" s="15" t="s">
        <v>587</v>
      </c>
      <c r="D66" s="15" t="s">
        <v>179</v>
      </c>
      <c r="E66" s="20">
        <v>250</v>
      </c>
      <c r="F66" s="21">
        <v>2433.855</v>
      </c>
      <c r="G66" s="22">
        <v>4.0000000000000001E-3</v>
      </c>
      <c r="H66" s="23">
        <v>7.9149999999999998E-2</v>
      </c>
      <c r="I66" s="24"/>
      <c r="J66" s="5"/>
    </row>
    <row r="67" spans="1:10" ht="12.95" customHeight="1">
      <c r="A67" s="18" t="s">
        <v>3700</v>
      </c>
      <c r="B67" s="19" t="s">
        <v>3701</v>
      </c>
      <c r="C67" s="15" t="s">
        <v>3702</v>
      </c>
      <c r="D67" s="15" t="s">
        <v>179</v>
      </c>
      <c r="E67" s="20">
        <v>250</v>
      </c>
      <c r="F67" s="21">
        <v>2406.6325000000002</v>
      </c>
      <c r="G67" s="22">
        <v>4.0000000000000001E-3</v>
      </c>
      <c r="H67" s="23">
        <v>7.6600000000000001E-2</v>
      </c>
      <c r="I67" s="24"/>
      <c r="J67" s="5"/>
    </row>
    <row r="68" spans="1:10" ht="12.95" customHeight="1">
      <c r="A68" s="18" t="s">
        <v>454</v>
      </c>
      <c r="B68" s="19" t="s">
        <v>455</v>
      </c>
      <c r="C68" s="15" t="s">
        <v>456</v>
      </c>
      <c r="D68" s="15" t="s">
        <v>179</v>
      </c>
      <c r="E68" s="20">
        <v>250</v>
      </c>
      <c r="F68" s="21">
        <v>2397.1574999999998</v>
      </c>
      <c r="G68" s="22">
        <v>4.0000000000000001E-3</v>
      </c>
      <c r="H68" s="23">
        <v>7.9200000000000007E-2</v>
      </c>
      <c r="I68" s="24"/>
      <c r="J68" s="5"/>
    </row>
    <row r="69" spans="1:10" ht="12.95" customHeight="1">
      <c r="A69" s="18" t="s">
        <v>594</v>
      </c>
      <c r="B69" s="19" t="s">
        <v>595</v>
      </c>
      <c r="C69" s="15" t="s">
        <v>596</v>
      </c>
      <c r="D69" s="15" t="s">
        <v>156</v>
      </c>
      <c r="E69" s="20">
        <v>2500000</v>
      </c>
      <c r="F69" s="21">
        <v>2019.5325</v>
      </c>
      <c r="G69" s="22">
        <v>3.3E-3</v>
      </c>
      <c r="H69" s="23">
        <v>7.4593000000000007E-2</v>
      </c>
      <c r="I69" s="24"/>
      <c r="J69" s="5"/>
    </row>
    <row r="70" spans="1:10" ht="12.95" customHeight="1">
      <c r="A70" s="18" t="s">
        <v>4071</v>
      </c>
      <c r="B70" s="19" t="s">
        <v>4072</v>
      </c>
      <c r="C70" s="15" t="s">
        <v>4073</v>
      </c>
      <c r="D70" s="15" t="s">
        <v>156</v>
      </c>
      <c r="E70" s="20">
        <v>2040000</v>
      </c>
      <c r="F70" s="21">
        <v>2011.8704</v>
      </c>
      <c r="G70" s="22">
        <v>3.3E-3</v>
      </c>
      <c r="H70" s="23">
        <v>6.8043999999999993E-2</v>
      </c>
      <c r="I70" s="24"/>
      <c r="J70" s="5"/>
    </row>
    <row r="71" spans="1:10" ht="12.95" customHeight="1">
      <c r="A71" s="18" t="s">
        <v>4074</v>
      </c>
      <c r="B71" s="19" t="s">
        <v>4075</v>
      </c>
      <c r="C71" s="15" t="s">
        <v>4076</v>
      </c>
      <c r="D71" s="15" t="s">
        <v>156</v>
      </c>
      <c r="E71" s="20">
        <v>2030900</v>
      </c>
      <c r="F71" s="21">
        <v>2004.0128999999999</v>
      </c>
      <c r="G71" s="22">
        <v>3.3E-3</v>
      </c>
      <c r="H71" s="23">
        <v>6.8016999999999994E-2</v>
      </c>
      <c r="I71" s="24"/>
      <c r="J71" s="5"/>
    </row>
    <row r="72" spans="1:10" ht="12.95" customHeight="1">
      <c r="A72" s="18" t="s">
        <v>4077</v>
      </c>
      <c r="B72" s="19" t="s">
        <v>4078</v>
      </c>
      <c r="C72" s="15" t="s">
        <v>4079</v>
      </c>
      <c r="D72" s="15" t="s">
        <v>156</v>
      </c>
      <c r="E72" s="20">
        <v>2000000</v>
      </c>
      <c r="F72" s="21">
        <v>2003.604</v>
      </c>
      <c r="G72" s="22">
        <v>3.3E-3</v>
      </c>
      <c r="H72" s="23">
        <v>7.2174000000000002E-2</v>
      </c>
      <c r="I72" s="24"/>
      <c r="J72" s="5"/>
    </row>
    <row r="73" spans="1:10" ht="12.95" customHeight="1">
      <c r="A73" s="18" t="s">
        <v>475</v>
      </c>
      <c r="B73" s="19" t="s">
        <v>476</v>
      </c>
      <c r="C73" s="15" t="s">
        <v>477</v>
      </c>
      <c r="D73" s="15" t="s">
        <v>179</v>
      </c>
      <c r="E73" s="20">
        <v>186</v>
      </c>
      <c r="F73" s="21">
        <v>2000.3742</v>
      </c>
      <c r="G73" s="22">
        <v>3.3E-3</v>
      </c>
      <c r="H73" s="23">
        <v>8.054E-2</v>
      </c>
      <c r="I73" s="24"/>
      <c r="J73" s="5"/>
    </row>
    <row r="74" spans="1:10" ht="12.95" customHeight="1">
      <c r="A74" s="18" t="s">
        <v>911</v>
      </c>
      <c r="B74" s="19" t="s">
        <v>912</v>
      </c>
      <c r="C74" s="15" t="s">
        <v>913</v>
      </c>
      <c r="D74" s="15" t="s">
        <v>156</v>
      </c>
      <c r="E74" s="20">
        <v>2000000</v>
      </c>
      <c r="F74" s="21">
        <v>1986.7639999999999</v>
      </c>
      <c r="G74" s="22">
        <v>3.3E-3</v>
      </c>
      <c r="H74" s="23">
        <v>7.3640999999999998E-2</v>
      </c>
      <c r="I74" s="24"/>
      <c r="J74" s="5"/>
    </row>
    <row r="75" spans="1:10" ht="12.95" customHeight="1">
      <c r="A75" s="18" t="s">
        <v>1667</v>
      </c>
      <c r="B75" s="19" t="s">
        <v>1668</v>
      </c>
      <c r="C75" s="15" t="s">
        <v>1669</v>
      </c>
      <c r="D75" s="15" t="s">
        <v>1670</v>
      </c>
      <c r="E75" s="20">
        <v>200</v>
      </c>
      <c r="F75" s="21">
        <v>1982.558</v>
      </c>
      <c r="G75" s="22">
        <v>3.3E-3</v>
      </c>
      <c r="H75" s="23">
        <v>8.2549999999999998E-2</v>
      </c>
      <c r="I75" s="24"/>
      <c r="J75" s="5"/>
    </row>
    <row r="76" spans="1:10" ht="12.95" customHeight="1">
      <c r="A76" s="18" t="s">
        <v>3939</v>
      </c>
      <c r="B76" s="19" t="s">
        <v>3940</v>
      </c>
      <c r="C76" s="15" t="s">
        <v>3941</v>
      </c>
      <c r="D76" s="15" t="s">
        <v>2621</v>
      </c>
      <c r="E76" s="20">
        <v>100000</v>
      </c>
      <c r="F76" s="21">
        <v>1000.6079999999999</v>
      </c>
      <c r="G76" s="22">
        <v>1.6999999999999999E-3</v>
      </c>
      <c r="H76" s="23">
        <v>8.2100000000000006E-2</v>
      </c>
      <c r="I76" s="24"/>
      <c r="J76" s="5"/>
    </row>
    <row r="77" spans="1:10" ht="12.95" customHeight="1">
      <c r="A77" s="18" t="s">
        <v>4080</v>
      </c>
      <c r="B77" s="19" t="s">
        <v>4081</v>
      </c>
      <c r="C77" s="15" t="s">
        <v>4082</v>
      </c>
      <c r="D77" s="15" t="s">
        <v>156</v>
      </c>
      <c r="E77" s="20">
        <v>1015300</v>
      </c>
      <c r="F77" s="21">
        <v>999.81359999999995</v>
      </c>
      <c r="G77" s="22">
        <v>1.6999999999999999E-3</v>
      </c>
      <c r="H77" s="23">
        <v>6.8114999999999995E-2</v>
      </c>
      <c r="I77" s="24"/>
      <c r="J77" s="5"/>
    </row>
    <row r="78" spans="1:10" ht="12.95" customHeight="1">
      <c r="A78" s="18" t="s">
        <v>1013</v>
      </c>
      <c r="B78" s="19" t="s">
        <v>1014</v>
      </c>
      <c r="C78" s="15" t="s">
        <v>1015</v>
      </c>
      <c r="D78" s="15" t="s">
        <v>179</v>
      </c>
      <c r="E78" s="20">
        <v>100</v>
      </c>
      <c r="F78" s="21">
        <v>999.68</v>
      </c>
      <c r="G78" s="22">
        <v>1.6999999999999999E-3</v>
      </c>
      <c r="H78" s="23">
        <v>7.8889000000000001E-2</v>
      </c>
      <c r="I78" s="24"/>
      <c r="J78" s="5"/>
    </row>
    <row r="79" spans="1:10" ht="12.95" customHeight="1">
      <c r="A79" s="18" t="s">
        <v>433</v>
      </c>
      <c r="B79" s="19" t="s">
        <v>434</v>
      </c>
      <c r="C79" s="15" t="s">
        <v>435</v>
      </c>
      <c r="D79" s="15" t="s">
        <v>179</v>
      </c>
      <c r="E79" s="20">
        <v>100</v>
      </c>
      <c r="F79" s="21">
        <v>995.49599999999998</v>
      </c>
      <c r="G79" s="22">
        <v>1.6000000000000001E-3</v>
      </c>
      <c r="H79" s="23">
        <v>7.9200000000000007E-2</v>
      </c>
      <c r="I79" s="24"/>
      <c r="J79" s="5"/>
    </row>
    <row r="80" spans="1:10" ht="12.95" customHeight="1">
      <c r="A80" s="18" t="s">
        <v>4083</v>
      </c>
      <c r="B80" s="19" t="s">
        <v>4084</v>
      </c>
      <c r="C80" s="15" t="s">
        <v>4085</v>
      </c>
      <c r="D80" s="15" t="s">
        <v>179</v>
      </c>
      <c r="E80" s="20">
        <v>90</v>
      </c>
      <c r="F80" s="21">
        <v>879.36210000000005</v>
      </c>
      <c r="G80" s="22">
        <v>1.5E-3</v>
      </c>
      <c r="H80" s="23">
        <v>7.7875E-2</v>
      </c>
      <c r="I80" s="24"/>
      <c r="J80" s="5"/>
    </row>
    <row r="81" spans="1:10" ht="12.95" customHeight="1">
      <c r="A81" s="18" t="s">
        <v>612</v>
      </c>
      <c r="B81" s="19" t="s">
        <v>613</v>
      </c>
      <c r="C81" s="15" t="s">
        <v>614</v>
      </c>
      <c r="D81" s="15" t="s">
        <v>156</v>
      </c>
      <c r="E81" s="20">
        <v>1030400</v>
      </c>
      <c r="F81" s="21">
        <v>833.54930000000002</v>
      </c>
      <c r="G81" s="22">
        <v>1.4E-3</v>
      </c>
      <c r="H81" s="23">
        <v>7.4587000000000001E-2</v>
      </c>
      <c r="I81" s="24"/>
      <c r="J81" s="5"/>
    </row>
    <row r="82" spans="1:10" ht="12.95" customHeight="1">
      <c r="A82" s="18" t="s">
        <v>676</v>
      </c>
      <c r="B82" s="19" t="s">
        <v>677</v>
      </c>
      <c r="C82" s="15" t="s">
        <v>678</v>
      </c>
      <c r="D82" s="15" t="s">
        <v>156</v>
      </c>
      <c r="E82" s="20">
        <v>500000</v>
      </c>
      <c r="F82" s="21">
        <v>500.44349999999997</v>
      </c>
      <c r="G82" s="22">
        <v>8.0000000000000004E-4</v>
      </c>
      <c r="H82" s="23">
        <v>7.3287000000000005E-2</v>
      </c>
      <c r="I82" s="24"/>
      <c r="J82" s="5"/>
    </row>
    <row r="83" spans="1:10" ht="12.95" customHeight="1">
      <c r="A83" s="18" t="s">
        <v>2612</v>
      </c>
      <c r="B83" s="19" t="s">
        <v>2613</v>
      </c>
      <c r="C83" s="15" t="s">
        <v>2614</v>
      </c>
      <c r="D83" s="15" t="s">
        <v>179</v>
      </c>
      <c r="E83" s="20">
        <v>50</v>
      </c>
      <c r="F83" s="21">
        <v>498.13200000000001</v>
      </c>
      <c r="G83" s="22">
        <v>8.0000000000000004E-4</v>
      </c>
      <c r="H83" s="23">
        <v>7.85E-2</v>
      </c>
      <c r="I83" s="24"/>
      <c r="J83" s="5"/>
    </row>
    <row r="84" spans="1:10" ht="12.95" customHeight="1">
      <c r="A84" s="18" t="s">
        <v>4086</v>
      </c>
      <c r="B84" s="19" t="s">
        <v>4087</v>
      </c>
      <c r="C84" s="15" t="s">
        <v>4088</v>
      </c>
      <c r="D84" s="15" t="s">
        <v>179</v>
      </c>
      <c r="E84" s="20">
        <v>50</v>
      </c>
      <c r="F84" s="21">
        <v>496.54399999999998</v>
      </c>
      <c r="G84" s="22">
        <v>8.0000000000000004E-4</v>
      </c>
      <c r="H84" s="23">
        <v>7.3899999999999993E-2</v>
      </c>
      <c r="I84" s="24"/>
      <c r="J84" s="5"/>
    </row>
    <row r="85" spans="1:10" ht="12.95" customHeight="1">
      <c r="A85" s="18" t="s">
        <v>4089</v>
      </c>
      <c r="B85" s="19" t="s">
        <v>4090</v>
      </c>
      <c r="C85" s="15" t="s">
        <v>4091</v>
      </c>
      <c r="D85" s="15" t="s">
        <v>156</v>
      </c>
      <c r="E85" s="20">
        <v>400000</v>
      </c>
      <c r="F85" s="21">
        <v>403.22199999999998</v>
      </c>
      <c r="G85" s="22">
        <v>6.9999999999999999E-4</v>
      </c>
      <c r="H85" s="23">
        <v>7.1220000000000006E-2</v>
      </c>
      <c r="I85" s="24"/>
      <c r="J85" s="5"/>
    </row>
    <row r="86" spans="1:10" ht="12.95" customHeight="1">
      <c r="A86" s="18" t="s">
        <v>2710</v>
      </c>
      <c r="B86" s="19" t="s">
        <v>2711</v>
      </c>
      <c r="C86" s="15" t="s">
        <v>2712</v>
      </c>
      <c r="D86" s="15" t="s">
        <v>1670</v>
      </c>
      <c r="E86" s="20">
        <v>15</v>
      </c>
      <c r="F86" s="21">
        <v>149.7182</v>
      </c>
      <c r="G86" s="22">
        <v>2.0000000000000001E-4</v>
      </c>
      <c r="H86" s="23">
        <v>7.9500000000000001E-2</v>
      </c>
      <c r="I86" s="24"/>
      <c r="J86" s="5"/>
    </row>
    <row r="87" spans="1:10" ht="12.95" customHeight="1">
      <c r="A87" s="18" t="s">
        <v>198</v>
      </c>
      <c r="B87" s="19" t="s">
        <v>199</v>
      </c>
      <c r="C87" s="15" t="s">
        <v>200</v>
      </c>
      <c r="D87" s="15" t="s">
        <v>179</v>
      </c>
      <c r="E87" s="20">
        <v>10</v>
      </c>
      <c r="F87" s="21">
        <v>99.918400000000005</v>
      </c>
      <c r="G87" s="22">
        <v>2.0000000000000001E-4</v>
      </c>
      <c r="H87" s="23">
        <v>7.9250000000000001E-2</v>
      </c>
      <c r="I87" s="24"/>
      <c r="J87" s="5"/>
    </row>
    <row r="88" spans="1:10" ht="12.95" customHeight="1">
      <c r="A88" s="18" t="s">
        <v>4092</v>
      </c>
      <c r="B88" s="19" t="s">
        <v>4093</v>
      </c>
      <c r="C88" s="15" t="s">
        <v>4094</v>
      </c>
      <c r="D88" s="15" t="s">
        <v>179</v>
      </c>
      <c r="E88" s="20">
        <v>4</v>
      </c>
      <c r="F88" s="21">
        <v>43.145200000000003</v>
      </c>
      <c r="G88" s="22">
        <v>1E-4</v>
      </c>
      <c r="H88" s="23">
        <v>9.8209500000000005E-2</v>
      </c>
      <c r="I88" s="24"/>
      <c r="J88" s="5"/>
    </row>
    <row r="89" spans="1:10" ht="12.95" customHeight="1">
      <c r="A89" s="18" t="s">
        <v>4095</v>
      </c>
      <c r="B89" s="19" t="s">
        <v>4096</v>
      </c>
      <c r="C89" s="15" t="s">
        <v>4097</v>
      </c>
      <c r="D89" s="15" t="s">
        <v>179</v>
      </c>
      <c r="E89" s="20">
        <v>4</v>
      </c>
      <c r="F89" s="21">
        <v>43.134700000000002</v>
      </c>
      <c r="G89" s="22">
        <v>1E-4</v>
      </c>
      <c r="H89" s="23">
        <v>9.7844500000000001E-2</v>
      </c>
      <c r="I89" s="24"/>
      <c r="J89" s="5"/>
    </row>
    <row r="90" spans="1:10" ht="12.95" customHeight="1">
      <c r="A90" s="18" t="s">
        <v>4098</v>
      </c>
      <c r="B90" s="19" t="s">
        <v>4099</v>
      </c>
      <c r="C90" s="15" t="s">
        <v>4100</v>
      </c>
      <c r="D90" s="15" t="s">
        <v>179</v>
      </c>
      <c r="E90" s="20">
        <v>4</v>
      </c>
      <c r="F90" s="21">
        <v>42.965699999999998</v>
      </c>
      <c r="G90" s="22">
        <v>1E-4</v>
      </c>
      <c r="H90" s="23">
        <v>9.7799499999999998E-2</v>
      </c>
      <c r="I90" s="24"/>
      <c r="J90" s="5"/>
    </row>
    <row r="91" spans="1:10" ht="12.95" customHeight="1">
      <c r="A91" s="18" t="s">
        <v>4101</v>
      </c>
      <c r="B91" s="19" t="s">
        <v>4102</v>
      </c>
      <c r="C91" s="15" t="s">
        <v>4103</v>
      </c>
      <c r="D91" s="15" t="s">
        <v>179</v>
      </c>
      <c r="E91" s="20">
        <v>4</v>
      </c>
      <c r="F91" s="21">
        <v>42.838900000000002</v>
      </c>
      <c r="G91" s="22">
        <v>1E-4</v>
      </c>
      <c r="H91" s="23">
        <v>9.6210500000000004E-2</v>
      </c>
      <c r="I91" s="24"/>
      <c r="J91" s="5"/>
    </row>
    <row r="92" spans="1:10" ht="12.95" customHeight="1">
      <c r="A92" s="18" t="s">
        <v>4104</v>
      </c>
      <c r="B92" s="19" t="s">
        <v>4105</v>
      </c>
      <c r="C92" s="15" t="s">
        <v>4106</v>
      </c>
      <c r="D92" s="15" t="s">
        <v>179</v>
      </c>
      <c r="E92" s="20">
        <v>4</v>
      </c>
      <c r="F92" s="21">
        <v>42.786200000000001</v>
      </c>
      <c r="G92" s="22">
        <v>1E-4</v>
      </c>
      <c r="H92" s="23">
        <v>9.7311999999999996E-2</v>
      </c>
      <c r="I92" s="24"/>
      <c r="J92" s="5"/>
    </row>
    <row r="93" spans="1:10" ht="12.95" customHeight="1">
      <c r="A93" s="18" t="s">
        <v>4107</v>
      </c>
      <c r="B93" s="19" t="s">
        <v>4108</v>
      </c>
      <c r="C93" s="15" t="s">
        <v>4109</v>
      </c>
      <c r="D93" s="15" t="s">
        <v>179</v>
      </c>
      <c r="E93" s="20">
        <v>4</v>
      </c>
      <c r="F93" s="21">
        <v>42.734400000000001</v>
      </c>
      <c r="G93" s="22">
        <v>1E-4</v>
      </c>
      <c r="H93" s="23">
        <v>9.6030500000000005E-2</v>
      </c>
      <c r="I93" s="24"/>
      <c r="J93" s="5"/>
    </row>
    <row r="94" spans="1:10" ht="12.95" customHeight="1">
      <c r="A94" s="18" t="s">
        <v>4110</v>
      </c>
      <c r="B94" s="19" t="s">
        <v>4111</v>
      </c>
      <c r="C94" s="15" t="s">
        <v>4112</v>
      </c>
      <c r="D94" s="15" t="s">
        <v>179</v>
      </c>
      <c r="E94" s="20">
        <v>4</v>
      </c>
      <c r="F94" s="21">
        <v>42.719099999999997</v>
      </c>
      <c r="G94" s="22">
        <v>1E-4</v>
      </c>
      <c r="H94" s="23">
        <v>9.5107499999999998E-2</v>
      </c>
      <c r="I94" s="24"/>
      <c r="J94" s="5"/>
    </row>
    <row r="95" spans="1:10" ht="12.95" customHeight="1">
      <c r="A95" s="18" t="s">
        <v>4113</v>
      </c>
      <c r="B95" s="19" t="s">
        <v>4114</v>
      </c>
      <c r="C95" s="15" t="s">
        <v>4115</v>
      </c>
      <c r="D95" s="15" t="s">
        <v>179</v>
      </c>
      <c r="E95" s="20">
        <v>4</v>
      </c>
      <c r="F95" s="21">
        <v>42.510100000000001</v>
      </c>
      <c r="G95" s="22">
        <v>1E-4</v>
      </c>
      <c r="H95" s="23">
        <v>9.4584000000000001E-2</v>
      </c>
      <c r="I95" s="24"/>
      <c r="J95" s="5"/>
    </row>
    <row r="96" spans="1:10" ht="12.95" customHeight="1">
      <c r="A96" s="18" t="s">
        <v>4116</v>
      </c>
      <c r="B96" s="19" t="s">
        <v>4117</v>
      </c>
      <c r="C96" s="15" t="s">
        <v>4118</v>
      </c>
      <c r="D96" s="15" t="s">
        <v>179</v>
      </c>
      <c r="E96" s="20">
        <v>4</v>
      </c>
      <c r="F96" s="21">
        <v>42.378700000000002</v>
      </c>
      <c r="G96" s="22">
        <v>1E-4</v>
      </c>
      <c r="H96" s="23">
        <v>9.3507499999999993E-2</v>
      </c>
      <c r="I96" s="24"/>
      <c r="J96" s="5"/>
    </row>
    <row r="97" spans="1:10" ht="12.95" customHeight="1">
      <c r="A97" s="18" t="s">
        <v>4119</v>
      </c>
      <c r="B97" s="19" t="s">
        <v>4120</v>
      </c>
      <c r="C97" s="15" t="s">
        <v>4121</v>
      </c>
      <c r="D97" s="15" t="s">
        <v>179</v>
      </c>
      <c r="E97" s="20">
        <v>4</v>
      </c>
      <c r="F97" s="21">
        <v>42.209200000000003</v>
      </c>
      <c r="G97" s="22">
        <v>1E-4</v>
      </c>
      <c r="H97" s="23">
        <v>9.2127500000000001E-2</v>
      </c>
      <c r="I97" s="24"/>
      <c r="J97" s="5"/>
    </row>
    <row r="98" spans="1:10" ht="12.95" customHeight="1">
      <c r="A98" s="5"/>
      <c r="B98" s="14" t="s">
        <v>160</v>
      </c>
      <c r="C98" s="15"/>
      <c r="D98" s="15"/>
      <c r="E98" s="15"/>
      <c r="F98" s="25">
        <v>304683.48239999998</v>
      </c>
      <c r="G98" s="26">
        <v>0.50329999999999997</v>
      </c>
      <c r="H98" s="27"/>
      <c r="I98" s="28"/>
      <c r="J98" s="5"/>
    </row>
    <row r="99" spans="1:10" ht="12.95" customHeight="1">
      <c r="A99" s="5"/>
      <c r="B99" s="29" t="s">
        <v>161</v>
      </c>
      <c r="C99" s="2"/>
      <c r="D99" s="2"/>
      <c r="E99" s="2"/>
      <c r="F99" s="27" t="s">
        <v>162</v>
      </c>
      <c r="G99" s="27" t="s">
        <v>162</v>
      </c>
      <c r="H99" s="27"/>
      <c r="I99" s="28"/>
      <c r="J99" s="5"/>
    </row>
    <row r="100" spans="1:10" ht="12.95" customHeight="1">
      <c r="A100" s="5"/>
      <c r="B100" s="29" t="s">
        <v>160</v>
      </c>
      <c r="C100" s="2"/>
      <c r="D100" s="2"/>
      <c r="E100" s="2"/>
      <c r="F100" s="27" t="s">
        <v>162</v>
      </c>
      <c r="G100" s="27" t="s">
        <v>162</v>
      </c>
      <c r="H100" s="27"/>
      <c r="I100" s="28"/>
      <c r="J100" s="5"/>
    </row>
    <row r="101" spans="1:10" ht="12.95" customHeight="1">
      <c r="A101" s="5"/>
      <c r="B101" s="29" t="s">
        <v>163</v>
      </c>
      <c r="C101" s="30"/>
      <c r="D101" s="2"/>
      <c r="E101" s="30"/>
      <c r="F101" s="25">
        <v>304683.48239999998</v>
      </c>
      <c r="G101" s="26">
        <v>0.50329999999999997</v>
      </c>
      <c r="H101" s="27"/>
      <c r="I101" s="28"/>
      <c r="J101" s="5"/>
    </row>
    <row r="102" spans="1:10" ht="12.95" customHeight="1">
      <c r="A102" s="5"/>
      <c r="B102" s="14" t="s">
        <v>417</v>
      </c>
      <c r="C102" s="15"/>
      <c r="D102" s="15"/>
      <c r="E102" s="15"/>
      <c r="F102" s="15"/>
      <c r="G102" s="15"/>
      <c r="H102" s="16"/>
      <c r="I102" s="17"/>
      <c r="J102" s="5"/>
    </row>
    <row r="103" spans="1:10" ht="12.95" customHeight="1">
      <c r="A103" s="5"/>
      <c r="B103" s="14" t="s">
        <v>679</v>
      </c>
      <c r="C103" s="15"/>
      <c r="D103" s="15"/>
      <c r="E103" s="15"/>
      <c r="F103" s="5"/>
      <c r="G103" s="16"/>
      <c r="H103" s="16"/>
      <c r="I103" s="17"/>
      <c r="J103" s="5"/>
    </row>
    <row r="104" spans="1:10" ht="12.95" customHeight="1">
      <c r="A104" s="18" t="s">
        <v>3139</v>
      </c>
      <c r="B104" s="19" t="s">
        <v>3140</v>
      </c>
      <c r="C104" s="15" t="s">
        <v>3141</v>
      </c>
      <c r="D104" s="15" t="s">
        <v>2817</v>
      </c>
      <c r="E104" s="20">
        <v>4000</v>
      </c>
      <c r="F104" s="21">
        <v>19605.060000000001</v>
      </c>
      <c r="G104" s="22">
        <v>3.2399999999999998E-2</v>
      </c>
      <c r="H104" s="23">
        <v>7.2801000000000005E-2</v>
      </c>
      <c r="I104" s="24"/>
      <c r="J104" s="5"/>
    </row>
    <row r="105" spans="1:10" ht="12.95" customHeight="1">
      <c r="A105" s="18" t="s">
        <v>3106</v>
      </c>
      <c r="B105" s="19" t="s">
        <v>3107</v>
      </c>
      <c r="C105" s="15" t="s">
        <v>3108</v>
      </c>
      <c r="D105" s="15" t="s">
        <v>2099</v>
      </c>
      <c r="E105" s="20">
        <v>3000</v>
      </c>
      <c r="F105" s="21">
        <v>14630.924999999999</v>
      </c>
      <c r="G105" s="22">
        <v>2.4199999999999999E-2</v>
      </c>
      <c r="H105" s="23">
        <v>7.2498999999999994E-2</v>
      </c>
      <c r="I105" s="24"/>
      <c r="J105" s="5"/>
    </row>
    <row r="106" spans="1:10" ht="12.95" customHeight="1">
      <c r="A106" s="18" t="s">
        <v>3169</v>
      </c>
      <c r="B106" s="19" t="s">
        <v>3170</v>
      </c>
      <c r="C106" s="15" t="s">
        <v>3171</v>
      </c>
      <c r="D106" s="15" t="s">
        <v>683</v>
      </c>
      <c r="E106" s="20">
        <v>2500</v>
      </c>
      <c r="F106" s="21">
        <v>11898.362499999999</v>
      </c>
      <c r="G106" s="22">
        <v>1.9699999999999999E-2</v>
      </c>
      <c r="H106" s="23">
        <v>7.3825000000000002E-2</v>
      </c>
      <c r="I106" s="24"/>
      <c r="J106" s="5"/>
    </row>
    <row r="107" spans="1:10" ht="12.95" customHeight="1">
      <c r="A107" s="18" t="s">
        <v>3175</v>
      </c>
      <c r="B107" s="19" t="s">
        <v>3176</v>
      </c>
      <c r="C107" s="15" t="s">
        <v>3177</v>
      </c>
      <c r="D107" s="15" t="s">
        <v>2817</v>
      </c>
      <c r="E107" s="20">
        <v>2500</v>
      </c>
      <c r="F107" s="21">
        <v>11891.174999999999</v>
      </c>
      <c r="G107" s="22">
        <v>1.9599999999999999E-2</v>
      </c>
      <c r="H107" s="23">
        <v>7.2999999999999995E-2</v>
      </c>
      <c r="I107" s="24"/>
      <c r="J107" s="5"/>
    </row>
    <row r="108" spans="1:10" ht="12.95" customHeight="1">
      <c r="A108" s="18" t="s">
        <v>3217</v>
      </c>
      <c r="B108" s="19" t="s">
        <v>3218</v>
      </c>
      <c r="C108" s="15" t="s">
        <v>3219</v>
      </c>
      <c r="D108" s="15" t="s">
        <v>2099</v>
      </c>
      <c r="E108" s="20">
        <v>2500</v>
      </c>
      <c r="F108" s="21">
        <v>11879.362499999999</v>
      </c>
      <c r="G108" s="22">
        <v>1.9599999999999999E-2</v>
      </c>
      <c r="H108" s="23">
        <v>7.4200000000000002E-2</v>
      </c>
      <c r="I108" s="24"/>
      <c r="J108" s="5"/>
    </row>
    <row r="109" spans="1:10" ht="12.95" customHeight="1">
      <c r="A109" s="18" t="s">
        <v>3148</v>
      </c>
      <c r="B109" s="19" t="s">
        <v>3149</v>
      </c>
      <c r="C109" s="15" t="s">
        <v>3150</v>
      </c>
      <c r="D109" s="15" t="s">
        <v>683</v>
      </c>
      <c r="E109" s="20">
        <v>2000</v>
      </c>
      <c r="F109" s="21">
        <v>9713.32</v>
      </c>
      <c r="G109" s="22">
        <v>1.6E-2</v>
      </c>
      <c r="H109" s="23">
        <v>7.2300000000000003E-2</v>
      </c>
      <c r="I109" s="24"/>
      <c r="J109" s="5"/>
    </row>
    <row r="110" spans="1:10" ht="12.95" customHeight="1">
      <c r="A110" s="18" t="s">
        <v>3199</v>
      </c>
      <c r="B110" s="19" t="s">
        <v>3200</v>
      </c>
      <c r="C110" s="15" t="s">
        <v>3201</v>
      </c>
      <c r="D110" s="15" t="s">
        <v>683</v>
      </c>
      <c r="E110" s="20">
        <v>2000</v>
      </c>
      <c r="F110" s="21">
        <v>9711.34</v>
      </c>
      <c r="G110" s="22">
        <v>1.6E-2</v>
      </c>
      <c r="H110" s="23">
        <v>7.1850999999999998E-2</v>
      </c>
      <c r="I110" s="24"/>
      <c r="J110" s="5"/>
    </row>
    <row r="111" spans="1:10" ht="12.95" customHeight="1">
      <c r="A111" s="18" t="s">
        <v>3151</v>
      </c>
      <c r="B111" s="19" t="s">
        <v>3152</v>
      </c>
      <c r="C111" s="15" t="s">
        <v>3153</v>
      </c>
      <c r="D111" s="15" t="s">
        <v>2817</v>
      </c>
      <c r="E111" s="20">
        <v>2000</v>
      </c>
      <c r="F111" s="21">
        <v>9696.5300000000007</v>
      </c>
      <c r="G111" s="22">
        <v>1.6E-2</v>
      </c>
      <c r="H111" s="23">
        <v>7.2301000000000004E-2</v>
      </c>
      <c r="I111" s="24"/>
      <c r="J111" s="5"/>
    </row>
    <row r="112" spans="1:10" ht="12.95" customHeight="1">
      <c r="A112" s="18" t="s">
        <v>3154</v>
      </c>
      <c r="B112" s="19" t="s">
        <v>3155</v>
      </c>
      <c r="C112" s="15" t="s">
        <v>3156</v>
      </c>
      <c r="D112" s="15" t="s">
        <v>1187</v>
      </c>
      <c r="E112" s="20">
        <v>2000</v>
      </c>
      <c r="F112" s="21">
        <v>9656.8799999999992</v>
      </c>
      <c r="G112" s="22">
        <v>1.6E-2</v>
      </c>
      <c r="H112" s="23">
        <v>7.2049000000000002E-2</v>
      </c>
      <c r="I112" s="24"/>
      <c r="J112" s="5"/>
    </row>
    <row r="113" spans="1:10" ht="12.95" customHeight="1">
      <c r="A113" s="18" t="s">
        <v>4122</v>
      </c>
      <c r="B113" s="19" t="s">
        <v>4123</v>
      </c>
      <c r="C113" s="15" t="s">
        <v>4124</v>
      </c>
      <c r="D113" s="15" t="s">
        <v>2817</v>
      </c>
      <c r="E113" s="20">
        <v>2000</v>
      </c>
      <c r="F113" s="21">
        <v>9593.25</v>
      </c>
      <c r="G113" s="22">
        <v>1.5800000000000002E-2</v>
      </c>
      <c r="H113" s="23">
        <v>7.2999999999999995E-2</v>
      </c>
      <c r="I113" s="24"/>
      <c r="J113" s="5"/>
    </row>
    <row r="114" spans="1:10" ht="12.95" customHeight="1">
      <c r="A114" s="18" t="s">
        <v>3136</v>
      </c>
      <c r="B114" s="19" t="s">
        <v>3137</v>
      </c>
      <c r="C114" s="15" t="s">
        <v>3138</v>
      </c>
      <c r="D114" s="15" t="s">
        <v>2099</v>
      </c>
      <c r="E114" s="20">
        <v>1500</v>
      </c>
      <c r="F114" s="21">
        <v>7352.07</v>
      </c>
      <c r="G114" s="22">
        <v>1.21E-2</v>
      </c>
      <c r="H114" s="23">
        <v>7.2000999999999996E-2</v>
      </c>
      <c r="I114" s="24"/>
      <c r="J114" s="5"/>
    </row>
    <row r="115" spans="1:10" ht="12.95" customHeight="1">
      <c r="A115" s="18" t="s">
        <v>4125</v>
      </c>
      <c r="B115" s="19" t="s">
        <v>4126</v>
      </c>
      <c r="C115" s="15" t="s">
        <v>4127</v>
      </c>
      <c r="D115" s="15" t="s">
        <v>2817</v>
      </c>
      <c r="E115" s="20">
        <v>1500</v>
      </c>
      <c r="F115" s="21">
        <v>7313.1674999999996</v>
      </c>
      <c r="G115" s="22">
        <v>1.21E-2</v>
      </c>
      <c r="H115" s="23">
        <v>7.2849999999999998E-2</v>
      </c>
      <c r="I115" s="24"/>
      <c r="J115" s="5"/>
    </row>
    <row r="116" spans="1:10" ht="12.95" customHeight="1">
      <c r="A116" s="18" t="s">
        <v>3163</v>
      </c>
      <c r="B116" s="19" t="s">
        <v>3164</v>
      </c>
      <c r="C116" s="15" t="s">
        <v>3165</v>
      </c>
      <c r="D116" s="15" t="s">
        <v>683</v>
      </c>
      <c r="E116" s="20">
        <v>1500</v>
      </c>
      <c r="F116" s="21">
        <v>7305.8474999999999</v>
      </c>
      <c r="G116" s="22">
        <v>1.21E-2</v>
      </c>
      <c r="H116" s="23">
        <v>7.1850999999999998E-2</v>
      </c>
      <c r="I116" s="24"/>
      <c r="J116" s="5"/>
    </row>
    <row r="117" spans="1:10" ht="12.95" customHeight="1">
      <c r="A117" s="18" t="s">
        <v>3202</v>
      </c>
      <c r="B117" s="19" t="s">
        <v>3203</v>
      </c>
      <c r="C117" s="15" t="s">
        <v>3204</v>
      </c>
      <c r="D117" s="15" t="s">
        <v>1187</v>
      </c>
      <c r="E117" s="20">
        <v>1500</v>
      </c>
      <c r="F117" s="21">
        <v>7273.53</v>
      </c>
      <c r="G117" s="22">
        <v>1.2E-2</v>
      </c>
      <c r="H117" s="23">
        <v>7.2850999999999999E-2</v>
      </c>
      <c r="I117" s="24"/>
      <c r="J117" s="5"/>
    </row>
    <row r="118" spans="1:10" ht="12.95" customHeight="1">
      <c r="A118" s="18" t="s">
        <v>3121</v>
      </c>
      <c r="B118" s="19" t="s">
        <v>3122</v>
      </c>
      <c r="C118" s="15" t="s">
        <v>3123</v>
      </c>
      <c r="D118" s="15" t="s">
        <v>2099</v>
      </c>
      <c r="E118" s="20">
        <v>1500</v>
      </c>
      <c r="F118" s="21">
        <v>7244.5649999999996</v>
      </c>
      <c r="G118" s="22">
        <v>1.2E-2</v>
      </c>
      <c r="H118" s="23">
        <v>7.2300000000000003E-2</v>
      </c>
      <c r="I118" s="24"/>
      <c r="J118" s="5"/>
    </row>
    <row r="119" spans="1:10" ht="12.95" customHeight="1">
      <c r="A119" s="18" t="s">
        <v>3178</v>
      </c>
      <c r="B119" s="19" t="s">
        <v>3179</v>
      </c>
      <c r="C119" s="15" t="s">
        <v>3180</v>
      </c>
      <c r="D119" s="15" t="s">
        <v>2099</v>
      </c>
      <c r="E119" s="20">
        <v>1500</v>
      </c>
      <c r="F119" s="21">
        <v>6998.5574999999999</v>
      </c>
      <c r="G119" s="22">
        <v>1.1599999999999999E-2</v>
      </c>
      <c r="H119" s="23">
        <v>7.5149999999999995E-2</v>
      </c>
      <c r="I119" s="24"/>
      <c r="J119" s="5"/>
    </row>
    <row r="120" spans="1:10" ht="12.95" customHeight="1">
      <c r="A120" s="18" t="s">
        <v>3112</v>
      </c>
      <c r="B120" s="19" t="s">
        <v>3113</v>
      </c>
      <c r="C120" s="15" t="s">
        <v>3114</v>
      </c>
      <c r="D120" s="15" t="s">
        <v>683</v>
      </c>
      <c r="E120" s="20">
        <v>1000</v>
      </c>
      <c r="F120" s="21">
        <v>4890.1850000000004</v>
      </c>
      <c r="G120" s="22">
        <v>8.0999999999999996E-3</v>
      </c>
      <c r="H120" s="23">
        <v>7.1900000000000006E-2</v>
      </c>
      <c r="I120" s="24"/>
      <c r="J120" s="5"/>
    </row>
    <row r="121" spans="1:10" ht="12.95" customHeight="1">
      <c r="A121" s="18" t="s">
        <v>3142</v>
      </c>
      <c r="B121" s="19" t="s">
        <v>3143</v>
      </c>
      <c r="C121" s="15" t="s">
        <v>3144</v>
      </c>
      <c r="D121" s="15" t="s">
        <v>2099</v>
      </c>
      <c r="E121" s="20">
        <v>1000</v>
      </c>
      <c r="F121" s="21">
        <v>4882.5</v>
      </c>
      <c r="G121" s="22">
        <v>8.0999999999999996E-3</v>
      </c>
      <c r="H121" s="23">
        <v>7.2000999999999996E-2</v>
      </c>
      <c r="I121" s="24"/>
      <c r="J121" s="5"/>
    </row>
    <row r="122" spans="1:10" ht="12.95" customHeight="1">
      <c r="A122" s="18" t="s">
        <v>3160</v>
      </c>
      <c r="B122" s="19" t="s">
        <v>3161</v>
      </c>
      <c r="C122" s="15" t="s">
        <v>3162</v>
      </c>
      <c r="D122" s="15" t="s">
        <v>1187</v>
      </c>
      <c r="E122" s="20">
        <v>1000</v>
      </c>
      <c r="F122" s="21">
        <v>4876.78</v>
      </c>
      <c r="G122" s="22">
        <v>8.0999999999999996E-3</v>
      </c>
      <c r="H122" s="23">
        <v>7.2049000000000002E-2</v>
      </c>
      <c r="I122" s="24"/>
      <c r="J122" s="5"/>
    </row>
    <row r="123" spans="1:10" ht="12.95" customHeight="1">
      <c r="A123" s="18" t="s">
        <v>3196</v>
      </c>
      <c r="B123" s="19" t="s">
        <v>3197</v>
      </c>
      <c r="C123" s="15" t="s">
        <v>3198</v>
      </c>
      <c r="D123" s="15" t="s">
        <v>1187</v>
      </c>
      <c r="E123" s="20">
        <v>1000</v>
      </c>
      <c r="F123" s="21">
        <v>4867.8649999999998</v>
      </c>
      <c r="G123" s="22">
        <v>8.0000000000000002E-3</v>
      </c>
      <c r="H123" s="23">
        <v>7.2850999999999999E-2</v>
      </c>
      <c r="I123" s="24"/>
      <c r="J123" s="5"/>
    </row>
    <row r="124" spans="1:10" ht="12.95" customHeight="1">
      <c r="A124" s="18" t="s">
        <v>4128</v>
      </c>
      <c r="B124" s="19" t="s">
        <v>4129</v>
      </c>
      <c r="C124" s="15" t="s">
        <v>4130</v>
      </c>
      <c r="D124" s="15" t="s">
        <v>683</v>
      </c>
      <c r="E124" s="20">
        <v>1000</v>
      </c>
      <c r="F124" s="21">
        <v>4867.78</v>
      </c>
      <c r="G124" s="22">
        <v>8.0000000000000002E-3</v>
      </c>
      <c r="H124" s="23">
        <v>7.2900000000000006E-2</v>
      </c>
      <c r="I124" s="24"/>
      <c r="J124" s="5"/>
    </row>
    <row r="125" spans="1:10" ht="12.95" customHeight="1">
      <c r="A125" s="18" t="s">
        <v>3115</v>
      </c>
      <c r="B125" s="19" t="s">
        <v>3116</v>
      </c>
      <c r="C125" s="15" t="s">
        <v>3117</v>
      </c>
      <c r="D125" s="15" t="s">
        <v>2817</v>
      </c>
      <c r="E125" s="20">
        <v>1000</v>
      </c>
      <c r="F125" s="21">
        <v>4867.1400000000003</v>
      </c>
      <c r="G125" s="22">
        <v>8.0000000000000002E-3</v>
      </c>
      <c r="H125" s="23">
        <v>7.2198999999999999E-2</v>
      </c>
      <c r="I125" s="24"/>
      <c r="J125" s="5"/>
    </row>
    <row r="126" spans="1:10" ht="12.95" customHeight="1">
      <c r="A126" s="18" t="s">
        <v>3118</v>
      </c>
      <c r="B126" s="19" t="s">
        <v>3119</v>
      </c>
      <c r="C126" s="15" t="s">
        <v>3120</v>
      </c>
      <c r="D126" s="15" t="s">
        <v>1187</v>
      </c>
      <c r="E126" s="20">
        <v>1000</v>
      </c>
      <c r="F126" s="21">
        <v>4847.8450000000003</v>
      </c>
      <c r="G126" s="22">
        <v>8.0000000000000002E-3</v>
      </c>
      <c r="H126" s="23">
        <v>7.2050000000000003E-2</v>
      </c>
      <c r="I126" s="24"/>
      <c r="J126" s="5"/>
    </row>
    <row r="127" spans="1:10" ht="12.95" customHeight="1">
      <c r="A127" s="18" t="s">
        <v>3211</v>
      </c>
      <c r="B127" s="19" t="s">
        <v>3212</v>
      </c>
      <c r="C127" s="15" t="s">
        <v>3213</v>
      </c>
      <c r="D127" s="15" t="s">
        <v>1187</v>
      </c>
      <c r="E127" s="20">
        <v>1000</v>
      </c>
      <c r="F127" s="21">
        <v>4843.21</v>
      </c>
      <c r="G127" s="22">
        <v>8.0000000000000002E-3</v>
      </c>
      <c r="H127" s="23">
        <v>7.2050000000000003E-2</v>
      </c>
      <c r="I127" s="24"/>
      <c r="J127" s="5"/>
    </row>
    <row r="128" spans="1:10" ht="12.95" customHeight="1">
      <c r="A128" s="18" t="s">
        <v>4131</v>
      </c>
      <c r="B128" s="19" t="s">
        <v>4132</v>
      </c>
      <c r="C128" s="15" t="s">
        <v>4133</v>
      </c>
      <c r="D128" s="15" t="s">
        <v>2099</v>
      </c>
      <c r="E128" s="20">
        <v>1000</v>
      </c>
      <c r="F128" s="21">
        <v>4841.7550000000001</v>
      </c>
      <c r="G128" s="22">
        <v>8.0000000000000002E-3</v>
      </c>
      <c r="H128" s="23">
        <v>7.2300000000000003E-2</v>
      </c>
      <c r="I128" s="24"/>
      <c r="J128" s="5"/>
    </row>
    <row r="129" spans="1:10" ht="12.95" customHeight="1">
      <c r="A129" s="18" t="s">
        <v>2096</v>
      </c>
      <c r="B129" s="19" t="s">
        <v>2097</v>
      </c>
      <c r="C129" s="15" t="s">
        <v>2098</v>
      </c>
      <c r="D129" s="15" t="s">
        <v>2099</v>
      </c>
      <c r="E129" s="20">
        <v>1000</v>
      </c>
      <c r="F129" s="21">
        <v>4835.75</v>
      </c>
      <c r="G129" s="22">
        <v>8.0000000000000002E-3</v>
      </c>
      <c r="H129" s="23">
        <v>7.2499999999999995E-2</v>
      </c>
      <c r="I129" s="24"/>
      <c r="J129" s="5"/>
    </row>
    <row r="130" spans="1:10" ht="12.95" customHeight="1">
      <c r="A130" s="18" t="s">
        <v>4134</v>
      </c>
      <c r="B130" s="19" t="s">
        <v>4135</v>
      </c>
      <c r="C130" s="15" t="s">
        <v>4136</v>
      </c>
      <c r="D130" s="15" t="s">
        <v>683</v>
      </c>
      <c r="E130" s="20">
        <v>1000</v>
      </c>
      <c r="F130" s="21">
        <v>4785.6499999999996</v>
      </c>
      <c r="G130" s="22">
        <v>7.9000000000000008E-3</v>
      </c>
      <c r="H130" s="23">
        <v>7.3974999999999999E-2</v>
      </c>
      <c r="I130" s="24"/>
      <c r="J130" s="5"/>
    </row>
    <row r="131" spans="1:10" ht="12.95" customHeight="1">
      <c r="A131" s="18" t="s">
        <v>4137</v>
      </c>
      <c r="B131" s="19" t="s">
        <v>4138</v>
      </c>
      <c r="C131" s="15" t="s">
        <v>4139</v>
      </c>
      <c r="D131" s="15" t="s">
        <v>683</v>
      </c>
      <c r="E131" s="20">
        <v>500</v>
      </c>
      <c r="F131" s="21">
        <v>2468.9124999999999</v>
      </c>
      <c r="G131" s="22">
        <v>4.1000000000000003E-3</v>
      </c>
      <c r="H131" s="23">
        <v>6.9638000000000005E-2</v>
      </c>
      <c r="I131" s="24"/>
      <c r="J131" s="5"/>
    </row>
    <row r="132" spans="1:10" ht="12.95" customHeight="1">
      <c r="A132" s="18" t="s">
        <v>3223</v>
      </c>
      <c r="B132" s="19" t="s">
        <v>3224</v>
      </c>
      <c r="C132" s="15" t="s">
        <v>3225</v>
      </c>
      <c r="D132" s="15" t="s">
        <v>683</v>
      </c>
      <c r="E132" s="20">
        <v>500</v>
      </c>
      <c r="F132" s="21">
        <v>2464.625</v>
      </c>
      <c r="G132" s="22">
        <v>4.1000000000000003E-3</v>
      </c>
      <c r="H132" s="23">
        <v>6.9851999999999997E-2</v>
      </c>
      <c r="I132" s="24"/>
      <c r="J132" s="5"/>
    </row>
    <row r="133" spans="1:10" ht="12.95" customHeight="1">
      <c r="A133" s="18" t="s">
        <v>3157</v>
      </c>
      <c r="B133" s="19" t="s">
        <v>3158</v>
      </c>
      <c r="C133" s="15" t="s">
        <v>3159</v>
      </c>
      <c r="D133" s="15" t="s">
        <v>683</v>
      </c>
      <c r="E133" s="20">
        <v>500</v>
      </c>
      <c r="F133" s="21">
        <v>2451.0650000000001</v>
      </c>
      <c r="G133" s="22">
        <v>4.0000000000000001E-3</v>
      </c>
      <c r="H133" s="23">
        <v>7.2150000000000006E-2</v>
      </c>
      <c r="I133" s="24"/>
      <c r="J133" s="5"/>
    </row>
    <row r="134" spans="1:10" ht="12.95" customHeight="1">
      <c r="A134" s="18" t="s">
        <v>4140</v>
      </c>
      <c r="B134" s="19" t="s">
        <v>4141</v>
      </c>
      <c r="C134" s="15" t="s">
        <v>4142</v>
      </c>
      <c r="D134" s="15" t="s">
        <v>683</v>
      </c>
      <c r="E134" s="20">
        <v>500</v>
      </c>
      <c r="F134" s="21">
        <v>2421.2649999999999</v>
      </c>
      <c r="G134" s="22">
        <v>4.0000000000000001E-3</v>
      </c>
      <c r="H134" s="23">
        <v>7.1499999999999994E-2</v>
      </c>
      <c r="I134" s="24"/>
      <c r="J134" s="5"/>
    </row>
    <row r="135" spans="1:10" ht="12.95" customHeight="1">
      <c r="A135" s="18" t="s">
        <v>3109</v>
      </c>
      <c r="B135" s="19" t="s">
        <v>3110</v>
      </c>
      <c r="C135" s="15" t="s">
        <v>3111</v>
      </c>
      <c r="D135" s="15" t="s">
        <v>2099</v>
      </c>
      <c r="E135" s="20">
        <v>500</v>
      </c>
      <c r="F135" s="21">
        <v>2382.5650000000001</v>
      </c>
      <c r="G135" s="22">
        <v>3.8999999999999998E-3</v>
      </c>
      <c r="H135" s="23">
        <v>7.4650999999999995E-2</v>
      </c>
      <c r="I135" s="24"/>
      <c r="J135" s="5"/>
    </row>
    <row r="136" spans="1:10" ht="12.95" customHeight="1">
      <c r="A136" s="5"/>
      <c r="B136" s="14" t="s">
        <v>160</v>
      </c>
      <c r="C136" s="15"/>
      <c r="D136" s="15"/>
      <c r="E136" s="15"/>
      <c r="F136" s="25">
        <v>227358.83499999999</v>
      </c>
      <c r="G136" s="26">
        <v>0.37559999999999999</v>
      </c>
      <c r="H136" s="27"/>
      <c r="I136" s="28"/>
      <c r="J136" s="5"/>
    </row>
    <row r="137" spans="1:10" ht="12.95" customHeight="1">
      <c r="A137" s="5"/>
      <c r="B137" s="14" t="s">
        <v>2100</v>
      </c>
      <c r="C137" s="15"/>
      <c r="D137" s="15"/>
      <c r="E137" s="15"/>
      <c r="F137" s="5"/>
      <c r="G137" s="16"/>
      <c r="H137" s="16"/>
      <c r="I137" s="17"/>
      <c r="J137" s="5"/>
    </row>
    <row r="138" spans="1:10" ht="12.95" customHeight="1">
      <c r="A138" s="18" t="s">
        <v>4143</v>
      </c>
      <c r="B138" s="19" t="s">
        <v>4144</v>
      </c>
      <c r="C138" s="15" t="s">
        <v>4145</v>
      </c>
      <c r="D138" s="15" t="s">
        <v>683</v>
      </c>
      <c r="E138" s="20">
        <v>1500</v>
      </c>
      <c r="F138" s="21">
        <v>7197.4125000000004</v>
      </c>
      <c r="G138" s="22">
        <v>1.1900000000000001E-2</v>
      </c>
      <c r="H138" s="23">
        <v>7.7499999999999999E-2</v>
      </c>
      <c r="I138" s="24"/>
      <c r="J138" s="5"/>
    </row>
    <row r="139" spans="1:10" ht="12.95" customHeight="1">
      <c r="A139" s="18" t="s">
        <v>2731</v>
      </c>
      <c r="B139" s="19" t="s">
        <v>2732</v>
      </c>
      <c r="C139" s="15" t="s">
        <v>2733</v>
      </c>
      <c r="D139" s="15" t="s">
        <v>683</v>
      </c>
      <c r="E139" s="20">
        <v>1000</v>
      </c>
      <c r="F139" s="21">
        <v>4934.9650000000001</v>
      </c>
      <c r="G139" s="22">
        <v>8.2000000000000007E-3</v>
      </c>
      <c r="H139" s="23">
        <v>7.4002999999999999E-2</v>
      </c>
      <c r="I139" s="24"/>
      <c r="J139" s="5"/>
    </row>
    <row r="140" spans="1:10" ht="12.95" customHeight="1">
      <c r="A140" s="18" t="s">
        <v>4146</v>
      </c>
      <c r="B140" s="19" t="s">
        <v>4147</v>
      </c>
      <c r="C140" s="15" t="s">
        <v>4148</v>
      </c>
      <c r="D140" s="15" t="s">
        <v>683</v>
      </c>
      <c r="E140" s="20">
        <v>1000</v>
      </c>
      <c r="F140" s="21">
        <v>4852.0600000000004</v>
      </c>
      <c r="G140" s="22">
        <v>8.0000000000000002E-3</v>
      </c>
      <c r="H140" s="23">
        <v>7.6749999999999999E-2</v>
      </c>
      <c r="I140" s="24"/>
      <c r="J140" s="5"/>
    </row>
    <row r="141" spans="1:10" ht="12.95" customHeight="1">
      <c r="A141" s="18" t="s">
        <v>3316</v>
      </c>
      <c r="B141" s="19" t="s">
        <v>3317</v>
      </c>
      <c r="C141" s="15" t="s">
        <v>3318</v>
      </c>
      <c r="D141" s="15" t="s">
        <v>683</v>
      </c>
      <c r="E141" s="20">
        <v>1000</v>
      </c>
      <c r="F141" s="21">
        <v>4795.3100000000004</v>
      </c>
      <c r="G141" s="22">
        <v>7.9000000000000008E-3</v>
      </c>
      <c r="H141" s="23">
        <v>8.2000000000000003E-2</v>
      </c>
      <c r="I141" s="24"/>
      <c r="J141" s="5"/>
    </row>
    <row r="142" spans="1:10" ht="12.95" customHeight="1">
      <c r="A142" s="18" t="s">
        <v>4149</v>
      </c>
      <c r="B142" s="19" t="s">
        <v>4150</v>
      </c>
      <c r="C142" s="15" t="s">
        <v>4151</v>
      </c>
      <c r="D142" s="15" t="s">
        <v>683</v>
      </c>
      <c r="E142" s="20">
        <v>1000</v>
      </c>
      <c r="F142" s="21">
        <v>4788.5200000000004</v>
      </c>
      <c r="G142" s="22">
        <v>7.9000000000000008E-3</v>
      </c>
      <c r="H142" s="23">
        <v>7.7499999999999999E-2</v>
      </c>
      <c r="I142" s="24"/>
      <c r="J142" s="5"/>
    </row>
    <row r="143" spans="1:10" ht="12.95" customHeight="1">
      <c r="A143" s="18" t="s">
        <v>2980</v>
      </c>
      <c r="B143" s="19" t="s">
        <v>2981</v>
      </c>
      <c r="C143" s="15" t="s">
        <v>2982</v>
      </c>
      <c r="D143" s="15" t="s">
        <v>2099</v>
      </c>
      <c r="E143" s="20">
        <v>500</v>
      </c>
      <c r="F143" s="21">
        <v>2476.0875000000001</v>
      </c>
      <c r="G143" s="22">
        <v>4.1000000000000003E-3</v>
      </c>
      <c r="H143" s="23">
        <v>7.0499999999999993E-2</v>
      </c>
      <c r="I143" s="24"/>
      <c r="J143" s="5"/>
    </row>
    <row r="144" spans="1:10" ht="12.95" customHeight="1">
      <c r="A144" s="18" t="s">
        <v>3277</v>
      </c>
      <c r="B144" s="19" t="s">
        <v>3278</v>
      </c>
      <c r="C144" s="15" t="s">
        <v>3279</v>
      </c>
      <c r="D144" s="15" t="s">
        <v>683</v>
      </c>
      <c r="E144" s="20">
        <v>500</v>
      </c>
      <c r="F144" s="21">
        <v>2441.5349999999999</v>
      </c>
      <c r="G144" s="22">
        <v>4.0000000000000001E-3</v>
      </c>
      <c r="H144" s="23">
        <v>7.7349000000000001E-2</v>
      </c>
      <c r="I144" s="24"/>
      <c r="J144" s="5"/>
    </row>
    <row r="145" spans="1:10" ht="12.95" customHeight="1">
      <c r="A145" s="18" t="s">
        <v>3265</v>
      </c>
      <c r="B145" s="19" t="s">
        <v>3266</v>
      </c>
      <c r="C145" s="15" t="s">
        <v>3267</v>
      </c>
      <c r="D145" s="15" t="s">
        <v>683</v>
      </c>
      <c r="E145" s="20">
        <v>500</v>
      </c>
      <c r="F145" s="21">
        <v>2420.105</v>
      </c>
      <c r="G145" s="22">
        <v>4.0000000000000001E-3</v>
      </c>
      <c r="H145" s="23">
        <v>7.6749999999999999E-2</v>
      </c>
      <c r="I145" s="24"/>
      <c r="J145" s="5"/>
    </row>
    <row r="146" spans="1:10" ht="12.95" customHeight="1">
      <c r="A146" s="18" t="s">
        <v>2107</v>
      </c>
      <c r="B146" s="19" t="s">
        <v>2108</v>
      </c>
      <c r="C146" s="15" t="s">
        <v>2109</v>
      </c>
      <c r="D146" s="15" t="s">
        <v>683</v>
      </c>
      <c r="E146" s="20">
        <v>500</v>
      </c>
      <c r="F146" s="21">
        <v>2379.5324999999998</v>
      </c>
      <c r="G146" s="22">
        <v>3.8999999999999998E-3</v>
      </c>
      <c r="H146" s="23">
        <v>7.8299999999999995E-2</v>
      </c>
      <c r="I146" s="24"/>
      <c r="J146" s="5"/>
    </row>
    <row r="147" spans="1:10" ht="12.95" customHeight="1">
      <c r="A147" s="5"/>
      <c r="B147" s="14" t="s">
        <v>160</v>
      </c>
      <c r="C147" s="15"/>
      <c r="D147" s="15"/>
      <c r="E147" s="15"/>
      <c r="F147" s="25">
        <v>36285.527499999997</v>
      </c>
      <c r="G147" s="26">
        <v>5.9900000000000002E-2</v>
      </c>
      <c r="H147" s="27"/>
      <c r="I147" s="28"/>
      <c r="J147" s="5"/>
    </row>
    <row r="148" spans="1:10" ht="12.95" customHeight="1">
      <c r="A148" s="5"/>
      <c r="B148" s="14" t="s">
        <v>418</v>
      </c>
      <c r="C148" s="15"/>
      <c r="D148" s="15"/>
      <c r="E148" s="15"/>
      <c r="F148" s="5"/>
      <c r="G148" s="16"/>
      <c r="H148" s="16"/>
      <c r="I148" s="17"/>
      <c r="J148" s="5"/>
    </row>
    <row r="149" spans="1:10" ht="12.95" customHeight="1">
      <c r="A149" s="18" t="s">
        <v>419</v>
      </c>
      <c r="B149" s="19" t="s">
        <v>420</v>
      </c>
      <c r="C149" s="15" t="s">
        <v>421</v>
      </c>
      <c r="D149" s="15" t="s">
        <v>156</v>
      </c>
      <c r="E149" s="20">
        <v>9500000</v>
      </c>
      <c r="F149" s="21">
        <v>9408.1730000000007</v>
      </c>
      <c r="G149" s="22">
        <v>1.55E-2</v>
      </c>
      <c r="H149" s="23">
        <v>6.7213999999999996E-2</v>
      </c>
      <c r="I149" s="24"/>
      <c r="J149" s="5"/>
    </row>
    <row r="150" spans="1:10" ht="12.95" customHeight="1">
      <c r="A150" s="18" t="s">
        <v>4152</v>
      </c>
      <c r="B150" s="19" t="s">
        <v>4153</v>
      </c>
      <c r="C150" s="15" t="s">
        <v>4154</v>
      </c>
      <c r="D150" s="15" t="s">
        <v>156</v>
      </c>
      <c r="E150" s="20">
        <v>7500000</v>
      </c>
      <c r="F150" s="21">
        <v>7446.69</v>
      </c>
      <c r="G150" s="22">
        <v>1.23E-2</v>
      </c>
      <c r="H150" s="23">
        <v>6.7000000000000004E-2</v>
      </c>
      <c r="I150" s="24"/>
      <c r="J150" s="5"/>
    </row>
    <row r="151" spans="1:10" ht="12.95" customHeight="1">
      <c r="A151" s="5"/>
      <c r="B151" s="14" t="s">
        <v>160</v>
      </c>
      <c r="C151" s="15"/>
      <c r="D151" s="15"/>
      <c r="E151" s="15"/>
      <c r="F151" s="25">
        <v>16854.863000000001</v>
      </c>
      <c r="G151" s="26">
        <v>2.7799999999999998E-2</v>
      </c>
      <c r="H151" s="27"/>
      <c r="I151" s="28"/>
      <c r="J151" s="5"/>
    </row>
    <row r="152" spans="1:10" ht="12.95" customHeight="1">
      <c r="A152" s="5"/>
      <c r="B152" s="29" t="s">
        <v>163</v>
      </c>
      <c r="C152" s="30"/>
      <c r="D152" s="2"/>
      <c r="E152" s="30"/>
      <c r="F152" s="25">
        <v>280499.2255</v>
      </c>
      <c r="G152" s="26">
        <v>0.46329999999999999</v>
      </c>
      <c r="H152" s="27"/>
      <c r="I152" s="28"/>
      <c r="J152" s="5"/>
    </row>
    <row r="153" spans="1:10" ht="12.95" customHeight="1">
      <c r="A153" s="5"/>
      <c r="B153" s="14" t="s">
        <v>164</v>
      </c>
      <c r="C153" s="15"/>
      <c r="D153" s="15"/>
      <c r="E153" s="15"/>
      <c r="F153" s="15"/>
      <c r="G153" s="15"/>
      <c r="H153" s="16"/>
      <c r="I153" s="17"/>
      <c r="J153" s="5"/>
    </row>
    <row r="154" spans="1:10" ht="12.95" customHeight="1">
      <c r="A154" s="18" t="s">
        <v>165</v>
      </c>
      <c r="B154" s="19" t="s">
        <v>166</v>
      </c>
      <c r="C154" s="15"/>
      <c r="D154" s="15"/>
      <c r="E154" s="20"/>
      <c r="F154" s="21">
        <v>15679.0182</v>
      </c>
      <c r="G154" s="22">
        <v>2.5899999999999999E-2</v>
      </c>
      <c r="H154" s="23">
        <v>6.7996829688028088E-2</v>
      </c>
      <c r="I154" s="24"/>
      <c r="J154" s="5"/>
    </row>
    <row r="155" spans="1:10" ht="12.95" customHeight="1">
      <c r="A155" s="5"/>
      <c r="B155" s="14" t="s">
        <v>160</v>
      </c>
      <c r="C155" s="15"/>
      <c r="D155" s="15"/>
      <c r="E155" s="15"/>
      <c r="F155" s="25">
        <v>15679.0182</v>
      </c>
      <c r="G155" s="26">
        <v>2.5899999999999999E-2</v>
      </c>
      <c r="H155" s="27"/>
      <c r="I155" s="28"/>
      <c r="J155" s="5"/>
    </row>
    <row r="156" spans="1:10" ht="12.95" customHeight="1">
      <c r="A156" s="5"/>
      <c r="B156" s="29" t="s">
        <v>163</v>
      </c>
      <c r="C156" s="30"/>
      <c r="D156" s="2"/>
      <c r="E156" s="30"/>
      <c r="F156" s="25">
        <v>15679.0182</v>
      </c>
      <c r="G156" s="26">
        <v>2.5899999999999999E-2</v>
      </c>
      <c r="H156" s="27"/>
      <c r="I156" s="28"/>
      <c r="J156" s="5"/>
    </row>
    <row r="157" spans="1:10" ht="12.95" customHeight="1">
      <c r="A157" s="5"/>
      <c r="B157" s="29" t="s">
        <v>167</v>
      </c>
      <c r="C157" s="15"/>
      <c r="D157" s="2"/>
      <c r="E157" s="15"/>
      <c r="F157" s="31">
        <v>4597.1189000000004</v>
      </c>
      <c r="G157" s="26">
        <v>7.6E-3</v>
      </c>
      <c r="H157" s="27"/>
      <c r="I157" s="28"/>
      <c r="J157" s="5"/>
    </row>
    <row r="158" spans="1:10" ht="12.95" customHeight="1">
      <c r="A158" s="5"/>
      <c r="B158" s="32" t="s">
        <v>168</v>
      </c>
      <c r="C158" s="33"/>
      <c r="D158" s="33"/>
      <c r="E158" s="33"/>
      <c r="F158" s="34">
        <v>605402.13</v>
      </c>
      <c r="G158" s="35">
        <v>1</v>
      </c>
      <c r="H158" s="36"/>
      <c r="I158" s="37"/>
      <c r="J158" s="5"/>
    </row>
    <row r="159" spans="1:10" ht="12.95" customHeight="1">
      <c r="A159" s="5"/>
      <c r="B159" s="7"/>
      <c r="C159" s="5"/>
      <c r="D159" s="5"/>
      <c r="E159" s="5"/>
      <c r="F159" s="5"/>
      <c r="G159" s="5"/>
      <c r="H159" s="5"/>
      <c r="I159" s="5"/>
      <c r="J159" s="5"/>
    </row>
    <row r="160" spans="1:10" ht="12.95" customHeight="1">
      <c r="A160" s="5"/>
      <c r="B160" s="4" t="s">
        <v>1188</v>
      </c>
      <c r="C160" s="5"/>
      <c r="D160" s="5"/>
      <c r="E160" s="5"/>
      <c r="F160" s="5"/>
      <c r="G160" s="5"/>
      <c r="H160" s="5"/>
      <c r="I160" s="5"/>
      <c r="J160" s="5"/>
    </row>
    <row r="161" spans="1:10" ht="12.95" customHeight="1">
      <c r="A161" s="5"/>
      <c r="B161" s="4" t="s">
        <v>207</v>
      </c>
      <c r="C161" s="5"/>
      <c r="D161" s="5"/>
      <c r="E161" s="5"/>
      <c r="F161" s="5"/>
      <c r="G161" s="5"/>
      <c r="H161" s="5"/>
      <c r="I161" s="5"/>
      <c r="J161" s="5"/>
    </row>
    <row r="162" spans="1:10" ht="12.95" customHeight="1">
      <c r="A162" s="5"/>
      <c r="B162" s="4" t="s">
        <v>685</v>
      </c>
      <c r="C162" s="5"/>
      <c r="D162" s="5"/>
      <c r="E162" s="5"/>
      <c r="F162" s="5"/>
      <c r="G162" s="5"/>
      <c r="H162" s="5"/>
      <c r="I162" s="5"/>
      <c r="J162" s="5"/>
    </row>
    <row r="163" spans="1:10" ht="12.95" customHeight="1">
      <c r="A163" s="5"/>
      <c r="B163" s="4" t="s">
        <v>170</v>
      </c>
      <c r="C163" s="5"/>
      <c r="D163" s="5"/>
      <c r="E163" s="5"/>
      <c r="F163" s="5"/>
      <c r="G163" s="5"/>
      <c r="H163" s="5"/>
      <c r="I163" s="5"/>
      <c r="J163" s="5"/>
    </row>
    <row r="164" spans="1:10" ht="26.1" customHeight="1">
      <c r="A164" s="5"/>
      <c r="B164" s="86" t="s">
        <v>171</v>
      </c>
      <c r="C164" s="86"/>
      <c r="D164" s="86"/>
      <c r="E164" s="86"/>
      <c r="F164" s="86"/>
      <c r="G164" s="86"/>
      <c r="H164" s="86"/>
      <c r="I164" s="86"/>
      <c r="J164" s="5"/>
    </row>
    <row r="165" spans="1:10" ht="12.95" customHeight="1">
      <c r="A165" s="5"/>
      <c r="B165" s="86"/>
      <c r="C165" s="86"/>
      <c r="D165" s="86"/>
      <c r="E165" s="86"/>
      <c r="F165" s="86"/>
      <c r="G165" s="86"/>
      <c r="H165" s="86"/>
      <c r="I165" s="86"/>
      <c r="J165" s="5"/>
    </row>
    <row r="166" spans="1:10" ht="12.95" customHeight="1">
      <c r="A166" s="5"/>
      <c r="B166" s="86"/>
      <c r="C166" s="86"/>
      <c r="D166" s="86"/>
      <c r="E166" s="86"/>
      <c r="F166" s="86"/>
      <c r="G166" s="86"/>
      <c r="H166" s="86"/>
      <c r="I166" s="86"/>
      <c r="J166" s="5"/>
    </row>
    <row r="167" spans="1:10" ht="12.95" customHeight="1">
      <c r="A167" s="5"/>
      <c r="B167" s="5"/>
      <c r="C167" s="87" t="s">
        <v>4155</v>
      </c>
      <c r="D167" s="87"/>
      <c r="E167" s="87"/>
      <c r="F167" s="87"/>
      <c r="G167" s="5"/>
      <c r="H167" s="5"/>
      <c r="I167" s="5"/>
      <c r="J167" s="5"/>
    </row>
    <row r="168" spans="1:10" ht="12.95" customHeight="1">
      <c r="A168" s="5"/>
      <c r="B168" s="38" t="s">
        <v>173</v>
      </c>
      <c r="C168" s="87" t="s">
        <v>174</v>
      </c>
      <c r="D168" s="87"/>
      <c r="E168" s="87"/>
      <c r="F168" s="87"/>
      <c r="G168" s="5"/>
      <c r="H168" s="5"/>
      <c r="I168" s="5"/>
      <c r="J168" s="5"/>
    </row>
    <row r="169" spans="1:10" ht="120.95" customHeight="1">
      <c r="A169" s="5"/>
      <c r="B169" s="39"/>
      <c r="C169" s="85"/>
      <c r="D169" s="85"/>
      <c r="E169" s="5"/>
      <c r="F169" s="5"/>
      <c r="G169" s="5"/>
      <c r="H169" s="5"/>
      <c r="I169" s="5"/>
      <c r="J169" s="5"/>
    </row>
  </sheetData>
  <mergeCells count="6">
    <mergeCell ref="C169:D169"/>
    <mergeCell ref="B164:I164"/>
    <mergeCell ref="B165:I165"/>
    <mergeCell ref="B166:I166"/>
    <mergeCell ref="C167:F167"/>
    <mergeCell ref="C168:F168"/>
  </mergeCells>
  <hyperlinks>
    <hyperlink ref="A1" location="AxisTreasuryAdvantageFund" display="AXISTAA" xr:uid="{00000000-0004-0000-3F00-000000000000}"/>
    <hyperlink ref="B1" location="AxisTreasuryAdvantageFund" display="Axis Treasury Advantage Fund" xr:uid="{00000000-0004-0000-3F00-000001000000}"/>
  </hyperlinks>
  <pageMargins left="0" right="0" top="0" bottom="0" header="0" footer="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/>
  </sheetPr>
  <dimension ref="A1:J10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130</v>
      </c>
      <c r="B1" s="4" t="s">
        <v>131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144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103781</v>
      </c>
      <c r="F7" s="21">
        <v>8106.0744999999997</v>
      </c>
      <c r="G7" s="22">
        <v>6.1400000000000003E-2</v>
      </c>
      <c r="H7" s="40"/>
      <c r="I7" s="24"/>
      <c r="J7" s="5"/>
    </row>
    <row r="8" spans="1:10" ht="12.95" customHeight="1">
      <c r="A8" s="18" t="s">
        <v>268</v>
      </c>
      <c r="B8" s="19" t="s">
        <v>269</v>
      </c>
      <c r="C8" s="15" t="s">
        <v>270</v>
      </c>
      <c r="D8" s="15" t="s">
        <v>271</v>
      </c>
      <c r="E8" s="20">
        <v>760122</v>
      </c>
      <c r="F8" s="21">
        <v>7235.6013000000003</v>
      </c>
      <c r="G8" s="22">
        <v>5.4800000000000001E-2</v>
      </c>
      <c r="H8" s="40"/>
      <c r="I8" s="24"/>
      <c r="J8" s="5"/>
    </row>
    <row r="9" spans="1:10" ht="12.95" customHeight="1">
      <c r="A9" s="18" t="s">
        <v>282</v>
      </c>
      <c r="B9" s="19" t="s">
        <v>283</v>
      </c>
      <c r="C9" s="15" t="s">
        <v>284</v>
      </c>
      <c r="D9" s="15" t="s">
        <v>271</v>
      </c>
      <c r="E9" s="20">
        <v>422719</v>
      </c>
      <c r="F9" s="21">
        <v>6451.9601000000002</v>
      </c>
      <c r="G9" s="22">
        <v>4.8899999999999999E-2</v>
      </c>
      <c r="H9" s="40"/>
      <c r="I9" s="24"/>
      <c r="J9" s="5"/>
    </row>
    <row r="10" spans="1:10" ht="12.95" customHeight="1">
      <c r="A10" s="18" t="s">
        <v>766</v>
      </c>
      <c r="B10" s="19" t="s">
        <v>767</v>
      </c>
      <c r="C10" s="15" t="s">
        <v>768</v>
      </c>
      <c r="D10" s="15" t="s">
        <v>403</v>
      </c>
      <c r="E10" s="20">
        <v>171646</v>
      </c>
      <c r="F10" s="21">
        <v>6309.0204000000003</v>
      </c>
      <c r="G10" s="22">
        <v>4.7800000000000002E-2</v>
      </c>
      <c r="H10" s="40"/>
      <c r="I10" s="24"/>
      <c r="J10" s="5"/>
    </row>
    <row r="11" spans="1:10" ht="12.95" customHeight="1">
      <c r="A11" s="18" t="s">
        <v>248</v>
      </c>
      <c r="B11" s="19" t="s">
        <v>249</v>
      </c>
      <c r="C11" s="15" t="s">
        <v>250</v>
      </c>
      <c r="D11" s="15" t="s">
        <v>251</v>
      </c>
      <c r="E11" s="20">
        <v>224269</v>
      </c>
      <c r="F11" s="21">
        <v>5259.1081000000004</v>
      </c>
      <c r="G11" s="22">
        <v>3.9899999999999998E-2</v>
      </c>
      <c r="H11" s="40"/>
      <c r="I11" s="24"/>
      <c r="J11" s="5"/>
    </row>
    <row r="12" spans="1:10" ht="12.95" customHeight="1">
      <c r="A12" s="18" t="s">
        <v>260</v>
      </c>
      <c r="B12" s="19" t="s">
        <v>261</v>
      </c>
      <c r="C12" s="15" t="s">
        <v>262</v>
      </c>
      <c r="D12" s="15" t="s">
        <v>263</v>
      </c>
      <c r="E12" s="20">
        <v>127645</v>
      </c>
      <c r="F12" s="21">
        <v>4504.0815000000002</v>
      </c>
      <c r="G12" s="22">
        <v>3.4099999999999998E-2</v>
      </c>
      <c r="H12" s="40"/>
      <c r="I12" s="24"/>
      <c r="J12" s="5"/>
    </row>
    <row r="13" spans="1:10" ht="12.95" customHeight="1">
      <c r="A13" s="18" t="s">
        <v>829</v>
      </c>
      <c r="B13" s="19" t="s">
        <v>830</v>
      </c>
      <c r="C13" s="15" t="s">
        <v>831</v>
      </c>
      <c r="D13" s="15" t="s">
        <v>832</v>
      </c>
      <c r="E13" s="20">
        <v>112938</v>
      </c>
      <c r="F13" s="21">
        <v>3899.7491</v>
      </c>
      <c r="G13" s="22">
        <v>2.9600000000000001E-2</v>
      </c>
      <c r="H13" s="40"/>
      <c r="I13" s="24"/>
      <c r="J13" s="5"/>
    </row>
    <row r="14" spans="1:10" ht="12.95" customHeight="1">
      <c r="A14" s="18" t="s">
        <v>285</v>
      </c>
      <c r="B14" s="19" t="s">
        <v>286</v>
      </c>
      <c r="C14" s="15" t="s">
        <v>287</v>
      </c>
      <c r="D14" s="15" t="s">
        <v>263</v>
      </c>
      <c r="E14" s="20">
        <v>266199</v>
      </c>
      <c r="F14" s="21">
        <v>3821.1534999999999</v>
      </c>
      <c r="G14" s="22">
        <v>2.9000000000000001E-2</v>
      </c>
      <c r="H14" s="40"/>
      <c r="I14" s="24"/>
      <c r="J14" s="5"/>
    </row>
    <row r="15" spans="1:10" ht="12.95" customHeight="1">
      <c r="A15" s="18" t="s">
        <v>690</v>
      </c>
      <c r="B15" s="19" t="s">
        <v>691</v>
      </c>
      <c r="C15" s="15" t="s">
        <v>692</v>
      </c>
      <c r="D15" s="15" t="s">
        <v>271</v>
      </c>
      <c r="E15" s="20">
        <v>169779</v>
      </c>
      <c r="F15" s="21">
        <v>2946.8541</v>
      </c>
      <c r="G15" s="22">
        <v>2.23E-2</v>
      </c>
      <c r="H15" s="40"/>
      <c r="I15" s="24"/>
      <c r="J15" s="5"/>
    </row>
    <row r="16" spans="1:10" ht="12.95" customHeight="1">
      <c r="A16" s="18" t="s">
        <v>719</v>
      </c>
      <c r="B16" s="19" t="s">
        <v>720</v>
      </c>
      <c r="C16" s="15" t="s">
        <v>721</v>
      </c>
      <c r="D16" s="15" t="s">
        <v>722</v>
      </c>
      <c r="E16" s="20">
        <v>95632</v>
      </c>
      <c r="F16" s="21">
        <v>2891.4812999999999</v>
      </c>
      <c r="G16" s="22">
        <v>2.1899999999999999E-2</v>
      </c>
      <c r="H16" s="40"/>
      <c r="I16" s="24"/>
      <c r="J16" s="5"/>
    </row>
    <row r="17" spans="1:10" ht="12.95" customHeight="1">
      <c r="A17" s="18" t="s">
        <v>842</v>
      </c>
      <c r="B17" s="19" t="s">
        <v>843</v>
      </c>
      <c r="C17" s="15" t="s">
        <v>844</v>
      </c>
      <c r="D17" s="15" t="s">
        <v>259</v>
      </c>
      <c r="E17" s="20">
        <v>220392</v>
      </c>
      <c r="F17" s="21">
        <v>2076.3130000000001</v>
      </c>
      <c r="G17" s="22">
        <v>1.5699999999999999E-2</v>
      </c>
      <c r="H17" s="40"/>
      <c r="I17" s="24"/>
      <c r="J17" s="5"/>
    </row>
    <row r="18" spans="1:10" ht="12.95" customHeight="1">
      <c r="A18" s="18" t="s">
        <v>2739</v>
      </c>
      <c r="B18" s="19" t="s">
        <v>2740</v>
      </c>
      <c r="C18" s="15" t="s">
        <v>2741</v>
      </c>
      <c r="D18" s="15" t="s">
        <v>295</v>
      </c>
      <c r="E18" s="20">
        <v>38144</v>
      </c>
      <c r="F18" s="21">
        <v>1949.7687000000001</v>
      </c>
      <c r="G18" s="22">
        <v>1.4800000000000001E-2</v>
      </c>
      <c r="H18" s="40"/>
      <c r="I18" s="24"/>
      <c r="J18" s="5"/>
    </row>
    <row r="19" spans="1:10" ht="12.95" customHeight="1">
      <c r="A19" s="18" t="s">
        <v>278</v>
      </c>
      <c r="B19" s="19" t="s">
        <v>279</v>
      </c>
      <c r="C19" s="15" t="s">
        <v>280</v>
      </c>
      <c r="D19" s="15" t="s">
        <v>281</v>
      </c>
      <c r="E19" s="20">
        <v>300000</v>
      </c>
      <c r="F19" s="21">
        <v>1890.6</v>
      </c>
      <c r="G19" s="22">
        <v>1.43E-2</v>
      </c>
      <c r="H19" s="40"/>
      <c r="I19" s="24"/>
      <c r="J19" s="5"/>
    </row>
    <row r="20" spans="1:10" ht="12.95" customHeight="1">
      <c r="A20" s="18" t="s">
        <v>264</v>
      </c>
      <c r="B20" s="19" t="s">
        <v>265</v>
      </c>
      <c r="C20" s="15" t="s">
        <v>266</v>
      </c>
      <c r="D20" s="15" t="s">
        <v>267</v>
      </c>
      <c r="E20" s="20">
        <v>21787</v>
      </c>
      <c r="F20" s="21">
        <v>1798.4842000000001</v>
      </c>
      <c r="G20" s="22">
        <v>1.3599999999999999E-2</v>
      </c>
      <c r="H20" s="40"/>
      <c r="I20" s="24"/>
      <c r="J20" s="5"/>
    </row>
    <row r="21" spans="1:10" ht="12.95" customHeight="1">
      <c r="A21" s="18" t="s">
        <v>353</v>
      </c>
      <c r="B21" s="19" t="s">
        <v>354</v>
      </c>
      <c r="C21" s="15" t="s">
        <v>355</v>
      </c>
      <c r="D21" s="15" t="s">
        <v>267</v>
      </c>
      <c r="E21" s="20">
        <v>7036</v>
      </c>
      <c r="F21" s="21">
        <v>1791.7174</v>
      </c>
      <c r="G21" s="22">
        <v>1.3599999999999999E-2</v>
      </c>
      <c r="H21" s="40"/>
      <c r="I21" s="24"/>
      <c r="J21" s="5"/>
    </row>
    <row r="22" spans="1:10" ht="12.95" customHeight="1">
      <c r="A22" s="18" t="s">
        <v>256</v>
      </c>
      <c r="B22" s="19" t="s">
        <v>257</v>
      </c>
      <c r="C22" s="15" t="s">
        <v>258</v>
      </c>
      <c r="D22" s="15" t="s">
        <v>259</v>
      </c>
      <c r="E22" s="20">
        <v>307000</v>
      </c>
      <c r="F22" s="21">
        <v>1791.038</v>
      </c>
      <c r="G22" s="22">
        <v>1.3599999999999999E-2</v>
      </c>
      <c r="H22" s="40"/>
      <c r="I22" s="24"/>
      <c r="J22" s="5"/>
    </row>
    <row r="23" spans="1:10" ht="12.95" customHeight="1">
      <c r="A23" s="18" t="s">
        <v>752</v>
      </c>
      <c r="B23" s="19" t="s">
        <v>753</v>
      </c>
      <c r="C23" s="15" t="s">
        <v>754</v>
      </c>
      <c r="D23" s="15" t="s">
        <v>755</v>
      </c>
      <c r="E23" s="20">
        <v>7676</v>
      </c>
      <c r="F23" s="21">
        <v>1727.6296</v>
      </c>
      <c r="G23" s="22">
        <v>1.3100000000000001E-2</v>
      </c>
      <c r="H23" s="40"/>
      <c r="I23" s="24"/>
      <c r="J23" s="5"/>
    </row>
    <row r="24" spans="1:10" ht="12.95" customHeight="1">
      <c r="A24" s="18" t="s">
        <v>854</v>
      </c>
      <c r="B24" s="19" t="s">
        <v>855</v>
      </c>
      <c r="C24" s="15" t="s">
        <v>856</v>
      </c>
      <c r="D24" s="15" t="s">
        <v>314</v>
      </c>
      <c r="E24" s="20">
        <v>119169</v>
      </c>
      <c r="F24" s="21">
        <v>1679.3891000000001</v>
      </c>
      <c r="G24" s="22">
        <v>1.2699999999999999E-2</v>
      </c>
      <c r="H24" s="40"/>
      <c r="I24" s="24"/>
      <c r="J24" s="5"/>
    </row>
    <row r="25" spans="1:10" ht="12.95" customHeight="1">
      <c r="A25" s="18" t="s">
        <v>857</v>
      </c>
      <c r="B25" s="19" t="s">
        <v>858</v>
      </c>
      <c r="C25" s="15" t="s">
        <v>859</v>
      </c>
      <c r="D25" s="15" t="s">
        <v>259</v>
      </c>
      <c r="E25" s="20">
        <v>1694785</v>
      </c>
      <c r="F25" s="21">
        <v>1626.9936</v>
      </c>
      <c r="G25" s="22">
        <v>1.23E-2</v>
      </c>
      <c r="H25" s="40"/>
      <c r="I25" s="24"/>
      <c r="J25" s="5"/>
    </row>
    <row r="26" spans="1:10" ht="12.95" customHeight="1">
      <c r="A26" s="18" t="s">
        <v>749</v>
      </c>
      <c r="B26" s="19" t="s">
        <v>750</v>
      </c>
      <c r="C26" s="15" t="s">
        <v>751</v>
      </c>
      <c r="D26" s="15" t="s">
        <v>255</v>
      </c>
      <c r="E26" s="20">
        <v>104380</v>
      </c>
      <c r="F26" s="21">
        <v>1607.713</v>
      </c>
      <c r="G26" s="22">
        <v>1.2200000000000001E-2</v>
      </c>
      <c r="H26" s="40"/>
      <c r="I26" s="24"/>
      <c r="J26" s="5"/>
    </row>
    <row r="27" spans="1:10" ht="12.95" customHeight="1">
      <c r="A27" s="18" t="s">
        <v>833</v>
      </c>
      <c r="B27" s="19" t="s">
        <v>834</v>
      </c>
      <c r="C27" s="15" t="s">
        <v>835</v>
      </c>
      <c r="D27" s="15" t="s">
        <v>306</v>
      </c>
      <c r="E27" s="20">
        <v>61906</v>
      </c>
      <c r="F27" s="21">
        <v>1570.9267</v>
      </c>
      <c r="G27" s="22">
        <v>1.1900000000000001E-2</v>
      </c>
      <c r="H27" s="40"/>
      <c r="I27" s="24"/>
      <c r="J27" s="5"/>
    </row>
    <row r="28" spans="1:10" ht="12.95" customHeight="1">
      <c r="A28" s="18" t="s">
        <v>839</v>
      </c>
      <c r="B28" s="19" t="s">
        <v>840</v>
      </c>
      <c r="C28" s="15" t="s">
        <v>841</v>
      </c>
      <c r="D28" s="15" t="s">
        <v>745</v>
      </c>
      <c r="E28" s="20">
        <v>41523</v>
      </c>
      <c r="F28" s="21">
        <v>1563.4032</v>
      </c>
      <c r="G28" s="22">
        <v>1.18E-2</v>
      </c>
      <c r="H28" s="40"/>
      <c r="I28" s="24"/>
      <c r="J28" s="5"/>
    </row>
    <row r="29" spans="1:10" ht="12.95" customHeight="1">
      <c r="A29" s="18" t="s">
        <v>848</v>
      </c>
      <c r="B29" s="19" t="s">
        <v>849</v>
      </c>
      <c r="C29" s="15" t="s">
        <v>850</v>
      </c>
      <c r="D29" s="15" t="s">
        <v>255</v>
      </c>
      <c r="E29" s="20">
        <v>127546</v>
      </c>
      <c r="F29" s="21">
        <v>1552.9363000000001</v>
      </c>
      <c r="G29" s="22">
        <v>1.18E-2</v>
      </c>
      <c r="H29" s="40"/>
      <c r="I29" s="24"/>
      <c r="J29" s="5"/>
    </row>
    <row r="30" spans="1:10" ht="12.95" customHeight="1">
      <c r="A30" s="18" t="s">
        <v>860</v>
      </c>
      <c r="B30" s="19" t="s">
        <v>861</v>
      </c>
      <c r="C30" s="15" t="s">
        <v>862</v>
      </c>
      <c r="D30" s="15" t="s">
        <v>259</v>
      </c>
      <c r="E30" s="20">
        <v>2317693</v>
      </c>
      <c r="F30" s="21">
        <v>1493.7530999999999</v>
      </c>
      <c r="G30" s="22">
        <v>1.1299999999999999E-2</v>
      </c>
      <c r="H30" s="40"/>
      <c r="I30" s="24"/>
      <c r="J30" s="5"/>
    </row>
    <row r="31" spans="1:10" ht="12.95" customHeight="1">
      <c r="A31" s="18" t="s">
        <v>775</v>
      </c>
      <c r="B31" s="19" t="s">
        <v>776</v>
      </c>
      <c r="C31" s="15" t="s">
        <v>777</v>
      </c>
      <c r="D31" s="15" t="s">
        <v>778</v>
      </c>
      <c r="E31" s="20">
        <v>28986</v>
      </c>
      <c r="F31" s="21">
        <v>1489.2282</v>
      </c>
      <c r="G31" s="22">
        <v>1.1299999999999999E-2</v>
      </c>
      <c r="H31" s="40"/>
      <c r="I31" s="24"/>
      <c r="J31" s="5"/>
    </row>
    <row r="32" spans="1:10" ht="12.95" customHeight="1">
      <c r="A32" s="18" t="s">
        <v>869</v>
      </c>
      <c r="B32" s="19" t="s">
        <v>870</v>
      </c>
      <c r="C32" s="15" t="s">
        <v>871</v>
      </c>
      <c r="D32" s="15" t="s">
        <v>832</v>
      </c>
      <c r="E32" s="20">
        <v>337412</v>
      </c>
      <c r="F32" s="21">
        <v>1425.2283</v>
      </c>
      <c r="G32" s="22">
        <v>1.0800000000000001E-2</v>
      </c>
      <c r="H32" s="40"/>
      <c r="I32" s="24"/>
      <c r="J32" s="5"/>
    </row>
    <row r="33" spans="1:10" ht="12.95" customHeight="1">
      <c r="A33" s="18" t="s">
        <v>851</v>
      </c>
      <c r="B33" s="19" t="s">
        <v>852</v>
      </c>
      <c r="C33" s="15" t="s">
        <v>853</v>
      </c>
      <c r="D33" s="15" t="s">
        <v>259</v>
      </c>
      <c r="E33" s="20">
        <v>231472</v>
      </c>
      <c r="F33" s="21">
        <v>1387.5589</v>
      </c>
      <c r="G33" s="22">
        <v>1.0500000000000001E-2</v>
      </c>
      <c r="H33" s="40"/>
      <c r="I33" s="24"/>
      <c r="J33" s="5"/>
    </row>
    <row r="34" spans="1:10" ht="12.95" customHeight="1">
      <c r="A34" s="18" t="s">
        <v>359</v>
      </c>
      <c r="B34" s="19" t="s">
        <v>360</v>
      </c>
      <c r="C34" s="15" t="s">
        <v>361</v>
      </c>
      <c r="D34" s="15" t="s">
        <v>255</v>
      </c>
      <c r="E34" s="20">
        <v>576169</v>
      </c>
      <c r="F34" s="21">
        <v>1332.1026999999999</v>
      </c>
      <c r="G34" s="22">
        <v>1.01E-2</v>
      </c>
      <c r="H34" s="40"/>
      <c r="I34" s="24"/>
      <c r="J34" s="5"/>
    </row>
    <row r="35" spans="1:10" ht="12.95" customHeight="1">
      <c r="A35" s="18" t="s">
        <v>400</v>
      </c>
      <c r="B35" s="19" t="s">
        <v>401</v>
      </c>
      <c r="C35" s="15" t="s">
        <v>402</v>
      </c>
      <c r="D35" s="15" t="s">
        <v>403</v>
      </c>
      <c r="E35" s="20">
        <v>94746</v>
      </c>
      <c r="F35" s="21">
        <v>1268.2226000000001</v>
      </c>
      <c r="G35" s="22">
        <v>9.5999999999999992E-3</v>
      </c>
      <c r="H35" s="40"/>
      <c r="I35" s="24"/>
      <c r="J35" s="5"/>
    </row>
    <row r="36" spans="1:10" ht="12.95" customHeight="1">
      <c r="A36" s="18" t="s">
        <v>1587</v>
      </c>
      <c r="B36" s="19" t="s">
        <v>1588</v>
      </c>
      <c r="C36" s="15" t="s">
        <v>1589</v>
      </c>
      <c r="D36" s="15" t="s">
        <v>1590</v>
      </c>
      <c r="E36" s="20">
        <v>221943</v>
      </c>
      <c r="F36" s="21">
        <v>1041.9114</v>
      </c>
      <c r="G36" s="22">
        <v>7.9000000000000008E-3</v>
      </c>
      <c r="H36" s="40"/>
      <c r="I36" s="24"/>
      <c r="J36" s="5"/>
    </row>
    <row r="37" spans="1:10" ht="12.95" customHeight="1">
      <c r="A37" s="18" t="s">
        <v>345</v>
      </c>
      <c r="B37" s="19" t="s">
        <v>346</v>
      </c>
      <c r="C37" s="15" t="s">
        <v>347</v>
      </c>
      <c r="D37" s="15" t="s">
        <v>348</v>
      </c>
      <c r="E37" s="20">
        <v>41410</v>
      </c>
      <c r="F37" s="21">
        <v>1021.005</v>
      </c>
      <c r="G37" s="22">
        <v>7.7000000000000002E-3</v>
      </c>
      <c r="H37" s="40"/>
      <c r="I37" s="24"/>
      <c r="J37" s="5"/>
    </row>
    <row r="38" spans="1:10" ht="12.95" customHeight="1">
      <c r="A38" s="18" t="s">
        <v>275</v>
      </c>
      <c r="B38" s="19" t="s">
        <v>276</v>
      </c>
      <c r="C38" s="15" t="s">
        <v>277</v>
      </c>
      <c r="D38" s="15" t="s">
        <v>271</v>
      </c>
      <c r="E38" s="20">
        <v>165244</v>
      </c>
      <c r="F38" s="21">
        <v>989.06799999999998</v>
      </c>
      <c r="G38" s="22">
        <v>7.4999999999999997E-3</v>
      </c>
      <c r="H38" s="40"/>
      <c r="I38" s="24"/>
      <c r="J38" s="5"/>
    </row>
    <row r="39" spans="1:10" ht="12.95" customHeight="1">
      <c r="A39" s="18" t="s">
        <v>2161</v>
      </c>
      <c r="B39" s="19" t="s">
        <v>2162</v>
      </c>
      <c r="C39" s="15" t="s">
        <v>2163</v>
      </c>
      <c r="D39" s="15" t="s">
        <v>314</v>
      </c>
      <c r="E39" s="20">
        <v>19549</v>
      </c>
      <c r="F39" s="21">
        <v>937.39409999999998</v>
      </c>
      <c r="G39" s="22">
        <v>7.1000000000000004E-3</v>
      </c>
      <c r="H39" s="40"/>
      <c r="I39" s="24"/>
      <c r="J39" s="5"/>
    </row>
    <row r="40" spans="1:10" ht="12.95" customHeight="1">
      <c r="A40" s="18" t="s">
        <v>884</v>
      </c>
      <c r="B40" s="19" t="s">
        <v>885</v>
      </c>
      <c r="C40" s="15" t="s">
        <v>886</v>
      </c>
      <c r="D40" s="15" t="s">
        <v>314</v>
      </c>
      <c r="E40" s="20">
        <v>195318</v>
      </c>
      <c r="F40" s="21">
        <v>934.9873</v>
      </c>
      <c r="G40" s="22">
        <v>7.1000000000000004E-3</v>
      </c>
      <c r="H40" s="40"/>
      <c r="I40" s="24"/>
      <c r="J40" s="5"/>
    </row>
    <row r="41" spans="1:10" ht="12.95" customHeight="1">
      <c r="A41" s="18" t="s">
        <v>875</v>
      </c>
      <c r="B41" s="19" t="s">
        <v>876</v>
      </c>
      <c r="C41" s="15" t="s">
        <v>877</v>
      </c>
      <c r="D41" s="15" t="s">
        <v>403</v>
      </c>
      <c r="E41" s="20">
        <v>539526</v>
      </c>
      <c r="F41" s="21">
        <v>826.55380000000002</v>
      </c>
      <c r="G41" s="22">
        <v>6.3E-3</v>
      </c>
      <c r="H41" s="40"/>
      <c r="I41" s="24"/>
      <c r="J41" s="5"/>
    </row>
    <row r="42" spans="1:10" ht="12.95" customHeight="1">
      <c r="A42" s="18" t="s">
        <v>872</v>
      </c>
      <c r="B42" s="19" t="s">
        <v>873</v>
      </c>
      <c r="C42" s="15" t="s">
        <v>874</v>
      </c>
      <c r="D42" s="15" t="s">
        <v>352</v>
      </c>
      <c r="E42" s="20">
        <v>1872</v>
      </c>
      <c r="F42" s="21">
        <v>746.06219999999996</v>
      </c>
      <c r="G42" s="22">
        <v>5.7000000000000002E-3</v>
      </c>
      <c r="H42" s="40"/>
      <c r="I42" s="24"/>
      <c r="J42" s="5"/>
    </row>
    <row r="43" spans="1:10" ht="12.95" customHeight="1">
      <c r="A43" s="18" t="s">
        <v>252</v>
      </c>
      <c r="B43" s="19" t="s">
        <v>253</v>
      </c>
      <c r="C43" s="15" t="s">
        <v>254</v>
      </c>
      <c r="D43" s="15" t="s">
        <v>255</v>
      </c>
      <c r="E43" s="20">
        <v>50000</v>
      </c>
      <c r="F43" s="21">
        <v>657.75</v>
      </c>
      <c r="G43" s="22">
        <v>5.0000000000000001E-3</v>
      </c>
      <c r="H43" s="40"/>
      <c r="I43" s="24"/>
      <c r="J43" s="5"/>
    </row>
    <row r="44" spans="1:10" ht="12.95" customHeight="1">
      <c r="A44" s="18" t="s">
        <v>742</v>
      </c>
      <c r="B44" s="19" t="s">
        <v>743</v>
      </c>
      <c r="C44" s="15" t="s">
        <v>744</v>
      </c>
      <c r="D44" s="15" t="s">
        <v>745</v>
      </c>
      <c r="E44" s="20">
        <v>55000</v>
      </c>
      <c r="F44" s="21">
        <v>637.25750000000005</v>
      </c>
      <c r="G44" s="22">
        <v>4.7999999999999996E-3</v>
      </c>
      <c r="H44" s="40"/>
      <c r="I44" s="24"/>
      <c r="J44" s="5"/>
    </row>
    <row r="45" spans="1:10" ht="12.95" customHeight="1">
      <c r="A45" s="18" t="s">
        <v>2179</v>
      </c>
      <c r="B45" s="19" t="s">
        <v>2180</v>
      </c>
      <c r="C45" s="15" t="s">
        <v>2181</v>
      </c>
      <c r="D45" s="15" t="s">
        <v>2182</v>
      </c>
      <c r="E45" s="20">
        <v>23579</v>
      </c>
      <c r="F45" s="21">
        <v>612.5942</v>
      </c>
      <c r="G45" s="22">
        <v>4.5999999999999999E-3</v>
      </c>
      <c r="H45" s="40"/>
      <c r="I45" s="24"/>
      <c r="J45" s="5"/>
    </row>
    <row r="46" spans="1:10" ht="12.95" customHeight="1">
      <c r="A46" s="18" t="s">
        <v>730</v>
      </c>
      <c r="B46" s="19" t="s">
        <v>731</v>
      </c>
      <c r="C46" s="15" t="s">
        <v>732</v>
      </c>
      <c r="D46" s="15" t="s">
        <v>281</v>
      </c>
      <c r="E46" s="20">
        <v>37861</v>
      </c>
      <c r="F46" s="21">
        <v>588.45460000000003</v>
      </c>
      <c r="G46" s="22">
        <v>4.4999999999999997E-3</v>
      </c>
      <c r="H46" s="40"/>
      <c r="I46" s="24"/>
      <c r="J46" s="5"/>
    </row>
    <row r="47" spans="1:10" ht="12.95" customHeight="1">
      <c r="A47" s="18" t="s">
        <v>863</v>
      </c>
      <c r="B47" s="19" t="s">
        <v>864</v>
      </c>
      <c r="C47" s="15" t="s">
        <v>865</v>
      </c>
      <c r="D47" s="15" t="s">
        <v>745</v>
      </c>
      <c r="E47" s="20">
        <v>35256</v>
      </c>
      <c r="F47" s="21">
        <v>522.52919999999995</v>
      </c>
      <c r="G47" s="22">
        <v>4.0000000000000001E-3</v>
      </c>
      <c r="H47" s="40"/>
      <c r="I47" s="24"/>
      <c r="J47" s="5"/>
    </row>
    <row r="48" spans="1:10" ht="12.95" customHeight="1">
      <c r="A48" s="18" t="s">
        <v>866</v>
      </c>
      <c r="B48" s="19" t="s">
        <v>867</v>
      </c>
      <c r="C48" s="15" t="s">
        <v>868</v>
      </c>
      <c r="D48" s="15" t="s">
        <v>403</v>
      </c>
      <c r="E48" s="20">
        <v>420892</v>
      </c>
      <c r="F48" s="21">
        <v>427.2054</v>
      </c>
      <c r="G48" s="22">
        <v>3.2000000000000002E-3</v>
      </c>
      <c r="H48" s="40"/>
      <c r="I48" s="24"/>
      <c r="J48" s="5"/>
    </row>
    <row r="49" spans="1:10" ht="12.95" customHeight="1">
      <c r="A49" s="18" t="s">
        <v>341</v>
      </c>
      <c r="B49" s="19" t="s">
        <v>342</v>
      </c>
      <c r="C49" s="15" t="s">
        <v>343</v>
      </c>
      <c r="D49" s="15" t="s">
        <v>344</v>
      </c>
      <c r="E49" s="20">
        <v>57013</v>
      </c>
      <c r="F49" s="21">
        <v>399.86070000000001</v>
      </c>
      <c r="G49" s="22">
        <v>3.0000000000000001E-3</v>
      </c>
      <c r="H49" s="40"/>
      <c r="I49" s="24"/>
      <c r="J49" s="5"/>
    </row>
    <row r="50" spans="1:10" ht="12.95" customHeight="1">
      <c r="A50" s="18" t="s">
        <v>299</v>
      </c>
      <c r="B50" s="19" t="s">
        <v>300</v>
      </c>
      <c r="C50" s="15" t="s">
        <v>301</v>
      </c>
      <c r="D50" s="15" t="s">
        <v>302</v>
      </c>
      <c r="E50" s="20">
        <v>52652</v>
      </c>
      <c r="F50" s="21">
        <v>396.5222</v>
      </c>
      <c r="G50" s="22">
        <v>3.0000000000000001E-3</v>
      </c>
      <c r="H50" s="40"/>
      <c r="I50" s="24"/>
      <c r="J50" s="5"/>
    </row>
    <row r="51" spans="1:10" ht="12.95" customHeight="1">
      <c r="A51" s="18" t="s">
        <v>795</v>
      </c>
      <c r="B51" s="19" t="s">
        <v>796</v>
      </c>
      <c r="C51" s="15" t="s">
        <v>797</v>
      </c>
      <c r="D51" s="15" t="s">
        <v>798</v>
      </c>
      <c r="E51" s="20">
        <v>35000</v>
      </c>
      <c r="F51" s="21">
        <v>347.06</v>
      </c>
      <c r="G51" s="22">
        <v>2.5999999999999999E-3</v>
      </c>
      <c r="H51" s="40"/>
      <c r="I51" s="24"/>
      <c r="J51" s="5"/>
    </row>
    <row r="52" spans="1:10" ht="12.95" customHeight="1">
      <c r="A52" s="18" t="s">
        <v>2170</v>
      </c>
      <c r="B52" s="19" t="s">
        <v>2171</v>
      </c>
      <c r="C52" s="15" t="s">
        <v>2172</v>
      </c>
      <c r="D52" s="15" t="s">
        <v>263</v>
      </c>
      <c r="E52" s="20">
        <v>8004</v>
      </c>
      <c r="F52" s="21">
        <v>190.22309999999999</v>
      </c>
      <c r="G52" s="22">
        <v>1.4E-3</v>
      </c>
      <c r="H52" s="40"/>
      <c r="I52" s="24"/>
      <c r="J52" s="5"/>
    </row>
    <row r="53" spans="1:10" ht="12.95" customHeight="1">
      <c r="A53" s="5"/>
      <c r="B53" s="14" t="s">
        <v>160</v>
      </c>
      <c r="C53" s="15"/>
      <c r="D53" s="15"/>
      <c r="E53" s="15"/>
      <c r="F53" s="25">
        <v>93724.5291</v>
      </c>
      <c r="G53" s="26">
        <v>0.71020000000000005</v>
      </c>
      <c r="H53" s="27"/>
      <c r="I53" s="28"/>
      <c r="J53" s="5"/>
    </row>
    <row r="54" spans="1:10" ht="12.95" customHeight="1">
      <c r="A54" s="5"/>
      <c r="B54" s="29" t="s">
        <v>408</v>
      </c>
      <c r="C54" s="2"/>
      <c r="D54" s="2"/>
      <c r="E54" s="2"/>
      <c r="F54" s="27" t="s">
        <v>162</v>
      </c>
      <c r="G54" s="27" t="s">
        <v>162</v>
      </c>
      <c r="H54" s="27"/>
      <c r="I54" s="28"/>
      <c r="J54" s="5"/>
    </row>
    <row r="55" spans="1:10" ht="12.95" customHeight="1">
      <c r="A55" s="5"/>
      <c r="B55" s="29" t="s">
        <v>160</v>
      </c>
      <c r="C55" s="2"/>
      <c r="D55" s="2"/>
      <c r="E55" s="2"/>
      <c r="F55" s="27" t="s">
        <v>162</v>
      </c>
      <c r="G55" s="27" t="s">
        <v>162</v>
      </c>
      <c r="H55" s="27"/>
      <c r="I55" s="28"/>
      <c r="J55" s="5"/>
    </row>
    <row r="56" spans="1:10" ht="12.95" customHeight="1">
      <c r="A56" s="5"/>
      <c r="B56" s="29" t="s">
        <v>163</v>
      </c>
      <c r="C56" s="30"/>
      <c r="D56" s="2"/>
      <c r="E56" s="30"/>
      <c r="F56" s="25">
        <v>93724.5291</v>
      </c>
      <c r="G56" s="26">
        <v>0.71020000000000005</v>
      </c>
      <c r="H56" s="27"/>
      <c r="I56" s="28"/>
      <c r="J56" s="5"/>
    </row>
    <row r="57" spans="1:10" ht="12.95" customHeight="1">
      <c r="A57" s="5"/>
      <c r="B57" s="14" t="s">
        <v>409</v>
      </c>
      <c r="C57" s="15"/>
      <c r="D57" s="15"/>
      <c r="E57" s="15"/>
      <c r="F57" s="15"/>
      <c r="G57" s="15"/>
      <c r="H57" s="16"/>
      <c r="I57" s="17"/>
      <c r="J57" s="5"/>
    </row>
    <row r="58" spans="1:10" ht="12.95" customHeight="1">
      <c r="A58" s="5"/>
      <c r="B58" s="14" t="s">
        <v>410</v>
      </c>
      <c r="C58" s="15"/>
      <c r="D58" s="15"/>
      <c r="E58" s="15"/>
      <c r="F58" s="5"/>
      <c r="G58" s="16"/>
      <c r="H58" s="16"/>
      <c r="I58" s="17"/>
      <c r="J58" s="5"/>
    </row>
    <row r="59" spans="1:10" ht="12.95" customHeight="1">
      <c r="A59" s="18" t="s">
        <v>894</v>
      </c>
      <c r="B59" s="19" t="s">
        <v>895</v>
      </c>
      <c r="C59" s="15"/>
      <c r="D59" s="15"/>
      <c r="E59" s="20">
        <v>277500</v>
      </c>
      <c r="F59" s="21">
        <v>1666.9425000000001</v>
      </c>
      <c r="G59" s="22">
        <v>1.26E-2</v>
      </c>
      <c r="H59" s="40"/>
      <c r="I59" s="24"/>
      <c r="J59" s="5"/>
    </row>
    <row r="60" spans="1:10" ht="12.95" customHeight="1">
      <c r="A60" s="18" t="s">
        <v>413</v>
      </c>
      <c r="B60" s="19" t="s">
        <v>414</v>
      </c>
      <c r="C60" s="15"/>
      <c r="D60" s="15"/>
      <c r="E60" s="20">
        <v>207200</v>
      </c>
      <c r="F60" s="21">
        <v>1023.05</v>
      </c>
      <c r="G60" s="22">
        <v>7.7999999999999996E-3</v>
      </c>
      <c r="H60" s="40"/>
      <c r="I60" s="24"/>
      <c r="J60" s="5"/>
    </row>
    <row r="61" spans="1:10" ht="12.95" customHeight="1">
      <c r="A61" s="5"/>
      <c r="B61" s="14" t="s">
        <v>160</v>
      </c>
      <c r="C61" s="15"/>
      <c r="D61" s="15"/>
      <c r="E61" s="15"/>
      <c r="F61" s="25">
        <v>2689.9924999999998</v>
      </c>
      <c r="G61" s="26">
        <v>2.0400000000000001E-2</v>
      </c>
      <c r="H61" s="27"/>
      <c r="I61" s="28"/>
      <c r="J61" s="5"/>
    </row>
    <row r="62" spans="1:10" ht="12.95" customHeight="1">
      <c r="A62" s="5"/>
      <c r="B62" s="29" t="s">
        <v>163</v>
      </c>
      <c r="C62" s="30"/>
      <c r="D62" s="2"/>
      <c r="E62" s="30"/>
      <c r="F62" s="25">
        <v>2689.9924999999998</v>
      </c>
      <c r="G62" s="26">
        <v>2.0400000000000001E-2</v>
      </c>
      <c r="H62" s="27"/>
      <c r="I62" s="28"/>
      <c r="J62" s="5"/>
    </row>
    <row r="63" spans="1:10" ht="12.95" customHeight="1">
      <c r="A63" s="5"/>
      <c r="B63" s="14" t="s">
        <v>151</v>
      </c>
      <c r="C63" s="15"/>
      <c r="D63" s="15"/>
      <c r="E63" s="15"/>
      <c r="F63" s="15"/>
      <c r="G63" s="15"/>
      <c r="H63" s="16"/>
      <c r="I63" s="17"/>
      <c r="J63" s="5"/>
    </row>
    <row r="64" spans="1:10" ht="12.95" customHeight="1">
      <c r="A64" s="5"/>
      <c r="B64" s="14" t="s">
        <v>152</v>
      </c>
      <c r="C64" s="15"/>
      <c r="D64" s="15"/>
      <c r="E64" s="15"/>
      <c r="F64" s="5"/>
      <c r="G64" s="16"/>
      <c r="H64" s="16"/>
      <c r="I64" s="17"/>
      <c r="J64" s="5"/>
    </row>
    <row r="65" spans="1:10" ht="12.95" customHeight="1">
      <c r="A65" s="18" t="s">
        <v>977</v>
      </c>
      <c r="B65" s="19" t="s">
        <v>978</v>
      </c>
      <c r="C65" s="15" t="s">
        <v>979</v>
      </c>
      <c r="D65" s="15" t="s">
        <v>156</v>
      </c>
      <c r="E65" s="20">
        <v>3500000</v>
      </c>
      <c r="F65" s="21">
        <v>3486.0419999999999</v>
      </c>
      <c r="G65" s="22">
        <v>2.64E-2</v>
      </c>
      <c r="H65" s="23">
        <v>7.3778999999999997E-2</v>
      </c>
      <c r="I65" s="24"/>
      <c r="J65" s="5"/>
    </row>
    <row r="66" spans="1:10" ht="12.95" customHeight="1">
      <c r="A66" s="18" t="s">
        <v>1658</v>
      </c>
      <c r="B66" s="19" t="s">
        <v>1659</v>
      </c>
      <c r="C66" s="15" t="s">
        <v>1660</v>
      </c>
      <c r="D66" s="15" t="s">
        <v>179</v>
      </c>
      <c r="E66" s="20">
        <v>25</v>
      </c>
      <c r="F66" s="21">
        <v>2490.4175</v>
      </c>
      <c r="G66" s="22">
        <v>1.89E-2</v>
      </c>
      <c r="H66" s="23">
        <v>7.8850000000000003E-2</v>
      </c>
      <c r="I66" s="24"/>
      <c r="J66" s="5"/>
    </row>
    <row r="67" spans="1:10" ht="12.95" customHeight="1">
      <c r="A67" s="18" t="s">
        <v>520</v>
      </c>
      <c r="B67" s="19" t="s">
        <v>521</v>
      </c>
      <c r="C67" s="15" t="s">
        <v>522</v>
      </c>
      <c r="D67" s="15" t="s">
        <v>432</v>
      </c>
      <c r="E67" s="20">
        <v>150</v>
      </c>
      <c r="F67" s="21">
        <v>1495.5060000000001</v>
      </c>
      <c r="G67" s="22">
        <v>1.1299999999999999E-2</v>
      </c>
      <c r="H67" s="23">
        <v>7.6799999999999993E-2</v>
      </c>
      <c r="I67" s="24"/>
      <c r="J67" s="5"/>
    </row>
    <row r="68" spans="1:10" ht="12.95" customHeight="1">
      <c r="A68" s="18" t="s">
        <v>1655</v>
      </c>
      <c r="B68" s="19" t="s">
        <v>1656</v>
      </c>
      <c r="C68" s="15" t="s">
        <v>1657</v>
      </c>
      <c r="D68" s="15" t="s">
        <v>156</v>
      </c>
      <c r="E68" s="20">
        <v>1000000</v>
      </c>
      <c r="F68" s="21">
        <v>1000.775</v>
      </c>
      <c r="G68" s="22">
        <v>7.6E-3</v>
      </c>
      <c r="H68" s="23">
        <v>7.3776999999999995E-2</v>
      </c>
      <c r="I68" s="24"/>
      <c r="J68" s="5"/>
    </row>
    <row r="69" spans="1:10" ht="12.95" customHeight="1">
      <c r="A69" s="18" t="s">
        <v>529</v>
      </c>
      <c r="B69" s="19" t="s">
        <v>530</v>
      </c>
      <c r="C69" s="15" t="s">
        <v>531</v>
      </c>
      <c r="D69" s="15" t="s">
        <v>432</v>
      </c>
      <c r="E69" s="20">
        <v>100</v>
      </c>
      <c r="F69" s="21">
        <v>995.23599999999999</v>
      </c>
      <c r="G69" s="22">
        <v>7.4999999999999997E-3</v>
      </c>
      <c r="H69" s="23">
        <v>7.7063000000000006E-2</v>
      </c>
      <c r="I69" s="24"/>
      <c r="J69" s="5"/>
    </row>
    <row r="70" spans="1:10" ht="12.95" customHeight="1">
      <c r="A70" s="18" t="s">
        <v>448</v>
      </c>
      <c r="B70" s="19" t="s">
        <v>449</v>
      </c>
      <c r="C70" s="15" t="s">
        <v>450</v>
      </c>
      <c r="D70" s="15" t="s">
        <v>432</v>
      </c>
      <c r="E70" s="20">
        <v>100</v>
      </c>
      <c r="F70" s="21">
        <v>991.41600000000005</v>
      </c>
      <c r="G70" s="22">
        <v>7.4999999999999997E-3</v>
      </c>
      <c r="H70" s="23">
        <v>7.6749999999999999E-2</v>
      </c>
      <c r="I70" s="24"/>
      <c r="J70" s="5"/>
    </row>
    <row r="71" spans="1:10" ht="12.95" customHeight="1">
      <c r="A71" s="18" t="s">
        <v>1022</v>
      </c>
      <c r="B71" s="19" t="s">
        <v>1023</v>
      </c>
      <c r="C71" s="15" t="s">
        <v>1024</v>
      </c>
      <c r="D71" s="15" t="s">
        <v>156</v>
      </c>
      <c r="E71" s="20">
        <v>1000000</v>
      </c>
      <c r="F71" s="21">
        <v>987.07500000000005</v>
      </c>
      <c r="G71" s="22">
        <v>7.4999999999999997E-3</v>
      </c>
      <c r="H71" s="23">
        <v>7.4629000000000001E-2</v>
      </c>
      <c r="I71" s="24"/>
      <c r="J71" s="5"/>
    </row>
    <row r="72" spans="1:10" ht="12.95" customHeight="1">
      <c r="A72" s="18" t="s">
        <v>914</v>
      </c>
      <c r="B72" s="19" t="s">
        <v>915</v>
      </c>
      <c r="C72" s="15" t="s">
        <v>916</v>
      </c>
      <c r="D72" s="15" t="s">
        <v>156</v>
      </c>
      <c r="E72" s="20">
        <v>1000000</v>
      </c>
      <c r="F72" s="21">
        <v>978.71400000000006</v>
      </c>
      <c r="G72" s="22">
        <v>7.4000000000000003E-3</v>
      </c>
      <c r="H72" s="23">
        <v>7.5534000000000004E-2</v>
      </c>
      <c r="I72" s="24"/>
      <c r="J72" s="5"/>
    </row>
    <row r="73" spans="1:10" ht="12.95" customHeight="1">
      <c r="A73" s="18" t="s">
        <v>1499</v>
      </c>
      <c r="B73" s="19" t="s">
        <v>1500</v>
      </c>
      <c r="C73" s="15" t="s">
        <v>1501</v>
      </c>
      <c r="D73" s="15" t="s">
        <v>179</v>
      </c>
      <c r="E73" s="20">
        <v>50</v>
      </c>
      <c r="F73" s="21">
        <v>527.09699999999998</v>
      </c>
      <c r="G73" s="22">
        <v>4.0000000000000001E-3</v>
      </c>
      <c r="H73" s="23">
        <v>7.6175000000000007E-2</v>
      </c>
      <c r="I73" s="24"/>
      <c r="J73" s="5"/>
    </row>
    <row r="74" spans="1:10" ht="12.95" customHeight="1">
      <c r="A74" s="18" t="s">
        <v>4156</v>
      </c>
      <c r="B74" s="19" t="s">
        <v>1045</v>
      </c>
      <c r="C74" s="15" t="s">
        <v>4157</v>
      </c>
      <c r="D74" s="15" t="s">
        <v>156</v>
      </c>
      <c r="E74" s="20">
        <v>500000</v>
      </c>
      <c r="F74" s="21">
        <v>507.21949999999998</v>
      </c>
      <c r="G74" s="22">
        <v>3.8E-3</v>
      </c>
      <c r="H74" s="23">
        <v>7.7075000000000005E-2</v>
      </c>
      <c r="I74" s="24"/>
      <c r="J74" s="5"/>
    </row>
    <row r="75" spans="1:10" ht="12.95" customHeight="1">
      <c r="A75" s="18" t="s">
        <v>1667</v>
      </c>
      <c r="B75" s="19" t="s">
        <v>1668</v>
      </c>
      <c r="C75" s="15" t="s">
        <v>1669</v>
      </c>
      <c r="D75" s="15" t="s">
        <v>1670</v>
      </c>
      <c r="E75" s="20">
        <v>50</v>
      </c>
      <c r="F75" s="21">
        <v>495.6395</v>
      </c>
      <c r="G75" s="22">
        <v>3.8E-3</v>
      </c>
      <c r="H75" s="23">
        <v>8.2549999999999998E-2</v>
      </c>
      <c r="I75" s="24"/>
      <c r="J75" s="5"/>
    </row>
    <row r="76" spans="1:10" ht="12.95" customHeight="1">
      <c r="A76" s="18" t="s">
        <v>920</v>
      </c>
      <c r="B76" s="19" t="s">
        <v>921</v>
      </c>
      <c r="C76" s="15" t="s">
        <v>922</v>
      </c>
      <c r="D76" s="15" t="s">
        <v>156</v>
      </c>
      <c r="E76" s="20">
        <v>500000</v>
      </c>
      <c r="F76" s="21">
        <v>459.03</v>
      </c>
      <c r="G76" s="22">
        <v>3.5000000000000001E-3</v>
      </c>
      <c r="H76" s="23">
        <v>7.4206999999999995E-2</v>
      </c>
      <c r="I76" s="24"/>
      <c r="J76" s="5"/>
    </row>
    <row r="77" spans="1:10" ht="12.95" customHeight="1">
      <c r="A77" s="18" t="s">
        <v>1562</v>
      </c>
      <c r="B77" s="19" t="s">
        <v>1563</v>
      </c>
      <c r="C77" s="15" t="s">
        <v>1564</v>
      </c>
      <c r="D77" s="15" t="s">
        <v>179</v>
      </c>
      <c r="E77" s="20">
        <v>25</v>
      </c>
      <c r="F77" s="21">
        <v>288.18180000000001</v>
      </c>
      <c r="G77" s="22">
        <v>2.2000000000000001E-3</v>
      </c>
      <c r="H77" s="23">
        <v>7.5826000000000005E-2</v>
      </c>
      <c r="I77" s="24"/>
      <c r="J77" s="5"/>
    </row>
    <row r="78" spans="1:10" ht="12.95" customHeight="1">
      <c r="A78" s="5"/>
      <c r="B78" s="14" t="s">
        <v>160</v>
      </c>
      <c r="C78" s="15"/>
      <c r="D78" s="15"/>
      <c r="E78" s="15"/>
      <c r="F78" s="25">
        <v>14702.3493</v>
      </c>
      <c r="G78" s="26">
        <v>0.1114</v>
      </c>
      <c r="H78" s="27"/>
      <c r="I78" s="28"/>
      <c r="J78" s="5"/>
    </row>
    <row r="79" spans="1:10" ht="12.95" customHeight="1">
      <c r="A79" s="5"/>
      <c r="B79" s="29" t="s">
        <v>161</v>
      </c>
      <c r="C79" s="2"/>
      <c r="D79" s="2"/>
      <c r="E79" s="2"/>
      <c r="F79" s="27" t="s">
        <v>162</v>
      </c>
      <c r="G79" s="27" t="s">
        <v>162</v>
      </c>
      <c r="H79" s="27"/>
      <c r="I79" s="28"/>
      <c r="J79" s="5"/>
    </row>
    <row r="80" spans="1:10" ht="12.95" customHeight="1">
      <c r="A80" s="5"/>
      <c r="B80" s="29" t="s">
        <v>160</v>
      </c>
      <c r="C80" s="2"/>
      <c r="D80" s="2"/>
      <c r="E80" s="2"/>
      <c r="F80" s="27" t="s">
        <v>162</v>
      </c>
      <c r="G80" s="27" t="s">
        <v>162</v>
      </c>
      <c r="H80" s="27"/>
      <c r="I80" s="28"/>
      <c r="J80" s="5"/>
    </row>
    <row r="81" spans="1:10" ht="12.95" customHeight="1">
      <c r="A81" s="5"/>
      <c r="B81" s="29" t="s">
        <v>163</v>
      </c>
      <c r="C81" s="30"/>
      <c r="D81" s="2"/>
      <c r="E81" s="30"/>
      <c r="F81" s="25">
        <v>14702.3493</v>
      </c>
      <c r="G81" s="26">
        <v>0.1114</v>
      </c>
      <c r="H81" s="27"/>
      <c r="I81" s="28"/>
      <c r="J81" s="5"/>
    </row>
    <row r="82" spans="1:10" ht="12.95" customHeight="1">
      <c r="A82" s="5"/>
      <c r="B82" s="14" t="s">
        <v>417</v>
      </c>
      <c r="C82" s="15"/>
      <c r="D82" s="15"/>
      <c r="E82" s="15"/>
      <c r="F82" s="15"/>
      <c r="G82" s="15"/>
      <c r="H82" s="16"/>
      <c r="I82" s="17"/>
      <c r="J82" s="5"/>
    </row>
    <row r="83" spans="1:10" ht="12.95" customHeight="1">
      <c r="A83" s="5"/>
      <c r="B83" s="14" t="s">
        <v>418</v>
      </c>
      <c r="C83" s="15"/>
      <c r="D83" s="15"/>
      <c r="E83" s="15"/>
      <c r="F83" s="5"/>
      <c r="G83" s="16"/>
      <c r="H83" s="16"/>
      <c r="I83" s="17"/>
      <c r="J83" s="5"/>
    </row>
    <row r="84" spans="1:10" ht="12.95" customHeight="1">
      <c r="A84" s="18" t="s">
        <v>419</v>
      </c>
      <c r="B84" s="19" t="s">
        <v>420</v>
      </c>
      <c r="C84" s="15" t="s">
        <v>421</v>
      </c>
      <c r="D84" s="15" t="s">
        <v>156</v>
      </c>
      <c r="E84" s="20">
        <v>1000000</v>
      </c>
      <c r="F84" s="21">
        <v>990.33399999999995</v>
      </c>
      <c r="G84" s="22">
        <v>7.4999999999999997E-3</v>
      </c>
      <c r="H84" s="23">
        <v>6.7213999999999996E-2</v>
      </c>
      <c r="I84" s="24"/>
      <c r="J84" s="5"/>
    </row>
    <row r="85" spans="1:10" ht="12.95" customHeight="1">
      <c r="A85" s="5"/>
      <c r="B85" s="14" t="s">
        <v>160</v>
      </c>
      <c r="C85" s="15"/>
      <c r="D85" s="15"/>
      <c r="E85" s="15"/>
      <c r="F85" s="25">
        <v>990.33399999999995</v>
      </c>
      <c r="G85" s="26">
        <v>7.4999999999999997E-3</v>
      </c>
      <c r="H85" s="27"/>
      <c r="I85" s="28"/>
      <c r="J85" s="5"/>
    </row>
    <row r="86" spans="1:10" ht="12.95" customHeight="1">
      <c r="A86" s="5"/>
      <c r="B86" s="29" t="s">
        <v>163</v>
      </c>
      <c r="C86" s="30"/>
      <c r="D86" s="2"/>
      <c r="E86" s="30"/>
      <c r="F86" s="25">
        <v>990.33399999999995</v>
      </c>
      <c r="G86" s="26">
        <v>7.4999999999999997E-3</v>
      </c>
      <c r="H86" s="27"/>
      <c r="I86" s="28"/>
      <c r="J86" s="5"/>
    </row>
    <row r="87" spans="1:10" ht="12.95" customHeight="1">
      <c r="A87" s="5"/>
      <c r="B87" s="14" t="s">
        <v>208</v>
      </c>
      <c r="C87" s="15"/>
      <c r="D87" s="15"/>
      <c r="E87" s="15"/>
      <c r="F87" s="15"/>
      <c r="G87" s="15"/>
      <c r="H87" s="16"/>
      <c r="I87" s="17"/>
      <c r="J87" s="5"/>
    </row>
    <row r="88" spans="1:10" ht="12.95" customHeight="1">
      <c r="A88" s="5"/>
      <c r="B88" s="14" t="s">
        <v>209</v>
      </c>
      <c r="C88" s="15"/>
      <c r="D88" s="15"/>
      <c r="E88" s="15"/>
      <c r="F88" s="5"/>
      <c r="G88" s="16"/>
      <c r="H88" s="16"/>
      <c r="I88" s="17"/>
      <c r="J88" s="5"/>
    </row>
    <row r="89" spans="1:10" ht="12.95" customHeight="1">
      <c r="A89" s="18" t="s">
        <v>2446</v>
      </c>
      <c r="B89" s="19" t="s">
        <v>59</v>
      </c>
      <c r="C89" s="15" t="s">
        <v>2447</v>
      </c>
      <c r="D89" s="15"/>
      <c r="E89" s="20">
        <v>33250400</v>
      </c>
      <c r="F89" s="21">
        <v>16442.322800000002</v>
      </c>
      <c r="G89" s="22">
        <v>0.1246</v>
      </c>
      <c r="H89" s="23"/>
      <c r="I89" s="24"/>
      <c r="J89" s="5"/>
    </row>
    <row r="90" spans="1:10" ht="12.95" customHeight="1">
      <c r="A90" s="5"/>
      <c r="B90" s="14" t="s">
        <v>160</v>
      </c>
      <c r="C90" s="15"/>
      <c r="D90" s="15"/>
      <c r="E90" s="15"/>
      <c r="F90" s="25">
        <v>16442.322800000002</v>
      </c>
      <c r="G90" s="26">
        <v>0.1246</v>
      </c>
      <c r="H90" s="27"/>
      <c r="I90" s="28"/>
      <c r="J90" s="5"/>
    </row>
    <row r="91" spans="1:10" ht="12.95" customHeight="1">
      <c r="A91" s="5"/>
      <c r="B91" s="29" t="s">
        <v>163</v>
      </c>
      <c r="C91" s="30"/>
      <c r="D91" s="2"/>
      <c r="E91" s="30"/>
      <c r="F91" s="25">
        <v>16442.322800000002</v>
      </c>
      <c r="G91" s="26">
        <v>0.1246</v>
      </c>
      <c r="H91" s="27"/>
      <c r="I91" s="28"/>
      <c r="J91" s="5"/>
    </row>
    <row r="92" spans="1:10" ht="12.95" customHeight="1">
      <c r="A92" s="5"/>
      <c r="B92" s="14" t="s">
        <v>164</v>
      </c>
      <c r="C92" s="15"/>
      <c r="D92" s="15"/>
      <c r="E92" s="15"/>
      <c r="F92" s="15"/>
      <c r="G92" s="15"/>
      <c r="H92" s="16"/>
      <c r="I92" s="17"/>
      <c r="J92" s="5"/>
    </row>
    <row r="93" spans="1:10" ht="12.95" customHeight="1">
      <c r="A93" s="18" t="s">
        <v>165</v>
      </c>
      <c r="B93" s="19" t="s">
        <v>166</v>
      </c>
      <c r="C93" s="15"/>
      <c r="D93" s="15"/>
      <c r="E93" s="20"/>
      <c r="F93" s="21">
        <v>2413.4108000000001</v>
      </c>
      <c r="G93" s="22">
        <v>1.83E-2</v>
      </c>
      <c r="H93" s="23">
        <v>6.7996826035307711E-2</v>
      </c>
      <c r="I93" s="24"/>
      <c r="J93" s="5"/>
    </row>
    <row r="94" spans="1:10" ht="12.95" customHeight="1">
      <c r="A94" s="5"/>
      <c r="B94" s="14" t="s">
        <v>160</v>
      </c>
      <c r="C94" s="15"/>
      <c r="D94" s="15"/>
      <c r="E94" s="15"/>
      <c r="F94" s="25">
        <v>2413.4108000000001</v>
      </c>
      <c r="G94" s="26">
        <v>1.83E-2</v>
      </c>
      <c r="H94" s="27"/>
      <c r="I94" s="28"/>
      <c r="J94" s="5"/>
    </row>
    <row r="95" spans="1:10" ht="12.95" customHeight="1">
      <c r="A95" s="5"/>
      <c r="B95" s="29" t="s">
        <v>163</v>
      </c>
      <c r="C95" s="30"/>
      <c r="D95" s="2"/>
      <c r="E95" s="30"/>
      <c r="F95" s="25">
        <v>2413.4108000000001</v>
      </c>
      <c r="G95" s="26">
        <v>1.83E-2</v>
      </c>
      <c r="H95" s="27"/>
      <c r="I95" s="28"/>
      <c r="J95" s="5"/>
    </row>
    <row r="96" spans="1:10" ht="12.95" customHeight="1">
      <c r="A96" s="5"/>
      <c r="B96" s="29" t="s">
        <v>167</v>
      </c>
      <c r="C96" s="15"/>
      <c r="D96" s="2"/>
      <c r="E96" s="15"/>
      <c r="F96" s="31">
        <v>1000.6915</v>
      </c>
      <c r="G96" s="26">
        <v>7.6E-3</v>
      </c>
      <c r="H96" s="27"/>
      <c r="I96" s="28"/>
      <c r="J96" s="5"/>
    </row>
    <row r="97" spans="1:10" ht="12.95" customHeight="1">
      <c r="A97" s="5"/>
      <c r="B97" s="32" t="s">
        <v>168</v>
      </c>
      <c r="C97" s="33"/>
      <c r="D97" s="33"/>
      <c r="E97" s="33"/>
      <c r="F97" s="34">
        <v>131963.63</v>
      </c>
      <c r="G97" s="35">
        <v>1</v>
      </c>
      <c r="H97" s="36"/>
      <c r="I97" s="37"/>
      <c r="J97" s="5"/>
    </row>
    <row r="98" spans="1:10" ht="12.95" customHeight="1">
      <c r="A98" s="5"/>
      <c r="B98" s="7"/>
      <c r="C98" s="5"/>
      <c r="D98" s="5"/>
      <c r="E98" s="5"/>
      <c r="F98" s="5"/>
      <c r="G98" s="5"/>
      <c r="H98" s="5"/>
      <c r="I98" s="5"/>
      <c r="J98" s="5"/>
    </row>
    <row r="99" spans="1:10" ht="12.95" customHeight="1">
      <c r="A99" s="5"/>
      <c r="B99" s="4" t="s">
        <v>169</v>
      </c>
      <c r="C99" s="5"/>
      <c r="D99" s="5"/>
      <c r="E99" s="5"/>
      <c r="F99" s="5"/>
      <c r="G99" s="5"/>
      <c r="H99" s="5"/>
      <c r="I99" s="5"/>
      <c r="J99" s="5"/>
    </row>
    <row r="100" spans="1:10" ht="12.95" customHeight="1">
      <c r="A100" s="5"/>
      <c r="B100" s="4" t="s">
        <v>207</v>
      </c>
      <c r="C100" s="5"/>
      <c r="D100" s="5"/>
      <c r="E100" s="5"/>
      <c r="F100" s="5"/>
      <c r="G100" s="5"/>
      <c r="H100" s="5"/>
      <c r="I100" s="5"/>
      <c r="J100" s="5"/>
    </row>
    <row r="101" spans="1:10" ht="12.95" customHeight="1">
      <c r="A101" s="5"/>
      <c r="B101" s="4" t="s">
        <v>170</v>
      </c>
      <c r="C101" s="5"/>
      <c r="D101" s="5"/>
      <c r="E101" s="5"/>
      <c r="F101" s="5"/>
      <c r="G101" s="5"/>
      <c r="H101" s="5"/>
      <c r="I101" s="5"/>
      <c r="J101" s="5"/>
    </row>
    <row r="102" spans="1:10" ht="26.1" customHeight="1">
      <c r="A102" s="5"/>
      <c r="B102" s="86" t="s">
        <v>171</v>
      </c>
      <c r="C102" s="86"/>
      <c r="D102" s="86"/>
      <c r="E102" s="86"/>
      <c r="F102" s="86"/>
      <c r="G102" s="86"/>
      <c r="H102" s="86"/>
      <c r="I102" s="86"/>
      <c r="J102" s="5"/>
    </row>
    <row r="103" spans="1:10" ht="12.95" customHeight="1">
      <c r="A103" s="5"/>
      <c r="B103" s="86"/>
      <c r="C103" s="86"/>
      <c r="D103" s="86"/>
      <c r="E103" s="86"/>
      <c r="F103" s="86"/>
      <c r="G103" s="86"/>
      <c r="H103" s="86"/>
      <c r="I103" s="86"/>
      <c r="J103" s="5"/>
    </row>
    <row r="104" spans="1:10" ht="12.95" customHeight="1">
      <c r="A104" s="5"/>
      <c r="B104" s="86"/>
      <c r="C104" s="86"/>
      <c r="D104" s="86"/>
      <c r="E104" s="86"/>
      <c r="F104" s="86"/>
      <c r="G104" s="86"/>
      <c r="H104" s="86"/>
      <c r="I104" s="86"/>
      <c r="J104" s="5"/>
    </row>
    <row r="105" spans="1:10" ht="34.5" customHeight="1">
      <c r="A105" s="5"/>
      <c r="B105" s="5"/>
      <c r="C105" s="93" t="s">
        <v>4260</v>
      </c>
      <c r="D105" s="93"/>
      <c r="E105" s="93"/>
      <c r="F105" s="93"/>
      <c r="G105" s="5"/>
      <c r="H105" s="5"/>
      <c r="I105" s="5"/>
      <c r="J105" s="5"/>
    </row>
    <row r="106" spans="1:10" ht="12.95" customHeight="1">
      <c r="A106" s="5"/>
      <c r="B106" s="38" t="s">
        <v>173</v>
      </c>
      <c r="C106" s="87" t="s">
        <v>174</v>
      </c>
      <c r="D106" s="87"/>
      <c r="E106" s="87"/>
      <c r="F106" s="87"/>
      <c r="G106" s="5"/>
      <c r="H106" s="5"/>
      <c r="I106" s="5"/>
      <c r="J106" s="5"/>
    </row>
    <row r="107" spans="1:10" ht="120.95" customHeight="1">
      <c r="A107" s="5"/>
      <c r="B107" s="39"/>
      <c r="C107" s="85"/>
      <c r="D107" s="85"/>
      <c r="E107" s="5"/>
      <c r="F107" s="5"/>
      <c r="G107" s="5"/>
      <c r="H107" s="5"/>
      <c r="I107" s="5"/>
      <c r="J107" s="5"/>
    </row>
  </sheetData>
  <mergeCells count="6">
    <mergeCell ref="C107:D107"/>
    <mergeCell ref="B102:I102"/>
    <mergeCell ref="B103:I103"/>
    <mergeCell ref="B104:I104"/>
    <mergeCell ref="C105:F105"/>
    <mergeCell ref="C106:F106"/>
  </mergeCells>
  <hyperlinks>
    <hyperlink ref="A1" location="AxisMultiAssetAllocationFund" display="AXISTAF" xr:uid="{00000000-0004-0000-4000-000000000000}"/>
    <hyperlink ref="B1" location="AxisMultiAssetAllocationFund" display="Axis Multi Asset Allocation Fund" xr:uid="{00000000-0004-0000-4000-000001000000}"/>
  </hyperlinks>
  <pageMargins left="0" right="0" top="0" bottom="0" header="0" footer="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/>
  </sheetPr>
  <dimension ref="A1:J3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132</v>
      </c>
      <c r="B1" s="4" t="s">
        <v>133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285</v>
      </c>
      <c r="B7" s="19" t="s">
        <v>286</v>
      </c>
      <c r="C7" s="15" t="s">
        <v>287</v>
      </c>
      <c r="D7" s="15" t="s">
        <v>263</v>
      </c>
      <c r="E7" s="20">
        <v>341278</v>
      </c>
      <c r="F7" s="21">
        <v>4898.8751000000002</v>
      </c>
      <c r="G7" s="22">
        <v>0.2707</v>
      </c>
      <c r="H7" s="40"/>
      <c r="I7" s="24"/>
      <c r="J7" s="5"/>
    </row>
    <row r="8" spans="1:10" ht="12.95" customHeight="1">
      <c r="A8" s="18" t="s">
        <v>260</v>
      </c>
      <c r="B8" s="19" t="s">
        <v>261</v>
      </c>
      <c r="C8" s="15" t="s">
        <v>262</v>
      </c>
      <c r="D8" s="15" t="s">
        <v>263</v>
      </c>
      <c r="E8" s="20">
        <v>131806</v>
      </c>
      <c r="F8" s="21">
        <v>4650.9065000000001</v>
      </c>
      <c r="G8" s="22">
        <v>0.25700000000000001</v>
      </c>
      <c r="H8" s="40"/>
      <c r="I8" s="24"/>
      <c r="J8" s="5"/>
    </row>
    <row r="9" spans="1:10" ht="12.95" customHeight="1">
      <c r="A9" s="18" t="s">
        <v>739</v>
      </c>
      <c r="B9" s="19" t="s">
        <v>740</v>
      </c>
      <c r="C9" s="15" t="s">
        <v>741</v>
      </c>
      <c r="D9" s="15" t="s">
        <v>263</v>
      </c>
      <c r="E9" s="20">
        <v>135404</v>
      </c>
      <c r="F9" s="21">
        <v>1671.9685999999999</v>
      </c>
      <c r="G9" s="22">
        <v>9.2399999999999996E-2</v>
      </c>
      <c r="H9" s="40"/>
      <c r="I9" s="24"/>
      <c r="J9" s="5"/>
    </row>
    <row r="10" spans="1:10" ht="12.95" customHeight="1">
      <c r="A10" s="18" t="s">
        <v>335</v>
      </c>
      <c r="B10" s="19" t="s">
        <v>336</v>
      </c>
      <c r="C10" s="15" t="s">
        <v>337</v>
      </c>
      <c r="D10" s="15" t="s">
        <v>263</v>
      </c>
      <c r="E10" s="20">
        <v>134668</v>
      </c>
      <c r="F10" s="21">
        <v>1646.7203</v>
      </c>
      <c r="G10" s="22">
        <v>9.0999999999999998E-2</v>
      </c>
      <c r="H10" s="40"/>
      <c r="I10" s="24"/>
      <c r="J10" s="5"/>
    </row>
    <row r="11" spans="1:10" ht="12.95" customHeight="1">
      <c r="A11" s="18" t="s">
        <v>759</v>
      </c>
      <c r="B11" s="19" t="s">
        <v>760</v>
      </c>
      <c r="C11" s="15" t="s">
        <v>761</v>
      </c>
      <c r="D11" s="15" t="s">
        <v>263</v>
      </c>
      <c r="E11" s="20">
        <v>369833</v>
      </c>
      <c r="F11" s="21">
        <v>1501.7068999999999</v>
      </c>
      <c r="G11" s="22">
        <v>8.3000000000000004E-2</v>
      </c>
      <c r="H11" s="40"/>
      <c r="I11" s="24"/>
      <c r="J11" s="5"/>
    </row>
    <row r="12" spans="1:10" ht="12.95" customHeight="1">
      <c r="A12" s="18" t="s">
        <v>318</v>
      </c>
      <c r="B12" s="19" t="s">
        <v>319</v>
      </c>
      <c r="C12" s="15" t="s">
        <v>320</v>
      </c>
      <c r="D12" s="15" t="s">
        <v>263</v>
      </c>
      <c r="E12" s="20">
        <v>24058</v>
      </c>
      <c r="F12" s="21">
        <v>1253.3857</v>
      </c>
      <c r="G12" s="22">
        <v>6.93E-2</v>
      </c>
      <c r="H12" s="40"/>
      <c r="I12" s="24"/>
      <c r="J12" s="5"/>
    </row>
    <row r="13" spans="1:10" ht="12.95" customHeight="1">
      <c r="A13" s="18" t="s">
        <v>1584</v>
      </c>
      <c r="B13" s="19" t="s">
        <v>1585</v>
      </c>
      <c r="C13" s="15" t="s">
        <v>1586</v>
      </c>
      <c r="D13" s="15" t="s">
        <v>263</v>
      </c>
      <c r="E13" s="20">
        <v>15823</v>
      </c>
      <c r="F13" s="21">
        <v>807.6771</v>
      </c>
      <c r="G13" s="22">
        <v>4.4600000000000001E-2</v>
      </c>
      <c r="H13" s="40"/>
      <c r="I13" s="24"/>
      <c r="J13" s="5"/>
    </row>
    <row r="14" spans="1:10" ht="12.95" customHeight="1">
      <c r="A14" s="18" t="s">
        <v>1572</v>
      </c>
      <c r="B14" s="19" t="s">
        <v>1573</v>
      </c>
      <c r="C14" s="15" t="s">
        <v>1574</v>
      </c>
      <c r="D14" s="15" t="s">
        <v>263</v>
      </c>
      <c r="E14" s="20">
        <v>13335</v>
      </c>
      <c r="F14" s="21">
        <v>772.98990000000003</v>
      </c>
      <c r="G14" s="22">
        <v>4.2700000000000002E-2</v>
      </c>
      <c r="H14" s="40"/>
      <c r="I14" s="24"/>
      <c r="J14" s="5"/>
    </row>
    <row r="15" spans="1:10" ht="12.95" customHeight="1">
      <c r="A15" s="18" t="s">
        <v>2170</v>
      </c>
      <c r="B15" s="19" t="s">
        <v>2171</v>
      </c>
      <c r="C15" s="15" t="s">
        <v>2172</v>
      </c>
      <c r="D15" s="15" t="s">
        <v>263</v>
      </c>
      <c r="E15" s="20">
        <v>21739</v>
      </c>
      <c r="F15" s="21">
        <v>516.64909999999998</v>
      </c>
      <c r="G15" s="22">
        <v>2.86E-2</v>
      </c>
      <c r="H15" s="40"/>
      <c r="I15" s="24"/>
      <c r="J15" s="5"/>
    </row>
    <row r="16" spans="1:10" ht="12.95" customHeight="1">
      <c r="A16" s="18" t="s">
        <v>3395</v>
      </c>
      <c r="B16" s="19" t="s">
        <v>3396</v>
      </c>
      <c r="C16" s="15" t="s">
        <v>3397</v>
      </c>
      <c r="D16" s="15" t="s">
        <v>3398</v>
      </c>
      <c r="E16" s="20">
        <v>7206</v>
      </c>
      <c r="F16" s="21">
        <v>329.74299999999999</v>
      </c>
      <c r="G16" s="22">
        <v>1.8200000000000001E-2</v>
      </c>
      <c r="H16" s="40"/>
      <c r="I16" s="24"/>
      <c r="J16" s="5"/>
    </row>
    <row r="17" spans="1:10" ht="12.95" customHeight="1">
      <c r="A17" s="5"/>
      <c r="B17" s="14" t="s">
        <v>160</v>
      </c>
      <c r="C17" s="15"/>
      <c r="D17" s="15"/>
      <c r="E17" s="15"/>
      <c r="F17" s="25">
        <v>18050.622200000002</v>
      </c>
      <c r="G17" s="26">
        <v>0.99760000000000004</v>
      </c>
      <c r="H17" s="27"/>
      <c r="I17" s="28"/>
      <c r="J17" s="5"/>
    </row>
    <row r="18" spans="1:10" ht="12.95" customHeight="1">
      <c r="A18" s="5"/>
      <c r="B18" s="29" t="s">
        <v>408</v>
      </c>
      <c r="C18" s="2"/>
      <c r="D18" s="2"/>
      <c r="E18" s="2"/>
      <c r="F18" s="27" t="s">
        <v>162</v>
      </c>
      <c r="G18" s="27" t="s">
        <v>162</v>
      </c>
      <c r="H18" s="27"/>
      <c r="I18" s="28"/>
      <c r="J18" s="5"/>
    </row>
    <row r="19" spans="1:10" ht="12.95" customHeight="1">
      <c r="A19" s="5"/>
      <c r="B19" s="29" t="s">
        <v>160</v>
      </c>
      <c r="C19" s="2"/>
      <c r="D19" s="2"/>
      <c r="E19" s="2"/>
      <c r="F19" s="27" t="s">
        <v>162</v>
      </c>
      <c r="G19" s="27" t="s">
        <v>162</v>
      </c>
      <c r="H19" s="27"/>
      <c r="I19" s="28"/>
      <c r="J19" s="5"/>
    </row>
    <row r="20" spans="1:10" ht="12.95" customHeight="1">
      <c r="A20" s="5"/>
      <c r="B20" s="29" t="s">
        <v>163</v>
      </c>
      <c r="C20" s="30"/>
      <c r="D20" s="2"/>
      <c r="E20" s="30"/>
      <c r="F20" s="25">
        <v>18050.622200000002</v>
      </c>
      <c r="G20" s="26">
        <v>0.99760000000000004</v>
      </c>
      <c r="H20" s="27"/>
      <c r="I20" s="28"/>
      <c r="J20" s="5"/>
    </row>
    <row r="21" spans="1:10" ht="12.95" customHeight="1">
      <c r="A21" s="5"/>
      <c r="B21" s="14" t="s">
        <v>164</v>
      </c>
      <c r="C21" s="15"/>
      <c r="D21" s="15"/>
      <c r="E21" s="15"/>
      <c r="F21" s="15"/>
      <c r="G21" s="15"/>
      <c r="H21" s="16"/>
      <c r="I21" s="17"/>
      <c r="J21" s="5"/>
    </row>
    <row r="22" spans="1:10" ht="12.95" customHeight="1">
      <c r="A22" s="18" t="s">
        <v>165</v>
      </c>
      <c r="B22" s="19" t="s">
        <v>166</v>
      </c>
      <c r="C22" s="15"/>
      <c r="D22" s="15"/>
      <c r="E22" s="20"/>
      <c r="F22" s="21">
        <v>63.266399999999997</v>
      </c>
      <c r="G22" s="22">
        <v>3.5000000000000001E-3</v>
      </c>
      <c r="H22" s="23">
        <v>6.7996698190094504E-2</v>
      </c>
      <c r="I22" s="24"/>
      <c r="J22" s="5"/>
    </row>
    <row r="23" spans="1:10" ht="12.95" customHeight="1">
      <c r="A23" s="5"/>
      <c r="B23" s="14" t="s">
        <v>160</v>
      </c>
      <c r="C23" s="15"/>
      <c r="D23" s="15"/>
      <c r="E23" s="15"/>
      <c r="F23" s="25">
        <v>63.266399999999997</v>
      </c>
      <c r="G23" s="26">
        <v>3.5000000000000001E-3</v>
      </c>
      <c r="H23" s="27"/>
      <c r="I23" s="28"/>
      <c r="J23" s="5"/>
    </row>
    <row r="24" spans="1:10" ht="12.95" customHeight="1">
      <c r="A24" s="5"/>
      <c r="B24" s="29" t="s">
        <v>163</v>
      </c>
      <c r="C24" s="30"/>
      <c r="D24" s="2"/>
      <c r="E24" s="30"/>
      <c r="F24" s="25">
        <v>63.266399999999997</v>
      </c>
      <c r="G24" s="26">
        <v>3.5000000000000001E-3</v>
      </c>
      <c r="H24" s="27"/>
      <c r="I24" s="28"/>
      <c r="J24" s="5"/>
    </row>
    <row r="25" spans="1:10" ht="12.95" customHeight="1">
      <c r="A25" s="5"/>
      <c r="B25" s="29" t="s">
        <v>167</v>
      </c>
      <c r="C25" s="15"/>
      <c r="D25" s="2"/>
      <c r="E25" s="15"/>
      <c r="F25" s="31">
        <v>-19.098600000000001</v>
      </c>
      <c r="G25" s="26">
        <v>-1.1000000000000001E-3</v>
      </c>
      <c r="H25" s="27"/>
      <c r="I25" s="28"/>
      <c r="J25" s="5"/>
    </row>
    <row r="26" spans="1:10" ht="12.95" customHeight="1">
      <c r="A26" s="5"/>
      <c r="B26" s="32" t="s">
        <v>168</v>
      </c>
      <c r="C26" s="33"/>
      <c r="D26" s="33"/>
      <c r="E26" s="33"/>
      <c r="F26" s="34">
        <v>18094.79</v>
      </c>
      <c r="G26" s="35">
        <v>1</v>
      </c>
      <c r="H26" s="36"/>
      <c r="I26" s="37"/>
      <c r="J26" s="5"/>
    </row>
    <row r="27" spans="1:10" ht="12.95" customHeight="1">
      <c r="A27" s="5"/>
      <c r="B27" s="7"/>
      <c r="C27" s="5"/>
      <c r="D27" s="5"/>
      <c r="E27" s="5"/>
      <c r="F27" s="5"/>
      <c r="G27" s="5"/>
      <c r="H27" s="5"/>
      <c r="I27" s="5"/>
      <c r="J27" s="5"/>
    </row>
    <row r="28" spans="1:10" ht="12.95" customHeight="1">
      <c r="A28" s="5"/>
      <c r="B28" s="4" t="s">
        <v>169</v>
      </c>
      <c r="C28" s="5"/>
      <c r="D28" s="5"/>
      <c r="E28" s="5"/>
      <c r="F28" s="5"/>
      <c r="G28" s="5"/>
      <c r="H28" s="5"/>
      <c r="I28" s="5"/>
      <c r="J28" s="5"/>
    </row>
    <row r="29" spans="1:10" ht="12.95" customHeight="1">
      <c r="A29" s="5"/>
      <c r="B29" s="4" t="s">
        <v>170</v>
      </c>
      <c r="C29" s="5"/>
      <c r="D29" s="5"/>
      <c r="E29" s="5"/>
      <c r="F29" s="5"/>
      <c r="G29" s="5"/>
      <c r="H29" s="5"/>
      <c r="I29" s="5"/>
      <c r="J29" s="5"/>
    </row>
    <row r="30" spans="1:10" ht="26.1" customHeight="1">
      <c r="A30" s="5"/>
      <c r="B30" s="86" t="s">
        <v>171</v>
      </c>
      <c r="C30" s="86"/>
      <c r="D30" s="86"/>
      <c r="E30" s="86"/>
      <c r="F30" s="86"/>
      <c r="G30" s="86"/>
      <c r="H30" s="86"/>
      <c r="I30" s="86"/>
      <c r="J30" s="5"/>
    </row>
    <row r="31" spans="1:10" ht="12.95" customHeight="1">
      <c r="A31" s="5"/>
      <c r="B31" s="86"/>
      <c r="C31" s="86"/>
      <c r="D31" s="86"/>
      <c r="E31" s="86"/>
      <c r="F31" s="86"/>
      <c r="G31" s="86"/>
      <c r="H31" s="86"/>
      <c r="I31" s="86"/>
      <c r="J31" s="5"/>
    </row>
    <row r="32" spans="1:10" ht="12.95" customHeight="1">
      <c r="A32" s="5"/>
      <c r="B32" s="89" t="s">
        <v>4158</v>
      </c>
      <c r="C32" s="89"/>
      <c r="D32" s="89"/>
      <c r="E32" s="89"/>
      <c r="F32" s="5"/>
      <c r="G32" s="5"/>
      <c r="H32" s="5"/>
      <c r="I32" s="5"/>
      <c r="J32" s="5"/>
    </row>
    <row r="33" spans="1:10" ht="12.95" customHeight="1">
      <c r="A33" s="5"/>
      <c r="B33" s="86"/>
      <c r="C33" s="86"/>
      <c r="D33" s="86"/>
      <c r="E33" s="86"/>
      <c r="F33" s="86"/>
      <c r="G33" s="86"/>
      <c r="H33" s="86"/>
      <c r="I33" s="86"/>
      <c r="J33" s="5"/>
    </row>
    <row r="34" spans="1:10" ht="12.95" customHeight="1">
      <c r="A34" s="5"/>
      <c r="B34" s="5"/>
      <c r="C34" s="87" t="s">
        <v>3399</v>
      </c>
      <c r="D34" s="87"/>
      <c r="E34" s="87"/>
      <c r="F34" s="87"/>
      <c r="G34" s="5"/>
      <c r="H34" s="5"/>
      <c r="I34" s="5"/>
      <c r="J34" s="5"/>
    </row>
    <row r="35" spans="1:10" ht="12.95" customHeight="1">
      <c r="A35" s="5"/>
      <c r="B35" s="38" t="s">
        <v>173</v>
      </c>
      <c r="C35" s="87" t="s">
        <v>174</v>
      </c>
      <c r="D35" s="87"/>
      <c r="E35" s="87"/>
      <c r="F35" s="87"/>
      <c r="G35" s="5"/>
      <c r="H35" s="5"/>
      <c r="I35" s="5"/>
      <c r="J35" s="5"/>
    </row>
    <row r="36" spans="1:10" ht="120.95" customHeight="1">
      <c r="A36" s="5"/>
      <c r="B36" s="39"/>
      <c r="C36" s="85"/>
      <c r="D36" s="85"/>
      <c r="E36" s="5"/>
      <c r="F36" s="5"/>
      <c r="G36" s="5"/>
      <c r="H36" s="5"/>
      <c r="I36" s="5"/>
      <c r="J36" s="5"/>
    </row>
  </sheetData>
  <mergeCells count="7">
    <mergeCell ref="C35:F35"/>
    <mergeCell ref="C36:D36"/>
    <mergeCell ref="B30:I30"/>
    <mergeCell ref="B31:I31"/>
    <mergeCell ref="B32:E32"/>
    <mergeCell ref="B33:I33"/>
    <mergeCell ref="C34:F34"/>
  </mergeCells>
  <hyperlinks>
    <hyperlink ref="A1" location="AxisNIFTYITETF" display="AXISTETF" xr:uid="{00000000-0004-0000-4100-000000000000}"/>
    <hyperlink ref="B1" location="AxisNIFTYITETF" display="Axis NIFTY IT ETF" xr:uid="{00000000-0004-0000-4100-000001000000}"/>
  </hyperlinks>
  <pageMargins left="0" right="0" top="0" bottom="0" header="0" footer="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/>
  </sheetPr>
  <dimension ref="A1:J6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134</v>
      </c>
      <c r="B1" s="4" t="s">
        <v>135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727</v>
      </c>
      <c r="B7" s="19" t="s">
        <v>728</v>
      </c>
      <c r="C7" s="15" t="s">
        <v>729</v>
      </c>
      <c r="D7" s="15" t="s">
        <v>255</v>
      </c>
      <c r="E7" s="20">
        <v>3709177</v>
      </c>
      <c r="F7" s="21">
        <v>289714.54249999998</v>
      </c>
      <c r="G7" s="22">
        <v>9.0899999999999995E-2</v>
      </c>
      <c r="H7" s="40"/>
      <c r="I7" s="24"/>
      <c r="J7" s="5"/>
    </row>
    <row r="8" spans="1:10" ht="12.95" customHeight="1">
      <c r="A8" s="18" t="s">
        <v>766</v>
      </c>
      <c r="B8" s="19" t="s">
        <v>767</v>
      </c>
      <c r="C8" s="15" t="s">
        <v>768</v>
      </c>
      <c r="D8" s="15" t="s">
        <v>403</v>
      </c>
      <c r="E8" s="20">
        <v>6738211</v>
      </c>
      <c r="F8" s="21">
        <v>247669.68350000001</v>
      </c>
      <c r="G8" s="22">
        <v>7.7700000000000005E-2</v>
      </c>
      <c r="H8" s="40"/>
      <c r="I8" s="24"/>
      <c r="J8" s="5"/>
    </row>
    <row r="9" spans="1:10" ht="12.95" customHeight="1">
      <c r="A9" s="18" t="s">
        <v>260</v>
      </c>
      <c r="B9" s="19" t="s">
        <v>261</v>
      </c>
      <c r="C9" s="15" t="s">
        <v>262</v>
      </c>
      <c r="D9" s="15" t="s">
        <v>263</v>
      </c>
      <c r="E9" s="20">
        <v>6665818</v>
      </c>
      <c r="F9" s="21">
        <v>235210.0539</v>
      </c>
      <c r="G9" s="22">
        <v>7.3800000000000004E-2</v>
      </c>
      <c r="H9" s="40"/>
      <c r="I9" s="24"/>
      <c r="J9" s="5"/>
    </row>
    <row r="10" spans="1:10" ht="12.95" customHeight="1">
      <c r="A10" s="18" t="s">
        <v>752</v>
      </c>
      <c r="B10" s="19" t="s">
        <v>753</v>
      </c>
      <c r="C10" s="15" t="s">
        <v>754</v>
      </c>
      <c r="D10" s="15" t="s">
        <v>755</v>
      </c>
      <c r="E10" s="20">
        <v>892895</v>
      </c>
      <c r="F10" s="21">
        <v>200962.98480000001</v>
      </c>
      <c r="G10" s="22">
        <v>6.3E-2</v>
      </c>
      <c r="H10" s="40"/>
      <c r="I10" s="24"/>
      <c r="J10" s="5"/>
    </row>
    <row r="11" spans="1:10" ht="12.95" customHeight="1">
      <c r="A11" s="18" t="s">
        <v>2258</v>
      </c>
      <c r="B11" s="19" t="s">
        <v>2259</v>
      </c>
      <c r="C11" s="15" t="s">
        <v>2260</v>
      </c>
      <c r="D11" s="15" t="s">
        <v>291</v>
      </c>
      <c r="E11" s="20">
        <v>22508681</v>
      </c>
      <c r="F11" s="21">
        <v>166226.60920000001</v>
      </c>
      <c r="G11" s="22">
        <v>5.21E-2</v>
      </c>
      <c r="H11" s="40"/>
      <c r="I11" s="24"/>
      <c r="J11" s="5"/>
    </row>
    <row r="12" spans="1:10" ht="12.95" customHeight="1">
      <c r="A12" s="18" t="s">
        <v>809</v>
      </c>
      <c r="B12" s="19" t="s">
        <v>810</v>
      </c>
      <c r="C12" s="15" t="s">
        <v>811</v>
      </c>
      <c r="D12" s="15" t="s">
        <v>403</v>
      </c>
      <c r="E12" s="20">
        <v>3950638</v>
      </c>
      <c r="F12" s="21">
        <v>164555.9246</v>
      </c>
      <c r="G12" s="22">
        <v>5.16E-2</v>
      </c>
      <c r="H12" s="40"/>
      <c r="I12" s="24"/>
      <c r="J12" s="5"/>
    </row>
    <row r="13" spans="1:10" ht="12.95" customHeight="1">
      <c r="A13" s="18" t="s">
        <v>1776</v>
      </c>
      <c r="B13" s="19" t="s">
        <v>1777</v>
      </c>
      <c r="C13" s="15" t="s">
        <v>1778</v>
      </c>
      <c r="D13" s="15" t="s">
        <v>314</v>
      </c>
      <c r="E13" s="20">
        <v>6017484</v>
      </c>
      <c r="F13" s="21">
        <v>146796.52220000001</v>
      </c>
      <c r="G13" s="22">
        <v>4.5999999999999999E-2</v>
      </c>
      <c r="H13" s="40"/>
      <c r="I13" s="24"/>
      <c r="J13" s="5"/>
    </row>
    <row r="14" spans="1:10" ht="12.95" customHeight="1">
      <c r="A14" s="18" t="s">
        <v>848</v>
      </c>
      <c r="B14" s="19" t="s">
        <v>849</v>
      </c>
      <c r="C14" s="15" t="s">
        <v>850</v>
      </c>
      <c r="D14" s="15" t="s">
        <v>255</v>
      </c>
      <c r="E14" s="20">
        <v>11929799</v>
      </c>
      <c r="F14" s="21">
        <v>145251.2677</v>
      </c>
      <c r="G14" s="22">
        <v>4.5600000000000002E-2</v>
      </c>
      <c r="H14" s="40"/>
      <c r="I14" s="24"/>
      <c r="J14" s="5"/>
    </row>
    <row r="15" spans="1:10" ht="12.95" customHeight="1">
      <c r="A15" s="18" t="s">
        <v>839</v>
      </c>
      <c r="B15" s="19" t="s">
        <v>840</v>
      </c>
      <c r="C15" s="15" t="s">
        <v>841</v>
      </c>
      <c r="D15" s="15" t="s">
        <v>745</v>
      </c>
      <c r="E15" s="20">
        <v>3817238</v>
      </c>
      <c r="F15" s="21">
        <v>143724.7366</v>
      </c>
      <c r="G15" s="22">
        <v>4.5100000000000001E-2</v>
      </c>
      <c r="H15" s="40"/>
      <c r="I15" s="24"/>
      <c r="J15" s="5"/>
    </row>
    <row r="16" spans="1:10" ht="12.95" customHeight="1">
      <c r="A16" s="18" t="s">
        <v>282</v>
      </c>
      <c r="B16" s="19" t="s">
        <v>283</v>
      </c>
      <c r="C16" s="15" t="s">
        <v>284</v>
      </c>
      <c r="D16" s="15" t="s">
        <v>271</v>
      </c>
      <c r="E16" s="20">
        <v>8666943</v>
      </c>
      <c r="F16" s="21">
        <v>132283.55100000001</v>
      </c>
      <c r="G16" s="22">
        <v>4.1500000000000002E-2</v>
      </c>
      <c r="H16" s="40"/>
      <c r="I16" s="24"/>
      <c r="J16" s="5"/>
    </row>
    <row r="17" spans="1:10" ht="12.95" customHeight="1">
      <c r="A17" s="18" t="s">
        <v>749</v>
      </c>
      <c r="B17" s="19" t="s">
        <v>750</v>
      </c>
      <c r="C17" s="15" t="s">
        <v>751</v>
      </c>
      <c r="D17" s="15" t="s">
        <v>255</v>
      </c>
      <c r="E17" s="20">
        <v>8256121</v>
      </c>
      <c r="F17" s="21">
        <v>127164.9037</v>
      </c>
      <c r="G17" s="22">
        <v>3.9899999999999998E-2</v>
      </c>
      <c r="H17" s="40"/>
      <c r="I17" s="24"/>
      <c r="J17" s="5"/>
    </row>
    <row r="18" spans="1:10" ht="12.95" customHeight="1">
      <c r="A18" s="18" t="s">
        <v>829</v>
      </c>
      <c r="B18" s="19" t="s">
        <v>830</v>
      </c>
      <c r="C18" s="15" t="s">
        <v>831</v>
      </c>
      <c r="D18" s="15" t="s">
        <v>832</v>
      </c>
      <c r="E18" s="20">
        <v>3404158</v>
      </c>
      <c r="F18" s="21">
        <v>117545.5757</v>
      </c>
      <c r="G18" s="22">
        <v>3.6900000000000002E-2</v>
      </c>
      <c r="H18" s="40"/>
      <c r="I18" s="24"/>
      <c r="J18" s="5"/>
    </row>
    <row r="19" spans="1:10" ht="12.95" customHeight="1">
      <c r="A19" s="18" t="s">
        <v>353</v>
      </c>
      <c r="B19" s="19" t="s">
        <v>354</v>
      </c>
      <c r="C19" s="15" t="s">
        <v>355</v>
      </c>
      <c r="D19" s="15" t="s">
        <v>267</v>
      </c>
      <c r="E19" s="20">
        <v>458359</v>
      </c>
      <c r="F19" s="21">
        <v>116721.1194</v>
      </c>
      <c r="G19" s="22">
        <v>3.6600000000000001E-2</v>
      </c>
      <c r="H19" s="40"/>
      <c r="I19" s="24"/>
      <c r="J19" s="5"/>
    </row>
    <row r="20" spans="1:10" ht="12.95" customHeight="1">
      <c r="A20" s="18" t="s">
        <v>690</v>
      </c>
      <c r="B20" s="19" t="s">
        <v>691</v>
      </c>
      <c r="C20" s="15" t="s">
        <v>692</v>
      </c>
      <c r="D20" s="15" t="s">
        <v>271</v>
      </c>
      <c r="E20" s="20">
        <v>4834650</v>
      </c>
      <c r="F20" s="21">
        <v>83915.020099999994</v>
      </c>
      <c r="G20" s="22">
        <v>2.63E-2</v>
      </c>
      <c r="H20" s="40"/>
      <c r="I20" s="24"/>
      <c r="J20" s="5"/>
    </row>
    <row r="21" spans="1:10" ht="12.95" customHeight="1">
      <c r="A21" s="18" t="s">
        <v>278</v>
      </c>
      <c r="B21" s="19" t="s">
        <v>279</v>
      </c>
      <c r="C21" s="15" t="s">
        <v>280</v>
      </c>
      <c r="D21" s="15" t="s">
        <v>281</v>
      </c>
      <c r="E21" s="20">
        <v>12651854</v>
      </c>
      <c r="F21" s="21">
        <v>79731.983900000007</v>
      </c>
      <c r="G21" s="22">
        <v>2.5000000000000001E-2</v>
      </c>
      <c r="H21" s="40"/>
      <c r="I21" s="24"/>
      <c r="J21" s="5"/>
    </row>
    <row r="22" spans="1:10" ht="12.95" customHeight="1">
      <c r="A22" s="18" t="s">
        <v>2454</v>
      </c>
      <c r="B22" s="19" t="s">
        <v>2455</v>
      </c>
      <c r="C22" s="15" t="s">
        <v>2456</v>
      </c>
      <c r="D22" s="15" t="s">
        <v>295</v>
      </c>
      <c r="E22" s="20">
        <v>3853425</v>
      </c>
      <c r="F22" s="21">
        <v>73694.826400000005</v>
      </c>
      <c r="G22" s="22">
        <v>2.3099999999999999E-2</v>
      </c>
      <c r="H22" s="40"/>
      <c r="I22" s="24"/>
      <c r="J22" s="5"/>
    </row>
    <row r="23" spans="1:10" ht="12.95" customHeight="1">
      <c r="A23" s="18" t="s">
        <v>775</v>
      </c>
      <c r="B23" s="19" t="s">
        <v>776</v>
      </c>
      <c r="C23" s="15" t="s">
        <v>777</v>
      </c>
      <c r="D23" s="15" t="s">
        <v>778</v>
      </c>
      <c r="E23" s="20">
        <v>1426357</v>
      </c>
      <c r="F23" s="21">
        <v>73282.656799999997</v>
      </c>
      <c r="G23" s="22">
        <v>2.3E-2</v>
      </c>
      <c r="H23" s="40"/>
      <c r="I23" s="24"/>
      <c r="J23" s="5"/>
    </row>
    <row r="24" spans="1:10" ht="12.95" customHeight="1">
      <c r="A24" s="18" t="s">
        <v>730</v>
      </c>
      <c r="B24" s="19" t="s">
        <v>731</v>
      </c>
      <c r="C24" s="15" t="s">
        <v>732</v>
      </c>
      <c r="D24" s="15" t="s">
        <v>281</v>
      </c>
      <c r="E24" s="20">
        <v>4662003</v>
      </c>
      <c r="F24" s="21">
        <v>72459.181599999996</v>
      </c>
      <c r="G24" s="22">
        <v>2.2700000000000001E-2</v>
      </c>
      <c r="H24" s="40"/>
      <c r="I24" s="24"/>
      <c r="J24" s="5"/>
    </row>
    <row r="25" spans="1:10" ht="12.95" customHeight="1">
      <c r="A25" s="18" t="s">
        <v>891</v>
      </c>
      <c r="B25" s="19" t="s">
        <v>892</v>
      </c>
      <c r="C25" s="15" t="s">
        <v>893</v>
      </c>
      <c r="D25" s="15" t="s">
        <v>255</v>
      </c>
      <c r="E25" s="20">
        <v>2221881</v>
      </c>
      <c r="F25" s="21">
        <v>68232.854600000006</v>
      </c>
      <c r="G25" s="22">
        <v>2.1399999999999999E-2</v>
      </c>
      <c r="H25" s="40"/>
      <c r="I25" s="24"/>
      <c r="J25" s="5"/>
    </row>
    <row r="26" spans="1:10" ht="12.95" customHeight="1">
      <c r="A26" s="18" t="s">
        <v>256</v>
      </c>
      <c r="B26" s="19" t="s">
        <v>257</v>
      </c>
      <c r="C26" s="15" t="s">
        <v>258</v>
      </c>
      <c r="D26" s="15" t="s">
        <v>259</v>
      </c>
      <c r="E26" s="20">
        <v>9473373</v>
      </c>
      <c r="F26" s="21">
        <v>55267.658100000001</v>
      </c>
      <c r="G26" s="22">
        <v>1.7299999999999999E-2</v>
      </c>
      <c r="H26" s="40"/>
      <c r="I26" s="24"/>
      <c r="J26" s="5"/>
    </row>
    <row r="27" spans="1:10" ht="12.95" customHeight="1">
      <c r="A27" s="18" t="s">
        <v>2460</v>
      </c>
      <c r="B27" s="19" t="s">
        <v>2461</v>
      </c>
      <c r="C27" s="15" t="s">
        <v>2462</v>
      </c>
      <c r="D27" s="15" t="s">
        <v>259</v>
      </c>
      <c r="E27" s="20">
        <v>1816516</v>
      </c>
      <c r="F27" s="21">
        <v>54282.9476</v>
      </c>
      <c r="G27" s="22">
        <v>1.7000000000000001E-2</v>
      </c>
      <c r="H27" s="40"/>
      <c r="I27" s="24"/>
      <c r="J27" s="5"/>
    </row>
    <row r="28" spans="1:10" ht="12.95" customHeight="1">
      <c r="A28" s="18" t="s">
        <v>866</v>
      </c>
      <c r="B28" s="19" t="s">
        <v>867</v>
      </c>
      <c r="C28" s="15" t="s">
        <v>868</v>
      </c>
      <c r="D28" s="15" t="s">
        <v>403</v>
      </c>
      <c r="E28" s="20">
        <v>52056173</v>
      </c>
      <c r="F28" s="21">
        <v>52837.015599999999</v>
      </c>
      <c r="G28" s="22">
        <v>1.66E-2</v>
      </c>
      <c r="H28" s="40"/>
      <c r="I28" s="24"/>
      <c r="J28" s="5"/>
    </row>
    <row r="29" spans="1:10" ht="12.95" customHeight="1">
      <c r="A29" s="18" t="s">
        <v>2448</v>
      </c>
      <c r="B29" s="19" t="s">
        <v>2449</v>
      </c>
      <c r="C29" s="15" t="s">
        <v>2450</v>
      </c>
      <c r="D29" s="15" t="s">
        <v>1816</v>
      </c>
      <c r="E29" s="20">
        <v>8899334</v>
      </c>
      <c r="F29" s="21">
        <v>39352.854899999998</v>
      </c>
      <c r="G29" s="22">
        <v>1.23E-2</v>
      </c>
      <c r="H29" s="40"/>
      <c r="I29" s="24"/>
      <c r="J29" s="5"/>
    </row>
    <row r="30" spans="1:10" ht="12.95" customHeight="1">
      <c r="A30" s="18" t="s">
        <v>805</v>
      </c>
      <c r="B30" s="19" t="s">
        <v>806</v>
      </c>
      <c r="C30" s="15" t="s">
        <v>807</v>
      </c>
      <c r="D30" s="15" t="s">
        <v>808</v>
      </c>
      <c r="E30" s="20">
        <v>9520356</v>
      </c>
      <c r="F30" s="21">
        <v>39138.183499999999</v>
      </c>
      <c r="G30" s="22">
        <v>1.23E-2</v>
      </c>
      <c r="H30" s="40"/>
      <c r="I30" s="24"/>
      <c r="J30" s="5"/>
    </row>
    <row r="31" spans="1:10" ht="12.95" customHeight="1">
      <c r="A31" s="18" t="s">
        <v>2267</v>
      </c>
      <c r="B31" s="19" t="s">
        <v>2268</v>
      </c>
      <c r="C31" s="15" t="s">
        <v>2269</v>
      </c>
      <c r="D31" s="15" t="s">
        <v>263</v>
      </c>
      <c r="E31" s="20">
        <v>524060</v>
      </c>
      <c r="F31" s="21">
        <v>37874.602299999999</v>
      </c>
      <c r="G31" s="22">
        <v>1.1900000000000001E-2</v>
      </c>
      <c r="H31" s="40"/>
      <c r="I31" s="24"/>
      <c r="J31" s="5"/>
    </row>
    <row r="32" spans="1:10" ht="12.95" customHeight="1">
      <c r="A32" s="18" t="s">
        <v>1572</v>
      </c>
      <c r="B32" s="19" t="s">
        <v>1573</v>
      </c>
      <c r="C32" s="15" t="s">
        <v>1574</v>
      </c>
      <c r="D32" s="15" t="s">
        <v>263</v>
      </c>
      <c r="E32" s="20">
        <v>616698</v>
      </c>
      <c r="F32" s="21">
        <v>35748.133000000002</v>
      </c>
      <c r="G32" s="22">
        <v>1.12E-2</v>
      </c>
      <c r="H32" s="40"/>
      <c r="I32" s="24"/>
      <c r="J32" s="5"/>
    </row>
    <row r="33" spans="1:10" ht="12.95" customHeight="1">
      <c r="A33" s="18" t="s">
        <v>1617</v>
      </c>
      <c r="B33" s="19" t="s">
        <v>1618</v>
      </c>
      <c r="C33" s="15" t="s">
        <v>1619</v>
      </c>
      <c r="D33" s="15" t="s">
        <v>745</v>
      </c>
      <c r="E33" s="20">
        <v>1734328</v>
      </c>
      <c r="F33" s="21">
        <v>31136.390599999999</v>
      </c>
      <c r="G33" s="22">
        <v>9.7999999999999997E-3</v>
      </c>
      <c r="H33" s="40"/>
      <c r="I33" s="24"/>
      <c r="J33" s="5"/>
    </row>
    <row r="34" spans="1:10" ht="12.95" customHeight="1">
      <c r="A34" s="18" t="s">
        <v>1584</v>
      </c>
      <c r="B34" s="19" t="s">
        <v>1585</v>
      </c>
      <c r="C34" s="15" t="s">
        <v>1586</v>
      </c>
      <c r="D34" s="15" t="s">
        <v>263</v>
      </c>
      <c r="E34" s="20">
        <v>552895</v>
      </c>
      <c r="F34" s="21">
        <v>28222.248800000001</v>
      </c>
      <c r="G34" s="22">
        <v>8.8999999999999999E-3</v>
      </c>
      <c r="H34" s="40"/>
      <c r="I34" s="24"/>
      <c r="J34" s="5"/>
    </row>
    <row r="35" spans="1:10" ht="12.95" customHeight="1">
      <c r="A35" s="18" t="s">
        <v>2186</v>
      </c>
      <c r="B35" s="19" t="s">
        <v>2187</v>
      </c>
      <c r="C35" s="15" t="s">
        <v>2188</v>
      </c>
      <c r="D35" s="15" t="s">
        <v>314</v>
      </c>
      <c r="E35" s="20">
        <v>598719</v>
      </c>
      <c r="F35" s="21">
        <v>22551.9486</v>
      </c>
      <c r="G35" s="22">
        <v>7.1000000000000004E-3</v>
      </c>
      <c r="H35" s="40"/>
      <c r="I35" s="24"/>
      <c r="J35" s="5"/>
    </row>
    <row r="36" spans="1:10" ht="12.95" customHeight="1">
      <c r="A36" s="18" t="s">
        <v>3598</v>
      </c>
      <c r="B36" s="19" t="s">
        <v>3599</v>
      </c>
      <c r="C36" s="15" t="s">
        <v>3600</v>
      </c>
      <c r="D36" s="15" t="s">
        <v>255</v>
      </c>
      <c r="E36" s="20">
        <v>1454666</v>
      </c>
      <c r="F36" s="21">
        <v>13137.088599999999</v>
      </c>
      <c r="G36" s="22">
        <v>4.1000000000000003E-3</v>
      </c>
      <c r="H36" s="40"/>
      <c r="I36" s="24"/>
      <c r="J36" s="5"/>
    </row>
    <row r="37" spans="1:10" ht="12.95" customHeight="1">
      <c r="A37" s="18" t="s">
        <v>854</v>
      </c>
      <c r="B37" s="19" t="s">
        <v>855</v>
      </c>
      <c r="C37" s="15" t="s">
        <v>856</v>
      </c>
      <c r="D37" s="15" t="s">
        <v>314</v>
      </c>
      <c r="E37" s="20">
        <v>878470</v>
      </c>
      <c r="F37" s="21">
        <v>12379.8385</v>
      </c>
      <c r="G37" s="22">
        <v>3.8999999999999998E-3</v>
      </c>
      <c r="H37" s="40"/>
      <c r="I37" s="24"/>
      <c r="J37" s="5"/>
    </row>
    <row r="38" spans="1:10" ht="12.95" customHeight="1">
      <c r="A38" s="18" t="s">
        <v>742</v>
      </c>
      <c r="B38" s="19" t="s">
        <v>743</v>
      </c>
      <c r="C38" s="15" t="s">
        <v>744</v>
      </c>
      <c r="D38" s="15" t="s">
        <v>745</v>
      </c>
      <c r="E38" s="20">
        <v>568450</v>
      </c>
      <c r="F38" s="21">
        <v>6586.3459000000003</v>
      </c>
      <c r="G38" s="22">
        <v>2.0999999999999999E-3</v>
      </c>
      <c r="H38" s="40"/>
      <c r="I38" s="24"/>
      <c r="J38" s="5"/>
    </row>
    <row r="39" spans="1:10" ht="12.95" customHeight="1">
      <c r="A39" s="18" t="s">
        <v>2274</v>
      </c>
      <c r="B39" s="19" t="s">
        <v>2275</v>
      </c>
      <c r="C39" s="15" t="s">
        <v>2276</v>
      </c>
      <c r="D39" s="15" t="s">
        <v>324</v>
      </c>
      <c r="E39" s="20">
        <v>740025</v>
      </c>
      <c r="F39" s="21">
        <v>6511.85</v>
      </c>
      <c r="G39" s="22">
        <v>2E-3</v>
      </c>
      <c r="H39" s="40"/>
      <c r="I39" s="24"/>
      <c r="J39" s="5"/>
    </row>
    <row r="40" spans="1:10" ht="12.95" customHeight="1">
      <c r="A40" s="18" t="s">
        <v>359</v>
      </c>
      <c r="B40" s="19" t="s">
        <v>360</v>
      </c>
      <c r="C40" s="15" t="s">
        <v>361</v>
      </c>
      <c r="D40" s="15" t="s">
        <v>255</v>
      </c>
      <c r="E40" s="20">
        <v>1433923</v>
      </c>
      <c r="F40" s="21">
        <v>3315.23</v>
      </c>
      <c r="G40" s="22">
        <v>1E-3</v>
      </c>
      <c r="H40" s="40"/>
      <c r="I40" s="24"/>
      <c r="J40" s="5"/>
    </row>
    <row r="41" spans="1:10" ht="12.95" customHeight="1">
      <c r="A41" s="18" t="s">
        <v>4159</v>
      </c>
      <c r="B41" s="19" t="s">
        <v>4160</v>
      </c>
      <c r="C41" s="15" t="s">
        <v>4161</v>
      </c>
      <c r="D41" s="15" t="s">
        <v>3045</v>
      </c>
      <c r="E41" s="20">
        <v>281658</v>
      </c>
      <c r="F41" s="21">
        <v>3270.7534999999998</v>
      </c>
      <c r="G41" s="22">
        <v>1E-3</v>
      </c>
      <c r="H41" s="40"/>
      <c r="I41" s="24"/>
      <c r="J41" s="5"/>
    </row>
    <row r="42" spans="1:10" ht="12.95" customHeight="1">
      <c r="A42" s="18" t="s">
        <v>3061</v>
      </c>
      <c r="B42" s="19" t="s">
        <v>3062</v>
      </c>
      <c r="C42" s="15" t="s">
        <v>3063</v>
      </c>
      <c r="D42" s="15" t="s">
        <v>295</v>
      </c>
      <c r="E42" s="20">
        <v>104092</v>
      </c>
      <c r="F42" s="21">
        <v>3222.1678999999999</v>
      </c>
      <c r="G42" s="22">
        <v>1E-3</v>
      </c>
      <c r="H42" s="40"/>
      <c r="I42" s="24"/>
      <c r="J42" s="5"/>
    </row>
    <row r="43" spans="1:10" ht="12.95" customHeight="1">
      <c r="A43" s="18" t="s">
        <v>1595</v>
      </c>
      <c r="B43" s="19" t="s">
        <v>1596</v>
      </c>
      <c r="C43" s="15" t="s">
        <v>1597</v>
      </c>
      <c r="D43" s="15" t="s">
        <v>778</v>
      </c>
      <c r="E43" s="20">
        <v>418101</v>
      </c>
      <c r="F43" s="21">
        <v>2993.8121999999998</v>
      </c>
      <c r="G43" s="22">
        <v>8.9999999999999998E-4</v>
      </c>
      <c r="H43" s="40"/>
      <c r="I43" s="24"/>
      <c r="J43" s="5"/>
    </row>
    <row r="44" spans="1:10" ht="12.95" customHeight="1">
      <c r="A44" s="18" t="s">
        <v>2466</v>
      </c>
      <c r="B44" s="19" t="s">
        <v>2467</v>
      </c>
      <c r="C44" s="15" t="s">
        <v>2468</v>
      </c>
      <c r="D44" s="15" t="s">
        <v>778</v>
      </c>
      <c r="E44" s="20">
        <v>296172</v>
      </c>
      <c r="F44" s="21">
        <v>1478.4906000000001</v>
      </c>
      <c r="G44" s="22">
        <v>5.0000000000000001E-4</v>
      </c>
      <c r="H44" s="40"/>
      <c r="I44" s="24"/>
      <c r="J44" s="5"/>
    </row>
    <row r="45" spans="1:10" ht="12.95" customHeight="1">
      <c r="A45" s="18" t="s">
        <v>328</v>
      </c>
      <c r="B45" s="19" t="s">
        <v>329</v>
      </c>
      <c r="C45" s="15" t="s">
        <v>330</v>
      </c>
      <c r="D45" s="15" t="s">
        <v>259</v>
      </c>
      <c r="E45" s="20">
        <v>24818</v>
      </c>
      <c r="F45" s="21">
        <v>822.69190000000003</v>
      </c>
      <c r="G45" s="22">
        <v>2.9999999999999997E-4</v>
      </c>
      <c r="H45" s="40"/>
      <c r="I45" s="24"/>
      <c r="J45" s="5"/>
    </row>
    <row r="46" spans="1:10" ht="12.95" customHeight="1">
      <c r="A46" s="5"/>
      <c r="B46" s="14" t="s">
        <v>160</v>
      </c>
      <c r="C46" s="15"/>
      <c r="D46" s="15"/>
      <c r="E46" s="15"/>
      <c r="F46" s="25">
        <v>3135274.2503</v>
      </c>
      <c r="G46" s="26">
        <v>0.98329999999999995</v>
      </c>
      <c r="H46" s="27"/>
      <c r="I46" s="28"/>
      <c r="J46" s="5"/>
    </row>
    <row r="47" spans="1:10" ht="12.95" customHeight="1">
      <c r="A47" s="5"/>
      <c r="B47" s="29" t="s">
        <v>408</v>
      </c>
      <c r="C47" s="2"/>
      <c r="D47" s="2"/>
      <c r="E47" s="2"/>
      <c r="F47" s="27" t="s">
        <v>162</v>
      </c>
      <c r="G47" s="27" t="s">
        <v>162</v>
      </c>
      <c r="H47" s="27"/>
      <c r="I47" s="28"/>
      <c r="J47" s="5"/>
    </row>
    <row r="48" spans="1:10" ht="12.95" customHeight="1">
      <c r="A48" s="5"/>
      <c r="B48" s="29" t="s">
        <v>160</v>
      </c>
      <c r="C48" s="2"/>
      <c r="D48" s="2"/>
      <c r="E48" s="2"/>
      <c r="F48" s="27" t="s">
        <v>162</v>
      </c>
      <c r="G48" s="27" t="s">
        <v>162</v>
      </c>
      <c r="H48" s="27"/>
      <c r="I48" s="28"/>
      <c r="J48" s="5"/>
    </row>
    <row r="49" spans="1:10" ht="12.95" customHeight="1">
      <c r="A49" s="5"/>
      <c r="B49" s="29" t="s">
        <v>163</v>
      </c>
      <c r="C49" s="30"/>
      <c r="D49" s="2"/>
      <c r="E49" s="30"/>
      <c r="F49" s="25">
        <v>3135274.2503</v>
      </c>
      <c r="G49" s="26">
        <v>0.98329999999999995</v>
      </c>
      <c r="H49" s="27"/>
      <c r="I49" s="28"/>
      <c r="J49" s="5"/>
    </row>
    <row r="50" spans="1:10" ht="12.95" customHeight="1">
      <c r="A50" s="5"/>
      <c r="B50" s="14" t="s">
        <v>164</v>
      </c>
      <c r="C50" s="15"/>
      <c r="D50" s="15"/>
      <c r="E50" s="15"/>
      <c r="F50" s="15"/>
      <c r="G50" s="15"/>
      <c r="H50" s="16"/>
      <c r="I50" s="17"/>
      <c r="J50" s="5"/>
    </row>
    <row r="51" spans="1:10" ht="12.95" customHeight="1">
      <c r="A51" s="18" t="s">
        <v>165</v>
      </c>
      <c r="B51" s="19" t="s">
        <v>166</v>
      </c>
      <c r="C51" s="15"/>
      <c r="D51" s="15"/>
      <c r="E51" s="20"/>
      <c r="F51" s="21">
        <v>49628.039299999997</v>
      </c>
      <c r="G51" s="22">
        <v>1.5599999999999999E-2</v>
      </c>
      <c r="H51" s="23">
        <v>6.7996829688028088E-2</v>
      </c>
      <c r="I51" s="24"/>
      <c r="J51" s="5"/>
    </row>
    <row r="52" spans="1:10" ht="12.95" customHeight="1">
      <c r="A52" s="5"/>
      <c r="B52" s="14" t="s">
        <v>160</v>
      </c>
      <c r="C52" s="15"/>
      <c r="D52" s="15"/>
      <c r="E52" s="15"/>
      <c r="F52" s="25">
        <v>49628.039299999997</v>
      </c>
      <c r="G52" s="26">
        <v>1.5599999999999999E-2</v>
      </c>
      <c r="H52" s="27"/>
      <c r="I52" s="28"/>
      <c r="J52" s="5"/>
    </row>
    <row r="53" spans="1:10" ht="12.95" customHeight="1">
      <c r="A53" s="5"/>
      <c r="B53" s="29" t="s">
        <v>163</v>
      </c>
      <c r="C53" s="30"/>
      <c r="D53" s="2"/>
      <c r="E53" s="30"/>
      <c r="F53" s="25">
        <v>49628.039299999997</v>
      </c>
      <c r="G53" s="26">
        <v>1.5599999999999999E-2</v>
      </c>
      <c r="H53" s="27"/>
      <c r="I53" s="28"/>
      <c r="J53" s="5"/>
    </row>
    <row r="54" spans="1:10" ht="12.95" customHeight="1">
      <c r="A54" s="5"/>
      <c r="B54" s="29" t="s">
        <v>167</v>
      </c>
      <c r="C54" s="15"/>
      <c r="D54" s="2"/>
      <c r="E54" s="15"/>
      <c r="F54" s="31">
        <v>3782.3904000000002</v>
      </c>
      <c r="G54" s="26">
        <v>1.1000000000000001E-3</v>
      </c>
      <c r="H54" s="27"/>
      <c r="I54" s="28"/>
      <c r="J54" s="5"/>
    </row>
    <row r="55" spans="1:10" ht="12.95" customHeight="1">
      <c r="A55" s="5"/>
      <c r="B55" s="32" t="s">
        <v>168</v>
      </c>
      <c r="C55" s="33"/>
      <c r="D55" s="33"/>
      <c r="E55" s="33"/>
      <c r="F55" s="34">
        <v>3188684.68</v>
      </c>
      <c r="G55" s="35">
        <v>1</v>
      </c>
      <c r="H55" s="36"/>
      <c r="I55" s="37"/>
      <c r="J55" s="5"/>
    </row>
    <row r="56" spans="1:10" ht="12.95" customHeight="1">
      <c r="A56" s="5"/>
      <c r="B56" s="7"/>
      <c r="C56" s="5"/>
      <c r="D56" s="5"/>
      <c r="E56" s="5"/>
      <c r="F56" s="5"/>
      <c r="G56" s="5"/>
      <c r="H56" s="5"/>
      <c r="I56" s="5"/>
      <c r="J56" s="5"/>
    </row>
    <row r="57" spans="1:10" ht="12.95" customHeight="1">
      <c r="A57" s="5"/>
      <c r="B57" s="4" t="s">
        <v>169</v>
      </c>
      <c r="C57" s="5"/>
      <c r="D57" s="5"/>
      <c r="E57" s="5"/>
      <c r="F57" s="5"/>
      <c r="G57" s="5"/>
      <c r="H57" s="5"/>
      <c r="I57" s="5"/>
      <c r="J57" s="5"/>
    </row>
    <row r="58" spans="1:10" ht="12.95" customHeight="1">
      <c r="A58" s="5"/>
      <c r="B58" s="4" t="s">
        <v>170</v>
      </c>
      <c r="C58" s="5"/>
      <c r="D58" s="5"/>
      <c r="E58" s="5"/>
      <c r="F58" s="5"/>
      <c r="G58" s="5"/>
      <c r="H58" s="5"/>
      <c r="I58" s="5"/>
      <c r="J58" s="5"/>
    </row>
    <row r="59" spans="1:10" ht="26.1" customHeight="1">
      <c r="A59" s="5"/>
      <c r="B59" s="86" t="s">
        <v>171</v>
      </c>
      <c r="C59" s="86"/>
      <c r="D59" s="86"/>
      <c r="E59" s="86"/>
      <c r="F59" s="86"/>
      <c r="G59" s="86"/>
      <c r="H59" s="86"/>
      <c r="I59" s="86"/>
      <c r="J59" s="5"/>
    </row>
    <row r="60" spans="1:10" ht="12.95" customHeight="1">
      <c r="A60" s="5"/>
      <c r="B60" s="86"/>
      <c r="C60" s="86"/>
      <c r="D60" s="86"/>
      <c r="E60" s="86"/>
      <c r="F60" s="86"/>
      <c r="G60" s="86"/>
      <c r="H60" s="86"/>
      <c r="I60" s="86"/>
      <c r="J60" s="5"/>
    </row>
    <row r="61" spans="1:10" ht="12.95" customHeight="1">
      <c r="A61" s="5"/>
      <c r="B61" s="86"/>
      <c r="C61" s="86"/>
      <c r="D61" s="86"/>
      <c r="E61" s="86"/>
      <c r="F61" s="86"/>
      <c r="G61" s="86"/>
      <c r="H61" s="86"/>
      <c r="I61" s="86"/>
      <c r="J61" s="5"/>
    </row>
    <row r="62" spans="1:10" ht="12.95" customHeight="1">
      <c r="A62" s="5"/>
      <c r="B62" s="5"/>
      <c r="C62" s="87" t="s">
        <v>422</v>
      </c>
      <c r="D62" s="87"/>
      <c r="E62" s="87"/>
      <c r="F62" s="87"/>
      <c r="G62" s="5"/>
      <c r="H62" s="5"/>
      <c r="I62" s="5"/>
      <c r="J62" s="5"/>
    </row>
    <row r="63" spans="1:10" ht="12.95" customHeight="1">
      <c r="A63" s="5"/>
      <c r="B63" s="38" t="s">
        <v>173</v>
      </c>
      <c r="C63" s="87" t="s">
        <v>174</v>
      </c>
      <c r="D63" s="87"/>
      <c r="E63" s="87"/>
      <c r="F63" s="87"/>
      <c r="G63" s="5"/>
      <c r="H63" s="5"/>
      <c r="I63" s="5"/>
      <c r="J63" s="5"/>
    </row>
    <row r="64" spans="1:10" ht="120.95" customHeight="1">
      <c r="A64" s="5"/>
      <c r="B64" s="39"/>
      <c r="C64" s="85"/>
      <c r="D64" s="85"/>
      <c r="E64" s="5"/>
      <c r="F64" s="5"/>
      <c r="G64" s="5"/>
      <c r="H64" s="5"/>
      <c r="I64" s="5"/>
      <c r="J64" s="5"/>
    </row>
  </sheetData>
  <mergeCells count="6">
    <mergeCell ref="C64:D64"/>
    <mergeCell ref="B59:I59"/>
    <mergeCell ref="B60:I60"/>
    <mergeCell ref="B61:I61"/>
    <mergeCell ref="C62:F62"/>
    <mergeCell ref="C63:F63"/>
  </mergeCells>
  <hyperlinks>
    <hyperlink ref="A1" location="AxisLongTermEquityFund" display="AXISTSF" xr:uid="{00000000-0004-0000-4200-000000000000}"/>
    <hyperlink ref="B1" location="AxisLongTermEquityFund" display="Axis Long Term Equity Fund" xr:uid="{00000000-0004-0000-4200-000001000000}"/>
  </hyperlinks>
  <pageMargins left="0" right="0" top="0" bottom="0" header="0" footer="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/>
  </sheetPr>
  <dimension ref="A1:J11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136</v>
      </c>
      <c r="B1" s="4" t="s">
        <v>137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175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409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953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4162</v>
      </c>
      <c r="B7" s="19" t="s">
        <v>4163</v>
      </c>
      <c r="C7" s="15"/>
      <c r="D7" s="15"/>
      <c r="E7" s="42"/>
      <c r="F7" s="21">
        <v>-3.63</v>
      </c>
      <c r="G7" s="40" t="s">
        <v>675</v>
      </c>
      <c r="H7" s="40"/>
      <c r="I7" s="24"/>
      <c r="J7" s="5"/>
    </row>
    <row r="8" spans="1:10" ht="12.95" customHeight="1">
      <c r="A8" s="5"/>
      <c r="B8" s="14" t="s">
        <v>160</v>
      </c>
      <c r="C8" s="15"/>
      <c r="D8" s="15"/>
      <c r="E8" s="15"/>
      <c r="F8" s="25">
        <v>-3.63</v>
      </c>
      <c r="G8" s="26" t="s">
        <v>675</v>
      </c>
      <c r="H8" s="27"/>
      <c r="I8" s="28"/>
      <c r="J8" s="5"/>
    </row>
    <row r="9" spans="1:10" ht="12.95" customHeight="1">
      <c r="A9" s="5"/>
      <c r="B9" s="29" t="s">
        <v>163</v>
      </c>
      <c r="C9" s="30"/>
      <c r="D9" s="2"/>
      <c r="E9" s="30"/>
      <c r="F9" s="25">
        <v>-3.63</v>
      </c>
      <c r="G9" s="26" t="s">
        <v>675</v>
      </c>
      <c r="H9" s="27"/>
      <c r="I9" s="28"/>
      <c r="J9" s="5"/>
    </row>
    <row r="10" spans="1:10" ht="12.95" customHeight="1">
      <c r="A10" s="5"/>
      <c r="B10" s="14" t="s">
        <v>151</v>
      </c>
      <c r="C10" s="15"/>
      <c r="D10" s="15"/>
      <c r="E10" s="15"/>
      <c r="F10" s="15"/>
      <c r="G10" s="15"/>
      <c r="H10" s="16"/>
      <c r="I10" s="17"/>
      <c r="J10" s="5"/>
    </row>
    <row r="11" spans="1:10" ht="12.95" customHeight="1">
      <c r="A11" s="5"/>
      <c r="B11" s="14" t="s">
        <v>152</v>
      </c>
      <c r="C11" s="15"/>
      <c r="D11" s="15"/>
      <c r="E11" s="15"/>
      <c r="F11" s="5"/>
      <c r="G11" s="16"/>
      <c r="H11" s="16"/>
      <c r="I11" s="17"/>
      <c r="J11" s="5"/>
    </row>
    <row r="12" spans="1:10" ht="12.95" customHeight="1">
      <c r="A12" s="18" t="s">
        <v>4055</v>
      </c>
      <c r="B12" s="19" t="s">
        <v>4056</v>
      </c>
      <c r="C12" s="15" t="s">
        <v>4057</v>
      </c>
      <c r="D12" s="15" t="s">
        <v>432</v>
      </c>
      <c r="E12" s="20">
        <v>2000</v>
      </c>
      <c r="F12" s="21">
        <v>19841.080000000002</v>
      </c>
      <c r="G12" s="22">
        <v>4.1200000000000001E-2</v>
      </c>
      <c r="H12" s="23">
        <v>7.3249999999999996E-2</v>
      </c>
      <c r="I12" s="24"/>
      <c r="J12" s="5"/>
    </row>
    <row r="13" spans="1:10" ht="12.95" customHeight="1">
      <c r="A13" s="18" t="s">
        <v>3097</v>
      </c>
      <c r="B13" s="19" t="s">
        <v>3098</v>
      </c>
      <c r="C13" s="15" t="s">
        <v>3099</v>
      </c>
      <c r="D13" s="15" t="s">
        <v>156</v>
      </c>
      <c r="E13" s="20">
        <v>15000000</v>
      </c>
      <c r="F13" s="21">
        <v>15093.81</v>
      </c>
      <c r="G13" s="22">
        <v>3.1300000000000001E-2</v>
      </c>
      <c r="H13" s="23">
        <v>7.0380999999999999E-2</v>
      </c>
      <c r="I13" s="24"/>
      <c r="J13" s="5"/>
    </row>
    <row r="14" spans="1:10" ht="12.95" customHeight="1">
      <c r="A14" s="18" t="s">
        <v>4164</v>
      </c>
      <c r="B14" s="19" t="s">
        <v>4165</v>
      </c>
      <c r="C14" s="15" t="s">
        <v>4166</v>
      </c>
      <c r="D14" s="15" t="s">
        <v>156</v>
      </c>
      <c r="E14" s="20">
        <v>13000000</v>
      </c>
      <c r="F14" s="21">
        <v>13199.758</v>
      </c>
      <c r="G14" s="22">
        <v>2.7400000000000001E-2</v>
      </c>
      <c r="H14" s="23">
        <v>7.4385000000000007E-2</v>
      </c>
      <c r="I14" s="24"/>
      <c r="J14" s="5"/>
    </row>
    <row r="15" spans="1:10" ht="12.95" customHeight="1">
      <c r="A15" s="18" t="s">
        <v>4061</v>
      </c>
      <c r="B15" s="19" t="s">
        <v>4062</v>
      </c>
      <c r="C15" s="15" t="s">
        <v>4063</v>
      </c>
      <c r="D15" s="15" t="s">
        <v>179</v>
      </c>
      <c r="E15" s="20">
        <v>1200</v>
      </c>
      <c r="F15" s="21">
        <v>11912.028</v>
      </c>
      <c r="G15" s="22">
        <v>2.47E-2</v>
      </c>
      <c r="H15" s="23">
        <v>7.4998999999999996E-2</v>
      </c>
      <c r="I15" s="24"/>
      <c r="J15" s="5"/>
    </row>
    <row r="16" spans="1:10" ht="12.95" customHeight="1">
      <c r="A16" s="18" t="s">
        <v>4167</v>
      </c>
      <c r="B16" s="19" t="s">
        <v>4168</v>
      </c>
      <c r="C16" s="15" t="s">
        <v>4169</v>
      </c>
      <c r="D16" s="15" t="s">
        <v>432</v>
      </c>
      <c r="E16" s="20">
        <v>1000</v>
      </c>
      <c r="F16" s="21">
        <v>9927.23</v>
      </c>
      <c r="G16" s="22">
        <v>2.06E-2</v>
      </c>
      <c r="H16" s="23">
        <v>7.3249999999999996E-2</v>
      </c>
      <c r="I16" s="24"/>
      <c r="J16" s="5"/>
    </row>
    <row r="17" spans="1:10" ht="12.95" customHeight="1">
      <c r="A17" s="18" t="s">
        <v>3933</v>
      </c>
      <c r="B17" s="19" t="s">
        <v>3934</v>
      </c>
      <c r="C17" s="15" t="s">
        <v>3935</v>
      </c>
      <c r="D17" s="15" t="s">
        <v>179</v>
      </c>
      <c r="E17" s="20">
        <v>1090</v>
      </c>
      <c r="F17" s="21">
        <v>9605.4397000000008</v>
      </c>
      <c r="G17" s="22">
        <v>1.9900000000000001E-2</v>
      </c>
      <c r="H17" s="23">
        <v>8.0978999999999995E-2</v>
      </c>
      <c r="I17" s="24"/>
      <c r="J17" s="5"/>
    </row>
    <row r="18" spans="1:10" ht="12.95" customHeight="1">
      <c r="A18" s="18" t="s">
        <v>4043</v>
      </c>
      <c r="B18" s="19" t="s">
        <v>4044</v>
      </c>
      <c r="C18" s="15" t="s">
        <v>4045</v>
      </c>
      <c r="D18" s="15" t="s">
        <v>179</v>
      </c>
      <c r="E18" s="20">
        <v>750</v>
      </c>
      <c r="F18" s="21">
        <v>7400.5725000000002</v>
      </c>
      <c r="G18" s="22">
        <v>1.54E-2</v>
      </c>
      <c r="H18" s="23">
        <v>7.5850000000000001E-2</v>
      </c>
      <c r="I18" s="24"/>
      <c r="J18" s="5"/>
    </row>
    <row r="19" spans="1:10" ht="12.95" customHeight="1">
      <c r="A19" s="18" t="s">
        <v>4170</v>
      </c>
      <c r="B19" s="19" t="s">
        <v>4171</v>
      </c>
      <c r="C19" s="15" t="s">
        <v>4172</v>
      </c>
      <c r="D19" s="15" t="s">
        <v>179</v>
      </c>
      <c r="E19" s="20">
        <v>750</v>
      </c>
      <c r="F19" s="21">
        <v>7304.07</v>
      </c>
      <c r="G19" s="22">
        <v>1.52E-2</v>
      </c>
      <c r="H19" s="23">
        <v>7.8978000000000007E-2</v>
      </c>
      <c r="I19" s="24"/>
      <c r="J19" s="5"/>
    </row>
    <row r="20" spans="1:10" ht="12.95" customHeight="1">
      <c r="A20" s="18" t="s">
        <v>2577</v>
      </c>
      <c r="B20" s="19" t="s">
        <v>2578</v>
      </c>
      <c r="C20" s="15" t="s">
        <v>2579</v>
      </c>
      <c r="D20" s="15" t="s">
        <v>2580</v>
      </c>
      <c r="E20" s="20">
        <v>5500</v>
      </c>
      <c r="F20" s="21">
        <v>5502.4255000000003</v>
      </c>
      <c r="G20" s="22">
        <v>1.14E-2</v>
      </c>
      <c r="H20" s="23">
        <v>9.0700000000000003E-2</v>
      </c>
      <c r="I20" s="24"/>
      <c r="J20" s="5"/>
    </row>
    <row r="21" spans="1:10" ht="12.95" customHeight="1">
      <c r="A21" s="18" t="s">
        <v>3936</v>
      </c>
      <c r="B21" s="19" t="s">
        <v>3937</v>
      </c>
      <c r="C21" s="15" t="s">
        <v>3938</v>
      </c>
      <c r="D21" s="15" t="s">
        <v>432</v>
      </c>
      <c r="E21" s="20">
        <v>5000</v>
      </c>
      <c r="F21" s="21">
        <v>5018.5150000000003</v>
      </c>
      <c r="G21" s="22">
        <v>1.04E-2</v>
      </c>
      <c r="H21" s="23">
        <v>8.2012000000000002E-2</v>
      </c>
      <c r="I21" s="24"/>
      <c r="J21" s="5"/>
    </row>
    <row r="22" spans="1:10" ht="12.95" customHeight="1">
      <c r="A22" s="18" t="s">
        <v>4173</v>
      </c>
      <c r="B22" s="19" t="s">
        <v>4174</v>
      </c>
      <c r="C22" s="15" t="s">
        <v>4175</v>
      </c>
      <c r="D22" s="15" t="s">
        <v>2580</v>
      </c>
      <c r="E22" s="20">
        <v>5000</v>
      </c>
      <c r="F22" s="21">
        <v>4999.4350000000004</v>
      </c>
      <c r="G22" s="22">
        <v>1.04E-2</v>
      </c>
      <c r="H22" s="23">
        <v>8.9042999999999997E-2</v>
      </c>
      <c r="I22" s="24"/>
      <c r="J22" s="5"/>
    </row>
    <row r="23" spans="1:10" ht="12.95" customHeight="1">
      <c r="A23" s="18" t="s">
        <v>3909</v>
      </c>
      <c r="B23" s="19" t="s">
        <v>3910</v>
      </c>
      <c r="C23" s="15" t="s">
        <v>3911</v>
      </c>
      <c r="D23" s="15" t="s">
        <v>2621</v>
      </c>
      <c r="E23" s="20">
        <v>5000</v>
      </c>
      <c r="F23" s="21">
        <v>4996.33</v>
      </c>
      <c r="G23" s="22">
        <v>1.04E-2</v>
      </c>
      <c r="H23" s="23">
        <v>8.1850000000000006E-2</v>
      </c>
      <c r="I23" s="24"/>
      <c r="J23" s="5"/>
    </row>
    <row r="24" spans="1:10" ht="12.95" customHeight="1">
      <c r="A24" s="18" t="s">
        <v>4176</v>
      </c>
      <c r="B24" s="19" t="s">
        <v>4177</v>
      </c>
      <c r="C24" s="15" t="s">
        <v>4178</v>
      </c>
      <c r="D24" s="15" t="s">
        <v>179</v>
      </c>
      <c r="E24" s="20">
        <v>500</v>
      </c>
      <c r="F24" s="21">
        <v>4989.3850000000002</v>
      </c>
      <c r="G24" s="22">
        <v>1.04E-2</v>
      </c>
      <c r="H24" s="23">
        <v>7.5920000000000001E-2</v>
      </c>
      <c r="I24" s="24"/>
      <c r="J24" s="5"/>
    </row>
    <row r="25" spans="1:10" ht="12.95" customHeight="1">
      <c r="A25" s="18" t="s">
        <v>4086</v>
      </c>
      <c r="B25" s="19" t="s">
        <v>4087</v>
      </c>
      <c r="C25" s="15" t="s">
        <v>4088</v>
      </c>
      <c r="D25" s="15" t="s">
        <v>179</v>
      </c>
      <c r="E25" s="20">
        <v>500</v>
      </c>
      <c r="F25" s="21">
        <v>4965.4399999999996</v>
      </c>
      <c r="G25" s="22">
        <v>1.03E-2</v>
      </c>
      <c r="H25" s="23">
        <v>7.3899999999999993E-2</v>
      </c>
      <c r="I25" s="24"/>
      <c r="J25" s="5"/>
    </row>
    <row r="26" spans="1:10" ht="12.95" customHeight="1">
      <c r="A26" s="18" t="s">
        <v>3993</v>
      </c>
      <c r="B26" s="19" t="s">
        <v>3994</v>
      </c>
      <c r="C26" s="15" t="s">
        <v>3995</v>
      </c>
      <c r="D26" s="15" t="s">
        <v>179</v>
      </c>
      <c r="E26" s="20">
        <v>500</v>
      </c>
      <c r="F26" s="21">
        <v>4961.9949999999999</v>
      </c>
      <c r="G26" s="22">
        <v>1.03E-2</v>
      </c>
      <c r="H26" s="23">
        <v>7.6399999999999996E-2</v>
      </c>
      <c r="I26" s="24"/>
      <c r="J26" s="5"/>
    </row>
    <row r="27" spans="1:10" ht="12.95" customHeight="1">
      <c r="A27" s="18" t="s">
        <v>2719</v>
      </c>
      <c r="B27" s="19" t="s">
        <v>2720</v>
      </c>
      <c r="C27" s="15" t="s">
        <v>2721</v>
      </c>
      <c r="D27" s="15" t="s">
        <v>2587</v>
      </c>
      <c r="E27" s="20">
        <v>450</v>
      </c>
      <c r="F27" s="21">
        <v>4488.0614999999998</v>
      </c>
      <c r="G27" s="22">
        <v>9.2999999999999992E-3</v>
      </c>
      <c r="H27" s="23">
        <v>9.6049999999999996E-2</v>
      </c>
      <c r="I27" s="24"/>
      <c r="J27" s="5"/>
    </row>
    <row r="28" spans="1:10" ht="12.95" customHeight="1">
      <c r="A28" s="18" t="s">
        <v>4179</v>
      </c>
      <c r="B28" s="19" t="s">
        <v>4180</v>
      </c>
      <c r="C28" s="15" t="s">
        <v>4181</v>
      </c>
      <c r="D28" s="15" t="s">
        <v>179</v>
      </c>
      <c r="E28" s="20">
        <v>450</v>
      </c>
      <c r="F28" s="21">
        <v>4470.66</v>
      </c>
      <c r="G28" s="22">
        <v>9.2999999999999992E-3</v>
      </c>
      <c r="H28" s="23">
        <v>7.9799999999999996E-2</v>
      </c>
      <c r="I28" s="24"/>
      <c r="J28" s="5"/>
    </row>
    <row r="29" spans="1:10" ht="12.95" customHeight="1">
      <c r="A29" s="18" t="s">
        <v>2584</v>
      </c>
      <c r="B29" s="19" t="s">
        <v>2585</v>
      </c>
      <c r="C29" s="15" t="s">
        <v>2586</v>
      </c>
      <c r="D29" s="15" t="s">
        <v>2587</v>
      </c>
      <c r="E29" s="20">
        <v>400</v>
      </c>
      <c r="F29" s="21">
        <v>4031.4760000000001</v>
      </c>
      <c r="G29" s="22">
        <v>8.3999999999999995E-3</v>
      </c>
      <c r="H29" s="23">
        <v>9.5299999999999996E-2</v>
      </c>
      <c r="I29" s="24"/>
      <c r="J29" s="5"/>
    </row>
    <row r="30" spans="1:10" ht="12.95" customHeight="1">
      <c r="A30" s="18" t="s">
        <v>4182</v>
      </c>
      <c r="B30" s="19" t="s">
        <v>4183</v>
      </c>
      <c r="C30" s="15" t="s">
        <v>4184</v>
      </c>
      <c r="D30" s="15" t="s">
        <v>4070</v>
      </c>
      <c r="E30" s="20">
        <v>250</v>
      </c>
      <c r="F30" s="21">
        <v>2506.9475000000002</v>
      </c>
      <c r="G30" s="22">
        <v>5.1999999999999998E-3</v>
      </c>
      <c r="H30" s="23">
        <v>8.0799999999999997E-2</v>
      </c>
      <c r="I30" s="24"/>
      <c r="J30" s="5"/>
    </row>
    <row r="31" spans="1:10" ht="12.95" customHeight="1">
      <c r="A31" s="18" t="s">
        <v>4185</v>
      </c>
      <c r="B31" s="19" t="s">
        <v>4186</v>
      </c>
      <c r="C31" s="15" t="s">
        <v>4187</v>
      </c>
      <c r="D31" s="15" t="s">
        <v>4070</v>
      </c>
      <c r="E31" s="20">
        <v>250</v>
      </c>
      <c r="F31" s="21">
        <v>2504.5275000000001</v>
      </c>
      <c r="G31" s="22">
        <v>5.1999999999999998E-3</v>
      </c>
      <c r="H31" s="23">
        <v>8.0399999999999999E-2</v>
      </c>
      <c r="I31" s="24"/>
      <c r="J31" s="5"/>
    </row>
    <row r="32" spans="1:10" ht="12.95" customHeight="1">
      <c r="A32" s="18" t="s">
        <v>2597</v>
      </c>
      <c r="B32" s="19" t="s">
        <v>2598</v>
      </c>
      <c r="C32" s="15" t="s">
        <v>2599</v>
      </c>
      <c r="D32" s="15" t="s">
        <v>1654</v>
      </c>
      <c r="E32" s="20">
        <v>250</v>
      </c>
      <c r="F32" s="21">
        <v>2504.41</v>
      </c>
      <c r="G32" s="22">
        <v>5.1999999999999998E-3</v>
      </c>
      <c r="H32" s="23">
        <v>8.4900000000000003E-2</v>
      </c>
      <c r="I32" s="24"/>
      <c r="J32" s="5"/>
    </row>
    <row r="33" spans="1:10" ht="12.95" customHeight="1">
      <c r="A33" s="18" t="s">
        <v>2606</v>
      </c>
      <c r="B33" s="19" t="s">
        <v>2607</v>
      </c>
      <c r="C33" s="15" t="s">
        <v>2608</v>
      </c>
      <c r="D33" s="15" t="s">
        <v>1654</v>
      </c>
      <c r="E33" s="20">
        <v>2500</v>
      </c>
      <c r="F33" s="21">
        <v>2502.7199999999998</v>
      </c>
      <c r="G33" s="22">
        <v>5.1999999999999998E-3</v>
      </c>
      <c r="H33" s="23">
        <v>8.7900000000000006E-2</v>
      </c>
      <c r="I33" s="24"/>
      <c r="J33" s="5"/>
    </row>
    <row r="34" spans="1:10" ht="12.95" customHeight="1">
      <c r="A34" s="18" t="s">
        <v>2609</v>
      </c>
      <c r="B34" s="19" t="s">
        <v>2610</v>
      </c>
      <c r="C34" s="15" t="s">
        <v>2611</v>
      </c>
      <c r="D34" s="15" t="s">
        <v>2587</v>
      </c>
      <c r="E34" s="20">
        <v>250</v>
      </c>
      <c r="F34" s="21">
        <v>2494.6174999999998</v>
      </c>
      <c r="G34" s="22">
        <v>5.1999999999999998E-3</v>
      </c>
      <c r="H34" s="23">
        <v>9.4350000000000003E-2</v>
      </c>
      <c r="I34" s="24"/>
      <c r="J34" s="5"/>
    </row>
    <row r="35" spans="1:10" ht="12.95" customHeight="1">
      <c r="A35" s="18" t="s">
        <v>585</v>
      </c>
      <c r="B35" s="19" t="s">
        <v>586</v>
      </c>
      <c r="C35" s="15" t="s">
        <v>587</v>
      </c>
      <c r="D35" s="15" t="s">
        <v>179</v>
      </c>
      <c r="E35" s="20">
        <v>250</v>
      </c>
      <c r="F35" s="21">
        <v>2433.855</v>
      </c>
      <c r="G35" s="22">
        <v>5.1000000000000004E-3</v>
      </c>
      <c r="H35" s="23">
        <v>7.9149999999999998E-2</v>
      </c>
      <c r="I35" s="24"/>
      <c r="J35" s="5"/>
    </row>
    <row r="36" spans="1:10" ht="12.95" customHeight="1">
      <c r="A36" s="18" t="s">
        <v>2648</v>
      </c>
      <c r="B36" s="19" t="s">
        <v>2649</v>
      </c>
      <c r="C36" s="15" t="s">
        <v>2650</v>
      </c>
      <c r="D36" s="15" t="s">
        <v>1670</v>
      </c>
      <c r="E36" s="20">
        <v>200</v>
      </c>
      <c r="F36" s="21">
        <v>1985.086</v>
      </c>
      <c r="G36" s="22">
        <v>4.1000000000000003E-3</v>
      </c>
      <c r="H36" s="23">
        <v>8.1398999999999999E-2</v>
      </c>
      <c r="I36" s="24"/>
      <c r="J36" s="5"/>
    </row>
    <row r="37" spans="1:10" ht="12.95" customHeight="1">
      <c r="A37" s="18" t="s">
        <v>2651</v>
      </c>
      <c r="B37" s="19" t="s">
        <v>2652</v>
      </c>
      <c r="C37" s="15" t="s">
        <v>2653</v>
      </c>
      <c r="D37" s="15" t="s">
        <v>1670</v>
      </c>
      <c r="E37" s="20">
        <v>200</v>
      </c>
      <c r="F37" s="21">
        <v>1031.94</v>
      </c>
      <c r="G37" s="22">
        <v>2.0999999999999999E-3</v>
      </c>
      <c r="H37" s="23">
        <v>7.8251000000000001E-2</v>
      </c>
      <c r="I37" s="24"/>
      <c r="J37" s="5"/>
    </row>
    <row r="38" spans="1:10" ht="12.95" customHeight="1">
      <c r="A38" s="18" t="s">
        <v>4188</v>
      </c>
      <c r="B38" s="19" t="s">
        <v>4189</v>
      </c>
      <c r="C38" s="15" t="s">
        <v>4190</v>
      </c>
      <c r="D38" s="15" t="s">
        <v>156</v>
      </c>
      <c r="E38" s="20">
        <v>540400</v>
      </c>
      <c r="F38" s="21">
        <v>519.3682</v>
      </c>
      <c r="G38" s="22">
        <v>1.1000000000000001E-3</v>
      </c>
      <c r="H38" s="23">
        <v>7.2198999999999999E-2</v>
      </c>
      <c r="I38" s="24"/>
      <c r="J38" s="5"/>
    </row>
    <row r="39" spans="1:10" ht="12.95" customHeight="1">
      <c r="A39" s="18" t="s">
        <v>2672</v>
      </c>
      <c r="B39" s="19" t="s">
        <v>2673</v>
      </c>
      <c r="C39" s="15" t="s">
        <v>2674</v>
      </c>
      <c r="D39" s="15" t="s">
        <v>2675</v>
      </c>
      <c r="E39" s="20">
        <v>100</v>
      </c>
      <c r="F39" s="21">
        <v>396.83199999999999</v>
      </c>
      <c r="G39" s="22">
        <v>8.0000000000000004E-4</v>
      </c>
      <c r="H39" s="23">
        <v>9.0245000000000006E-2</v>
      </c>
      <c r="I39" s="24"/>
      <c r="J39" s="5"/>
    </row>
    <row r="40" spans="1:10" ht="12.95" customHeight="1">
      <c r="A40" s="5"/>
      <c r="B40" s="14" t="s">
        <v>160</v>
      </c>
      <c r="C40" s="15"/>
      <c r="D40" s="15"/>
      <c r="E40" s="15"/>
      <c r="F40" s="25">
        <v>161588.01490000001</v>
      </c>
      <c r="G40" s="26">
        <v>0.33550000000000002</v>
      </c>
      <c r="H40" s="27"/>
      <c r="I40" s="28"/>
      <c r="J40" s="5"/>
    </row>
    <row r="41" spans="1:10" ht="12.95" customHeight="1">
      <c r="A41" s="5"/>
      <c r="B41" s="29" t="s">
        <v>161</v>
      </c>
      <c r="C41" s="2"/>
      <c r="D41" s="2"/>
      <c r="E41" s="2"/>
      <c r="F41" s="27" t="s">
        <v>162</v>
      </c>
      <c r="G41" s="27" t="s">
        <v>162</v>
      </c>
      <c r="H41" s="27"/>
      <c r="I41" s="28"/>
      <c r="J41" s="5"/>
    </row>
    <row r="42" spans="1:10" ht="12.95" customHeight="1">
      <c r="A42" s="5"/>
      <c r="B42" s="29" t="s">
        <v>160</v>
      </c>
      <c r="C42" s="2"/>
      <c r="D42" s="2"/>
      <c r="E42" s="2"/>
      <c r="F42" s="27" t="s">
        <v>162</v>
      </c>
      <c r="G42" s="27" t="s">
        <v>162</v>
      </c>
      <c r="H42" s="27"/>
      <c r="I42" s="28"/>
      <c r="J42" s="5"/>
    </row>
    <row r="43" spans="1:10" ht="12.95" customHeight="1">
      <c r="A43" s="5"/>
      <c r="B43" s="14" t="s">
        <v>1176</v>
      </c>
      <c r="C43" s="15"/>
      <c r="D43" s="15"/>
      <c r="E43" s="15"/>
      <c r="F43" s="5"/>
      <c r="G43" s="16"/>
      <c r="H43" s="16"/>
      <c r="I43" s="17"/>
      <c r="J43" s="5"/>
    </row>
    <row r="44" spans="1:10" ht="12.95" customHeight="1">
      <c r="A44" s="18" t="s">
        <v>4191</v>
      </c>
      <c r="B44" s="19" t="s">
        <v>4192</v>
      </c>
      <c r="C44" s="15" t="s">
        <v>4193</v>
      </c>
      <c r="D44" s="15" t="s">
        <v>1180</v>
      </c>
      <c r="E44" s="20">
        <v>100</v>
      </c>
      <c r="F44" s="21">
        <v>3325.3872999999999</v>
      </c>
      <c r="G44" s="22">
        <v>6.8999999999999999E-3</v>
      </c>
      <c r="H44" s="23">
        <v>9.0450000000000003E-2</v>
      </c>
      <c r="I44" s="24"/>
      <c r="J44" s="5"/>
    </row>
    <row r="45" spans="1:10" ht="12.95" customHeight="1">
      <c r="A45" s="5"/>
      <c r="B45" s="14" t="s">
        <v>160</v>
      </c>
      <c r="C45" s="15"/>
      <c r="D45" s="15"/>
      <c r="E45" s="15"/>
      <c r="F45" s="25">
        <v>3325.3872999999999</v>
      </c>
      <c r="G45" s="26">
        <v>6.8999999999999999E-3</v>
      </c>
      <c r="H45" s="27"/>
      <c r="I45" s="28"/>
      <c r="J45" s="5"/>
    </row>
    <row r="46" spans="1:10" ht="12.95" customHeight="1">
      <c r="A46" s="5"/>
      <c r="B46" s="29" t="s">
        <v>163</v>
      </c>
      <c r="C46" s="30"/>
      <c r="D46" s="2"/>
      <c r="E46" s="30"/>
      <c r="F46" s="25">
        <v>164913.40210000001</v>
      </c>
      <c r="G46" s="26">
        <v>0.34239999999999998</v>
      </c>
      <c r="H46" s="27"/>
      <c r="I46" s="28"/>
      <c r="J46" s="5"/>
    </row>
    <row r="47" spans="1:10" ht="12.95" customHeight="1">
      <c r="A47" s="5"/>
      <c r="B47" s="14" t="s">
        <v>417</v>
      </c>
      <c r="C47" s="15"/>
      <c r="D47" s="15"/>
      <c r="E47" s="15"/>
      <c r="F47" s="15"/>
      <c r="G47" s="15"/>
      <c r="H47" s="16"/>
      <c r="I47" s="17"/>
      <c r="J47" s="5"/>
    </row>
    <row r="48" spans="1:10" ht="12.95" customHeight="1">
      <c r="A48" s="5"/>
      <c r="B48" s="14" t="s">
        <v>679</v>
      </c>
      <c r="C48" s="15"/>
      <c r="D48" s="15"/>
      <c r="E48" s="15"/>
      <c r="F48" s="5"/>
      <c r="G48" s="16"/>
      <c r="H48" s="16"/>
      <c r="I48" s="17"/>
      <c r="J48" s="5"/>
    </row>
    <row r="49" spans="1:10" ht="12.95" customHeight="1">
      <c r="A49" s="18" t="s">
        <v>4194</v>
      </c>
      <c r="B49" s="19" t="s">
        <v>4195</v>
      </c>
      <c r="C49" s="15" t="s">
        <v>4196</v>
      </c>
      <c r="D49" s="15" t="s">
        <v>2817</v>
      </c>
      <c r="E49" s="20">
        <v>3000</v>
      </c>
      <c r="F49" s="21">
        <v>14797.86</v>
      </c>
      <c r="G49" s="22">
        <v>3.0700000000000002E-2</v>
      </c>
      <c r="H49" s="23">
        <v>6.9251999999999994E-2</v>
      </c>
      <c r="I49" s="24"/>
      <c r="J49" s="5"/>
    </row>
    <row r="50" spans="1:10" ht="12.95" customHeight="1">
      <c r="A50" s="18" t="s">
        <v>3106</v>
      </c>
      <c r="B50" s="19" t="s">
        <v>3107</v>
      </c>
      <c r="C50" s="15" t="s">
        <v>3108</v>
      </c>
      <c r="D50" s="15" t="s">
        <v>2099</v>
      </c>
      <c r="E50" s="20">
        <v>3000</v>
      </c>
      <c r="F50" s="21">
        <v>14630.924999999999</v>
      </c>
      <c r="G50" s="22">
        <v>3.04E-2</v>
      </c>
      <c r="H50" s="23">
        <v>7.2498999999999994E-2</v>
      </c>
      <c r="I50" s="24"/>
      <c r="J50" s="5"/>
    </row>
    <row r="51" spans="1:10" ht="12.95" customHeight="1">
      <c r="A51" s="18" t="s">
        <v>1184</v>
      </c>
      <c r="B51" s="19" t="s">
        <v>1185</v>
      </c>
      <c r="C51" s="15" t="s">
        <v>1186</v>
      </c>
      <c r="D51" s="15" t="s">
        <v>1187</v>
      </c>
      <c r="E51" s="20">
        <v>2900</v>
      </c>
      <c r="F51" s="21">
        <v>14447.365</v>
      </c>
      <c r="G51" s="22">
        <v>0.03</v>
      </c>
      <c r="H51" s="23">
        <v>6.9996000000000003E-2</v>
      </c>
      <c r="I51" s="24"/>
      <c r="J51" s="5"/>
    </row>
    <row r="52" spans="1:10" ht="12.95" customHeight="1">
      <c r="A52" s="18" t="s">
        <v>2787</v>
      </c>
      <c r="B52" s="19" t="s">
        <v>2788</v>
      </c>
      <c r="C52" s="15" t="s">
        <v>2789</v>
      </c>
      <c r="D52" s="15" t="s">
        <v>683</v>
      </c>
      <c r="E52" s="20">
        <v>2000</v>
      </c>
      <c r="F52" s="21">
        <v>9860.36</v>
      </c>
      <c r="G52" s="22">
        <v>2.0500000000000001E-2</v>
      </c>
      <c r="H52" s="23">
        <v>6.9851999999999997E-2</v>
      </c>
      <c r="I52" s="24"/>
      <c r="J52" s="5"/>
    </row>
    <row r="53" spans="1:10" ht="12.95" customHeight="1">
      <c r="A53" s="18" t="s">
        <v>3157</v>
      </c>
      <c r="B53" s="19" t="s">
        <v>3158</v>
      </c>
      <c r="C53" s="15" t="s">
        <v>3159</v>
      </c>
      <c r="D53" s="15" t="s">
        <v>683</v>
      </c>
      <c r="E53" s="20">
        <v>2000</v>
      </c>
      <c r="F53" s="21">
        <v>9804.26</v>
      </c>
      <c r="G53" s="22">
        <v>2.0400000000000001E-2</v>
      </c>
      <c r="H53" s="23">
        <v>7.2150000000000006E-2</v>
      </c>
      <c r="I53" s="24"/>
      <c r="J53" s="5"/>
    </row>
    <row r="54" spans="1:10" ht="12.95" customHeight="1">
      <c r="A54" s="18" t="s">
        <v>2093</v>
      </c>
      <c r="B54" s="19" t="s">
        <v>2094</v>
      </c>
      <c r="C54" s="15" t="s">
        <v>2095</v>
      </c>
      <c r="D54" s="15" t="s">
        <v>683</v>
      </c>
      <c r="E54" s="20">
        <v>2000</v>
      </c>
      <c r="F54" s="21">
        <v>9762.16</v>
      </c>
      <c r="G54" s="22">
        <v>2.0299999999999999E-2</v>
      </c>
      <c r="H54" s="23">
        <v>7.2300000000000003E-2</v>
      </c>
      <c r="I54" s="24"/>
      <c r="J54" s="5"/>
    </row>
    <row r="55" spans="1:10" ht="12.95" customHeight="1">
      <c r="A55" s="18" t="s">
        <v>3181</v>
      </c>
      <c r="B55" s="19" t="s">
        <v>3182</v>
      </c>
      <c r="C55" s="15" t="s">
        <v>3183</v>
      </c>
      <c r="D55" s="15" t="s">
        <v>683</v>
      </c>
      <c r="E55" s="20">
        <v>1500</v>
      </c>
      <c r="F55" s="21">
        <v>7409.2574999999997</v>
      </c>
      <c r="G55" s="22">
        <v>1.54E-2</v>
      </c>
      <c r="H55" s="23">
        <v>6.9849999999999995E-2</v>
      </c>
      <c r="I55" s="24"/>
      <c r="J55" s="5"/>
    </row>
    <row r="56" spans="1:10" ht="12.95" customHeight="1">
      <c r="A56" s="18" t="s">
        <v>3133</v>
      </c>
      <c r="B56" s="19" t="s">
        <v>3134</v>
      </c>
      <c r="C56" s="15" t="s">
        <v>3135</v>
      </c>
      <c r="D56" s="15" t="s">
        <v>2817</v>
      </c>
      <c r="E56" s="20">
        <v>1500</v>
      </c>
      <c r="F56" s="21">
        <v>7375.4624999999996</v>
      </c>
      <c r="G56" s="22">
        <v>1.5299999999999999E-2</v>
      </c>
      <c r="H56" s="23">
        <v>6.9249000000000005E-2</v>
      </c>
      <c r="I56" s="24"/>
      <c r="J56" s="5"/>
    </row>
    <row r="57" spans="1:10" ht="12.95" customHeight="1">
      <c r="A57" s="18" t="s">
        <v>3217</v>
      </c>
      <c r="B57" s="19" t="s">
        <v>3218</v>
      </c>
      <c r="C57" s="15" t="s">
        <v>3219</v>
      </c>
      <c r="D57" s="15" t="s">
        <v>2099</v>
      </c>
      <c r="E57" s="20">
        <v>1500</v>
      </c>
      <c r="F57" s="21">
        <v>7127.6175000000003</v>
      </c>
      <c r="G57" s="22">
        <v>1.4800000000000001E-2</v>
      </c>
      <c r="H57" s="23">
        <v>7.4200000000000002E-2</v>
      </c>
      <c r="I57" s="24"/>
      <c r="J57" s="5"/>
    </row>
    <row r="58" spans="1:10" ht="12.95" customHeight="1">
      <c r="A58" s="18" t="s">
        <v>4197</v>
      </c>
      <c r="B58" s="19" t="s">
        <v>4198</v>
      </c>
      <c r="C58" s="15" t="s">
        <v>4199</v>
      </c>
      <c r="D58" s="15" t="s">
        <v>1187</v>
      </c>
      <c r="E58" s="20">
        <v>1000</v>
      </c>
      <c r="F58" s="21">
        <v>4957.3100000000004</v>
      </c>
      <c r="G58" s="22">
        <v>1.03E-2</v>
      </c>
      <c r="H58" s="23">
        <v>6.9852999999999998E-2</v>
      </c>
      <c r="I58" s="24"/>
      <c r="J58" s="5"/>
    </row>
    <row r="59" spans="1:10" ht="12.95" customHeight="1">
      <c r="A59" s="18" t="s">
        <v>2811</v>
      </c>
      <c r="B59" s="19" t="s">
        <v>2812</v>
      </c>
      <c r="C59" s="15" t="s">
        <v>2813</v>
      </c>
      <c r="D59" s="15" t="s">
        <v>683</v>
      </c>
      <c r="E59" s="20">
        <v>1000</v>
      </c>
      <c r="F59" s="21">
        <v>4951.125</v>
      </c>
      <c r="G59" s="22">
        <v>1.03E-2</v>
      </c>
      <c r="H59" s="23">
        <v>7.0649000000000003E-2</v>
      </c>
      <c r="I59" s="24"/>
      <c r="J59" s="5"/>
    </row>
    <row r="60" spans="1:10" ht="12.95" customHeight="1">
      <c r="A60" s="18" t="s">
        <v>3223</v>
      </c>
      <c r="B60" s="19" t="s">
        <v>3224</v>
      </c>
      <c r="C60" s="15" t="s">
        <v>3225</v>
      </c>
      <c r="D60" s="15" t="s">
        <v>683</v>
      </c>
      <c r="E60" s="20">
        <v>1000</v>
      </c>
      <c r="F60" s="21">
        <v>4929.25</v>
      </c>
      <c r="G60" s="22">
        <v>1.0200000000000001E-2</v>
      </c>
      <c r="H60" s="23">
        <v>6.9851999999999997E-2</v>
      </c>
      <c r="I60" s="24"/>
      <c r="J60" s="5"/>
    </row>
    <row r="61" spans="1:10" ht="12.95" customHeight="1">
      <c r="A61" s="18" t="s">
        <v>3136</v>
      </c>
      <c r="B61" s="19" t="s">
        <v>3137</v>
      </c>
      <c r="C61" s="15" t="s">
        <v>3138</v>
      </c>
      <c r="D61" s="15" t="s">
        <v>2099</v>
      </c>
      <c r="E61" s="20">
        <v>1000</v>
      </c>
      <c r="F61" s="21">
        <v>4901.38</v>
      </c>
      <c r="G61" s="22">
        <v>1.0200000000000001E-2</v>
      </c>
      <c r="H61" s="23">
        <v>7.2000999999999996E-2</v>
      </c>
      <c r="I61" s="24"/>
      <c r="J61" s="5"/>
    </row>
    <row r="62" spans="1:10" ht="12.95" customHeight="1">
      <c r="A62" s="18" t="s">
        <v>3112</v>
      </c>
      <c r="B62" s="19" t="s">
        <v>3113</v>
      </c>
      <c r="C62" s="15" t="s">
        <v>3114</v>
      </c>
      <c r="D62" s="15" t="s">
        <v>683</v>
      </c>
      <c r="E62" s="20">
        <v>1000</v>
      </c>
      <c r="F62" s="21">
        <v>4890.1850000000004</v>
      </c>
      <c r="G62" s="22">
        <v>1.0200000000000001E-2</v>
      </c>
      <c r="H62" s="23">
        <v>7.1900000000000006E-2</v>
      </c>
      <c r="I62" s="24"/>
      <c r="J62" s="5"/>
    </row>
    <row r="63" spans="1:10" ht="12.95" customHeight="1">
      <c r="A63" s="18" t="s">
        <v>3160</v>
      </c>
      <c r="B63" s="19" t="s">
        <v>3161</v>
      </c>
      <c r="C63" s="15" t="s">
        <v>3162</v>
      </c>
      <c r="D63" s="15" t="s">
        <v>1187</v>
      </c>
      <c r="E63" s="20">
        <v>1000</v>
      </c>
      <c r="F63" s="21">
        <v>4876.78</v>
      </c>
      <c r="G63" s="22">
        <v>1.01E-2</v>
      </c>
      <c r="H63" s="23">
        <v>7.2049000000000002E-2</v>
      </c>
      <c r="I63" s="24"/>
      <c r="J63" s="5"/>
    </row>
    <row r="64" spans="1:10" ht="12.95" customHeight="1">
      <c r="A64" s="18" t="s">
        <v>3115</v>
      </c>
      <c r="B64" s="19" t="s">
        <v>3116</v>
      </c>
      <c r="C64" s="15" t="s">
        <v>3117</v>
      </c>
      <c r="D64" s="15" t="s">
        <v>2817</v>
      </c>
      <c r="E64" s="20">
        <v>1000</v>
      </c>
      <c r="F64" s="21">
        <v>4867.1400000000003</v>
      </c>
      <c r="G64" s="22">
        <v>1.01E-2</v>
      </c>
      <c r="H64" s="23">
        <v>7.2198999999999999E-2</v>
      </c>
      <c r="I64" s="24"/>
      <c r="J64" s="5"/>
    </row>
    <row r="65" spans="1:10" ht="12.95" customHeight="1">
      <c r="A65" s="18" t="s">
        <v>3148</v>
      </c>
      <c r="B65" s="19" t="s">
        <v>3149</v>
      </c>
      <c r="C65" s="15" t="s">
        <v>3150</v>
      </c>
      <c r="D65" s="15" t="s">
        <v>683</v>
      </c>
      <c r="E65" s="20">
        <v>1000</v>
      </c>
      <c r="F65" s="21">
        <v>4856.66</v>
      </c>
      <c r="G65" s="22">
        <v>1.01E-2</v>
      </c>
      <c r="H65" s="23">
        <v>7.2300000000000003E-2</v>
      </c>
      <c r="I65" s="24"/>
      <c r="J65" s="5"/>
    </row>
    <row r="66" spans="1:10" ht="12.95" customHeight="1">
      <c r="A66" s="18" t="s">
        <v>3151</v>
      </c>
      <c r="B66" s="19" t="s">
        <v>3152</v>
      </c>
      <c r="C66" s="15" t="s">
        <v>3153</v>
      </c>
      <c r="D66" s="15" t="s">
        <v>2817</v>
      </c>
      <c r="E66" s="20">
        <v>1000</v>
      </c>
      <c r="F66" s="21">
        <v>4848.2650000000003</v>
      </c>
      <c r="G66" s="22">
        <v>1.01E-2</v>
      </c>
      <c r="H66" s="23">
        <v>7.2301000000000004E-2</v>
      </c>
      <c r="I66" s="24"/>
      <c r="J66" s="5"/>
    </row>
    <row r="67" spans="1:10" ht="12.95" customHeight="1">
      <c r="A67" s="18" t="s">
        <v>2096</v>
      </c>
      <c r="B67" s="19" t="s">
        <v>2097</v>
      </c>
      <c r="C67" s="15" t="s">
        <v>2098</v>
      </c>
      <c r="D67" s="15" t="s">
        <v>2099</v>
      </c>
      <c r="E67" s="20">
        <v>1000</v>
      </c>
      <c r="F67" s="21">
        <v>4835.75</v>
      </c>
      <c r="G67" s="22">
        <v>0.01</v>
      </c>
      <c r="H67" s="23">
        <v>7.2499999999999995E-2</v>
      </c>
      <c r="I67" s="24"/>
      <c r="J67" s="5"/>
    </row>
    <row r="68" spans="1:10" ht="12.95" customHeight="1">
      <c r="A68" s="18" t="s">
        <v>3121</v>
      </c>
      <c r="B68" s="19" t="s">
        <v>3122</v>
      </c>
      <c r="C68" s="15" t="s">
        <v>3123</v>
      </c>
      <c r="D68" s="15" t="s">
        <v>2099</v>
      </c>
      <c r="E68" s="20">
        <v>1000</v>
      </c>
      <c r="F68" s="21">
        <v>4829.71</v>
      </c>
      <c r="G68" s="22">
        <v>0.01</v>
      </c>
      <c r="H68" s="23">
        <v>7.2300000000000003E-2</v>
      </c>
      <c r="I68" s="24"/>
      <c r="J68" s="5"/>
    </row>
    <row r="69" spans="1:10" ht="12.95" customHeight="1">
      <c r="A69" s="18" t="s">
        <v>4200</v>
      </c>
      <c r="B69" s="19" t="s">
        <v>4201</v>
      </c>
      <c r="C69" s="15" t="s">
        <v>4202</v>
      </c>
      <c r="D69" s="15" t="s">
        <v>683</v>
      </c>
      <c r="E69" s="20">
        <v>500</v>
      </c>
      <c r="F69" s="21">
        <v>2466.5875000000001</v>
      </c>
      <c r="G69" s="22">
        <v>5.1000000000000004E-3</v>
      </c>
      <c r="H69" s="23">
        <v>6.9638000000000005E-2</v>
      </c>
      <c r="I69" s="24"/>
      <c r="J69" s="5"/>
    </row>
    <row r="70" spans="1:10" ht="12.95" customHeight="1">
      <c r="A70" s="18" t="s">
        <v>2772</v>
      </c>
      <c r="B70" s="19" t="s">
        <v>2773</v>
      </c>
      <c r="C70" s="15" t="s">
        <v>2774</v>
      </c>
      <c r="D70" s="15" t="s">
        <v>2099</v>
      </c>
      <c r="E70" s="20">
        <v>500</v>
      </c>
      <c r="F70" s="21">
        <v>2465.41</v>
      </c>
      <c r="G70" s="22">
        <v>5.1000000000000004E-3</v>
      </c>
      <c r="H70" s="23">
        <v>6.9202E-2</v>
      </c>
      <c r="I70" s="24"/>
      <c r="J70" s="5"/>
    </row>
    <row r="71" spans="1:10" ht="12.95" customHeight="1">
      <c r="A71" s="18" t="s">
        <v>3196</v>
      </c>
      <c r="B71" s="19" t="s">
        <v>3197</v>
      </c>
      <c r="C71" s="15" t="s">
        <v>3198</v>
      </c>
      <c r="D71" s="15" t="s">
        <v>1187</v>
      </c>
      <c r="E71" s="20">
        <v>500</v>
      </c>
      <c r="F71" s="21">
        <v>2433.9324999999999</v>
      </c>
      <c r="G71" s="22">
        <v>5.1000000000000004E-3</v>
      </c>
      <c r="H71" s="23">
        <v>7.2850999999999999E-2</v>
      </c>
      <c r="I71" s="24"/>
      <c r="J71" s="5"/>
    </row>
    <row r="72" spans="1:10" ht="12.95" customHeight="1">
      <c r="A72" s="18" t="s">
        <v>4131</v>
      </c>
      <c r="B72" s="19" t="s">
        <v>4132</v>
      </c>
      <c r="C72" s="15" t="s">
        <v>4133</v>
      </c>
      <c r="D72" s="15" t="s">
        <v>2099</v>
      </c>
      <c r="E72" s="20">
        <v>500</v>
      </c>
      <c r="F72" s="21">
        <v>2420.8775000000001</v>
      </c>
      <c r="G72" s="22">
        <v>5.0000000000000001E-3</v>
      </c>
      <c r="H72" s="23">
        <v>7.2300000000000003E-2</v>
      </c>
      <c r="I72" s="24"/>
      <c r="J72" s="5"/>
    </row>
    <row r="73" spans="1:10" ht="12.95" customHeight="1">
      <c r="A73" s="18" t="s">
        <v>4122</v>
      </c>
      <c r="B73" s="19" t="s">
        <v>4123</v>
      </c>
      <c r="C73" s="15" t="s">
        <v>4124</v>
      </c>
      <c r="D73" s="15" t="s">
        <v>2817</v>
      </c>
      <c r="E73" s="20">
        <v>500</v>
      </c>
      <c r="F73" s="21">
        <v>2398.3125</v>
      </c>
      <c r="G73" s="22">
        <v>5.0000000000000001E-3</v>
      </c>
      <c r="H73" s="23">
        <v>7.2999999999999995E-2</v>
      </c>
      <c r="I73" s="24"/>
      <c r="J73" s="5"/>
    </row>
    <row r="74" spans="1:10" ht="12.95" customHeight="1">
      <c r="A74" s="18" t="s">
        <v>4203</v>
      </c>
      <c r="B74" s="19" t="s">
        <v>4204</v>
      </c>
      <c r="C74" s="15" t="s">
        <v>4205</v>
      </c>
      <c r="D74" s="15" t="s">
        <v>683</v>
      </c>
      <c r="E74" s="20">
        <v>500</v>
      </c>
      <c r="F74" s="21">
        <v>2386.8049999999998</v>
      </c>
      <c r="G74" s="22">
        <v>5.0000000000000001E-3</v>
      </c>
      <c r="H74" s="23">
        <v>7.3974999999999999E-2</v>
      </c>
      <c r="I74" s="24"/>
      <c r="J74" s="5"/>
    </row>
    <row r="75" spans="1:10" ht="12.95" customHeight="1">
      <c r="A75" s="18" t="s">
        <v>3178</v>
      </c>
      <c r="B75" s="19" t="s">
        <v>3179</v>
      </c>
      <c r="C75" s="15" t="s">
        <v>3180</v>
      </c>
      <c r="D75" s="15" t="s">
        <v>2099</v>
      </c>
      <c r="E75" s="20">
        <v>500</v>
      </c>
      <c r="F75" s="21">
        <v>2332.8525</v>
      </c>
      <c r="G75" s="22">
        <v>4.7999999999999996E-3</v>
      </c>
      <c r="H75" s="23">
        <v>7.5149999999999995E-2</v>
      </c>
      <c r="I75" s="24"/>
      <c r="J75" s="5"/>
    </row>
    <row r="76" spans="1:10" ht="12.95" customHeight="1">
      <c r="A76" s="5"/>
      <c r="B76" s="14" t="s">
        <v>160</v>
      </c>
      <c r="C76" s="15"/>
      <c r="D76" s="15"/>
      <c r="E76" s="15"/>
      <c r="F76" s="25">
        <v>165863.6</v>
      </c>
      <c r="G76" s="26">
        <v>0.34439999999999998</v>
      </c>
      <c r="H76" s="27"/>
      <c r="I76" s="28"/>
      <c r="J76" s="5"/>
    </row>
    <row r="77" spans="1:10" ht="12.95" customHeight="1">
      <c r="A77" s="5"/>
      <c r="B77" s="14" t="s">
        <v>2100</v>
      </c>
      <c r="C77" s="15"/>
      <c r="D77" s="15"/>
      <c r="E77" s="15"/>
      <c r="F77" s="5"/>
      <c r="G77" s="16"/>
      <c r="H77" s="16"/>
      <c r="I77" s="17"/>
      <c r="J77" s="5"/>
    </row>
    <row r="78" spans="1:10" ht="12.95" customHeight="1">
      <c r="A78" s="18" t="s">
        <v>4206</v>
      </c>
      <c r="B78" s="19" t="s">
        <v>4207</v>
      </c>
      <c r="C78" s="15" t="s">
        <v>4208</v>
      </c>
      <c r="D78" s="15" t="s">
        <v>683</v>
      </c>
      <c r="E78" s="20">
        <v>4500</v>
      </c>
      <c r="F78" s="21">
        <v>22151.7225</v>
      </c>
      <c r="G78" s="22">
        <v>4.5999999999999999E-2</v>
      </c>
      <c r="H78" s="23">
        <v>7.0849999999999996E-2</v>
      </c>
      <c r="I78" s="24"/>
      <c r="J78" s="5"/>
    </row>
    <row r="79" spans="1:10" ht="12.95" customHeight="1">
      <c r="A79" s="18" t="s">
        <v>4209</v>
      </c>
      <c r="B79" s="19" t="s">
        <v>4210</v>
      </c>
      <c r="C79" s="15" t="s">
        <v>4211</v>
      </c>
      <c r="D79" s="15" t="s">
        <v>2099</v>
      </c>
      <c r="E79" s="20">
        <v>2500</v>
      </c>
      <c r="F79" s="21">
        <v>12099.674999999999</v>
      </c>
      <c r="G79" s="22">
        <v>2.5100000000000001E-2</v>
      </c>
      <c r="H79" s="23">
        <v>7.2749999999999995E-2</v>
      </c>
      <c r="I79" s="24"/>
      <c r="J79" s="5"/>
    </row>
    <row r="80" spans="1:10" ht="12.95" customHeight="1">
      <c r="A80" s="18" t="s">
        <v>2836</v>
      </c>
      <c r="B80" s="19" t="s">
        <v>2837</v>
      </c>
      <c r="C80" s="15" t="s">
        <v>2838</v>
      </c>
      <c r="D80" s="15" t="s">
        <v>683</v>
      </c>
      <c r="E80" s="20">
        <v>2000</v>
      </c>
      <c r="F80" s="21">
        <v>9876.01</v>
      </c>
      <c r="G80" s="22">
        <v>2.0500000000000001E-2</v>
      </c>
      <c r="H80" s="23">
        <v>7.0499999999999993E-2</v>
      </c>
      <c r="I80" s="24"/>
      <c r="J80" s="5"/>
    </row>
    <row r="81" spans="1:10" ht="12.95" customHeight="1">
      <c r="A81" s="18" t="s">
        <v>4212</v>
      </c>
      <c r="B81" s="19" t="s">
        <v>4213</v>
      </c>
      <c r="C81" s="15" t="s">
        <v>4214</v>
      </c>
      <c r="D81" s="15" t="s">
        <v>2099</v>
      </c>
      <c r="E81" s="20">
        <v>2000</v>
      </c>
      <c r="F81" s="21">
        <v>9850.9599999999991</v>
      </c>
      <c r="G81" s="22">
        <v>2.0500000000000001E-2</v>
      </c>
      <c r="H81" s="23">
        <v>7.0800000000000002E-2</v>
      </c>
      <c r="I81" s="24"/>
      <c r="J81" s="5"/>
    </row>
    <row r="82" spans="1:10" ht="12.95" customHeight="1">
      <c r="A82" s="18" t="s">
        <v>4215</v>
      </c>
      <c r="B82" s="19" t="s">
        <v>4216</v>
      </c>
      <c r="C82" s="15" t="s">
        <v>4217</v>
      </c>
      <c r="D82" s="15" t="s">
        <v>683</v>
      </c>
      <c r="E82" s="20">
        <v>2000</v>
      </c>
      <c r="F82" s="21">
        <v>9750.74</v>
      </c>
      <c r="G82" s="22">
        <v>2.0199999999999999E-2</v>
      </c>
      <c r="H82" s="23">
        <v>8.72E-2</v>
      </c>
      <c r="I82" s="24"/>
      <c r="J82" s="5"/>
    </row>
    <row r="83" spans="1:10" ht="12.95" customHeight="1">
      <c r="A83" s="18" t="s">
        <v>3289</v>
      </c>
      <c r="B83" s="19" t="s">
        <v>3290</v>
      </c>
      <c r="C83" s="15" t="s">
        <v>3291</v>
      </c>
      <c r="D83" s="15" t="s">
        <v>683</v>
      </c>
      <c r="E83" s="20">
        <v>1500</v>
      </c>
      <c r="F83" s="21">
        <v>7271.0775000000003</v>
      </c>
      <c r="G83" s="22">
        <v>1.5100000000000001E-2</v>
      </c>
      <c r="H83" s="23">
        <v>7.7124999999999999E-2</v>
      </c>
      <c r="I83" s="24"/>
      <c r="J83" s="5"/>
    </row>
    <row r="84" spans="1:10" ht="12.95" customHeight="1">
      <c r="A84" s="18" t="s">
        <v>4218</v>
      </c>
      <c r="B84" s="19" t="s">
        <v>4219</v>
      </c>
      <c r="C84" s="15" t="s">
        <v>4220</v>
      </c>
      <c r="D84" s="15" t="s">
        <v>2817</v>
      </c>
      <c r="E84" s="20">
        <v>1000</v>
      </c>
      <c r="F84" s="21">
        <v>4883.62</v>
      </c>
      <c r="G84" s="22">
        <v>1.01E-2</v>
      </c>
      <c r="H84" s="23">
        <v>7.9799999999999996E-2</v>
      </c>
      <c r="I84" s="24"/>
      <c r="J84" s="5"/>
    </row>
    <row r="85" spans="1:10" ht="12.95" customHeight="1">
      <c r="A85" s="18" t="s">
        <v>3262</v>
      </c>
      <c r="B85" s="19" t="s">
        <v>3263</v>
      </c>
      <c r="C85" s="15" t="s">
        <v>3264</v>
      </c>
      <c r="D85" s="15" t="s">
        <v>683</v>
      </c>
      <c r="E85" s="20">
        <v>1000</v>
      </c>
      <c r="F85" s="21">
        <v>4851.41</v>
      </c>
      <c r="G85" s="22">
        <v>1.01E-2</v>
      </c>
      <c r="H85" s="23">
        <v>7.7100000000000002E-2</v>
      </c>
      <c r="I85" s="24"/>
      <c r="J85" s="5"/>
    </row>
    <row r="86" spans="1:10" ht="12.95" customHeight="1">
      <c r="A86" s="18" t="s">
        <v>4221</v>
      </c>
      <c r="B86" s="19" t="s">
        <v>4222</v>
      </c>
      <c r="C86" s="15" t="s">
        <v>4223</v>
      </c>
      <c r="D86" s="15" t="s">
        <v>683</v>
      </c>
      <c r="E86" s="20">
        <v>1000</v>
      </c>
      <c r="F86" s="21">
        <v>4831.24</v>
      </c>
      <c r="G86" s="22">
        <v>0.01</v>
      </c>
      <c r="H86" s="23">
        <v>8.5000000000000006E-2</v>
      </c>
      <c r="I86" s="24"/>
      <c r="J86" s="5"/>
    </row>
    <row r="87" spans="1:10" ht="12.95" customHeight="1">
      <c r="A87" s="18" t="s">
        <v>4224</v>
      </c>
      <c r="B87" s="19" t="s">
        <v>4225</v>
      </c>
      <c r="C87" s="15" t="s">
        <v>4226</v>
      </c>
      <c r="D87" s="15" t="s">
        <v>683</v>
      </c>
      <c r="E87" s="20">
        <v>1000</v>
      </c>
      <c r="F87" s="21">
        <v>4814.3500000000004</v>
      </c>
      <c r="G87" s="22">
        <v>0.01</v>
      </c>
      <c r="H87" s="23">
        <v>9.2600000000000002E-2</v>
      </c>
      <c r="I87" s="24"/>
      <c r="J87" s="5"/>
    </row>
    <row r="88" spans="1:10" ht="12.95" customHeight="1">
      <c r="A88" s="18" t="s">
        <v>4227</v>
      </c>
      <c r="B88" s="19" t="s">
        <v>4228</v>
      </c>
      <c r="C88" s="15" t="s">
        <v>4229</v>
      </c>
      <c r="D88" s="15" t="s">
        <v>683</v>
      </c>
      <c r="E88" s="20">
        <v>1000</v>
      </c>
      <c r="F88" s="21">
        <v>4802.6549999999997</v>
      </c>
      <c r="G88" s="22">
        <v>0.01</v>
      </c>
      <c r="H88" s="23">
        <v>9.0898999999999994E-2</v>
      </c>
      <c r="I88" s="24"/>
      <c r="J88" s="5"/>
    </row>
    <row r="89" spans="1:10" ht="12.95" customHeight="1">
      <c r="A89" s="18" t="s">
        <v>4143</v>
      </c>
      <c r="B89" s="19" t="s">
        <v>4144</v>
      </c>
      <c r="C89" s="15" t="s">
        <v>4145</v>
      </c>
      <c r="D89" s="15" t="s">
        <v>683</v>
      </c>
      <c r="E89" s="20">
        <v>1000</v>
      </c>
      <c r="F89" s="21">
        <v>4798.2749999999996</v>
      </c>
      <c r="G89" s="22">
        <v>0.01</v>
      </c>
      <c r="H89" s="23">
        <v>7.7499999999999999E-2</v>
      </c>
      <c r="I89" s="24"/>
      <c r="J89" s="5"/>
    </row>
    <row r="90" spans="1:10" ht="12.95" customHeight="1">
      <c r="A90" s="18" t="s">
        <v>2980</v>
      </c>
      <c r="B90" s="19" t="s">
        <v>2981</v>
      </c>
      <c r="C90" s="15" t="s">
        <v>2982</v>
      </c>
      <c r="D90" s="15" t="s">
        <v>2099</v>
      </c>
      <c r="E90" s="20">
        <v>500</v>
      </c>
      <c r="F90" s="21">
        <v>2476.0875000000001</v>
      </c>
      <c r="G90" s="22">
        <v>5.1000000000000004E-3</v>
      </c>
      <c r="H90" s="23">
        <v>7.0499999999999993E-2</v>
      </c>
      <c r="I90" s="24"/>
      <c r="J90" s="5"/>
    </row>
    <row r="91" spans="1:10" ht="12.95" customHeight="1">
      <c r="A91" s="18" t="s">
        <v>3325</v>
      </c>
      <c r="B91" s="19" t="s">
        <v>3326</v>
      </c>
      <c r="C91" s="15" t="s">
        <v>3327</v>
      </c>
      <c r="D91" s="15" t="s">
        <v>683</v>
      </c>
      <c r="E91" s="20">
        <v>500</v>
      </c>
      <c r="F91" s="21">
        <v>2379.71</v>
      </c>
      <c r="G91" s="22">
        <v>4.8999999999999998E-3</v>
      </c>
      <c r="H91" s="23">
        <v>8.2000000000000003E-2</v>
      </c>
      <c r="I91" s="24"/>
      <c r="J91" s="5"/>
    </row>
    <row r="92" spans="1:10" ht="12.95" customHeight="1">
      <c r="A92" s="18" t="s">
        <v>3319</v>
      </c>
      <c r="B92" s="19" t="s">
        <v>3320</v>
      </c>
      <c r="C92" s="15" t="s">
        <v>3321</v>
      </c>
      <c r="D92" s="15" t="s">
        <v>683</v>
      </c>
      <c r="E92" s="20">
        <v>500</v>
      </c>
      <c r="F92" s="21">
        <v>2345.1875</v>
      </c>
      <c r="G92" s="22">
        <v>4.8999999999999998E-3</v>
      </c>
      <c r="H92" s="23">
        <v>8.2799999999999999E-2</v>
      </c>
      <c r="I92" s="24"/>
      <c r="J92" s="5"/>
    </row>
    <row r="93" spans="1:10" ht="12.95" customHeight="1">
      <c r="A93" s="18" t="s">
        <v>4230</v>
      </c>
      <c r="B93" s="19" t="s">
        <v>4231</v>
      </c>
      <c r="C93" s="15" t="s">
        <v>4232</v>
      </c>
      <c r="D93" s="15" t="s">
        <v>683</v>
      </c>
      <c r="E93" s="20">
        <v>400</v>
      </c>
      <c r="F93" s="21">
        <v>1983.9</v>
      </c>
      <c r="G93" s="22">
        <v>4.1000000000000003E-3</v>
      </c>
      <c r="H93" s="23">
        <v>7.4052000000000007E-2</v>
      </c>
      <c r="I93" s="24"/>
      <c r="J93" s="5"/>
    </row>
    <row r="94" spans="1:10" ht="12.95" customHeight="1">
      <c r="A94" s="18" t="s">
        <v>2734</v>
      </c>
      <c r="B94" s="19" t="s">
        <v>2735</v>
      </c>
      <c r="C94" s="15" t="s">
        <v>2736</v>
      </c>
      <c r="D94" s="15" t="s">
        <v>683</v>
      </c>
      <c r="E94" s="20">
        <v>360</v>
      </c>
      <c r="F94" s="21">
        <v>1787.0652</v>
      </c>
      <c r="G94" s="22">
        <v>3.7000000000000002E-3</v>
      </c>
      <c r="H94" s="23">
        <v>7.1401999999999993E-2</v>
      </c>
      <c r="I94" s="24"/>
      <c r="J94" s="5"/>
    </row>
    <row r="95" spans="1:10" ht="12.95" customHeight="1">
      <c r="A95" s="5"/>
      <c r="B95" s="14" t="s">
        <v>160</v>
      </c>
      <c r="C95" s="15"/>
      <c r="D95" s="15"/>
      <c r="E95" s="15"/>
      <c r="F95" s="25">
        <v>110953.68520000001</v>
      </c>
      <c r="G95" s="26">
        <v>0.23039999999999999</v>
      </c>
      <c r="H95" s="27"/>
      <c r="I95" s="28"/>
      <c r="J95" s="5"/>
    </row>
    <row r="96" spans="1:10" ht="12.95" customHeight="1">
      <c r="A96" s="5"/>
      <c r="B96" s="14" t="s">
        <v>418</v>
      </c>
      <c r="C96" s="15"/>
      <c r="D96" s="15"/>
      <c r="E96" s="15"/>
      <c r="F96" s="5"/>
      <c r="G96" s="16"/>
      <c r="H96" s="16"/>
      <c r="I96" s="17"/>
      <c r="J96" s="5"/>
    </row>
    <row r="97" spans="1:10" ht="12.95" customHeight="1">
      <c r="A97" s="18" t="s">
        <v>3016</v>
      </c>
      <c r="B97" s="19" t="s">
        <v>3017</v>
      </c>
      <c r="C97" s="15" t="s">
        <v>3018</v>
      </c>
      <c r="D97" s="15" t="s">
        <v>156</v>
      </c>
      <c r="E97" s="20">
        <v>13500000</v>
      </c>
      <c r="F97" s="21">
        <v>13352.931</v>
      </c>
      <c r="G97" s="22">
        <v>2.7699999999999999E-2</v>
      </c>
      <c r="H97" s="23">
        <v>6.7000000000000004E-2</v>
      </c>
      <c r="I97" s="24"/>
      <c r="J97" s="5"/>
    </row>
    <row r="98" spans="1:10" ht="12.95" customHeight="1">
      <c r="A98" s="18" t="s">
        <v>4233</v>
      </c>
      <c r="B98" s="19" t="s">
        <v>4234</v>
      </c>
      <c r="C98" s="15" t="s">
        <v>4235</v>
      </c>
      <c r="D98" s="15" t="s">
        <v>156</v>
      </c>
      <c r="E98" s="20">
        <v>10000000</v>
      </c>
      <c r="F98" s="21">
        <v>9705.67</v>
      </c>
      <c r="G98" s="22">
        <v>2.0199999999999999E-2</v>
      </c>
      <c r="H98" s="23">
        <v>7.0055999999999993E-2</v>
      </c>
      <c r="I98" s="24"/>
      <c r="J98" s="5"/>
    </row>
    <row r="99" spans="1:10" ht="12.95" customHeight="1">
      <c r="A99" s="18" t="s">
        <v>3337</v>
      </c>
      <c r="B99" s="19" t="s">
        <v>3338</v>
      </c>
      <c r="C99" s="15" t="s">
        <v>3339</v>
      </c>
      <c r="D99" s="15" t="s">
        <v>156</v>
      </c>
      <c r="E99" s="20">
        <v>5000000</v>
      </c>
      <c r="F99" s="21">
        <v>4832.6400000000003</v>
      </c>
      <c r="G99" s="22">
        <v>0.01</v>
      </c>
      <c r="H99" s="23">
        <v>7.0224999999999996E-2</v>
      </c>
      <c r="I99" s="24"/>
      <c r="J99" s="5"/>
    </row>
    <row r="100" spans="1:10" ht="12.95" customHeight="1">
      <c r="A100" s="5"/>
      <c r="B100" s="14" t="s">
        <v>160</v>
      </c>
      <c r="C100" s="15"/>
      <c r="D100" s="15"/>
      <c r="E100" s="15"/>
      <c r="F100" s="25">
        <v>27891.241000000002</v>
      </c>
      <c r="G100" s="26">
        <v>5.79E-2</v>
      </c>
      <c r="H100" s="27"/>
      <c r="I100" s="28"/>
      <c r="J100" s="5"/>
    </row>
    <row r="101" spans="1:10" ht="12.95" customHeight="1">
      <c r="A101" s="5"/>
      <c r="B101" s="29" t="s">
        <v>163</v>
      </c>
      <c r="C101" s="30"/>
      <c r="D101" s="2"/>
      <c r="E101" s="30"/>
      <c r="F101" s="25">
        <v>304708.52620000002</v>
      </c>
      <c r="G101" s="26">
        <v>0.63270000000000004</v>
      </c>
      <c r="H101" s="27"/>
      <c r="I101" s="28"/>
      <c r="J101" s="5"/>
    </row>
    <row r="102" spans="1:10" ht="12.95" customHeight="1">
      <c r="A102" s="5"/>
      <c r="B102" s="14" t="s">
        <v>164</v>
      </c>
      <c r="C102" s="15"/>
      <c r="D102" s="15"/>
      <c r="E102" s="15"/>
      <c r="F102" s="15"/>
      <c r="G102" s="15"/>
      <c r="H102" s="16"/>
      <c r="I102" s="17"/>
      <c r="J102" s="5"/>
    </row>
    <row r="103" spans="1:10" ht="12.95" customHeight="1">
      <c r="A103" s="18" t="s">
        <v>165</v>
      </c>
      <c r="B103" s="19" t="s">
        <v>166</v>
      </c>
      <c r="C103" s="15"/>
      <c r="D103" s="15"/>
      <c r="E103" s="20"/>
      <c r="F103" s="21">
        <v>14917.651900000001</v>
      </c>
      <c r="G103" s="22">
        <v>3.1E-2</v>
      </c>
      <c r="H103" s="23">
        <v>6.7996829688028088E-2</v>
      </c>
      <c r="I103" s="24"/>
      <c r="J103" s="5"/>
    </row>
    <row r="104" spans="1:10" ht="12.95" customHeight="1">
      <c r="A104" s="5"/>
      <c r="B104" s="14" t="s">
        <v>160</v>
      </c>
      <c r="C104" s="15"/>
      <c r="D104" s="15"/>
      <c r="E104" s="15"/>
      <c r="F104" s="25">
        <v>14917.651900000001</v>
      </c>
      <c r="G104" s="26">
        <v>3.1E-2</v>
      </c>
      <c r="H104" s="27"/>
      <c r="I104" s="28"/>
      <c r="J104" s="5"/>
    </row>
    <row r="105" spans="1:10" ht="12.95" customHeight="1">
      <c r="A105" s="5"/>
      <c r="B105" s="29" t="s">
        <v>163</v>
      </c>
      <c r="C105" s="30"/>
      <c r="D105" s="2"/>
      <c r="E105" s="30"/>
      <c r="F105" s="25">
        <v>14917.651900000001</v>
      </c>
      <c r="G105" s="26">
        <v>3.1E-2</v>
      </c>
      <c r="H105" s="27"/>
      <c r="I105" s="28"/>
      <c r="J105" s="5"/>
    </row>
    <row r="106" spans="1:10" ht="12.95" customHeight="1">
      <c r="A106" s="5"/>
      <c r="B106" s="29" t="s">
        <v>167</v>
      </c>
      <c r="C106" s="15"/>
      <c r="D106" s="2"/>
      <c r="E106" s="15"/>
      <c r="F106" s="31">
        <v>-2962.9502000000002</v>
      </c>
      <c r="G106" s="26">
        <v>-6.1000000000000004E-3</v>
      </c>
      <c r="H106" s="27"/>
      <c r="I106" s="28"/>
      <c r="J106" s="5"/>
    </row>
    <row r="107" spans="1:10" ht="12.95" customHeight="1">
      <c r="A107" s="5"/>
      <c r="B107" s="32" t="s">
        <v>168</v>
      </c>
      <c r="C107" s="33"/>
      <c r="D107" s="33"/>
      <c r="E107" s="33"/>
      <c r="F107" s="34">
        <v>481573</v>
      </c>
      <c r="G107" s="35">
        <v>1</v>
      </c>
      <c r="H107" s="36"/>
      <c r="I107" s="37"/>
      <c r="J107" s="5"/>
    </row>
    <row r="108" spans="1:10" ht="12.95" customHeight="1">
      <c r="A108" s="5"/>
      <c r="B108" s="7"/>
      <c r="C108" s="5"/>
      <c r="D108" s="5"/>
      <c r="E108" s="5"/>
      <c r="F108" s="5"/>
      <c r="G108" s="5"/>
      <c r="H108" s="5"/>
      <c r="I108" s="5"/>
      <c r="J108" s="5"/>
    </row>
    <row r="109" spans="1:10" ht="12.95" customHeight="1">
      <c r="A109" s="5"/>
      <c r="B109" s="4" t="s">
        <v>2704</v>
      </c>
      <c r="C109" s="5"/>
      <c r="D109" s="5"/>
      <c r="E109" s="5"/>
      <c r="F109" s="5"/>
      <c r="G109" s="5"/>
      <c r="H109" s="5"/>
      <c r="I109" s="5"/>
      <c r="J109" s="5"/>
    </row>
    <row r="110" spans="1:10" ht="12.95" customHeight="1">
      <c r="A110" s="5"/>
      <c r="B110" s="4" t="s">
        <v>207</v>
      </c>
      <c r="C110" s="5"/>
      <c r="D110" s="5"/>
      <c r="E110" s="5"/>
      <c r="F110" s="5"/>
      <c r="G110" s="5"/>
      <c r="H110" s="5"/>
      <c r="I110" s="5"/>
      <c r="J110" s="5"/>
    </row>
    <row r="111" spans="1:10" ht="12.95" customHeight="1">
      <c r="A111" s="5"/>
      <c r="B111" s="4" t="s">
        <v>685</v>
      </c>
      <c r="C111" s="5"/>
      <c r="D111" s="5"/>
      <c r="E111" s="5"/>
      <c r="F111" s="5"/>
      <c r="G111" s="5"/>
      <c r="H111" s="5"/>
      <c r="I111" s="5"/>
      <c r="J111" s="5"/>
    </row>
    <row r="112" spans="1:10" ht="12.95" customHeight="1">
      <c r="A112" s="5"/>
      <c r="B112" s="4" t="s">
        <v>170</v>
      </c>
      <c r="C112" s="5"/>
      <c r="D112" s="5"/>
      <c r="E112" s="5"/>
      <c r="F112" s="5"/>
      <c r="G112" s="5"/>
      <c r="H112" s="5"/>
      <c r="I112" s="5"/>
      <c r="J112" s="5"/>
    </row>
    <row r="113" spans="1:10" ht="26.1" customHeight="1">
      <c r="A113" s="5"/>
      <c r="B113" s="86" t="s">
        <v>171</v>
      </c>
      <c r="C113" s="86"/>
      <c r="D113" s="86"/>
      <c r="E113" s="86"/>
      <c r="F113" s="86"/>
      <c r="G113" s="86"/>
      <c r="H113" s="86"/>
      <c r="I113" s="86"/>
      <c r="J113" s="5"/>
    </row>
    <row r="114" spans="1:10" ht="12.95" customHeight="1">
      <c r="A114" s="5"/>
      <c r="B114" s="86"/>
      <c r="C114" s="86"/>
      <c r="D114" s="86"/>
      <c r="E114" s="86"/>
      <c r="F114" s="86"/>
      <c r="G114" s="86"/>
      <c r="H114" s="86"/>
      <c r="I114" s="86"/>
      <c r="J114" s="5"/>
    </row>
    <row r="115" spans="1:10" ht="12.95" customHeight="1">
      <c r="A115" s="5"/>
      <c r="B115" s="89" t="s">
        <v>4236</v>
      </c>
      <c r="C115" s="89"/>
      <c r="D115" s="89"/>
      <c r="E115" s="89"/>
      <c r="F115" s="5"/>
      <c r="G115" s="5"/>
      <c r="H115" s="5"/>
      <c r="I115" s="5"/>
      <c r="J115" s="5"/>
    </row>
    <row r="116" spans="1:10" ht="12.95" customHeight="1">
      <c r="A116" s="5"/>
      <c r="B116" s="86"/>
      <c r="C116" s="86"/>
      <c r="D116" s="86"/>
      <c r="E116" s="86"/>
      <c r="F116" s="86"/>
      <c r="G116" s="86"/>
      <c r="H116" s="86"/>
      <c r="I116" s="86"/>
      <c r="J116" s="5"/>
    </row>
    <row r="117" spans="1:10" ht="12.95" customHeight="1">
      <c r="A117" s="5"/>
      <c r="B117" s="5"/>
      <c r="C117" s="87" t="s">
        <v>4237</v>
      </c>
      <c r="D117" s="87"/>
      <c r="E117" s="87"/>
      <c r="F117" s="87"/>
      <c r="G117" s="5"/>
      <c r="H117" s="5"/>
      <c r="I117" s="5"/>
      <c r="J117" s="5"/>
    </row>
    <row r="118" spans="1:10" ht="12.95" customHeight="1">
      <c r="A118" s="5"/>
      <c r="B118" s="38" t="s">
        <v>173</v>
      </c>
      <c r="C118" s="87" t="s">
        <v>174</v>
      </c>
      <c r="D118" s="87"/>
      <c r="E118" s="87"/>
      <c r="F118" s="87"/>
      <c r="G118" s="5"/>
      <c r="H118" s="5"/>
      <c r="I118" s="5"/>
      <c r="J118" s="5"/>
    </row>
    <row r="119" spans="1:10" ht="120.95" customHeight="1">
      <c r="A119" s="5"/>
      <c r="B119" s="39"/>
      <c r="C119" s="85"/>
      <c r="D119" s="85"/>
      <c r="E119" s="5"/>
      <c r="F119" s="5"/>
      <c r="G119" s="5"/>
      <c r="H119" s="5"/>
      <c r="I119" s="5"/>
      <c r="J119" s="5"/>
    </row>
  </sheetData>
  <mergeCells count="7">
    <mergeCell ref="C118:F118"/>
    <mergeCell ref="C119:D119"/>
    <mergeCell ref="B113:I113"/>
    <mergeCell ref="B114:I114"/>
    <mergeCell ref="B115:E115"/>
    <mergeCell ref="B116:I116"/>
    <mergeCell ref="C117:F117"/>
  </mergeCells>
  <hyperlinks>
    <hyperlink ref="A1" location="AxisUltraShortTermFund" display="AXISUSF" xr:uid="{00000000-0004-0000-4300-000000000000}"/>
    <hyperlink ref="B1" location="AxisUltraShortTermFund" display="Axis Ultra Short Term Fund" xr:uid="{00000000-0004-0000-4300-000001000000}"/>
  </hyperlinks>
  <pageMargins left="0" right="0" top="0" bottom="0" header="0" footer="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/>
  </sheetPr>
  <dimension ref="A1:J8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3" t="s">
        <v>138</v>
      </c>
      <c r="B1" s="4" t="s">
        <v>139</v>
      </c>
      <c r="C1" s="5"/>
      <c r="D1" s="5"/>
      <c r="E1" s="5"/>
      <c r="F1" s="5"/>
      <c r="G1" s="5"/>
      <c r="H1" s="5"/>
      <c r="I1" s="5"/>
      <c r="J1" s="5"/>
    </row>
    <row r="2" spans="1:10" ht="12.95" customHeight="1">
      <c r="A2" s="5"/>
      <c r="B2" s="6"/>
      <c r="C2" s="5"/>
      <c r="D2" s="5"/>
      <c r="E2" s="5"/>
      <c r="F2" s="5"/>
      <c r="G2" s="5"/>
      <c r="H2" s="5"/>
      <c r="I2" s="5"/>
      <c r="J2" s="5"/>
    </row>
    <row r="3" spans="1:10" ht="12.95" customHeight="1">
      <c r="A3" s="7" t="s">
        <v>140</v>
      </c>
      <c r="B3" s="8" t="s">
        <v>141</v>
      </c>
      <c r="C3" s="5"/>
      <c r="D3" s="5"/>
      <c r="E3" s="5"/>
      <c r="F3" s="5"/>
      <c r="G3" s="5"/>
      <c r="H3" s="5"/>
      <c r="I3" s="5"/>
      <c r="J3" s="5"/>
    </row>
    <row r="4" spans="1:10" ht="27.95" customHeight="1">
      <c r="A4" s="5"/>
      <c r="B4" s="9" t="s">
        <v>142</v>
      </c>
      <c r="C4" s="10" t="s">
        <v>143</v>
      </c>
      <c r="D4" s="11" t="s">
        <v>245</v>
      </c>
      <c r="E4" s="11" t="s">
        <v>145</v>
      </c>
      <c r="F4" s="11" t="s">
        <v>146</v>
      </c>
      <c r="G4" s="11" t="s">
        <v>147</v>
      </c>
      <c r="H4" s="11" t="s">
        <v>148</v>
      </c>
      <c r="I4" s="12" t="s">
        <v>149</v>
      </c>
      <c r="J4" s="13" t="s">
        <v>150</v>
      </c>
    </row>
    <row r="5" spans="1:10" ht="12.95" customHeight="1">
      <c r="A5" s="5"/>
      <c r="B5" s="14" t="s">
        <v>246</v>
      </c>
      <c r="C5" s="15"/>
      <c r="D5" s="15"/>
      <c r="E5" s="15"/>
      <c r="F5" s="15"/>
      <c r="G5" s="15"/>
      <c r="H5" s="16"/>
      <c r="I5" s="17"/>
      <c r="J5" s="5"/>
    </row>
    <row r="6" spans="1:10" ht="12.95" customHeight="1">
      <c r="A6" s="5"/>
      <c r="B6" s="14" t="s">
        <v>247</v>
      </c>
      <c r="C6" s="15"/>
      <c r="D6" s="15"/>
      <c r="E6" s="15"/>
      <c r="F6" s="5"/>
      <c r="G6" s="16"/>
      <c r="H6" s="16"/>
      <c r="I6" s="17"/>
      <c r="J6" s="5"/>
    </row>
    <row r="7" spans="1:10" ht="12.95" customHeight="1">
      <c r="A7" s="18" t="s">
        <v>278</v>
      </c>
      <c r="B7" s="19" t="s">
        <v>279</v>
      </c>
      <c r="C7" s="15" t="s">
        <v>280</v>
      </c>
      <c r="D7" s="15" t="s">
        <v>281</v>
      </c>
      <c r="E7" s="20">
        <v>247412</v>
      </c>
      <c r="F7" s="21">
        <v>1559.1904</v>
      </c>
      <c r="G7" s="22">
        <v>4.5600000000000002E-2</v>
      </c>
      <c r="H7" s="40"/>
      <c r="I7" s="24"/>
      <c r="J7" s="5"/>
    </row>
    <row r="8" spans="1:10" ht="12.95" customHeight="1">
      <c r="A8" s="18" t="s">
        <v>268</v>
      </c>
      <c r="B8" s="19" t="s">
        <v>269</v>
      </c>
      <c r="C8" s="15" t="s">
        <v>270</v>
      </c>
      <c r="D8" s="15" t="s">
        <v>271</v>
      </c>
      <c r="E8" s="20">
        <v>155000</v>
      </c>
      <c r="F8" s="21">
        <v>1475.4449999999999</v>
      </c>
      <c r="G8" s="22">
        <v>4.3200000000000002E-2</v>
      </c>
      <c r="H8" s="40"/>
      <c r="I8" s="24"/>
      <c r="J8" s="5"/>
    </row>
    <row r="9" spans="1:10" ht="12.95" customHeight="1">
      <c r="A9" s="18" t="s">
        <v>3365</v>
      </c>
      <c r="B9" s="19" t="s">
        <v>3366</v>
      </c>
      <c r="C9" s="15" t="s">
        <v>3367</v>
      </c>
      <c r="D9" s="15" t="s">
        <v>255</v>
      </c>
      <c r="E9" s="20">
        <v>17000</v>
      </c>
      <c r="F9" s="21">
        <v>1208.4449999999999</v>
      </c>
      <c r="G9" s="22">
        <v>3.5299999999999998E-2</v>
      </c>
      <c r="H9" s="40"/>
      <c r="I9" s="24"/>
      <c r="J9" s="5"/>
    </row>
    <row r="10" spans="1:10" ht="12.95" customHeight="1">
      <c r="A10" s="18" t="s">
        <v>282</v>
      </c>
      <c r="B10" s="19" t="s">
        <v>283</v>
      </c>
      <c r="C10" s="15" t="s">
        <v>284</v>
      </c>
      <c r="D10" s="15" t="s">
        <v>271</v>
      </c>
      <c r="E10" s="20">
        <v>77200</v>
      </c>
      <c r="F10" s="21">
        <v>1178.3036</v>
      </c>
      <c r="G10" s="22">
        <v>3.4500000000000003E-2</v>
      </c>
      <c r="H10" s="40"/>
      <c r="I10" s="24"/>
      <c r="J10" s="5"/>
    </row>
    <row r="11" spans="1:10" ht="12.95" customHeight="1">
      <c r="A11" s="18" t="s">
        <v>719</v>
      </c>
      <c r="B11" s="19" t="s">
        <v>720</v>
      </c>
      <c r="C11" s="15" t="s">
        <v>721</v>
      </c>
      <c r="D11" s="15" t="s">
        <v>722</v>
      </c>
      <c r="E11" s="20">
        <v>34234</v>
      </c>
      <c r="F11" s="21">
        <v>1035.0821000000001</v>
      </c>
      <c r="G11" s="22">
        <v>3.0300000000000001E-2</v>
      </c>
      <c r="H11" s="40"/>
      <c r="I11" s="24"/>
      <c r="J11" s="5"/>
    </row>
    <row r="12" spans="1:10" ht="12.95" customHeight="1">
      <c r="A12" s="18" t="s">
        <v>288</v>
      </c>
      <c r="B12" s="19" t="s">
        <v>289</v>
      </c>
      <c r="C12" s="15" t="s">
        <v>290</v>
      </c>
      <c r="D12" s="15" t="s">
        <v>291</v>
      </c>
      <c r="E12" s="20">
        <v>380589</v>
      </c>
      <c r="F12" s="21">
        <v>934.53629999999998</v>
      </c>
      <c r="G12" s="22">
        <v>2.7300000000000001E-2</v>
      </c>
      <c r="H12" s="40"/>
      <c r="I12" s="24"/>
      <c r="J12" s="5"/>
    </row>
    <row r="13" spans="1:10" ht="12.95" customHeight="1">
      <c r="A13" s="18" t="s">
        <v>397</v>
      </c>
      <c r="B13" s="19" t="s">
        <v>398</v>
      </c>
      <c r="C13" s="15" t="s">
        <v>399</v>
      </c>
      <c r="D13" s="15" t="s">
        <v>259</v>
      </c>
      <c r="E13" s="20">
        <v>280000</v>
      </c>
      <c r="F13" s="21">
        <v>932.4</v>
      </c>
      <c r="G13" s="22">
        <v>2.7300000000000001E-2</v>
      </c>
      <c r="H13" s="40"/>
      <c r="I13" s="24"/>
      <c r="J13" s="5"/>
    </row>
    <row r="14" spans="1:10" ht="12.95" customHeight="1">
      <c r="A14" s="18" t="s">
        <v>742</v>
      </c>
      <c r="B14" s="19" t="s">
        <v>743</v>
      </c>
      <c r="C14" s="15" t="s">
        <v>744</v>
      </c>
      <c r="D14" s="15" t="s">
        <v>745</v>
      </c>
      <c r="E14" s="20">
        <v>75000</v>
      </c>
      <c r="F14" s="21">
        <v>868.98749999999995</v>
      </c>
      <c r="G14" s="22">
        <v>2.5399999999999999E-2</v>
      </c>
      <c r="H14" s="40"/>
      <c r="I14" s="24"/>
      <c r="J14" s="5"/>
    </row>
    <row r="15" spans="1:10" ht="12.95" customHeight="1">
      <c r="A15" s="18" t="s">
        <v>325</v>
      </c>
      <c r="B15" s="19" t="s">
        <v>326</v>
      </c>
      <c r="C15" s="15" t="s">
        <v>327</v>
      </c>
      <c r="D15" s="15" t="s">
        <v>306</v>
      </c>
      <c r="E15" s="20">
        <v>600000</v>
      </c>
      <c r="F15" s="21">
        <v>829.8</v>
      </c>
      <c r="G15" s="22">
        <v>2.4299999999999999E-2</v>
      </c>
      <c r="H15" s="40"/>
      <c r="I15" s="24"/>
      <c r="J15" s="5"/>
    </row>
    <row r="16" spans="1:10" ht="12.95" customHeight="1">
      <c r="A16" s="18" t="s">
        <v>730</v>
      </c>
      <c r="B16" s="19" t="s">
        <v>731</v>
      </c>
      <c r="C16" s="15" t="s">
        <v>732</v>
      </c>
      <c r="D16" s="15" t="s">
        <v>281</v>
      </c>
      <c r="E16" s="20">
        <v>50751</v>
      </c>
      <c r="F16" s="21">
        <v>788.79740000000004</v>
      </c>
      <c r="G16" s="22">
        <v>2.3099999999999999E-2</v>
      </c>
      <c r="H16" s="40"/>
      <c r="I16" s="24"/>
      <c r="J16" s="5"/>
    </row>
    <row r="17" spans="1:10" ht="12.95" customHeight="1">
      <c r="A17" s="18" t="s">
        <v>842</v>
      </c>
      <c r="B17" s="19" t="s">
        <v>843</v>
      </c>
      <c r="C17" s="15" t="s">
        <v>844</v>
      </c>
      <c r="D17" s="15" t="s">
        <v>259</v>
      </c>
      <c r="E17" s="20">
        <v>79093</v>
      </c>
      <c r="F17" s="21">
        <v>745.13520000000005</v>
      </c>
      <c r="G17" s="22">
        <v>2.18E-2</v>
      </c>
      <c r="H17" s="40"/>
      <c r="I17" s="24"/>
      <c r="J17" s="5"/>
    </row>
    <row r="18" spans="1:10" ht="12.95" customHeight="1">
      <c r="A18" s="18" t="s">
        <v>699</v>
      </c>
      <c r="B18" s="19" t="s">
        <v>700</v>
      </c>
      <c r="C18" s="15" t="s">
        <v>701</v>
      </c>
      <c r="D18" s="15" t="s">
        <v>271</v>
      </c>
      <c r="E18" s="20">
        <v>500000</v>
      </c>
      <c r="F18" s="21">
        <v>736</v>
      </c>
      <c r="G18" s="22">
        <v>2.1499999999999998E-2</v>
      </c>
      <c r="H18" s="40"/>
      <c r="I18" s="24"/>
      <c r="J18" s="5"/>
    </row>
    <row r="19" spans="1:10" ht="12.95" customHeight="1">
      <c r="A19" s="18" t="s">
        <v>863</v>
      </c>
      <c r="B19" s="19" t="s">
        <v>864</v>
      </c>
      <c r="C19" s="15" t="s">
        <v>865</v>
      </c>
      <c r="D19" s="15" t="s">
        <v>745</v>
      </c>
      <c r="E19" s="20">
        <v>48402</v>
      </c>
      <c r="F19" s="21">
        <v>717.36599999999999</v>
      </c>
      <c r="G19" s="22">
        <v>2.1000000000000001E-2</v>
      </c>
      <c r="H19" s="40"/>
      <c r="I19" s="24"/>
      <c r="J19" s="5"/>
    </row>
    <row r="20" spans="1:10" ht="12.95" customHeight="1">
      <c r="A20" s="18" t="s">
        <v>749</v>
      </c>
      <c r="B20" s="19" t="s">
        <v>750</v>
      </c>
      <c r="C20" s="15" t="s">
        <v>751</v>
      </c>
      <c r="D20" s="15" t="s">
        <v>255</v>
      </c>
      <c r="E20" s="20">
        <v>46387</v>
      </c>
      <c r="F20" s="21">
        <v>714.47580000000005</v>
      </c>
      <c r="G20" s="22">
        <v>2.0899999999999998E-2</v>
      </c>
      <c r="H20" s="40"/>
      <c r="I20" s="24"/>
      <c r="J20" s="5"/>
    </row>
    <row r="21" spans="1:10" ht="12.95" customHeight="1">
      <c r="A21" s="18" t="s">
        <v>2270</v>
      </c>
      <c r="B21" s="19" t="s">
        <v>2271</v>
      </c>
      <c r="C21" s="15" t="s">
        <v>2272</v>
      </c>
      <c r="D21" s="15" t="s">
        <v>2273</v>
      </c>
      <c r="E21" s="20">
        <v>197954</v>
      </c>
      <c r="F21" s="21">
        <v>713.62419999999997</v>
      </c>
      <c r="G21" s="22">
        <v>2.0899999999999998E-2</v>
      </c>
      <c r="H21" s="40"/>
      <c r="I21" s="24"/>
      <c r="J21" s="5"/>
    </row>
    <row r="22" spans="1:10" ht="12.95" customHeight="1">
      <c r="A22" s="18" t="s">
        <v>285</v>
      </c>
      <c r="B22" s="19" t="s">
        <v>286</v>
      </c>
      <c r="C22" s="15" t="s">
        <v>287</v>
      </c>
      <c r="D22" s="15" t="s">
        <v>263</v>
      </c>
      <c r="E22" s="20">
        <v>49467</v>
      </c>
      <c r="F22" s="21">
        <v>710.07410000000004</v>
      </c>
      <c r="G22" s="22">
        <v>2.0799999999999999E-2</v>
      </c>
      <c r="H22" s="40"/>
      <c r="I22" s="24"/>
      <c r="J22" s="5"/>
    </row>
    <row r="23" spans="1:10" ht="12.95" customHeight="1">
      <c r="A23" s="18" t="s">
        <v>296</v>
      </c>
      <c r="B23" s="19" t="s">
        <v>297</v>
      </c>
      <c r="C23" s="15" t="s">
        <v>298</v>
      </c>
      <c r="D23" s="15" t="s">
        <v>259</v>
      </c>
      <c r="E23" s="20">
        <v>141032</v>
      </c>
      <c r="F23" s="21">
        <v>678.01130000000001</v>
      </c>
      <c r="G23" s="22">
        <v>1.9800000000000002E-2</v>
      </c>
      <c r="H23" s="40"/>
      <c r="I23" s="24"/>
      <c r="J23" s="5"/>
    </row>
    <row r="24" spans="1:10" ht="12.95" customHeight="1">
      <c r="A24" s="18" t="s">
        <v>2448</v>
      </c>
      <c r="B24" s="19" t="s">
        <v>2449</v>
      </c>
      <c r="C24" s="15" t="s">
        <v>2450</v>
      </c>
      <c r="D24" s="15" t="s">
        <v>1816</v>
      </c>
      <c r="E24" s="20">
        <v>150000</v>
      </c>
      <c r="F24" s="21">
        <v>663.3</v>
      </c>
      <c r="G24" s="22">
        <v>1.9400000000000001E-2</v>
      </c>
      <c r="H24" s="40"/>
      <c r="I24" s="24"/>
      <c r="J24" s="5"/>
    </row>
    <row r="25" spans="1:10" ht="12.95" customHeight="1">
      <c r="A25" s="18" t="s">
        <v>763</v>
      </c>
      <c r="B25" s="19" t="s">
        <v>764</v>
      </c>
      <c r="C25" s="15" t="s">
        <v>765</v>
      </c>
      <c r="D25" s="15" t="s">
        <v>281</v>
      </c>
      <c r="E25" s="20">
        <v>13000</v>
      </c>
      <c r="F25" s="21">
        <v>658.28099999999995</v>
      </c>
      <c r="G25" s="22">
        <v>1.9300000000000001E-2</v>
      </c>
      <c r="H25" s="40"/>
      <c r="I25" s="24"/>
      <c r="J25" s="5"/>
    </row>
    <row r="26" spans="1:10" ht="12.95" customHeight="1">
      <c r="A26" s="18" t="s">
        <v>878</v>
      </c>
      <c r="B26" s="19" t="s">
        <v>879</v>
      </c>
      <c r="C26" s="15" t="s">
        <v>880</v>
      </c>
      <c r="D26" s="15" t="s">
        <v>255</v>
      </c>
      <c r="E26" s="20">
        <v>85000</v>
      </c>
      <c r="F26" s="21">
        <v>650.08000000000004</v>
      </c>
      <c r="G26" s="22">
        <v>1.9E-2</v>
      </c>
      <c r="H26" s="40"/>
      <c r="I26" s="24"/>
      <c r="J26" s="5"/>
    </row>
    <row r="27" spans="1:10" ht="12.95" customHeight="1">
      <c r="A27" s="18" t="s">
        <v>723</v>
      </c>
      <c r="B27" s="19" t="s">
        <v>724</v>
      </c>
      <c r="C27" s="15" t="s">
        <v>725</v>
      </c>
      <c r="D27" s="15" t="s">
        <v>726</v>
      </c>
      <c r="E27" s="20">
        <v>70000</v>
      </c>
      <c r="F27" s="21">
        <v>648.48</v>
      </c>
      <c r="G27" s="22">
        <v>1.9E-2</v>
      </c>
      <c r="H27" s="40"/>
      <c r="I27" s="24"/>
      <c r="J27" s="5"/>
    </row>
    <row r="28" spans="1:10" ht="12.95" customHeight="1">
      <c r="A28" s="18" t="s">
        <v>2189</v>
      </c>
      <c r="B28" s="19" t="s">
        <v>2190</v>
      </c>
      <c r="C28" s="15" t="s">
        <v>2191</v>
      </c>
      <c r="D28" s="15" t="s">
        <v>2192</v>
      </c>
      <c r="E28" s="20">
        <v>76768</v>
      </c>
      <c r="F28" s="21">
        <v>635.40869999999995</v>
      </c>
      <c r="G28" s="22">
        <v>1.8599999999999998E-2</v>
      </c>
      <c r="H28" s="40"/>
      <c r="I28" s="24"/>
      <c r="J28" s="5"/>
    </row>
    <row r="29" spans="1:10" ht="12.95" customHeight="1">
      <c r="A29" s="18" t="s">
        <v>746</v>
      </c>
      <c r="B29" s="19" t="s">
        <v>747</v>
      </c>
      <c r="C29" s="15" t="s">
        <v>748</v>
      </c>
      <c r="D29" s="15" t="s">
        <v>344</v>
      </c>
      <c r="E29" s="20">
        <v>480000</v>
      </c>
      <c r="F29" s="21">
        <v>618.72</v>
      </c>
      <c r="G29" s="22">
        <v>1.8100000000000002E-2</v>
      </c>
      <c r="H29" s="40"/>
      <c r="I29" s="24"/>
      <c r="J29" s="5"/>
    </row>
    <row r="30" spans="1:10" ht="12.95" customHeight="1">
      <c r="A30" s="18" t="s">
        <v>2216</v>
      </c>
      <c r="B30" s="19" t="s">
        <v>2217</v>
      </c>
      <c r="C30" s="15" t="s">
        <v>2218</v>
      </c>
      <c r="D30" s="15" t="s">
        <v>755</v>
      </c>
      <c r="E30" s="20">
        <v>59065</v>
      </c>
      <c r="F30" s="21">
        <v>615.87080000000003</v>
      </c>
      <c r="G30" s="22">
        <v>1.7999999999999999E-2</v>
      </c>
      <c r="H30" s="40"/>
      <c r="I30" s="24"/>
      <c r="J30" s="5"/>
    </row>
    <row r="31" spans="1:10" ht="12.95" customHeight="1">
      <c r="A31" s="18" t="s">
        <v>335</v>
      </c>
      <c r="B31" s="19" t="s">
        <v>336</v>
      </c>
      <c r="C31" s="15" t="s">
        <v>337</v>
      </c>
      <c r="D31" s="15" t="s">
        <v>263</v>
      </c>
      <c r="E31" s="20">
        <v>50000</v>
      </c>
      <c r="F31" s="21">
        <v>611.4</v>
      </c>
      <c r="G31" s="22">
        <v>1.7899999999999999E-2</v>
      </c>
      <c r="H31" s="40"/>
      <c r="I31" s="24"/>
      <c r="J31" s="5"/>
    </row>
    <row r="32" spans="1:10" ht="12.95" customHeight="1">
      <c r="A32" s="18" t="s">
        <v>264</v>
      </c>
      <c r="B32" s="19" t="s">
        <v>265</v>
      </c>
      <c r="C32" s="15" t="s">
        <v>266</v>
      </c>
      <c r="D32" s="15" t="s">
        <v>267</v>
      </c>
      <c r="E32" s="20">
        <v>7229</v>
      </c>
      <c r="F32" s="21">
        <v>596.74310000000003</v>
      </c>
      <c r="G32" s="22">
        <v>1.7500000000000002E-2</v>
      </c>
      <c r="H32" s="40"/>
      <c r="I32" s="24"/>
      <c r="J32" s="5"/>
    </row>
    <row r="33" spans="1:10" ht="12.95" customHeight="1">
      <c r="A33" s="18" t="s">
        <v>3033</v>
      </c>
      <c r="B33" s="19" t="s">
        <v>3034</v>
      </c>
      <c r="C33" s="15" t="s">
        <v>3035</v>
      </c>
      <c r="D33" s="15" t="s">
        <v>726</v>
      </c>
      <c r="E33" s="20">
        <v>30507</v>
      </c>
      <c r="F33" s="21">
        <v>589.62400000000002</v>
      </c>
      <c r="G33" s="22">
        <v>1.72E-2</v>
      </c>
      <c r="H33" s="40"/>
      <c r="I33" s="24"/>
      <c r="J33" s="5"/>
    </row>
    <row r="34" spans="1:10" ht="12.95" customHeight="1">
      <c r="A34" s="18" t="s">
        <v>248</v>
      </c>
      <c r="B34" s="19" t="s">
        <v>249</v>
      </c>
      <c r="C34" s="15" t="s">
        <v>250</v>
      </c>
      <c r="D34" s="15" t="s">
        <v>251</v>
      </c>
      <c r="E34" s="20">
        <v>25000</v>
      </c>
      <c r="F34" s="21">
        <v>586.25</v>
      </c>
      <c r="G34" s="22">
        <v>1.7100000000000001E-2</v>
      </c>
      <c r="H34" s="40"/>
      <c r="I34" s="24"/>
      <c r="J34" s="5"/>
    </row>
    <row r="35" spans="1:10" ht="12.95" customHeight="1">
      <c r="A35" s="18" t="s">
        <v>887</v>
      </c>
      <c r="B35" s="19" t="s">
        <v>888</v>
      </c>
      <c r="C35" s="15" t="s">
        <v>889</v>
      </c>
      <c r="D35" s="15" t="s">
        <v>890</v>
      </c>
      <c r="E35" s="20">
        <v>100000</v>
      </c>
      <c r="F35" s="21">
        <v>566.20000000000005</v>
      </c>
      <c r="G35" s="22">
        <v>1.66E-2</v>
      </c>
      <c r="H35" s="40"/>
      <c r="I35" s="24"/>
      <c r="J35" s="5"/>
    </row>
    <row r="36" spans="1:10" ht="12.95" customHeight="1">
      <c r="A36" s="18" t="s">
        <v>845</v>
      </c>
      <c r="B36" s="19" t="s">
        <v>846</v>
      </c>
      <c r="C36" s="15" t="s">
        <v>847</v>
      </c>
      <c r="D36" s="15" t="s">
        <v>778</v>
      </c>
      <c r="E36" s="20">
        <v>160000</v>
      </c>
      <c r="F36" s="21">
        <v>543.91999999999996</v>
      </c>
      <c r="G36" s="22">
        <v>1.5900000000000001E-2</v>
      </c>
      <c r="H36" s="40"/>
      <c r="I36" s="24"/>
      <c r="J36" s="5"/>
    </row>
    <row r="37" spans="1:10" ht="12.95" customHeight="1">
      <c r="A37" s="18" t="s">
        <v>2173</v>
      </c>
      <c r="B37" s="19" t="s">
        <v>2174</v>
      </c>
      <c r="C37" s="15" t="s">
        <v>2175</v>
      </c>
      <c r="D37" s="15" t="s">
        <v>295</v>
      </c>
      <c r="E37" s="20">
        <v>38640</v>
      </c>
      <c r="F37" s="21">
        <v>540.94069999999999</v>
      </c>
      <c r="G37" s="22">
        <v>1.5800000000000002E-2</v>
      </c>
      <c r="H37" s="40"/>
      <c r="I37" s="24"/>
      <c r="J37" s="5"/>
    </row>
    <row r="38" spans="1:10" ht="12.95" customHeight="1">
      <c r="A38" s="18" t="s">
        <v>275</v>
      </c>
      <c r="B38" s="19" t="s">
        <v>276</v>
      </c>
      <c r="C38" s="15" t="s">
        <v>277</v>
      </c>
      <c r="D38" s="15" t="s">
        <v>271</v>
      </c>
      <c r="E38" s="20">
        <v>90000</v>
      </c>
      <c r="F38" s="21">
        <v>538.69500000000005</v>
      </c>
      <c r="G38" s="22">
        <v>1.5800000000000002E-2</v>
      </c>
      <c r="H38" s="40"/>
      <c r="I38" s="24"/>
      <c r="J38" s="5"/>
    </row>
    <row r="39" spans="1:10" ht="12.95" customHeight="1">
      <c r="A39" s="18" t="s">
        <v>338</v>
      </c>
      <c r="B39" s="19" t="s">
        <v>339</v>
      </c>
      <c r="C39" s="15" t="s">
        <v>340</v>
      </c>
      <c r="D39" s="15" t="s">
        <v>334</v>
      </c>
      <c r="E39" s="20">
        <v>100000</v>
      </c>
      <c r="F39" s="21">
        <v>530.9</v>
      </c>
      <c r="G39" s="22">
        <v>1.55E-2</v>
      </c>
      <c r="H39" s="40"/>
      <c r="I39" s="24"/>
      <c r="J39" s="5"/>
    </row>
    <row r="40" spans="1:10" ht="12.95" customHeight="1">
      <c r="A40" s="18" t="s">
        <v>252</v>
      </c>
      <c r="B40" s="19" t="s">
        <v>253</v>
      </c>
      <c r="C40" s="15" t="s">
        <v>254</v>
      </c>
      <c r="D40" s="15" t="s">
        <v>255</v>
      </c>
      <c r="E40" s="20">
        <v>38879</v>
      </c>
      <c r="F40" s="21">
        <v>511.45319999999998</v>
      </c>
      <c r="G40" s="22">
        <v>1.4999999999999999E-2</v>
      </c>
      <c r="H40" s="40"/>
      <c r="I40" s="24"/>
      <c r="J40" s="5"/>
    </row>
    <row r="41" spans="1:10" ht="12.95" customHeight="1">
      <c r="A41" s="18" t="s">
        <v>3565</v>
      </c>
      <c r="B41" s="19" t="s">
        <v>3566</v>
      </c>
      <c r="C41" s="15" t="s">
        <v>3567</v>
      </c>
      <c r="D41" s="15" t="s">
        <v>722</v>
      </c>
      <c r="E41" s="20">
        <v>100000</v>
      </c>
      <c r="F41" s="21">
        <v>492.5</v>
      </c>
      <c r="G41" s="22">
        <v>1.44E-2</v>
      </c>
      <c r="H41" s="40"/>
      <c r="I41" s="24"/>
      <c r="J41" s="5"/>
    </row>
    <row r="42" spans="1:10" ht="12.95" customHeight="1">
      <c r="A42" s="18" t="s">
        <v>2170</v>
      </c>
      <c r="B42" s="19" t="s">
        <v>2171</v>
      </c>
      <c r="C42" s="15" t="s">
        <v>2172</v>
      </c>
      <c r="D42" s="15" t="s">
        <v>263</v>
      </c>
      <c r="E42" s="20">
        <v>20000</v>
      </c>
      <c r="F42" s="21">
        <v>475.32</v>
      </c>
      <c r="G42" s="22">
        <v>1.3899999999999999E-2</v>
      </c>
      <c r="H42" s="40"/>
      <c r="I42" s="24"/>
      <c r="J42" s="5"/>
    </row>
    <row r="43" spans="1:10" ht="12.95" customHeight="1">
      <c r="A43" s="18" t="s">
        <v>1724</v>
      </c>
      <c r="B43" s="19" t="s">
        <v>1725</v>
      </c>
      <c r="C43" s="15" t="s">
        <v>1726</v>
      </c>
      <c r="D43" s="15" t="s">
        <v>263</v>
      </c>
      <c r="E43" s="20">
        <v>88998</v>
      </c>
      <c r="F43" s="21">
        <v>430.17180000000002</v>
      </c>
      <c r="G43" s="22">
        <v>1.26E-2</v>
      </c>
      <c r="H43" s="40"/>
      <c r="I43" s="24"/>
      <c r="J43" s="5"/>
    </row>
    <row r="44" spans="1:10" ht="12.95" customHeight="1">
      <c r="A44" s="18" t="s">
        <v>733</v>
      </c>
      <c r="B44" s="19" t="s">
        <v>734</v>
      </c>
      <c r="C44" s="15" t="s">
        <v>735</v>
      </c>
      <c r="D44" s="15" t="s">
        <v>281</v>
      </c>
      <c r="E44" s="20">
        <v>4000</v>
      </c>
      <c r="F44" s="21">
        <v>424.42399999999998</v>
      </c>
      <c r="G44" s="22">
        <v>1.24E-2</v>
      </c>
      <c r="H44" s="40"/>
      <c r="I44" s="24"/>
      <c r="J44" s="5"/>
    </row>
    <row r="45" spans="1:10" ht="12.95" customHeight="1">
      <c r="A45" s="18" t="s">
        <v>356</v>
      </c>
      <c r="B45" s="19" t="s">
        <v>357</v>
      </c>
      <c r="C45" s="15" t="s">
        <v>358</v>
      </c>
      <c r="D45" s="15" t="s">
        <v>291</v>
      </c>
      <c r="E45" s="20">
        <v>203333</v>
      </c>
      <c r="F45" s="21">
        <v>406.15769999999998</v>
      </c>
      <c r="G45" s="22">
        <v>1.1900000000000001E-2</v>
      </c>
      <c r="H45" s="40"/>
      <c r="I45" s="24"/>
      <c r="J45" s="5"/>
    </row>
    <row r="46" spans="1:10" ht="12.95" customHeight="1">
      <c r="A46" s="18" t="s">
        <v>404</v>
      </c>
      <c r="B46" s="19" t="s">
        <v>405</v>
      </c>
      <c r="C46" s="15" t="s">
        <v>406</v>
      </c>
      <c r="D46" s="15" t="s">
        <v>407</v>
      </c>
      <c r="E46" s="20">
        <v>80000</v>
      </c>
      <c r="F46" s="21">
        <v>394.12</v>
      </c>
      <c r="G46" s="22">
        <v>1.15E-2</v>
      </c>
      <c r="H46" s="40"/>
      <c r="I46" s="24"/>
      <c r="J46" s="5"/>
    </row>
    <row r="47" spans="1:10" ht="12.95" customHeight="1">
      <c r="A47" s="18" t="s">
        <v>2179</v>
      </c>
      <c r="B47" s="19" t="s">
        <v>2180</v>
      </c>
      <c r="C47" s="15" t="s">
        <v>2181</v>
      </c>
      <c r="D47" s="15" t="s">
        <v>2182</v>
      </c>
      <c r="E47" s="20">
        <v>14812</v>
      </c>
      <c r="F47" s="21">
        <v>384.82319999999999</v>
      </c>
      <c r="G47" s="22">
        <v>1.1299999999999999E-2</v>
      </c>
      <c r="H47" s="40"/>
      <c r="I47" s="24"/>
      <c r="J47" s="5"/>
    </row>
    <row r="48" spans="1:10" ht="12.95" customHeight="1">
      <c r="A48" s="18" t="s">
        <v>385</v>
      </c>
      <c r="B48" s="19" t="s">
        <v>386</v>
      </c>
      <c r="C48" s="15" t="s">
        <v>387</v>
      </c>
      <c r="D48" s="15" t="s">
        <v>255</v>
      </c>
      <c r="E48" s="20">
        <v>126729</v>
      </c>
      <c r="F48" s="21">
        <v>381.89780000000002</v>
      </c>
      <c r="G48" s="22">
        <v>1.12E-2</v>
      </c>
      <c r="H48" s="40"/>
      <c r="I48" s="24"/>
      <c r="J48" s="5"/>
    </row>
    <row r="49" spans="1:10" ht="12.95" customHeight="1">
      <c r="A49" s="18" t="s">
        <v>2261</v>
      </c>
      <c r="B49" s="19" t="s">
        <v>2262</v>
      </c>
      <c r="C49" s="15" t="s">
        <v>2263</v>
      </c>
      <c r="D49" s="15" t="s">
        <v>403</v>
      </c>
      <c r="E49" s="20">
        <v>30000</v>
      </c>
      <c r="F49" s="21">
        <v>380.59500000000003</v>
      </c>
      <c r="G49" s="22">
        <v>1.11E-2</v>
      </c>
      <c r="H49" s="40"/>
      <c r="I49" s="24"/>
      <c r="J49" s="5"/>
    </row>
    <row r="50" spans="1:10" ht="12.95" customHeight="1">
      <c r="A50" s="18" t="s">
        <v>341</v>
      </c>
      <c r="B50" s="19" t="s">
        <v>342</v>
      </c>
      <c r="C50" s="15" t="s">
        <v>343</v>
      </c>
      <c r="D50" s="15" t="s">
        <v>344</v>
      </c>
      <c r="E50" s="20">
        <v>50000</v>
      </c>
      <c r="F50" s="21">
        <v>350.67500000000001</v>
      </c>
      <c r="G50" s="22">
        <v>1.03E-2</v>
      </c>
      <c r="H50" s="40"/>
      <c r="I50" s="24"/>
      <c r="J50" s="5"/>
    </row>
    <row r="51" spans="1:10" ht="12.95" customHeight="1">
      <c r="A51" s="18" t="s">
        <v>2466</v>
      </c>
      <c r="B51" s="19" t="s">
        <v>2467</v>
      </c>
      <c r="C51" s="15" t="s">
        <v>2468</v>
      </c>
      <c r="D51" s="15" t="s">
        <v>778</v>
      </c>
      <c r="E51" s="20">
        <v>70000</v>
      </c>
      <c r="F51" s="21">
        <v>349.44</v>
      </c>
      <c r="G51" s="22">
        <v>1.0200000000000001E-2</v>
      </c>
      <c r="H51" s="40"/>
      <c r="I51" s="24"/>
      <c r="J51" s="5"/>
    </row>
    <row r="52" spans="1:10" ht="12.95" customHeight="1">
      <c r="A52" s="18" t="s">
        <v>799</v>
      </c>
      <c r="B52" s="19" t="s">
        <v>800</v>
      </c>
      <c r="C52" s="15" t="s">
        <v>801</v>
      </c>
      <c r="D52" s="15" t="s">
        <v>291</v>
      </c>
      <c r="E52" s="20">
        <v>122708</v>
      </c>
      <c r="F52" s="21">
        <v>321.86309999999997</v>
      </c>
      <c r="G52" s="22">
        <v>9.4000000000000004E-3</v>
      </c>
      <c r="H52" s="40"/>
      <c r="I52" s="24"/>
      <c r="J52" s="5"/>
    </row>
    <row r="53" spans="1:10" ht="12.95" customHeight="1">
      <c r="A53" s="18" t="s">
        <v>3773</v>
      </c>
      <c r="B53" s="19" t="s">
        <v>3774</v>
      </c>
      <c r="C53" s="15" t="s">
        <v>3775</v>
      </c>
      <c r="D53" s="15" t="s">
        <v>324</v>
      </c>
      <c r="E53" s="20">
        <v>62088</v>
      </c>
      <c r="F53" s="21">
        <v>302.8032</v>
      </c>
      <c r="G53" s="22">
        <v>8.8999999999999999E-3</v>
      </c>
      <c r="H53" s="40"/>
      <c r="I53" s="24"/>
      <c r="J53" s="5"/>
    </row>
    <row r="54" spans="1:10" ht="12.95" customHeight="1">
      <c r="A54" s="18" t="s">
        <v>1891</v>
      </c>
      <c r="B54" s="19" t="s">
        <v>1892</v>
      </c>
      <c r="C54" s="15" t="s">
        <v>1893</v>
      </c>
      <c r="D54" s="15" t="s">
        <v>267</v>
      </c>
      <c r="E54" s="20">
        <v>6437</v>
      </c>
      <c r="F54" s="21">
        <v>204.66120000000001</v>
      </c>
      <c r="G54" s="22">
        <v>6.0000000000000001E-3</v>
      </c>
      <c r="H54" s="40"/>
      <c r="I54" s="24"/>
      <c r="J54" s="5"/>
    </row>
    <row r="55" spans="1:10" ht="12.95" customHeight="1">
      <c r="A55" s="18" t="s">
        <v>3562</v>
      </c>
      <c r="B55" s="19" t="s">
        <v>3563</v>
      </c>
      <c r="C55" s="15" t="s">
        <v>3564</v>
      </c>
      <c r="D55" s="15" t="s">
        <v>302</v>
      </c>
      <c r="E55" s="20">
        <v>53289</v>
      </c>
      <c r="F55" s="21">
        <v>198.84790000000001</v>
      </c>
      <c r="G55" s="22">
        <v>5.7999999999999996E-3</v>
      </c>
      <c r="H55" s="40"/>
      <c r="I55" s="24"/>
      <c r="J55" s="5"/>
    </row>
    <row r="56" spans="1:10" ht="12.95" customHeight="1">
      <c r="A56" s="18" t="s">
        <v>3030</v>
      </c>
      <c r="B56" s="19" t="s">
        <v>3031</v>
      </c>
      <c r="C56" s="15" t="s">
        <v>3032</v>
      </c>
      <c r="D56" s="15" t="s">
        <v>295</v>
      </c>
      <c r="E56" s="20">
        <v>11000</v>
      </c>
      <c r="F56" s="21">
        <v>186.59299999999999</v>
      </c>
      <c r="G56" s="22">
        <v>5.4999999999999997E-3</v>
      </c>
      <c r="H56" s="40"/>
      <c r="I56" s="24"/>
      <c r="J56" s="5"/>
    </row>
    <row r="57" spans="1:10" ht="12.95" customHeight="1">
      <c r="A57" s="18" t="s">
        <v>359</v>
      </c>
      <c r="B57" s="19" t="s">
        <v>360</v>
      </c>
      <c r="C57" s="15" t="s">
        <v>361</v>
      </c>
      <c r="D57" s="15" t="s">
        <v>255</v>
      </c>
      <c r="E57" s="20">
        <v>80000</v>
      </c>
      <c r="F57" s="21">
        <v>184.96</v>
      </c>
      <c r="G57" s="22">
        <v>5.4000000000000003E-3</v>
      </c>
      <c r="H57" s="40"/>
      <c r="I57" s="24"/>
      <c r="J57" s="5"/>
    </row>
    <row r="58" spans="1:10" ht="12.95" customHeight="1">
      <c r="A58" s="18" t="s">
        <v>3058</v>
      </c>
      <c r="B58" s="19" t="s">
        <v>3059</v>
      </c>
      <c r="C58" s="15" t="s">
        <v>3060</v>
      </c>
      <c r="D58" s="15" t="s">
        <v>306</v>
      </c>
      <c r="E58" s="20">
        <v>14000</v>
      </c>
      <c r="F58" s="21">
        <v>144.38200000000001</v>
      </c>
      <c r="G58" s="22">
        <v>4.1999999999999997E-3</v>
      </c>
      <c r="H58" s="40"/>
      <c r="I58" s="24"/>
      <c r="J58" s="5"/>
    </row>
    <row r="59" spans="1:10" ht="12.95" customHeight="1">
      <c r="A59" s="18" t="s">
        <v>1838</v>
      </c>
      <c r="B59" s="19" t="s">
        <v>1839</v>
      </c>
      <c r="C59" s="15" t="s">
        <v>1840</v>
      </c>
      <c r="D59" s="15" t="s">
        <v>324</v>
      </c>
      <c r="E59" s="20">
        <v>40000</v>
      </c>
      <c r="F59" s="21">
        <v>123.94</v>
      </c>
      <c r="G59" s="22">
        <v>3.5999999999999999E-3</v>
      </c>
      <c r="H59" s="40"/>
      <c r="I59" s="24"/>
      <c r="J59" s="5"/>
    </row>
    <row r="60" spans="1:10" ht="12.95" customHeight="1">
      <c r="A60" s="18" t="s">
        <v>3589</v>
      </c>
      <c r="B60" s="19" t="s">
        <v>3590</v>
      </c>
      <c r="C60" s="15" t="s">
        <v>3591</v>
      </c>
      <c r="D60" s="15" t="s">
        <v>324</v>
      </c>
      <c r="E60" s="20">
        <v>32708</v>
      </c>
      <c r="F60" s="21">
        <v>72.562700000000007</v>
      </c>
      <c r="G60" s="22">
        <v>2.0999999999999999E-3</v>
      </c>
      <c r="H60" s="40"/>
      <c r="I60" s="24"/>
      <c r="J60" s="5"/>
    </row>
    <row r="61" spans="1:10" ht="12.95" customHeight="1">
      <c r="A61" s="18" t="s">
        <v>3610</v>
      </c>
      <c r="B61" s="19" t="s">
        <v>3611</v>
      </c>
      <c r="C61" s="15" t="s">
        <v>3612</v>
      </c>
      <c r="D61" s="15" t="s">
        <v>1590</v>
      </c>
      <c r="E61" s="20">
        <v>4096</v>
      </c>
      <c r="F61" s="21">
        <v>53.164000000000001</v>
      </c>
      <c r="G61" s="22">
        <v>1.6000000000000001E-3</v>
      </c>
      <c r="H61" s="40"/>
      <c r="I61" s="24"/>
      <c r="J61" s="5"/>
    </row>
    <row r="62" spans="1:10" ht="12.95" customHeight="1">
      <c r="A62" s="18" t="s">
        <v>1823</v>
      </c>
      <c r="B62" s="19" t="s">
        <v>1824</v>
      </c>
      <c r="C62" s="15" t="s">
        <v>1825</v>
      </c>
      <c r="D62" s="15" t="s">
        <v>295</v>
      </c>
      <c r="E62" s="20">
        <v>207</v>
      </c>
      <c r="F62" s="21">
        <v>2.2595999999999998</v>
      </c>
      <c r="G62" s="22">
        <v>1E-4</v>
      </c>
      <c r="H62" s="40"/>
      <c r="I62" s="24"/>
      <c r="J62" s="5"/>
    </row>
    <row r="63" spans="1:10" ht="12.95" customHeight="1">
      <c r="A63" s="5"/>
      <c r="B63" s="14" t="s">
        <v>160</v>
      </c>
      <c r="C63" s="15"/>
      <c r="D63" s="15"/>
      <c r="E63" s="15"/>
      <c r="F63" s="25">
        <v>32198.101600000002</v>
      </c>
      <c r="G63" s="26">
        <v>0.94179999999999997</v>
      </c>
      <c r="H63" s="27"/>
      <c r="I63" s="28"/>
      <c r="J63" s="5"/>
    </row>
    <row r="64" spans="1:10" ht="12.95" customHeight="1">
      <c r="A64" s="5"/>
      <c r="B64" s="29" t="s">
        <v>408</v>
      </c>
      <c r="C64" s="2"/>
      <c r="D64" s="2"/>
      <c r="E64" s="2"/>
      <c r="F64" s="27" t="s">
        <v>162</v>
      </c>
      <c r="G64" s="27" t="s">
        <v>162</v>
      </c>
      <c r="H64" s="27"/>
      <c r="I64" s="28"/>
      <c r="J64" s="5"/>
    </row>
    <row r="65" spans="1:10" ht="12.95" customHeight="1">
      <c r="A65" s="5"/>
      <c r="B65" s="29" t="s">
        <v>160</v>
      </c>
      <c r="C65" s="2"/>
      <c r="D65" s="2"/>
      <c r="E65" s="2"/>
      <c r="F65" s="27" t="s">
        <v>162</v>
      </c>
      <c r="G65" s="27" t="s">
        <v>162</v>
      </c>
      <c r="H65" s="27"/>
      <c r="I65" s="28"/>
      <c r="J65" s="5"/>
    </row>
    <row r="66" spans="1:10" ht="12.95" customHeight="1">
      <c r="A66" s="5"/>
      <c r="B66" s="29" t="s">
        <v>163</v>
      </c>
      <c r="C66" s="30"/>
      <c r="D66" s="2"/>
      <c r="E66" s="30"/>
      <c r="F66" s="25">
        <v>32198.101600000002</v>
      </c>
      <c r="G66" s="26">
        <v>0.94179999999999997</v>
      </c>
      <c r="H66" s="27"/>
      <c r="I66" s="28"/>
      <c r="J66" s="5"/>
    </row>
    <row r="67" spans="1:10" ht="12.95" customHeight="1">
      <c r="A67" s="5"/>
      <c r="B67" s="14" t="s">
        <v>164</v>
      </c>
      <c r="C67" s="15"/>
      <c r="D67" s="15"/>
      <c r="E67" s="15"/>
      <c r="F67" s="15"/>
      <c r="G67" s="15"/>
      <c r="H67" s="16"/>
      <c r="I67" s="17"/>
      <c r="J67" s="5"/>
    </row>
    <row r="68" spans="1:10" ht="12.95" customHeight="1">
      <c r="A68" s="18" t="s">
        <v>165</v>
      </c>
      <c r="B68" s="19" t="s">
        <v>166</v>
      </c>
      <c r="C68" s="15"/>
      <c r="D68" s="15"/>
      <c r="E68" s="20"/>
      <c r="F68" s="21">
        <v>1694.2587000000001</v>
      </c>
      <c r="G68" s="22">
        <v>4.9599999999999998E-2</v>
      </c>
      <c r="H68" s="23">
        <v>6.7996827861667899E-2</v>
      </c>
      <c r="I68" s="24"/>
      <c r="J68" s="5"/>
    </row>
    <row r="69" spans="1:10" ht="12.95" customHeight="1">
      <c r="A69" s="5"/>
      <c r="B69" s="14" t="s">
        <v>160</v>
      </c>
      <c r="C69" s="15"/>
      <c r="D69" s="15"/>
      <c r="E69" s="15"/>
      <c r="F69" s="25">
        <v>1694.2587000000001</v>
      </c>
      <c r="G69" s="26">
        <v>4.9599999999999998E-2</v>
      </c>
      <c r="H69" s="27"/>
      <c r="I69" s="28"/>
      <c r="J69" s="5"/>
    </row>
    <row r="70" spans="1:10" ht="12.95" customHeight="1">
      <c r="A70" s="5"/>
      <c r="B70" s="29" t="s">
        <v>163</v>
      </c>
      <c r="C70" s="30"/>
      <c r="D70" s="2"/>
      <c r="E70" s="30"/>
      <c r="F70" s="25">
        <v>1694.2587000000001</v>
      </c>
      <c r="G70" s="26">
        <v>4.9599999999999998E-2</v>
      </c>
      <c r="H70" s="27"/>
      <c r="I70" s="28"/>
      <c r="J70" s="5"/>
    </row>
    <row r="71" spans="1:10" ht="12.95" customHeight="1">
      <c r="A71" s="5"/>
      <c r="B71" s="29" t="s">
        <v>167</v>
      </c>
      <c r="C71" s="15"/>
      <c r="D71" s="2"/>
      <c r="E71" s="15"/>
      <c r="F71" s="31">
        <v>295.97969999999998</v>
      </c>
      <c r="G71" s="26">
        <v>8.6E-3</v>
      </c>
      <c r="H71" s="27"/>
      <c r="I71" s="28"/>
      <c r="J71" s="5"/>
    </row>
    <row r="72" spans="1:10" ht="12.95" customHeight="1">
      <c r="A72" s="5"/>
      <c r="B72" s="32" t="s">
        <v>168</v>
      </c>
      <c r="C72" s="33"/>
      <c r="D72" s="33"/>
      <c r="E72" s="33"/>
      <c r="F72" s="34">
        <v>34188.339999999997</v>
      </c>
      <c r="G72" s="35">
        <v>1</v>
      </c>
      <c r="H72" s="36"/>
      <c r="I72" s="37"/>
      <c r="J72" s="5"/>
    </row>
    <row r="73" spans="1:10" ht="12.95" customHeight="1">
      <c r="A73" s="5"/>
      <c r="B73" s="7"/>
      <c r="C73" s="5"/>
      <c r="D73" s="5"/>
      <c r="E73" s="5"/>
      <c r="F73" s="5"/>
      <c r="G73" s="5"/>
      <c r="H73" s="5"/>
      <c r="I73" s="5"/>
      <c r="J73" s="5"/>
    </row>
    <row r="74" spans="1:10" ht="12.95" customHeight="1">
      <c r="A74" s="5"/>
      <c r="B74" s="4" t="s">
        <v>169</v>
      </c>
      <c r="C74" s="5"/>
      <c r="D74" s="5"/>
      <c r="E74" s="5"/>
      <c r="F74" s="5"/>
      <c r="G74" s="5"/>
      <c r="H74" s="5"/>
      <c r="I74" s="5"/>
      <c r="J74" s="5"/>
    </row>
    <row r="75" spans="1:10" ht="12.95" customHeight="1">
      <c r="A75" s="5"/>
      <c r="B75" s="4" t="s">
        <v>170</v>
      </c>
      <c r="C75" s="5"/>
      <c r="D75" s="5"/>
      <c r="E75" s="5"/>
      <c r="F75" s="5"/>
      <c r="G75" s="5"/>
      <c r="H75" s="5"/>
      <c r="I75" s="5"/>
      <c r="J75" s="5"/>
    </row>
    <row r="76" spans="1:10" ht="26.1" customHeight="1">
      <c r="A76" s="5"/>
      <c r="B76" s="86" t="s">
        <v>171</v>
      </c>
      <c r="C76" s="86"/>
      <c r="D76" s="86"/>
      <c r="E76" s="86"/>
      <c r="F76" s="86"/>
      <c r="G76" s="86"/>
      <c r="H76" s="86"/>
      <c r="I76" s="86"/>
      <c r="J76" s="5"/>
    </row>
    <row r="77" spans="1:10" ht="12.95" customHeight="1">
      <c r="A77" s="5"/>
      <c r="B77" s="86"/>
      <c r="C77" s="86"/>
      <c r="D77" s="86"/>
      <c r="E77" s="86"/>
      <c r="F77" s="86"/>
      <c r="G77" s="86"/>
      <c r="H77" s="86"/>
      <c r="I77" s="86"/>
      <c r="J77" s="5"/>
    </row>
    <row r="78" spans="1:10" ht="12.95" customHeight="1">
      <c r="A78" s="5"/>
      <c r="B78" s="86"/>
      <c r="C78" s="86"/>
      <c r="D78" s="86"/>
      <c r="E78" s="86"/>
      <c r="F78" s="86"/>
      <c r="G78" s="86"/>
      <c r="H78" s="86"/>
      <c r="I78" s="86"/>
      <c r="J78" s="5"/>
    </row>
    <row r="79" spans="1:10" ht="12.95" customHeight="1">
      <c r="A79" s="5"/>
      <c r="B79" s="5"/>
      <c r="C79" s="87" t="s">
        <v>422</v>
      </c>
      <c r="D79" s="87"/>
      <c r="E79" s="87"/>
      <c r="F79" s="87"/>
      <c r="G79" s="5"/>
      <c r="H79" s="5"/>
      <c r="I79" s="5"/>
      <c r="J79" s="5"/>
    </row>
    <row r="80" spans="1:10" ht="12.95" customHeight="1">
      <c r="A80" s="5"/>
      <c r="B80" s="38" t="s">
        <v>173</v>
      </c>
      <c r="C80" s="87" t="s">
        <v>174</v>
      </c>
      <c r="D80" s="87"/>
      <c r="E80" s="87"/>
      <c r="F80" s="87"/>
      <c r="G80" s="5"/>
      <c r="H80" s="5"/>
      <c r="I80" s="5"/>
      <c r="J80" s="5"/>
    </row>
    <row r="81" spans="1:10" ht="120.95" customHeight="1">
      <c r="A81" s="5"/>
      <c r="B81" s="39"/>
      <c r="C81" s="85"/>
      <c r="D81" s="85"/>
      <c r="E81" s="5"/>
      <c r="F81" s="5"/>
      <c r="G81" s="5"/>
      <c r="H81" s="5"/>
      <c r="I81" s="5"/>
      <c r="J81" s="5"/>
    </row>
  </sheetData>
  <mergeCells count="6">
    <mergeCell ref="C81:D81"/>
    <mergeCell ref="B76:I76"/>
    <mergeCell ref="B77:I77"/>
    <mergeCell ref="B78:I78"/>
    <mergeCell ref="C79:F79"/>
    <mergeCell ref="C80:F80"/>
  </mergeCells>
  <hyperlinks>
    <hyperlink ref="A1" location="AxisValueFund" display="AXISVAL" xr:uid="{00000000-0004-0000-4400-000000000000}"/>
    <hyperlink ref="B1" location="AxisValueFund" display="Axis Value Fund" xr:uid="{00000000-0004-0000-44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138</vt:i4>
      </vt:variant>
    </vt:vector>
  </HeadingPairs>
  <TitlesOfParts>
    <vt:vector size="207" baseType="lpstr">
      <vt:lpstr>Index</vt:lpstr>
      <vt:lpstr>AXIS112</vt:lpstr>
      <vt:lpstr>AXIS113</vt:lpstr>
      <vt:lpstr>AXISASD</vt:lpstr>
      <vt:lpstr>AXISBCF</vt:lpstr>
      <vt:lpstr>AXISBDF</vt:lpstr>
      <vt:lpstr>AXISBETF</vt:lpstr>
      <vt:lpstr>AXISBTF</vt:lpstr>
      <vt:lpstr>AXISCETF</vt:lpstr>
      <vt:lpstr>AXISCGF</vt:lpstr>
      <vt:lpstr>AXISCIB</vt:lpstr>
      <vt:lpstr>AXISCIG</vt:lpstr>
      <vt:lpstr>AXISCOF</vt:lpstr>
      <vt:lpstr>AXISCPSE</vt:lpstr>
      <vt:lpstr>AXISCSDL</vt:lpstr>
      <vt:lpstr>AXISDBF</vt:lpstr>
      <vt:lpstr>AXISDEF</vt:lpstr>
      <vt:lpstr>AXISEAF</vt:lpstr>
      <vt:lpstr>AXISEFOF</vt:lpstr>
      <vt:lpstr>AXISEHF</vt:lpstr>
      <vt:lpstr>AXISEQF</vt:lpstr>
      <vt:lpstr>AXISESF</vt:lpstr>
      <vt:lpstr>AXISESG</vt:lpstr>
      <vt:lpstr>AXISETS</vt:lpstr>
      <vt:lpstr>AXISF25</vt:lpstr>
      <vt:lpstr>AXISFLO</vt:lpstr>
      <vt:lpstr>AXISGCE</vt:lpstr>
      <vt:lpstr>AXISGEA</vt:lpstr>
      <vt:lpstr>AXISGETF</vt:lpstr>
      <vt:lpstr>AXISGIF</vt:lpstr>
      <vt:lpstr>AXISGLD</vt:lpstr>
      <vt:lpstr>AXISGOF</vt:lpstr>
      <vt:lpstr>AXISHETF</vt:lpstr>
      <vt:lpstr>AXISIFD</vt:lpstr>
      <vt:lpstr>AXISIOF</vt:lpstr>
      <vt:lpstr>AXISISF</vt:lpstr>
      <vt:lpstr>AXISLDF</vt:lpstr>
      <vt:lpstr>AXISLFA</vt:lpstr>
      <vt:lpstr>AXISM10</vt:lpstr>
      <vt:lpstr>AXISMCF</vt:lpstr>
      <vt:lpstr>AXISMLC</vt:lpstr>
      <vt:lpstr>AXISMLF</vt:lpstr>
      <vt:lpstr>AXISMMF</vt:lpstr>
      <vt:lpstr>AXISN50</vt:lpstr>
      <vt:lpstr>AXISNETF</vt:lpstr>
      <vt:lpstr>AXISNFOF</vt:lpstr>
      <vt:lpstr>AXISNIF</vt:lpstr>
      <vt:lpstr>AXISNIT</vt:lpstr>
      <vt:lpstr>AXISNM50</vt:lpstr>
      <vt:lpstr>AXISNNF</vt:lpstr>
      <vt:lpstr>AXISNS50</vt:lpstr>
      <vt:lpstr>AXISONF</vt:lpstr>
      <vt:lpstr>AXISQUA</vt:lpstr>
      <vt:lpstr>AXISRAP</vt:lpstr>
      <vt:lpstr>AXISRCP</vt:lpstr>
      <vt:lpstr>AXISRDP</vt:lpstr>
      <vt:lpstr>AXISSCF</vt:lpstr>
      <vt:lpstr>AXISSDI</vt:lpstr>
      <vt:lpstr>AXISSDL</vt:lpstr>
      <vt:lpstr>AXISSETF</vt:lpstr>
      <vt:lpstr>AXISSIL</vt:lpstr>
      <vt:lpstr>AXISSSF</vt:lpstr>
      <vt:lpstr>AXISSTF</vt:lpstr>
      <vt:lpstr>AXISTAA</vt:lpstr>
      <vt:lpstr>AXISTAF</vt:lpstr>
      <vt:lpstr>AXISTETF</vt:lpstr>
      <vt:lpstr>AXISTSF</vt:lpstr>
      <vt:lpstr>AXISUSF</vt:lpstr>
      <vt:lpstr>AXISVAL</vt:lpstr>
      <vt:lpstr>AxisAllSeasonsDebtFundofFunds</vt:lpstr>
      <vt:lpstr>AxisArbitrageFund</vt:lpstr>
      <vt:lpstr>AxisBalancedAdvantageFund</vt:lpstr>
      <vt:lpstr>AxisBankingPSUDebtFund</vt:lpstr>
      <vt:lpstr>AxisBluechipFund</vt:lpstr>
      <vt:lpstr>AxisBusinessCyclesFund</vt:lpstr>
      <vt:lpstr>AxisChildrensGiftFund</vt:lpstr>
      <vt:lpstr>AxisCorporateDebtFund</vt:lpstr>
      <vt:lpstr>AxisCreditRiskFund</vt:lpstr>
      <vt:lpstr>AxisCRISILIBX5050GiltPlusSDLJune2028IndexFund</vt:lpstr>
      <vt:lpstr>AxisCRISILIBX5050GiltPlusSDLSep2027IndexFund</vt:lpstr>
      <vt:lpstr>AxisCRISILIBX7030CPSEPlusSDLApr2025IndexFund</vt:lpstr>
      <vt:lpstr>AxisCRISILIBXSDLMay2027IndexFund</vt:lpstr>
      <vt:lpstr>AxisDynamicBondFund</vt:lpstr>
      <vt:lpstr>AxisEquityETFsFoF</vt:lpstr>
      <vt:lpstr>AxisEquityHybridFund</vt:lpstr>
      <vt:lpstr>AxisEquitySaverFund</vt:lpstr>
      <vt:lpstr>AxisESGEquityFund</vt:lpstr>
      <vt:lpstr>AxisFixedTermPlanSeries1121143Days</vt:lpstr>
      <vt:lpstr>AxisFixedTermPlanSeries1131228Days</vt:lpstr>
      <vt:lpstr>AxisFlexiCapFund</vt:lpstr>
      <vt:lpstr>AxisFloaterFund</vt:lpstr>
      <vt:lpstr>AxisFocused25Fund</vt:lpstr>
      <vt:lpstr>AxisGiltFund</vt:lpstr>
      <vt:lpstr>AxisGlobalEquityAlphaFundofFund</vt:lpstr>
      <vt:lpstr>AxisGlobalInnovationFundofFund</vt:lpstr>
      <vt:lpstr>AxisGoldETF</vt:lpstr>
      <vt:lpstr>AxisGoldFund</vt:lpstr>
      <vt:lpstr>AxisGreaterChinaEquityFundofFund</vt:lpstr>
      <vt:lpstr>AxisGrowthOpportunitiesFund</vt:lpstr>
      <vt:lpstr>AxisLiquidFund</vt:lpstr>
      <vt:lpstr>AxisLongDurationFund</vt:lpstr>
      <vt:lpstr>AxisLongTermEquityFund</vt:lpstr>
      <vt:lpstr>AxisMidcapFund</vt:lpstr>
      <vt:lpstr>AxisMoneyMarketFund</vt:lpstr>
      <vt:lpstr>AxisMultiAssetAllocationFund</vt:lpstr>
      <vt:lpstr>AxisMulticapFund</vt:lpstr>
      <vt:lpstr>AxisNASDAQ100FundofFund</vt:lpstr>
      <vt:lpstr>AxisNifty100IndexFund</vt:lpstr>
      <vt:lpstr>AxisNIFTY50ETF</vt:lpstr>
      <vt:lpstr>AxisNifty50IndexFund</vt:lpstr>
      <vt:lpstr>AxisNiftyAAABondPlusSDLApr20265050ETF</vt:lpstr>
      <vt:lpstr>AxisNiftyAAABondPlusSDLApr20265050ETFFOF</vt:lpstr>
      <vt:lpstr>AxisNIFTYBankETF</vt:lpstr>
      <vt:lpstr>AxisNIFTYHealthcareETF</vt:lpstr>
      <vt:lpstr>AxisNIFTYIndiaConsumptionETF</vt:lpstr>
      <vt:lpstr>AxisNIFTYITETF</vt:lpstr>
      <vt:lpstr>AxisNiftyITIndexFund</vt:lpstr>
      <vt:lpstr>AXISNIFTYMIDCAP50INDEXFUND</vt:lpstr>
      <vt:lpstr>AxisNiftyNext50IndexFund</vt:lpstr>
      <vt:lpstr>AxisNIFTYSDLSeptember2026DebtIndexFund</vt:lpstr>
      <vt:lpstr>AXISNIFTYSMALLCAP50INDEXFUND</vt:lpstr>
      <vt:lpstr>AxisOvernightFund</vt:lpstr>
      <vt:lpstr>AxisQuantFund</vt:lpstr>
      <vt:lpstr>AxisRegularSaverFund</vt:lpstr>
      <vt:lpstr>AxisRetirementSavingsFundAggressivePlan</vt:lpstr>
      <vt:lpstr>AxisRetirementSavingsFundConservativePlan</vt:lpstr>
      <vt:lpstr>AxisRetirementSavingsFundDynamicPlan</vt:lpstr>
      <vt:lpstr>AxisShortTermFund</vt:lpstr>
      <vt:lpstr>AxisSilverETF</vt:lpstr>
      <vt:lpstr>AxisSilverFundofFund</vt:lpstr>
      <vt:lpstr>AxisSmallCapFund</vt:lpstr>
      <vt:lpstr>AxisSPBSESENSEXETF</vt:lpstr>
      <vt:lpstr>AxisSpecialSituationsFund</vt:lpstr>
      <vt:lpstr>AxisStrategicBondFund</vt:lpstr>
      <vt:lpstr>AxisTreasuryAdvantageFund</vt:lpstr>
      <vt:lpstr>AxisUltraShortTermFund</vt:lpstr>
      <vt:lpstr>AxisValueFund</vt:lpstr>
      <vt:lpstr>Index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JR_PAGE_ANCHOR_0_59</vt:lpstr>
      <vt:lpstr>JR_PAGE_ANCHOR_0_6</vt:lpstr>
      <vt:lpstr>JR_PAGE_ANCHOR_0_60</vt:lpstr>
      <vt:lpstr>JR_PAGE_ANCHOR_0_61</vt:lpstr>
      <vt:lpstr>JR_PAGE_ANCHOR_0_62</vt:lpstr>
      <vt:lpstr>JR_PAGE_ANCHOR_0_63</vt:lpstr>
      <vt:lpstr>JR_PAGE_ANCHOR_0_64</vt:lpstr>
      <vt:lpstr>JR_PAGE_ANCHOR_0_65</vt:lpstr>
      <vt:lpstr>JR_PAGE_ANCHOR_0_66</vt:lpstr>
      <vt:lpstr>JR_PAGE_ANCHOR_0_67</vt:lpstr>
      <vt:lpstr>JR_PAGE_ANCHOR_0_68</vt:lpstr>
      <vt:lpstr>JR_PAGE_ANCHOR_0_69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2024-06-21T13:36:48Z</dcterms:created>
  <dcterms:modified xsi:type="dcterms:W3CDTF">2024-06-24T12:00:37Z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2023-10-06T06:51:23Z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23e016e6-2cc3-443b-8ed3-67cfcaabe070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af1741f6-9e47-426e-a683-937c37d4ebc5_Enabled">
    <vt:lpwstr>true</vt:lpwstr>
  </property>
  <property fmtid="{D5CDD505-2E9C-101B-9397-08002B2CF9AE}" pid="10" name="MSIP_Label_af1741f6-9e47-426e-a683-937c37d4ebc5_SetDate">
    <vt:lpwstr>2024-06-24T11:33:40Z</vt:lpwstr>
  </property>
  <property fmtid="{D5CDD505-2E9C-101B-9397-08002B2CF9AE}" pid="11" name="MSIP_Label_af1741f6-9e47-426e-a683-937c37d4ebc5_Method">
    <vt:lpwstr>Privileged</vt:lpwstr>
  </property>
  <property fmtid="{D5CDD505-2E9C-101B-9397-08002B2CF9AE}" pid="12" name="MSIP_Label_af1741f6-9e47-426e-a683-937c37d4ebc5_Name">
    <vt:lpwstr>af1741f6-9e47-426e-a683-937c37d4ebc5</vt:lpwstr>
  </property>
  <property fmtid="{D5CDD505-2E9C-101B-9397-08002B2CF9AE}" pid="13" name="MSIP_Label_af1741f6-9e47-426e-a683-937c37d4ebc5_SiteId">
    <vt:lpwstr>1e9b61e8-e590-4abc-b1af-24125e330d2a</vt:lpwstr>
  </property>
  <property fmtid="{D5CDD505-2E9C-101B-9397-08002B2CF9AE}" pid="14" name="MSIP_Label_af1741f6-9e47-426e-a683-937c37d4ebc5_ActionId">
    <vt:lpwstr>cbed09bf-9ae6-4a95-be42-8a36382f6a34</vt:lpwstr>
  </property>
  <property fmtid="{D5CDD505-2E9C-101B-9397-08002B2CF9AE}" pid="15" name="MSIP_Label_af1741f6-9e47-426e-a683-937c37d4ebc5_ContentBits">
    <vt:lpwstr>3</vt:lpwstr>
  </property>
  <property fmtid="{D5CDD505-2E9C-101B-9397-08002B2CF9AE}" pid="16" name="db.comClassification">
    <vt:lpwstr>For internal use only</vt:lpwstr>
  </property>
</Properties>
</file>